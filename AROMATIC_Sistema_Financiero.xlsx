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ICIO" sheetId="1" state="visible" r:id="rId1"/>
    <sheet name="DASHBOARD" sheetId="2" state="visible" r:id="rId2"/>
    <sheet name="PRODUCTOS" sheetId="3" state="visible" r:id="rId3"/>
    <sheet name="COSTOS" sheetId="4" state="visible" r:id="rId4"/>
    <sheet name="COMPRAS" sheetId="5" state="visible" r:id="rId5"/>
    <sheet name="INVENTARIO" sheetId="6" state="visible" r:id="rId6"/>
    <sheet name="VENTAS" sheetId="7" state="visible" r:id="rId7"/>
    <sheet name="GASTOS" sheetId="8" state="visible" r:id="rId8"/>
    <sheet name="CAJA" sheetId="9" state="visible" r:id="rId9"/>
    <sheet name="CLIENTES" sheetId="10" state="visible" r:id="rId10"/>
    <sheet name="PROVEEDORES" sheetId="11" state="visible" r:id="rId11"/>
    <sheet name="RENTABILIDAD" sheetId="12" state="visible" r:id="rId12"/>
    <sheet name="EQUILIBRIO" sheetId="13" state="visible" r:id="rId13"/>
    <sheet name="METAS" sheetId="14" state="visible" r:id="rId14"/>
    <sheet name="ESCENARIOS" sheetId="15" state="visible" r:id="rId15"/>
    <sheet name="CONTROL" sheetId="16" state="visible" r:id="rId16"/>
    <sheet name="CONFIG" sheetId="17" state="visible" r:id="rId17"/>
  </sheets>
  <definedNames>
    <definedName name="PAR_FECHA_INICIO">CONFIG!$B$8</definedName>
    <definedName name="PAR_MESES">CONFIG!$B$9</definedName>
    <definedName name="PAR_SALDO_CAJA">CONFIG!$B$10</definedName>
    <definedName name="PAR_CAPITAL_INICIAL">CONFIG!$B$11</definedName>
    <definedName name="PAR_DIAS_MES">CONFIG!$B$12</definedName>
    <definedName name="PAR_ISV">CONFIG!$B$14</definedName>
    <definedName name="PAR_ALERTA_STOCK">CONFIG!$B$16</definedName>
    <definedName name="PAR_MARGEN_OBJ">CONFIG!$B$17</definedName>
    <definedName name="LISTA_CATEGORIAS">OFFSET(CONFIG!$B$23,0,0,MAX(1,COUNTA(CONFIG!$B$23:$B$83)),1)</definedName>
    <definedName name="LISTA_SUBCATEGORIAS">OFFSET(CONFIG!$C$23,0,0,MAX(1,COUNTA(CONFIG!$C$23:$C$83)),1)</definedName>
    <definedName name="LISTA_PRESENTACIONES">OFFSET(CONFIG!$D$23,0,0,MAX(1,COUNTA(CONFIG!$D$23:$D$83)),1)</definedName>
    <definedName name="LISTA_UNIDADES">OFFSET(CONFIG!$E$23,0,0,MAX(1,COUNTA(CONFIG!$E$23:$E$83)),1)</definedName>
    <definedName name="LISTA_CANALES">OFFSET(CONFIG!$F$23,0,0,MAX(1,COUNTA(CONFIG!$F$23:$F$83)),1)</definedName>
    <definedName name="LISTA_METODOS_PAGO">OFFSET(CONFIG!$G$23,0,0,MAX(1,COUNTA(CONFIG!$G$23:$G$83)),1)</definedName>
    <definedName name="LISTA_TIPO_GASTO">OFFSET(CONFIG!$H$23,0,0,MAX(1,COUNTA(CONFIG!$H$23:$H$83)),1)</definedName>
    <definedName name="LISTA_CAT_GASTO">OFFSET(CONFIG!$I$23,0,0,MAX(1,COUNTA(CONFIG!$I$23:$I$83)),1)</definedName>
    <definedName name="LISTA_ESTADO_PRODUCTO">OFFSET(CONFIG!$J$23,0,0,MAX(1,COUNTA(CONFIG!$J$23:$J$83)),1)</definedName>
    <definedName name="LISTA_ESTADO_PAGO">OFFSET(CONFIG!$K$23,0,0,MAX(1,COUNTA(CONFIG!$K$23:$K$83)),1)</definedName>
    <definedName name="LISTA_ESTADO_REL">OFFSET(CONFIG!$L$23,0,0,MAX(1,COUNTA(CONFIG!$L$23:$L$83)),1)</definedName>
    <definedName name="LISTA_CONCEPTO_CAJA">OFFSET(CONFIG!$M$23,0,0,MAX(1,COUNTA(CONFIG!$M$23:$M$83)),1)</definedName>
    <definedName name="LISTA_CONDICIONES">OFFSET(CONFIG!$N$23,0,0,MAX(1,COUNTA(CONFIG!$N$23:$N$83)),1)</definedName>
    <definedName name="LISTA_SINO">OFFSET(CONFIG!$O$23,0,0,MAX(1,COUNTA(CONFIG!$O$23:$O$83)),1)</definedName>
    <definedName name="LISTA_MODO">OFFSET(CONFIG!$P$23,0,0,MAX(1,COUNTA(CONFIG!$P$23:$P$83)),1)</definedName>
    <definedName name="LISTA_TIPO_MOV">OFFSET(CONFIG!$Q$23,0,0,MAX(1,COUNTA(CONFIG!$Q$23:$Q$83)),1)</definedName>
    <definedName name="LISTA_SKU">OFFSET(PRODUCTOS!$A$7,0,0,MAX(1,COUNTA(PRODUCTOS!$A$7:$A$66)),1)</definedName>
    <definedName name="LISTA_CLIENTES">OFFSET(CLIENTES!$B$7,0,0,MAX(1,COUNTA(CLIENTES!$B$7:$B$156)),1)</definedName>
    <definedName name="LISTA_PROVEEDORES">OFFSET(PROVEEDORES!$B$7,0,0,MAX(1,COUNTA(PROVEEDORES!$B$7:$B$46)),1)</definedName>
    <definedName name="LISTA_MESES">RENTABILIDAD!$A$8:$A$43</definedName>
    <definedName name="_xlnm.Print_Area" localSheetId="1">'DASHBOARD'!$B$1:$M$89</definedName>
    <definedName name="_xlnm.Print_Titles" localSheetId="2">'PRODUCTOS'!$6:$6</definedName>
    <definedName name="_xlnm.Print_Titles" localSheetId="3">'COSTOS'!$7:$7</definedName>
    <definedName name="_xlnm.Print_Titles" localSheetId="4">'COMPRAS'!$6:$6</definedName>
    <definedName name="_xlnm.Print_Titles" localSheetId="5">'INVENTARIO'!$6:$6</definedName>
    <definedName name="_xlnm.Print_Titles" localSheetId="6">'VENTAS'!$6:$6</definedName>
    <definedName name="_xlnm.Print_Titles" localSheetId="7">'GASTOS'!$6:$6</definedName>
    <definedName name="_xlnm.Print_Titles" localSheetId="9">'CLIENTES'!$6:$6</definedName>
    <definedName name="_xlnm.Print_Titles" localSheetId="10">'PROVEEDORES'!$6:$6</definedName>
    <definedName name="_xlnm._FilterDatabase" localSheetId="15" hidden="1">'CONTROL'!$H$7:$Q$67</definedName>
  </definedNames>
  <calcPr calcId="124519" fullCalcOnLoad="1"/>
</workbook>
</file>

<file path=xl/styles.xml><?xml version="1.0" encoding="utf-8"?>
<styleSheet xmlns="http://schemas.openxmlformats.org/spreadsheetml/2006/main">
  <numFmts count="8">
    <numFmt numFmtId="164" formatCode="yyyy-mm-dd"/>
    <numFmt numFmtId="165" formatCode="dd/mm/yyyy"/>
    <numFmt numFmtId="166" formatCode="#,##0;[Red]-#,##0;0"/>
    <numFmt numFmtId="167" formatCode="&quot;L&quot;#,##0.00;[Red]-&quot;L&quot;#,##0.00;&quot;L&quot;0.00"/>
    <numFmt numFmtId="168" formatCode="0.0%;[Red]-0.0%;0.0%"/>
    <numFmt numFmtId="169" formatCode="mmm-yyyy"/>
    <numFmt numFmtId="170" formatCode="+0%;-0%;0%"/>
    <numFmt numFmtId="171" formatCode="&quot;L&quot;#,##0;[Red]-&quot;L&quot;#,##0;&quot;L&quot;0"/>
  </numFmts>
  <fonts count="18">
    <font>
      <name val="Calibri"/>
      <family val="2"/>
      <color theme="1"/>
      <sz val="11"/>
      <scheme val="minor"/>
    </font>
    <font>
      <name val="Calibri"/>
      <b val="1"/>
      <color rgb="001F3A5F"/>
      <sz val="16"/>
    </font>
    <font>
      <name val="Calibri"/>
      <i val="1"/>
      <color rgb="005A6671"/>
      <sz val="9"/>
    </font>
    <font>
      <name val="Calibri"/>
      <b val="1"/>
      <color rgb="002E5C8A"/>
      <sz val="12"/>
    </font>
    <font>
      <name val="Calibri"/>
      <b val="1"/>
      <sz val="10"/>
    </font>
    <font>
      <name val="Calibri"/>
      <sz val="10"/>
    </font>
    <font>
      <name val="Calibri"/>
      <b val="1"/>
      <color rgb="00FFFFFF"/>
      <sz val="10"/>
    </font>
    <font>
      <name val="Calibri"/>
      <b val="1"/>
      <color rgb="00B00020"/>
      <sz val="10"/>
    </font>
    <font>
      <name val="Calibri"/>
      <i val="1"/>
      <color rgb="007A7A7A"/>
      <sz val="10"/>
    </font>
    <font>
      <b val="1"/>
      <color rgb="00FFFFFF"/>
    </font>
    <font>
      <name val="Calibri"/>
      <b val="1"/>
      <color rgb="001F3A5F"/>
      <sz val="11"/>
    </font>
    <font>
      <name val="Calibri"/>
      <b val="1"/>
      <color rgb="005A6671"/>
      <sz val="9"/>
    </font>
    <font>
      <name val="Calibri"/>
      <b val="1"/>
      <color rgb="001F3A5F"/>
      <sz val="18"/>
    </font>
    <font>
      <name val="Calibri"/>
      <b val="1"/>
      <color rgb="00B00020"/>
      <sz val="18"/>
    </font>
    <font>
      <name val="Calibri"/>
      <b val="1"/>
      <color rgb="008A6100"/>
      <sz val="16"/>
    </font>
    <font>
      <name val="Calibri"/>
      <b val="1"/>
      <color rgb="00B00020"/>
      <sz val="16"/>
    </font>
    <font>
      <name val="Calibri"/>
      <b val="1"/>
      <color rgb="001E7B4F"/>
      <sz val="16"/>
    </font>
    <font>
      <name val="Calibri"/>
      <b val="1"/>
      <color rgb="000B5AA2"/>
      <sz val="10"/>
      <u val="single"/>
    </font>
  </fonts>
  <fills count="11">
    <fill>
      <patternFill/>
    </fill>
    <fill>
      <patternFill patternType="gray125"/>
    </fill>
    <fill>
      <patternFill patternType="solid">
        <fgColor rgb="00EAF0F6"/>
      </patternFill>
    </fill>
    <fill>
      <patternFill patternType="solid">
        <fgColor rgb="00FFF8E1"/>
      </patternFill>
    </fill>
    <fill>
      <patternFill patternType="solid">
        <fgColor rgb="00F4F6F9"/>
      </patternFill>
    </fill>
    <fill>
      <patternFill patternType="solid">
        <fgColor rgb="001F3A5F"/>
      </patternFill>
    </fill>
    <fill>
      <patternFill patternType="solid">
        <fgColor rgb="00EDEDED"/>
      </patternFill>
    </fill>
    <fill>
      <patternFill patternType="solid">
        <fgColor rgb="002E5C8A"/>
      </patternFill>
    </fill>
    <fill>
      <patternFill patternType="solid">
        <fgColor rgb="001E7B4F"/>
      </patternFill>
    </fill>
    <fill>
      <patternFill patternType="solid">
        <fgColor rgb="006B4E9B"/>
      </patternFill>
    </fill>
    <fill>
      <patternFill patternType="solid">
        <fgColor rgb="00E8F5EC"/>
      </patternFill>
    </fill>
  </fills>
  <borders count="2">
    <border>
      <left/>
      <right/>
      <top/>
      <bottom/>
      <diagonal/>
    </border>
    <border>
      <left style="thin">
        <color rgb="00C7CDD4"/>
      </left>
      <right style="thin">
        <color rgb="00C7CDD4"/>
      </right>
      <top style="thin">
        <color rgb="00C7CDD4"/>
      </top>
      <bottom style="thin">
        <color rgb="00C7CDD4"/>
      </bottom>
    </border>
  </borders>
  <cellStyleXfs count="1">
    <xf numFmtId="0" fontId="0" fillId="0" borderId="0"/>
  </cellStyleXfs>
  <cellXfs count="95">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4" fillId="3" borderId="1" applyAlignment="1" pivotButton="0" quotePrefix="0" xfId="0">
      <alignment horizontal="left" vertical="top" wrapText="1"/>
    </xf>
    <xf numFmtId="0" fontId="4" fillId="4" borderId="1" applyAlignment="1" pivotButton="0" quotePrefix="0" xfId="0">
      <alignment horizontal="left" vertical="top" wrapText="1"/>
    </xf>
    <xf numFmtId="0" fontId="4" fillId="10" borderId="1" applyAlignment="1" pivotButton="0" quotePrefix="0" xfId="0">
      <alignment horizontal="left" vertical="top" wrapText="1"/>
    </xf>
    <xf numFmtId="0" fontId="4" fillId="6" borderId="1" applyAlignment="1" pivotButton="0" quotePrefix="0" xfId="0">
      <alignment horizontal="left" vertical="top" wrapText="1"/>
    </xf>
    <xf numFmtId="0" fontId="6" fillId="5" borderId="1" applyAlignment="1" pivotButton="0" quotePrefix="0" xfId="0">
      <alignment horizontal="center" vertical="center" wrapText="1"/>
    </xf>
    <xf numFmtId="0" fontId="17" fillId="0" borderId="1" pivotButton="0" quotePrefix="0" xfId="0"/>
    <xf numFmtId="0" fontId="0" fillId="0" borderId="1" applyAlignment="1" pivotButton="0" quotePrefix="0" xfId="0">
      <alignment horizontal="left" vertical="top" wrapText="1"/>
    </xf>
    <xf numFmtId="0" fontId="4" fillId="0" borderId="0" pivotButton="0" quotePrefix="0" xfId="0"/>
    <xf numFmtId="169" fontId="5" fillId="3" borderId="1" applyAlignment="1" applyProtection="1" pivotButton="0" quotePrefix="0" xfId="0">
      <alignment horizontal="center" vertical="center" wrapText="1"/>
      <protection locked="0" hidden="0"/>
    </xf>
    <xf numFmtId="0" fontId="2" fillId="0" borderId="0" applyAlignment="1" pivotButton="0" quotePrefix="0" xfId="0">
      <alignment horizontal="left" vertical="top" wrapText="1"/>
    </xf>
    <xf numFmtId="0" fontId="11" fillId="0" borderId="1" applyAlignment="1" pivotButton="0" quotePrefix="0" xfId="0">
      <alignment horizontal="center" vertical="center" wrapText="1"/>
    </xf>
    <xf numFmtId="0" fontId="0" fillId="0" borderId="1" pivotButton="0" quotePrefix="0" xfId="0"/>
    <xf numFmtId="171" fontId="1" fillId="4" borderId="1" applyAlignment="1" pivotButton="0" quotePrefix="0" xfId="0">
      <alignment horizontal="center" vertical="center" wrapText="1"/>
    </xf>
    <xf numFmtId="0" fontId="0" fillId="4" borderId="1" pivotButton="0" quotePrefix="0" xfId="0"/>
    <xf numFmtId="166" fontId="1" fillId="4" borderId="1" applyAlignment="1" pivotButton="0" quotePrefix="0" xfId="0">
      <alignment horizontal="center" vertical="center" wrapText="1"/>
    </xf>
    <xf numFmtId="167" fontId="1" fillId="4" borderId="1" applyAlignment="1" pivotButton="0" quotePrefix="0" xfId="0">
      <alignment horizontal="center" vertical="center" wrapText="1"/>
    </xf>
    <xf numFmtId="168" fontId="1" fillId="4" borderId="1" applyAlignment="1" pivotButton="0" quotePrefix="0" xfId="0">
      <alignment horizontal="center" vertical="center" wrapText="1"/>
    </xf>
    <xf numFmtId="166" fontId="14" fillId="4" borderId="1" applyAlignment="1" pivotButton="0" quotePrefix="0" xfId="0">
      <alignment horizontal="center" vertical="center" wrapText="1"/>
    </xf>
    <xf numFmtId="166" fontId="15" fillId="4" borderId="1" applyAlignment="1" pivotButton="0" quotePrefix="0" xfId="0">
      <alignment horizontal="center" vertical="center" wrapText="1"/>
    </xf>
    <xf numFmtId="171" fontId="16" fillId="4" borderId="1" applyAlignment="1" pivotButton="0" quotePrefix="0" xfId="0">
      <alignment horizontal="center" vertical="center" wrapText="1"/>
    </xf>
    <xf numFmtId="171" fontId="15" fillId="4" borderId="1" applyAlignment="1" pivotButton="0" quotePrefix="0" xfId="0">
      <alignment horizontal="center" vertical="center" wrapText="1"/>
    </xf>
    <xf numFmtId="49" fontId="1" fillId="4" borderId="1" applyAlignment="1" pivotButton="0" quotePrefix="0" xfId="0">
      <alignment horizontal="center" vertical="center" wrapText="1"/>
    </xf>
    <xf numFmtId="171" fontId="14" fillId="4" borderId="1" applyAlignment="1" pivotButton="0" quotePrefix="0" xfId="0">
      <alignment horizontal="center" vertical="center" wrapText="1"/>
    </xf>
    <xf numFmtId="167" fontId="0" fillId="0" borderId="0" pivotButton="0" quotePrefix="0" xfId="0"/>
    <xf numFmtId="166" fontId="0" fillId="0" borderId="0" pivotButton="0" quotePrefix="0" xfId="0"/>
    <xf numFmtId="0" fontId="7" fillId="0" borderId="0" pivotButton="0" quotePrefix="0" xfId="0"/>
    <xf numFmtId="49" fontId="5" fillId="3" borderId="1" applyProtection="1" pivotButton="0" quotePrefix="0" xfId="0">
      <protection locked="0" hidden="0"/>
    </xf>
    <xf numFmtId="166" fontId="5" fillId="3" borderId="1" applyProtection="1" pivotButton="0" quotePrefix="0" xfId="0">
      <protection locked="0" hidden="0"/>
    </xf>
    <xf numFmtId="167" fontId="8" fillId="6" borderId="1" applyProtection="1" pivotButton="0" quotePrefix="0" xfId="0">
      <protection locked="0" hidden="0"/>
    </xf>
    <xf numFmtId="167" fontId="5" fillId="3" borderId="1" applyProtection="1" pivotButton="0" quotePrefix="0" xfId="0">
      <protection locked="0" hidden="0"/>
    </xf>
    <xf numFmtId="167" fontId="5" fillId="4" borderId="1" pivotButton="0" quotePrefix="0" xfId="0"/>
    <xf numFmtId="168" fontId="5" fillId="4" borderId="1" pivotButton="0" quotePrefix="0" xfId="0"/>
    <xf numFmtId="166" fontId="5" fillId="4" borderId="1" pivotButton="0" quotePrefix="0" xfId="0"/>
    <xf numFmtId="0" fontId="5" fillId="4" borderId="1" applyAlignment="1" pivotButton="0" quotePrefix="0" xfId="0">
      <alignment horizontal="center" vertical="center" wrapText="1"/>
    </xf>
    <xf numFmtId="165" fontId="5" fillId="3" borderId="1" applyProtection="1" pivotButton="0" quotePrefix="0" xfId="0">
      <protection locked="0" hidden="0"/>
    </xf>
    <xf numFmtId="0" fontId="6" fillId="7" borderId="0" applyAlignment="1" pivotButton="0" quotePrefix="0" xfId="0">
      <alignment horizontal="center" vertical="center" wrapText="1"/>
    </xf>
    <xf numFmtId="0" fontId="0" fillId="7" borderId="0" pivotButton="0" quotePrefix="0" xfId="0"/>
    <xf numFmtId="0" fontId="6" fillId="8" borderId="0" applyAlignment="1" pivotButton="0" quotePrefix="0" xfId="0">
      <alignment horizontal="center" vertical="center" wrapText="1"/>
    </xf>
    <xf numFmtId="0" fontId="0" fillId="8" borderId="0" pivotButton="0" quotePrefix="0" xfId="0"/>
    <xf numFmtId="0" fontId="6" fillId="9" borderId="0" applyAlignment="1" pivotButton="0" quotePrefix="0" xfId="0">
      <alignment horizontal="center" vertical="center" wrapText="1"/>
    </xf>
    <xf numFmtId="0" fontId="0" fillId="9" borderId="0" pivotButton="0" quotePrefix="0" xfId="0"/>
    <xf numFmtId="0" fontId="5" fillId="4" borderId="1" pivotButton="0" quotePrefix="0" xfId="0"/>
    <xf numFmtId="167" fontId="4" fillId="4" borderId="1" pivotButton="0" quotePrefix="0" xfId="0"/>
    <xf numFmtId="168" fontId="5" fillId="3" borderId="1" applyProtection="1" pivotButton="0" quotePrefix="0" xfId="0">
      <protection locked="0" hidden="0"/>
    </xf>
    <xf numFmtId="49" fontId="5" fillId="4" borderId="1" pivotButton="0" quotePrefix="0" xfId="0"/>
    <xf numFmtId="49" fontId="5" fillId="4" borderId="1" applyAlignment="1" pivotButton="0" quotePrefix="0" xfId="0">
      <alignment horizontal="center" vertical="center" wrapText="1"/>
    </xf>
    <xf numFmtId="165" fontId="5" fillId="4" borderId="1" pivotButton="0" quotePrefix="0" xfId="0"/>
    <xf numFmtId="167" fontId="5" fillId="10" borderId="1" applyProtection="1" pivotButton="0" quotePrefix="0" xfId="0">
      <protection locked="0" hidden="0"/>
    </xf>
    <xf numFmtId="169" fontId="5" fillId="4" borderId="1" pivotButton="0" quotePrefix="0" xfId="0"/>
    <xf numFmtId="169" fontId="6" fillId="7" borderId="1" pivotButton="0" quotePrefix="0" xfId="0"/>
    <xf numFmtId="167" fontId="6" fillId="7" borderId="1" pivotButton="0" quotePrefix="0" xfId="0"/>
    <xf numFmtId="0" fontId="3" fillId="0" borderId="0" pivotButton="0" quotePrefix="0" xfId="0"/>
    <xf numFmtId="0" fontId="4" fillId="0" borderId="1" applyAlignment="1" pivotButton="0" quotePrefix="0" xfId="0">
      <alignment horizontal="left" vertical="center"/>
    </xf>
    <xf numFmtId="4" fontId="5" fillId="4" borderId="1" pivotButton="0" quotePrefix="0" xfId="0"/>
    <xf numFmtId="0" fontId="6" fillId="7" borderId="1" pivotButton="0" quotePrefix="0" xfId="0"/>
    <xf numFmtId="0" fontId="0" fillId="7" borderId="1" pivotButton="0" quotePrefix="0" xfId="0"/>
    <xf numFmtId="0" fontId="5" fillId="0" borderId="1" pivotButton="0" quotePrefix="0" xfId="0"/>
    <xf numFmtId="0" fontId="2" fillId="0" borderId="1" applyAlignment="1" pivotButton="0" quotePrefix="0" xfId="0">
      <alignment horizontal="left" vertical="top" wrapText="1"/>
    </xf>
    <xf numFmtId="166" fontId="4" fillId="4" borderId="1" pivotButton="0" quotePrefix="0" xfId="0"/>
    <xf numFmtId="168" fontId="4" fillId="4" borderId="1" pivotButton="0" quotePrefix="0" xfId="0"/>
    <xf numFmtId="0" fontId="4" fillId="0" borderId="1" pivotButton="0" quotePrefix="0" xfId="0"/>
    <xf numFmtId="4" fontId="4" fillId="4" borderId="1" pivotButton="0" quotePrefix="0" xfId="0"/>
    <xf numFmtId="166" fontId="6" fillId="7" borderId="1" pivotButton="0" quotePrefix="0" xfId="0"/>
    <xf numFmtId="168" fontId="6" fillId="7" borderId="1" pivotButton="0" quotePrefix="0" xfId="0"/>
    <xf numFmtId="4" fontId="6" fillId="7" borderId="1" pivotButton="0" quotePrefix="0" xfId="0"/>
    <xf numFmtId="49" fontId="6" fillId="7" borderId="1" pivotButton="0" quotePrefix="0" xfId="0"/>
    <xf numFmtId="0" fontId="5" fillId="3" borderId="1" applyProtection="1" pivotButton="0" quotePrefix="0" xfId="0">
      <protection locked="0" hidden="0"/>
    </xf>
    <xf numFmtId="166" fontId="10" fillId="4" borderId="1" pivotButton="0" quotePrefix="0" xfId="0"/>
    <xf numFmtId="167" fontId="10" fillId="4" borderId="1" pivotButton="0" quotePrefix="0" xfId="0"/>
    <xf numFmtId="170" fontId="6" fillId="5" borderId="1" applyAlignment="1" pivotButton="0" quotePrefix="0" xfId="0">
      <alignment horizontal="center" vertical="center" wrapText="1"/>
    </xf>
    <xf numFmtId="166" fontId="0" fillId="10" borderId="1" applyProtection="1" pivotButton="0" quotePrefix="0" xfId="0">
      <protection locked="0" hidden="0"/>
    </xf>
    <xf numFmtId="167" fontId="0" fillId="10" borderId="1" applyProtection="1" pivotButton="0" quotePrefix="0" xfId="0">
      <protection locked="0" hidden="0"/>
    </xf>
    <xf numFmtId="168" fontId="0" fillId="10" borderId="1" applyProtection="1" pivotButton="0" quotePrefix="0" xfId="0">
      <protection locked="0" hidden="0"/>
    </xf>
    <xf numFmtId="0" fontId="11" fillId="0" borderId="0" pivotButton="0" quotePrefix="0" xfId="0"/>
    <xf numFmtId="166" fontId="12" fillId="0" borderId="0" pivotButton="0" quotePrefix="0" xfId="0"/>
    <xf numFmtId="166" fontId="13" fillId="0" borderId="0" pivotButton="0" quotePrefix="0" xfId="0"/>
    <xf numFmtId="0" fontId="0"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0" borderId="1" pivotButton="0" quotePrefix="0" xfId="0"/>
    <xf numFmtId="49" fontId="5" fillId="3" borderId="1" applyAlignment="1" applyProtection="1" pivotButton="0" quotePrefix="0" xfId="0">
      <alignment horizontal="left" vertical="center"/>
      <protection locked="0" hidden="0"/>
    </xf>
    <xf numFmtId="165" fontId="5" fillId="3" borderId="1" applyAlignment="1" applyProtection="1" pivotButton="0" quotePrefix="0" xfId="0">
      <alignment horizontal="left" vertical="center"/>
      <protection locked="0" hidden="0"/>
    </xf>
    <xf numFmtId="166" fontId="5" fillId="4" borderId="1" applyAlignment="1" pivotButton="0" quotePrefix="0" xfId="0">
      <alignment horizontal="left" vertical="center"/>
    </xf>
    <xf numFmtId="167" fontId="5" fillId="3" borderId="1" applyAlignment="1" applyProtection="1" pivotButton="0" quotePrefix="0" xfId="0">
      <alignment horizontal="left" vertical="center"/>
      <protection locked="0" hidden="0"/>
    </xf>
    <xf numFmtId="166" fontId="5" fillId="3" borderId="1" applyAlignment="1" applyProtection="1" pivotButton="0" quotePrefix="0" xfId="0">
      <alignment horizontal="left" vertical="center"/>
      <protection locked="0" hidden="0"/>
    </xf>
    <xf numFmtId="49" fontId="5" fillId="4" borderId="1" applyAlignment="1" pivotButton="0" quotePrefix="0" xfId="0">
      <alignment horizontal="left" vertical="center"/>
    </xf>
    <xf numFmtId="168" fontId="5" fillId="3" borderId="1" applyAlignment="1" applyProtection="1" pivotButton="0" quotePrefix="0" xfId="0">
      <alignment horizontal="left" vertical="center"/>
      <protection locked="0" hidden="0"/>
    </xf>
    <xf numFmtId="4" fontId="5" fillId="3" borderId="1" applyAlignment="1" applyProtection="1" pivotButton="0" quotePrefix="0" xfId="0">
      <alignment horizontal="left" vertical="center"/>
      <protection locked="0" hidden="0"/>
    </xf>
    <xf numFmtId="165" fontId="5" fillId="4" borderId="1" applyAlignment="1" pivotButton="0" quotePrefix="0" xfId="0">
      <alignment horizontal="left" vertical="center"/>
    </xf>
  </cellXfs>
  <cellStyles count="1">
    <cellStyle name="Normal" xfId="0" builtinId="0" hidden="0"/>
  </cellStyles>
  <dxfs count="10">
    <dxf>
      <font>
        <b val="1"/>
        <color rgb="00B00020"/>
      </font>
    </dxf>
    <dxf>
      <font>
        <b val="1"/>
        <color rgb="001E7B4F"/>
      </font>
    </dxf>
    <dxf>
      <font>
        <b val="1"/>
        <color rgb="001E7B4F"/>
        <sz val="16"/>
      </font>
    </dxf>
    <dxf>
      <font>
        <b val="1"/>
        <color rgb="00B00020"/>
        <sz val="16"/>
      </font>
    </dxf>
    <dxf>
      <font>
        <b val="1"/>
        <color rgb="001E7B4F"/>
      </font>
      <fill>
        <patternFill patternType="solid">
          <fgColor rgb="00E3F4EA"/>
        </patternFill>
      </fill>
    </dxf>
    <dxf>
      <font>
        <b val="1"/>
        <color rgb="00B00020"/>
      </font>
      <fill>
        <patternFill patternType="solid">
          <fgColor rgb="00FBE3E6"/>
        </patternFill>
      </fill>
    </dxf>
    <dxf>
      <font>
        <b val="1"/>
        <color rgb="008A6100"/>
      </font>
      <fill>
        <patternFill patternType="solid">
          <fgColor rgb="00FFF3D6"/>
        </patternFill>
      </fill>
    </dxf>
    <dxf>
      <font>
        <color rgb="001E7B4F"/>
      </font>
    </dxf>
    <dxf>
      <font>
        <b val="1"/>
        <color rgb="008A6100"/>
      </font>
    </dxf>
    <dxf>
      <font>
        <color rgb="00B0002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charts/chart1.xml><?xml version="1.0" encoding="utf-8"?>
<chartSpace xmlns:a="http://schemas.openxmlformats.org/drawingml/2006/main" xmlns="http://schemas.openxmlformats.org/drawingml/2006/chart">
  <style val="2"/>
  <chart>
    <title>
      <tx>
        <rich>
          <a:bodyPr/>
          <a:p>
            <a:pPr>
              <a:defRPr/>
            </a:pPr>
            <a:r>
              <a:t>Ventas netas y utilidad neta por mes</a:t>
            </a:r>
          </a:p>
        </rich>
      </tx>
    </title>
    <plotArea>
      <lineChart>
        <grouping val="standard"/>
        <ser>
          <idx val="0"/>
          <order val="0"/>
          <tx>
            <strRef>
              <f>'RENTABILIDAD'!D7</f>
            </strRef>
          </tx>
          <spPr>
            <a:ln>
              <a:prstDash val="solid"/>
            </a:ln>
          </spPr>
          <marker>
            <symbol val="none"/>
            <spPr>
              <a:ln>
                <a:prstDash val="solid"/>
              </a:ln>
            </spPr>
          </marker>
          <cat>
            <numRef>
              <f>'RENTABILIDAD'!$A$8:$A$43</f>
            </numRef>
          </cat>
          <val>
            <numRef>
              <f>'RENTABILIDAD'!$D$8:$D$43</f>
            </numRef>
          </val>
        </ser>
        <ser>
          <idx val="1"/>
          <order val="1"/>
          <tx>
            <strRef>
              <f>'RENTABILIDAD'!O7</f>
            </strRef>
          </tx>
          <spPr>
            <a:ln>
              <a:prstDash val="solid"/>
            </a:ln>
          </spPr>
          <marker>
            <symbol val="none"/>
            <spPr>
              <a:ln>
                <a:prstDash val="solid"/>
              </a:ln>
            </spPr>
          </marker>
          <cat>
            <numRef>
              <f>'RENTABILIDAD'!$A$8:$A$43</f>
            </numRef>
          </cat>
          <val>
            <numRef>
              <f>'RENTABILIDAD'!$O$8:$O$43</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quot;L&quot;#,##0" sourceLinked="0"/>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style val="2"/>
  <chart>
    <title>
      <tx>
        <rich>
          <a:bodyPr/>
          <a:p>
            <a:pPr>
              <a:defRPr/>
            </a:pPr>
            <a:r>
              <a:t>Flujo de efectivo mensual</a:t>
            </a:r>
          </a:p>
        </rich>
      </tx>
    </title>
    <plotArea>
      <barChart>
        <barDir val="col"/>
        <grouping val="clustered"/>
        <ser>
          <idx val="0"/>
          <order val="0"/>
          <tx>
            <strRef>
              <f>'CAJA'!G6</f>
            </strRef>
          </tx>
          <spPr>
            <a:ln>
              <a:prstDash val="solid"/>
            </a:ln>
          </spPr>
          <cat>
            <numRef>
              <f>'CAJA'!$A$7:$A$42</f>
            </numRef>
          </cat>
          <val>
            <numRef>
              <f>'CAJA'!$G$7:$G$42</f>
            </numRef>
          </val>
        </ser>
        <ser>
          <idx val="1"/>
          <order val="1"/>
          <tx>
            <strRef>
              <f>'CAJA'!M6</f>
            </strRef>
          </tx>
          <spPr>
            <a:ln>
              <a:prstDash val="solid"/>
            </a:ln>
          </spPr>
          <cat>
            <numRef>
              <f>'CAJA'!$A$7:$A$42</f>
            </numRef>
          </cat>
          <val>
            <numRef>
              <f>'CAJA'!$M$7:$M$42</f>
            </numRef>
          </val>
        </ser>
        <gapWidth val="150"/>
        <axId val="10"/>
        <axId val="100"/>
      </barChart>
      <lineChart>
        <grouping val="standard"/>
        <ser>
          <idx val="2"/>
          <order val="2"/>
          <tx>
            <strRef>
              <f>'CAJA'!O6</f>
            </strRef>
          </tx>
          <spPr>
            <a:ln>
              <a:prstDash val="solid"/>
            </a:ln>
          </spPr>
          <marker>
            <symbol val="none"/>
            <spPr>
              <a:ln>
                <a:prstDash val="solid"/>
              </a:ln>
            </spPr>
          </marker>
          <val>
            <numRef>
              <f>'CAJA'!$O$7:$O$42</f>
            </numRef>
          </val>
        </ser>
        <axId val="10"/>
        <axId val="200"/>
      </lineChart>
      <catAx>
        <axId val="10"/>
        <scaling>
          <orientation val="minMax"/>
        </scaling>
        <axPos val="l"/>
        <majorTickMark val="none"/>
        <minorTickMark val="none"/>
        <crossAx val="100"/>
        <lblOffset val="100"/>
      </catAx>
      <valAx>
        <axId val="100"/>
        <scaling>
          <orientation val="minMax"/>
        </scaling>
        <axPos val="l"/>
        <majorGridlines/>
        <numFmt formatCode="&quot;L&quot;#,##0" sourceLinked="0"/>
        <majorTickMark val="none"/>
        <minorTickMark val="none"/>
        <crossAx val="10"/>
      </valAx>
      <valAx>
        <axId val="200"/>
        <scaling>
          <orientation val="minMax"/>
        </scaling>
        <axPos val="l"/>
        <majorGridlines/>
        <majorTickMark val="none"/>
        <minorTickMark val="none"/>
        <crossAx val="10"/>
      </valAx>
    </plotArea>
    <legend>
      <legendPos val="b"/>
    </legend>
    <plotVisOnly val="1"/>
    <dispBlanksAs val="gap"/>
  </chart>
</chartSpace>
</file>

<file path=xl/charts/chart3.xml><?xml version="1.0" encoding="utf-8"?>
<chartSpace xmlns:a="http://schemas.openxmlformats.org/drawingml/2006/main" xmlns="http://schemas.openxmlformats.org/drawingml/2006/chart">
  <style val="2"/>
  <chart>
    <title>
      <tx>
        <rich>
          <a:bodyPr/>
          <a:p>
            <a:pPr>
              <a:defRPr/>
            </a:pPr>
            <a:r>
              <a:t>Ventas netas por categoría</a:t>
            </a:r>
          </a:p>
        </rich>
      </tx>
    </title>
    <plotArea>
      <barChart>
        <barDir val="bar"/>
        <grouping val="clustered"/>
        <ser>
          <idx val="0"/>
          <order val="0"/>
          <tx>
            <strRef>
              <f>'RENTABILIDAD'!AT7</f>
            </strRef>
          </tx>
          <spPr>
            <a:ln>
              <a:prstDash val="solid"/>
            </a:ln>
          </spPr>
          <cat>
            <numRef>
              <f>'RENTABILIDAD'!$AR$8:$AR$22</f>
            </numRef>
          </cat>
          <val>
            <numRef>
              <f>'RENTABILIDAD'!$AT$8:$AT$22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quot;L&quot;#,##0" sourceLinked="0"/>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2"/>
  <chart>
    <title>
      <tx>
        <rich>
          <a:bodyPr/>
          <a:p>
            <a:pPr>
              <a:defRPr/>
            </a:pPr>
            <a:r>
              <a:t>Top 10 productos por utilidad bruta</a:t>
            </a:r>
          </a:p>
        </rich>
      </tx>
    </title>
    <plotArea>
      <barChart>
        <barDir val="bar"/>
        <grouping val="clustered"/>
        <ser>
          <idx val="0"/>
          <order val="0"/>
          <tx>
            <strRef>
              <f>'DASHBOARD'!Q35</f>
            </strRef>
          </tx>
          <spPr>
            <a:ln>
              <a:prstDash val="solid"/>
            </a:ln>
          </spPr>
          <cat>
            <numRef>
              <f>'DASHBOARD'!$P$36:$P$45</f>
            </numRef>
          </cat>
          <val>
            <numRef>
              <f>'DASHBOARD'!$Q$36:$Q$45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quot;L&quot;#,##0" sourceLinked="0"/>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style val="2"/>
  <chart>
    <title>
      <tx>
        <rich>
          <a:bodyPr/>
          <a:p>
            <a:pPr>
              <a:defRPr/>
            </a:pPr>
            <a:r>
              <a:t>Evolución del margen bruto y del margen neto</a:t>
            </a:r>
          </a:p>
        </rich>
      </tx>
    </title>
    <plotArea>
      <lineChart>
        <grouping val="standard"/>
        <ser>
          <idx val="0"/>
          <order val="0"/>
          <tx>
            <strRef>
              <f>'RENTABILIDAD'!H7</f>
            </strRef>
          </tx>
          <spPr>
            <a:ln>
              <a:prstDash val="solid"/>
            </a:ln>
          </spPr>
          <marker>
            <symbol val="none"/>
            <spPr>
              <a:ln>
                <a:prstDash val="solid"/>
              </a:ln>
            </spPr>
          </marker>
          <cat>
            <numRef>
              <f>'RENTABILIDAD'!$A$8:$A$43</f>
            </numRef>
          </cat>
          <val>
            <numRef>
              <f>'RENTABILIDAD'!$H$8:$H$43</f>
            </numRef>
          </val>
        </ser>
        <ser>
          <idx val="1"/>
          <order val="1"/>
          <tx>
            <strRef>
              <f>'RENTABILIDAD'!P7</f>
            </strRef>
          </tx>
          <spPr>
            <a:ln>
              <a:prstDash val="solid"/>
            </a:ln>
          </spPr>
          <marker>
            <symbol val="none"/>
            <spPr>
              <a:ln>
                <a:prstDash val="solid"/>
              </a:ln>
            </spPr>
          </marker>
          <cat>
            <numRef>
              <f>'RENTABILIDAD'!$A$8:$A$43</f>
            </numRef>
          </cat>
          <val>
            <numRef>
              <f>'RENTABILIDAD'!$P$8:$P$43</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b"/>
    </legend>
    <plotVisOnly val="1"/>
    <dispBlanksAs val="gap"/>
  </chart>
</chartSpace>
</file>

<file path=xl/charts/chart6.xml><?xml version="1.0" encoding="utf-8"?>
<chartSpace xmlns:a="http://schemas.openxmlformats.org/drawingml/2006/main" xmlns="http://schemas.openxmlformats.org/drawingml/2006/chart">
  <style val="2"/>
  <chart>
    <title>
      <tx>
        <rich>
          <a:bodyPr/>
          <a:p>
            <a:pPr>
              <a:defRPr/>
            </a:pPr>
            <a:r>
              <a:t>Top 10 productos por unidades vendidas</a:t>
            </a:r>
          </a:p>
        </rich>
      </tx>
    </title>
    <plotArea>
      <barChart>
        <barDir val="bar"/>
        <grouping val="clustered"/>
        <ser>
          <idx val="0"/>
          <order val="0"/>
          <tx>
            <strRef>
              <f>'DASHBOARD'!T35</f>
            </strRef>
          </tx>
          <spPr>
            <a:ln>
              <a:prstDash val="solid"/>
            </a:ln>
          </spPr>
          <cat>
            <numRef>
              <f>'DASHBOARD'!$S$36:$S$45</f>
            </numRef>
          </cat>
          <val>
            <numRef>
              <f>'DASHBOARD'!$T$36:$T$45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omments/comment1.xml><?xml version="1.0" encoding="utf-8"?>
<comments xmlns="http://schemas.openxmlformats.org/spreadsheetml/2006/main">
  <authors>
    <author>AROMATIC</author>
  </authors>
  <commentList>
    <comment ref="J6" authorId="0" shapeId="0">
      <text>
        <t>Precio publicado en el catálogo 2016. Es únicamente una referencia histórica: NO alimenta ninguna fórmula financiera del sistema.</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33</row>
      <rowOff>0</rowOff>
    </from>
    <ext cx="5903999" cy="3096000"/>
    <graphicFrame>
      <nvGraphicFramePr>
        <cNvPr id="1" name="Chart 1"/>
        <cNvGraphicFramePr/>
      </nvGraphicFramePr>
      <xfrm/>
      <a:graphic>
        <a:graphicData uri="http://schemas.openxmlformats.org/drawingml/2006/chart">
          <c:chart r:id="rId1"/>
        </a:graphicData>
      </a:graphic>
    </graphicFrame>
    <clientData/>
  </oneCellAnchor>
  <oneCellAnchor>
    <from>
      <col>8</col>
      <colOff>0</colOff>
      <row>33</row>
      <rowOff>0</rowOff>
    </from>
    <ext cx="5903999" cy="3096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51</row>
      <rowOff>0</rowOff>
    </from>
    <ext cx="5903999" cy="3096000"/>
    <graphicFrame>
      <nvGraphicFramePr>
        <cNvPr id="3" name="Chart 3"/>
        <cNvGraphicFramePr/>
      </nvGraphicFramePr>
      <xfrm/>
      <a:graphic>
        <a:graphicData uri="http://schemas.openxmlformats.org/drawingml/2006/chart">
          <c:chart r:id="rId3"/>
        </a:graphicData>
      </a:graphic>
    </graphicFrame>
    <clientData/>
  </oneCellAnchor>
  <oneCellAnchor>
    <from>
      <col>8</col>
      <colOff>0</colOff>
      <row>51</row>
      <rowOff>0</rowOff>
    </from>
    <ext cx="5903999" cy="3096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69</row>
      <rowOff>0</rowOff>
    </from>
    <ext cx="5903999" cy="3096000"/>
    <graphicFrame>
      <nvGraphicFramePr>
        <cNvPr id="5" name="Chart 5"/>
        <cNvGraphicFramePr/>
      </nvGraphicFramePr>
      <xfrm/>
      <a:graphic>
        <a:graphicData uri="http://schemas.openxmlformats.org/drawingml/2006/chart">
          <c:chart r:id="rId5"/>
        </a:graphicData>
      </a:graphic>
    </graphicFrame>
    <clientData/>
  </oneCellAnchor>
  <oneCellAnchor>
    <from>
      <col>8</col>
      <colOff>0</colOff>
      <row>69</row>
      <rowOff>0</rowOff>
    </from>
    <ext cx="5903999" cy="3096000"/>
    <graphicFrame>
      <nvGraphicFramePr>
        <cNvPr id="6" name="Chart 6"/>
        <cNvGraphicFramePr/>
      </nvGraphicFramePr>
      <xfrm/>
      <a:graphic>
        <a:graphicData uri="http://schemas.openxmlformats.org/drawingml/2006/chart">
          <c:chart r:id="rId6"/>
        </a:graphicData>
      </a:graphic>
    </graphicFrame>
    <clientData/>
  </oneCellAnchor>
</wsDr>
</file>

<file path=xl/tables/table1.xml><?xml version="1.0" encoding="utf-8"?>
<table xmlns="http://schemas.openxmlformats.org/spreadsheetml/2006/main" id="1" name="tblProductos" displayName="tblProductos" ref="A6:AD66" headerRowCount="1">
  <autoFilter ref="A6:AD66"/>
  <tableColumns count="30">
    <tableColumn id="1" name="SKU"/>
    <tableColumn id="2" name="Nombre del producto"/>
    <tableColumn id="3" name="Categoría"/>
    <tableColumn id="4" name="Subcategoría"/>
    <tableColumn id="5" name="Presentación"/>
    <tableColumn id="6" name="Unidad de medida"/>
    <tableColumn id="7" name="Contenido (mL)"/>
    <tableColumn id="8" name="Aromas disponibles"/>
    <tableColumn id="9" name="Proveedor principal"/>
    <tableColumn id="10" name="Precio de referencia del catálogo 2016 (INFORMATIVO)"/>
    <tableColumn id="11" name="Precio de venta actual"/>
    <tableColumn id="12" name="Costo de compra unitario"/>
    <tableColumn id="13" name="Transporte unitario"/>
    <tableColumn id="14" name="Impuestos / aranceles unitarios"/>
    <tableColumn id="15" name="Empaque unitario"/>
    <tableColumn id="16" name="Otros costos variables unitarios"/>
    <tableColumn id="17" name="COSTO REAL UNITARIO"/>
    <tableColumn id="18" name="Costo variable de venta unitario"/>
    <tableColumn id="19" name="Costo variable TOTAL unitario"/>
    <tableColumn id="20" name="Utilidad unitaria"/>
    <tableColumn id="21" name="Margen bruto %"/>
    <tableColumn id="22" name="Markup %"/>
    <tableColumn id="23" name="Margen de contribución unitario"/>
    <tableColumn id="24" name="Stock actual"/>
    <tableColumn id="25" name="Stock mínimo"/>
    <tableColumn id="26" name="Stock máximo"/>
    <tableColumn id="27" name="Estado"/>
    <tableColumn id="28" name="Estado de datos"/>
    <tableColumn id="29" name="Fecha de actualización"/>
    <tableColumn id="30" name="Notas"/>
  </tableColumns>
  <tableStyleInfo name="TableStyleMedium2" showFirstColumn="0" showLastColumn="0" showRowStripes="1" showColumnStripes="0"/>
</table>
</file>

<file path=xl/tables/table2.xml><?xml version="1.0" encoding="utf-8"?>
<table xmlns="http://schemas.openxmlformats.org/spreadsheetml/2006/main" id="2" name="tblCostos" displayName="tblCostos" ref="A7:X67" headerRowCount="1">
  <autoFilter ref="A7:X67"/>
  <tableColumns count="24">
    <tableColumn id="1" name="SKU"/>
    <tableColumn id="2" name="Producto"/>
    <tableColumn id="3" name="Categoría"/>
    <tableColumn id="4" name="Costo de compra unitario"/>
    <tableColumn id="5" name="Materia prima unitaria"/>
    <tableColumn id="6" name="Empaque unitario"/>
    <tableColumn id="7" name="Transporte unitario"/>
    <tableColumn id="8" name="Importación / flete internacional unitario"/>
    <tableColumn id="9" name="Impuestos / aranceles unitarios"/>
    <tableColumn id="10" name="Otros costos logísticos unitarios"/>
    <tableColumn id="11" name="Otros costos variables no listados"/>
    <tableColumn id="12" name="Subtotal costos directos"/>
    <tableColumn id="13" name="Subtotal costos logísticos"/>
    <tableColumn id="14" name="Otros costos variables unitarios"/>
    <tableColumn id="15" name="COSTO REAL UNITARIO"/>
    <tableColumn id="16" name="Comisión de venta %"/>
    <tableColumn id="17" name="Comisión bancaria / plataforma %"/>
    <tableColumn id="18" name="Delivery asumido por unidad"/>
    <tableColumn id="19" name="Publicidad atribuible por unidad"/>
    <tableColumn id="20" name="Otros costos variables de venta"/>
    <tableColumn id="21" name="Costo variable de venta unitario"/>
    <tableColumn id="22" name="COSTO VARIABLE TOTAL UNITARIO"/>
    <tableColumn id="23" name="Fecha de actualización"/>
    <tableColumn id="24" name="Observaciones"/>
  </tableColumns>
  <tableStyleInfo name="TableStyleMedium7" showFirstColumn="0" showLastColumn="0" showRowStripes="1" showColumnStripes="0"/>
</table>
</file>

<file path=xl/tables/table3.xml><?xml version="1.0" encoding="utf-8"?>
<table xmlns="http://schemas.openxmlformats.org/spreadsheetml/2006/main" id="3" name="tblCompras" displayName="tblCompras" ref="A6:U306" headerRowCount="1">
  <autoFilter ref="A6:U306"/>
  <tableColumns count="21">
    <tableColumn id="1" name="ID de compra"/>
    <tableColumn id="2" name="Fecha"/>
    <tableColumn id="3" name="Proveedor"/>
    <tableColumn id="4" name="SKU"/>
    <tableColumn id="5" name="Producto"/>
    <tableColumn id="6" name="Categoría"/>
    <tableColumn id="7" name="Cantidad"/>
    <tableColumn id="8" name="Costo unitario"/>
    <tableColumn id="9" name="Costo total"/>
    <tableColumn id="10" name="Transporte"/>
    <tableColumn id="11" name="Impuestos / aranceles"/>
    <tableColumn id="12" name="Otros costos"/>
    <tableColumn id="13" name="Costo total de adquisición"/>
    <tableColumn id="14" name="Costo unitario de adquisición"/>
    <tableColumn id="15" name="Método de pago"/>
    <tableColumn id="16" name="Estado de pago"/>
    <tableColumn id="17" name="Fecha de pago"/>
    <tableColumn id="18" name="Monto pagado"/>
    <tableColumn id="19" name="Saldo por pagar"/>
    <tableColumn id="20" name="Observaciones"/>
    <tableColumn id="21" name="ALERTA"/>
  </tableColumns>
  <tableStyleInfo name="TableStyleMedium2" showFirstColumn="0" showLastColumn="0" showRowStripes="1" showColumnStripes="0"/>
</table>
</file>

<file path=xl/tables/table4.xml><?xml version="1.0" encoding="utf-8"?>
<table xmlns="http://schemas.openxmlformats.org/spreadsheetml/2006/main" id="4" name="tblInventario" displayName="tblInventario" ref="A6:X66" headerRowCount="1">
  <autoFilter ref="A6:X66"/>
  <tableColumns count="24">
    <tableColumn id="1" name="SKU"/>
    <tableColumn id="2" name="Producto"/>
    <tableColumn id="3" name="Categoría"/>
    <tableColumn id="4" name="Presentación"/>
    <tableColumn id="5" name="Stock inicial"/>
    <tableColumn id="6" name="Compras"/>
    <tableColumn id="7" name="Ventas"/>
    <tableColumn id="8" name="Ajustes"/>
    <tableColumn id="9" name="Stock actual"/>
    <tableColumn id="10" name="Stock mínimo"/>
    <tableColumn id="11" name="Stock máximo"/>
    <tableColumn id="12" name="Costo unitario estándar"/>
    <tableColumn id="13" name="Costo promedio ponderado"/>
    <tableColumn id="14" name="Costo unitario aplicado"/>
    <tableColumn id="15" name="Método de costo"/>
    <tableColumn id="16" name="VALOR DEL INVENTARIO"/>
    <tableColumn id="17" name="Precio de venta actual"/>
    <tableColumn id="18" name="Valor a precio de venta"/>
    <tableColumn id="19" name="ESTADO"/>
    <tableColumn id="20" name="Unidades sugeridas a comprar"/>
    <tableColumn id="21" name="Última compra"/>
    <tableColumn id="22" name="Última venta"/>
    <tableColumn id="23" name="Unidades vendidas (últimos 30 días)"/>
    <tableColumn id="24" name="Cobertura estimada (días)"/>
  </tableColumns>
  <tableStyleInfo name="TableStyleMedium7" showFirstColumn="0" showLastColumn="0" showRowStripes="1" showColumnStripes="0"/>
</table>
</file>

<file path=xl/tables/table5.xml><?xml version="1.0" encoding="utf-8"?>
<table xmlns="http://schemas.openxmlformats.org/spreadsheetml/2006/main" id="5" name="tblVentas" displayName="tblVentas" ref="A6:Y506" headerRowCount="1">
  <autoFilter ref="A6:Y506"/>
  <tableColumns count="25">
    <tableColumn id="1" name="ID de venta"/>
    <tableColumn id="2" name="Fecha"/>
    <tableColumn id="3" name="Folio / documento"/>
    <tableColumn id="4" name="Cliente"/>
    <tableColumn id="5" name="Canal"/>
    <tableColumn id="6" name="SKU"/>
    <tableColumn id="7" name="Producto"/>
    <tableColumn id="8" name="Categoría"/>
    <tableColumn id="9" name="Cantidad"/>
    <tableColumn id="10" name="Unidades efectivas"/>
    <tableColumn id="11" name="Precio unitario aplicado"/>
    <tableColumn id="12" name="Descuento"/>
    <tableColumn id="13" name="Venta bruta"/>
    <tableColumn id="14" name="Venta neta"/>
    <tableColumn id="15" name="Costo unitario aplicado"/>
    <tableColumn id="16" name="Costo total"/>
    <tableColumn id="17" name="Utilidad bruta"/>
    <tableColumn id="18" name="Margen"/>
    <tableColumn id="19" name="Método de pago"/>
    <tableColumn id="20" name="Estado"/>
    <tableColumn id="21" name="Fecha de cobro"/>
    <tableColumn id="22" name="Monto cobrado"/>
    <tableColumn id="23" name="Saldo por cobrar"/>
    <tableColumn id="24" name="Observaciones"/>
    <tableColumn id="25" name="ALERTA"/>
  </tableColumns>
  <tableStyleInfo name="TableStyleMedium2" showFirstColumn="0" showLastColumn="0" showRowStripes="1" showColumnStripes="0"/>
</table>
</file>

<file path=xl/tables/table6.xml><?xml version="1.0" encoding="utf-8"?>
<table xmlns="http://schemas.openxmlformats.org/spreadsheetml/2006/main" id="6" name="tblGastos" displayName="tblGastos" ref="A6:O306" headerRowCount="1">
  <autoFilter ref="A6:O306"/>
  <tableColumns count="15">
    <tableColumn id="1" name="ID de gasto"/>
    <tableColumn id="2" name="Fecha"/>
    <tableColumn id="3" name="Tipo de gasto"/>
    <tableColumn id="4" name="Categoría"/>
    <tableColumn id="5" name="Descripción"/>
    <tableColumn id="6" name="Proveedor"/>
    <tableColumn id="7" name="Monto"/>
    <tableColumn id="8" name="Método de pago"/>
    <tableColumn id="9" name="Estado"/>
    <tableColumn id="10" name="Fecha de pago"/>
    <tableColumn id="11" name="Monto pagado"/>
    <tableColumn id="12" name="Saldo por pagar"/>
    <tableColumn id="13" name="Canal atribuido"/>
    <tableColumn id="14" name="Observaciones"/>
    <tableColumn id="15" name="ALERTA"/>
  </tableColumns>
  <tableStyleInfo name="TableStyleMedium2" showFirstColumn="0" showLastColumn="0" showRowStripes="1" showColumnStripes="0"/>
</table>
</file>

<file path=xl/tables/table7.xml><?xml version="1.0" encoding="utf-8"?>
<table xmlns="http://schemas.openxmlformats.org/spreadsheetml/2006/main" id="7" name="tblCajaMov" displayName="tblCajaMov" ref="U6:AC206" headerRowCount="1">
  <autoFilter ref="U6:AC206"/>
  <tableColumns count="9">
    <tableColumn id="21" name="ID de movimiento"/>
    <tableColumn id="22" name="Fecha"/>
    <tableColumn id="23" name="Tipo"/>
    <tableColumn id="24" name="Concepto"/>
    <tableColumn id="25" name="Descripción"/>
    <tableColumn id="26" name="Monto"/>
    <tableColumn id="27" name="Método de pago"/>
    <tableColumn id="28" name="Observaciones"/>
    <tableColumn id="29" name="ALERTA"/>
  </tableColumns>
  <tableStyleInfo name="TableStyleMedium2" showFirstColumn="0" showLastColumn="0" showRowStripes="1" showColumnStripes="0"/>
</table>
</file>

<file path=xl/tables/table8.xml><?xml version="1.0" encoding="utf-8"?>
<table xmlns="http://schemas.openxmlformats.org/spreadsheetml/2006/main" id="8" name="tblClientes" displayName="tblClientes" ref="A6:R156" headerRowCount="1">
  <autoFilter ref="A6:R156"/>
  <tableColumns count="18">
    <tableColumn id="1" name="ID de cliente"/>
    <tableColumn id="2" name="Nombre"/>
    <tableColumn id="3" name="Teléfono"/>
    <tableColumn id="4" name="Email"/>
    <tableColumn id="5" name="Canal preferido"/>
    <tableColumn id="6" name="Ciudad / zona"/>
    <tableColumn id="7" name="Fecha de primera compra"/>
    <tableColumn id="8" name="Fecha de última compra"/>
    <tableColumn id="9" name="Número de compras"/>
    <tableColumn id="10" name="Ventas acumuladas"/>
    <tableColumn id="11" name="Utilidad generada"/>
    <tableColumn id="12" name="Ticket promedio"/>
    <tableColumn id="13" name="Saldo por cobrar"/>
    <tableColumn id="14" name="Días desde la última compra"/>
    <tableColumn id="15" name="Clasificación"/>
    <tableColumn id="16" name="Estado"/>
    <tableColumn id="17" name="Observaciones"/>
    <tableColumn id="18" name="ALERTA"/>
  </tableColumns>
  <tableStyleInfo name="TableStyleMedium2" showFirstColumn="0" showLastColumn="0" showRowStripes="1" showColumnStripes="0"/>
</table>
</file>

<file path=xl/tables/table9.xml><?xml version="1.0" encoding="utf-8"?>
<table xmlns="http://schemas.openxmlformats.org/spreadsheetml/2006/main" id="9" name="tblProveedores" displayName="tblProveedores" ref="A6:Q46" headerRowCount="1">
  <autoFilter ref="A6:Q46"/>
  <tableColumns count="17">
    <tableColumn id="1" name="ID de proveedor"/>
    <tableColumn id="2" name="Proveedor"/>
    <tableColumn id="3" name="Contacto"/>
    <tableColumn id="4" name="Teléfono"/>
    <tableColumn id="5" name="Email"/>
    <tableColumn id="6" name="Productos / categoría que suministra"/>
    <tableColumn id="7" name="Condiciones de pago"/>
    <tableColumn id="8" name="Días de crédito"/>
    <tableColumn id="9" name="Tiempo de entrega (días)"/>
    <tableColumn id="10" name="Compras acumuladas"/>
    <tableColumn id="11" name="Número de compras"/>
    <tableColumn id="12" name="Compra promedio"/>
    <tableColumn id="13" name="Última compra"/>
    <tableColumn id="14" name="Saldo por pagar"/>
    <tableColumn id="15" name="Estado"/>
    <tableColumn id="16" name="Observaciones"/>
    <tableColumn id="17" name="ALERT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DASHBOARD'!A1" TargetMode="External" Id="rId1" /><Relationship Type="http://schemas.openxmlformats.org/officeDocument/2006/relationships/hyperlink" Target="#'PRODUCTOS'!A1" TargetMode="External" Id="rId2" /><Relationship Type="http://schemas.openxmlformats.org/officeDocument/2006/relationships/hyperlink" Target="#'COSTOS'!A1" TargetMode="External" Id="rId3" /><Relationship Type="http://schemas.openxmlformats.org/officeDocument/2006/relationships/hyperlink" Target="#'COMPRAS'!A1" TargetMode="External" Id="rId4" /><Relationship Type="http://schemas.openxmlformats.org/officeDocument/2006/relationships/hyperlink" Target="#'INVENTARIO'!A1" TargetMode="External" Id="rId5" /><Relationship Type="http://schemas.openxmlformats.org/officeDocument/2006/relationships/hyperlink" Target="#'VENTAS'!A1" TargetMode="External" Id="rId6" /><Relationship Type="http://schemas.openxmlformats.org/officeDocument/2006/relationships/hyperlink" Target="#'GASTOS'!A1" TargetMode="External" Id="rId7" /><Relationship Type="http://schemas.openxmlformats.org/officeDocument/2006/relationships/hyperlink" Target="#'CAJA'!A1" TargetMode="External" Id="rId8" /><Relationship Type="http://schemas.openxmlformats.org/officeDocument/2006/relationships/hyperlink" Target="#'CLIENTES'!A1" TargetMode="External" Id="rId9" /><Relationship Type="http://schemas.openxmlformats.org/officeDocument/2006/relationships/hyperlink" Target="#'PROVEEDORES'!A1" TargetMode="External" Id="rId10" /><Relationship Type="http://schemas.openxmlformats.org/officeDocument/2006/relationships/hyperlink" Target="#'RENTABILIDAD'!A1" TargetMode="External" Id="rId11" /><Relationship Type="http://schemas.openxmlformats.org/officeDocument/2006/relationships/hyperlink" Target="#'EQUILIBRIO'!A1" TargetMode="External" Id="rId12" /><Relationship Type="http://schemas.openxmlformats.org/officeDocument/2006/relationships/hyperlink" Target="#'METAS'!A1" TargetMode="External" Id="rId13" /><Relationship Type="http://schemas.openxmlformats.org/officeDocument/2006/relationships/hyperlink" Target="#'ESCENARIOS'!A1" TargetMode="External" Id="rId14" /><Relationship Type="http://schemas.openxmlformats.org/officeDocument/2006/relationships/hyperlink" Target="#'CONTROL'!A1" TargetMode="External" Id="rId15" /><Relationship Type="http://schemas.openxmlformats.org/officeDocument/2006/relationships/hyperlink" Target="#'CONFIG'!A1" TargetMode="External" Id="rId16" /></Relationships>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table" Target="/xl/tables/table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_rels/sheet6.xml.rels><Relationships xmlns="http://schemas.openxmlformats.org/package/2006/relationships"><Relationship Type="http://schemas.openxmlformats.org/officeDocument/2006/relationships/table" Target="/xl/tables/table4.xml" Id="rId1" /></Relationships>
</file>

<file path=xl/worksheets/_rels/sheet7.xml.rels><Relationships xmlns="http://schemas.openxmlformats.org/package/2006/relationships"><Relationship Type="http://schemas.openxmlformats.org/officeDocument/2006/relationships/table" Target="/xl/tables/table5.xml" Id="rId1"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sheet1.xml><?xml version="1.0" encoding="utf-8"?>
<worksheet xmlns="http://schemas.openxmlformats.org/spreadsheetml/2006/main">
  <sheetPr>
    <tabColor rgb="001F3A5F"/>
    <outlinePr summaryBelow="1" summaryRight="1"/>
    <pageSetUpPr fitToPage="1"/>
  </sheetPr>
  <dimension ref="B1:D98"/>
  <sheetViews>
    <sheetView showGridLines="0" tabSelected="1" workbookViewId="0">
      <pane ySplit="3" topLeftCell="A4" activePane="bottomLeft" state="frozen"/>
      <selection pane="bottomLeft" activeCell="A1" sqref="A1"/>
    </sheetView>
  </sheetViews>
  <sheetFormatPr baseColWidth="8" defaultRowHeight="15"/>
  <cols>
    <col width="3" customWidth="1" min="1" max="1"/>
    <col width="36" customWidth="1" min="2" max="2"/>
    <col width="112" customWidth="1" min="3" max="3"/>
    <col width="3" customWidth="1" min="4" max="4"/>
  </cols>
  <sheetData>
    <row r="1" ht="24" customHeight="1">
      <c r="B1" s="1" t="inlineStr">
        <is>
          <t>AROMATIC · Sistema Financiero y de Gestión Comercial</t>
        </is>
      </c>
    </row>
    <row r="2">
      <c r="B2" s="2" t="inlineStr">
        <is>
          <t>Guía de uso. Léala una vez y tendrá el control total del sistema.</t>
        </is>
      </c>
    </row>
    <row r="4" ht="22" customHeight="1">
      <c r="B4" s="3" t="inlineStr">
        <is>
          <t>¿QUÉ ES ESTE ARCHIVO?</t>
        </is>
      </c>
      <c r="C4" s="4" t="n"/>
    </row>
    <row r="5" ht="28" customHeight="1">
      <c r="B5" s="5" t="inlineStr">
        <is>
          <t>En una frase</t>
        </is>
      </c>
      <c r="C5" s="6" t="inlineStr">
        <is>
          <t>Es el centro financiero de AROMATIC: registra productos, costos, compras, ventas y gastos, y a partir de eso calcula solo su inventario, su utilidad, su efectivo, su punto de equilibrio y sus metas.</t>
        </is>
      </c>
    </row>
    <row r="6" ht="28" customHeight="1">
      <c r="B6" s="5" t="inlineStr">
        <is>
          <t>Lo más importante</t>
        </is>
      </c>
      <c r="C6" s="6" t="inlineStr">
        <is>
          <t>Usted solo escribe en las celdas AMARILLAS. Todo lo demás se calcula. Nunca borre una fórmula: si se equivoca, pulse Ctrl+Z.</t>
        </is>
      </c>
    </row>
    <row r="7" ht="56" customHeight="1">
      <c r="B7" s="5" t="inlineStr">
        <is>
          <t>Precios del catálogo</t>
        </is>
      </c>
      <c r="C7" s="6" t="inlineStr">
        <is>
          <t>El catálogo 2016 se usó únicamente para cargar los 40 productos con sus nombres, categorías y presentaciones. Sus precios quedaron guardados aparte, en la columna «Precio de referencia del catálogo 2016», que es informativa y NO entra en ningún cálculo. El sistema trabaja exclusivamente con «Precio de venta actual», que está vacío hasta que usted lo defina.</t>
        </is>
      </c>
    </row>
    <row r="8" ht="28" customHeight="1">
      <c r="B8" s="5" t="inlineStr">
        <is>
          <t>Nada inventado</t>
        </is>
      </c>
      <c r="C8" s="6" t="inlineStr">
        <is>
          <t>No hay ni un solo precio, costo, margen o proyección inventado. Donde falta información el sistema dice PENDIENTE en lugar de mostrar un número falso o un error de Excel.</t>
        </is>
      </c>
    </row>
    <row r="10" ht="22" customHeight="1">
      <c r="B10" s="3" t="inlineStr">
        <is>
          <t>CÓDIGO DE COLORES</t>
        </is>
      </c>
      <c r="C10" s="4" t="n"/>
    </row>
    <row r="11" ht="16" customHeight="1">
      <c r="B11" s="7" t="inlineStr">
        <is>
          <t>Amarillo</t>
        </is>
      </c>
      <c r="C11" s="6" t="inlineStr">
        <is>
          <t>Celda de captura: usted escribe aquí.</t>
        </is>
      </c>
    </row>
    <row r="12" ht="16" customHeight="1">
      <c r="B12" s="8" t="inlineStr">
        <is>
          <t>Gris claro</t>
        </is>
      </c>
      <c r="C12" s="6" t="inlineStr">
        <is>
          <t>Celda calculada: no la toque, contiene una fórmula.</t>
        </is>
      </c>
    </row>
    <row r="13" ht="28" customHeight="1">
      <c r="B13" s="9" t="inlineStr">
        <is>
          <t>Verde claro</t>
        </is>
      </c>
      <c r="C13" s="6" t="inlineStr">
        <is>
          <t>Se llena sola, pero usted puede sobrescribirla en un caso puntual (por ejemplo, el precio de una venta con condiciones especiales).</t>
        </is>
      </c>
    </row>
    <row r="14" ht="16" customHeight="1">
      <c r="B14" s="10" t="inlineStr">
        <is>
          <t>Gris con letra cursiva</t>
        </is>
      </c>
      <c r="C14" s="6" t="inlineStr">
        <is>
          <t>Dato informativo del catálogo 2016. No se usa en ningún cálculo.</t>
        </is>
      </c>
    </row>
    <row r="15" ht="16" customHeight="1">
      <c r="B15" s="5" t="inlineStr">
        <is>
          <t>Rojo / Ámbar</t>
        </is>
      </c>
      <c r="C15" s="6" t="inlineStr">
        <is>
          <t>Alertas automáticas: algo está mal o requiere su atención.</t>
        </is>
      </c>
    </row>
    <row r="17" ht="22" customHeight="1">
      <c r="B17" s="3" t="inlineStr">
        <is>
          <t>MAPA DE HOJAS</t>
        </is>
      </c>
      <c r="C17" s="4" t="n"/>
    </row>
    <row r="18" ht="20" customHeight="1">
      <c r="B18" s="11" t="inlineStr">
        <is>
          <t>Hoja</t>
        </is>
      </c>
      <c r="C18" s="11" t="inlineStr">
        <is>
          <t>Para qué sirve  ·  ¿se escribe en ella?</t>
        </is>
      </c>
      <c r="D18" s="11" t="inlineStr"/>
    </row>
    <row r="19">
      <c r="B19" s="12" t="inlineStr">
        <is>
          <t>DASHBOARD</t>
        </is>
      </c>
      <c r="C19" s="13" t="inlineStr">
        <is>
          <t>Tablero con los números clave del mes y del negocio.   →  ¿Escribe usted aquí?: No se escribe (solo el mes)</t>
        </is>
      </c>
    </row>
    <row r="20">
      <c r="B20" s="12" t="inlineStr">
        <is>
          <t>PRODUCTOS</t>
        </is>
      </c>
      <c r="C20" s="13" t="inlineStr">
        <is>
          <t>Catálogo maestro: un SKU por fila, con precio, stock mínimo y máximo.   →  ¿Escribe usted aquí?: SÍ</t>
        </is>
      </c>
    </row>
    <row r="21">
      <c r="B21" s="12" t="inlineStr">
        <is>
          <t>COSTOS</t>
        </is>
      </c>
      <c r="C21" s="13" t="inlineStr">
        <is>
          <t>Todos los costos de cada producto: compra, transporte, impuestos, empaque, comisiones.   →  ¿Escribe usted aquí?: SÍ</t>
        </is>
      </c>
    </row>
    <row r="22">
      <c r="B22" s="12" t="inlineStr">
        <is>
          <t>COMPRAS</t>
        </is>
      </c>
      <c r="C22" s="13" t="inlineStr">
        <is>
          <t>Lo que usted le compra a sus proveedores. Aumenta el inventario.   →  ¿Escribe usted aquí?: SÍ</t>
        </is>
      </c>
    </row>
    <row r="23">
      <c r="B23" s="12" t="inlineStr">
        <is>
          <t>INVENTARIO</t>
        </is>
      </c>
      <c r="C23" s="13" t="inlineStr">
        <is>
          <t>Existencias y valor del inventario. Se calcula solo.   →  ¿Escribe usted aquí?: Solo stock inicial y ajustes</t>
        </is>
      </c>
    </row>
    <row r="24">
      <c r="B24" s="12" t="inlineStr">
        <is>
          <t>VENTAS</t>
        </is>
      </c>
      <c r="C24" s="13" t="inlineStr">
        <is>
          <t>Cada venta, línea por línea. Disminuye el inventario.   →  ¿Escribe usted aquí?: SÍ</t>
        </is>
      </c>
    </row>
    <row r="25">
      <c r="B25" s="12" t="inlineStr">
        <is>
          <t>GASTOS</t>
        </is>
      </c>
      <c r="C25" s="13" t="inlineStr">
        <is>
          <t>Gastos del negocio, separados en fijos y variables.   →  ¿Escribe usted aquí?: SÍ</t>
        </is>
      </c>
    </row>
    <row r="26">
      <c r="B26" s="12" t="inlineStr">
        <is>
          <t>CAJA</t>
        </is>
      </c>
      <c r="C26" s="13" t="inlineStr">
        <is>
          <t>Entradas y salidas de dinero real, mes por mes.   →  ¿Escribe usted aquí?: Solo aportes, retiros y otros movimientos</t>
        </is>
      </c>
    </row>
    <row r="27">
      <c r="B27" s="12" t="inlineStr">
        <is>
          <t>CLIENTES</t>
        </is>
      </c>
      <c r="C27" s="13" t="inlineStr">
        <is>
          <t>Base de clientes con su historial de compras.   →  ¿Escribe usted aquí?: SÍ</t>
        </is>
      </c>
    </row>
    <row r="28">
      <c r="B28" s="12" t="inlineStr">
        <is>
          <t>PROVEEDORES</t>
        </is>
      </c>
      <c r="C28" s="13" t="inlineStr">
        <is>
          <t>Base de proveedores con condiciones y saldos.   →  ¿Escribe usted aquí?: SÍ</t>
        </is>
      </c>
    </row>
    <row r="29">
      <c r="B29" s="12" t="inlineStr">
        <is>
          <t>RENTABILIDAD</t>
        </is>
      </c>
      <c r="C29" s="13" t="inlineStr">
        <is>
          <t>Estado de resultados mensual y análisis por producto, categoría y canal.   →  ¿Escribe usted aquí?: No</t>
        </is>
      </c>
    </row>
    <row r="30">
      <c r="B30" s="12" t="inlineStr">
        <is>
          <t>EQUILIBRIO</t>
        </is>
      </c>
      <c r="C30" s="13" t="inlineStr">
        <is>
          <t>Cuánto necesita vender para no perder dinero.   →  ¿Escribe usted aquí?: Solo los supuestos</t>
        </is>
      </c>
    </row>
    <row r="31">
      <c r="B31" s="12" t="inlineStr">
        <is>
          <t>METAS</t>
        </is>
      </c>
      <c r="C31" s="13" t="inlineStr">
        <is>
          <t>Sus objetivos del mes y el avance real.   →  ¿Escribe usted aquí?: Solo las metas</t>
        </is>
      </c>
    </row>
    <row r="32">
      <c r="B32" s="12" t="inlineStr">
        <is>
          <t>ESCENARIOS</t>
        </is>
      </c>
      <c r="C32" s="13" t="inlineStr">
        <is>
          <t>Simulador: qué pasa si sube el precio, si baja el costo, si vende más.   →  ¿Escribe usted aquí?: Solo los supuestos</t>
        </is>
      </c>
    </row>
    <row r="33">
      <c r="B33" s="12" t="inlineStr">
        <is>
          <t>CONTROL</t>
        </is>
      </c>
      <c r="C33" s="13" t="inlineStr">
        <is>
          <t>Auditoría automática: le dice exactamente qué datos faltan o están mal.   →  ¿Escribe usted aquí?: No</t>
        </is>
      </c>
    </row>
    <row r="34">
      <c r="B34" s="12" t="inlineStr">
        <is>
          <t>CONFIG</t>
        </is>
      </c>
      <c r="C34" s="13" t="inlineStr">
        <is>
          <t>Moneda, categorías, canales, métodos de pago y demás listas del sistema.   →  ¿Escribe usted aquí?: SÍ</t>
        </is>
      </c>
    </row>
    <row r="36" ht="22" customHeight="1">
      <c r="B36" s="3" t="inlineStr">
        <is>
          <t>PRIMEROS PASOS (hágalos en este orden)</t>
        </is>
      </c>
      <c r="C36" s="4" t="n"/>
    </row>
    <row r="37" ht="28" customHeight="1">
      <c r="C37" s="6" t="inlineStr">
        <is>
          <t>1. Vaya a CONFIG y escriba su saldo inicial de caja, su capital aportado y la fecha de inicio del calendario.</t>
        </is>
      </c>
    </row>
    <row r="38" ht="16" customHeight="1">
      <c r="C38" s="6" t="inlineStr">
        <is>
          <t>2. Vaya a PROVEEDORES y registre a quién le compra (el nombre es la llave del sistema).</t>
        </is>
      </c>
    </row>
    <row r="39" ht="28" customHeight="1">
      <c r="C39" s="6" t="inlineStr">
        <is>
          <t>3. Vaya a COSTOS y escriba, para cada producto que ya vende, cuánto le cuesta: compra, transporte, impuestos, empaque. Si algo no aplica, déjelo vacío.</t>
        </is>
      </c>
    </row>
    <row r="40" ht="28" customHeight="1">
      <c r="C40" s="6" t="inlineStr">
        <is>
          <t>4. Vaya a PRODUCTOS y escriba el «Precio de venta actual» de cada producto. En ese momento el sistema calcula su utilidad, su margen y su markup.</t>
        </is>
      </c>
    </row>
    <row r="41" ht="16" customHeight="1">
      <c r="C41" s="6" t="inlineStr">
        <is>
          <t>5. Vaya a INVENTARIO y escriba el «Stock inicial» que tiene hoy de cada producto.</t>
        </is>
      </c>
    </row>
    <row r="42" ht="16" customHeight="1">
      <c r="C42" s="6" t="inlineStr">
        <is>
          <t>6. Registre sus COMPRAS y sus VENTAS conforme vayan ocurriendo.</t>
        </is>
      </c>
    </row>
    <row r="43" ht="16" customHeight="1">
      <c r="C43" s="6" t="inlineStr">
        <is>
          <t>7. Registre sus GASTOS (alquiler, internet, publicidad, transporte…).</t>
        </is>
      </c>
    </row>
    <row r="44" ht="16" customHeight="1">
      <c r="C44" s="6" t="inlineStr">
        <is>
          <t>8. Revise la hoja CONTROL: si aparece algún problema, corríjalo. Luego abra el DASHBOARD.</t>
        </is>
      </c>
    </row>
    <row r="46" ht="22" customHeight="1">
      <c r="B46" s="3" t="inlineStr">
        <is>
          <t>CÓMO HACER CADA COSA</t>
        </is>
      </c>
      <c r="C46" s="4" t="n"/>
    </row>
    <row r="47" ht="56" customHeight="1">
      <c r="B47" s="5" t="inlineStr">
        <is>
          <t>Agregar un producto nuevo</t>
        </is>
      </c>
      <c r="C47" s="6" t="inlineStr">
        <is>
          <t>1) En PRODUCTOS, escriba en la primera fila vacía: SKU (código único, por ejemplo GEL-250), nombre, categoría, presentación y unidad. 2) En COSTOS, agregue una fila con ese mismo SKU y capture sus costos. 3) Vuelva a PRODUCTOS y escriba el precio de venta actual. El inventario y todos los análisis lo incluirán automáticamente.</t>
        </is>
      </c>
    </row>
    <row r="48" ht="28" customHeight="1">
      <c r="B48" s="5" t="inlineStr">
        <is>
          <t>Definir o cambiar un precio</t>
        </is>
      </c>
      <c r="C48" s="6" t="inlineStr">
        <is>
          <t>En PRODUCTOS, columna «Precio de venta actual». Es el ÚNICO precio que usa el sistema. Al cambiarlo se recalculan utilidad, margen, markup, margen de contribución y punto de equilibrio.</t>
        </is>
      </c>
    </row>
    <row r="49" ht="42" customHeight="1">
      <c r="B49" s="5" t="inlineStr">
        <is>
          <t>Registrar una compra</t>
        </is>
      </c>
      <c r="C49" s="6" t="inlineStr">
        <is>
          <t>En COMPRAS: fecha, proveedor, SKU, cantidad y costo unitario. Agregue transporte, impuestos y otros costos si los hubo: el sistema calcula el costo real de adquisición y actualiza el costo promedio ponderado del inventario. Si ya pagó, escriba la fecha de pago y el monto pagado.</t>
        </is>
      </c>
    </row>
    <row r="50" ht="42" customHeight="1">
      <c r="B50" s="5" t="inlineStr">
        <is>
          <t>Registrar una venta</t>
        </is>
      </c>
      <c r="C50" s="6" t="inlineStr">
        <is>
          <t>En VENTAS: fecha, cliente, canal, SKU y cantidad. El precio y el costo se llenan solos. Si cobró, escriba la fecha de cobro y el monto cobrado; si no, el sistema lo deja como cuenta por cobrar. Una venta a crédito NO entra a la caja hasta que se cobre.</t>
        </is>
      </c>
    </row>
    <row r="51" ht="28" customHeight="1">
      <c r="B51" s="5" t="inlineStr">
        <is>
          <t>Registrar un gasto</t>
        </is>
      </c>
      <c r="C51" s="6" t="inlineStr">
        <is>
          <t>En GASTOS: fecha, tipo (Fijo o Variable), categoría, descripción y monto. El tipo es importante: los gastos fijos son los que determinan su punto de equilibrio.</t>
        </is>
      </c>
    </row>
    <row r="52" ht="42" customHeight="1">
      <c r="B52" s="5" t="inlineStr">
        <is>
          <t>Revisar el inventario</t>
        </is>
      </c>
      <c r="C52" s="6" t="inlineStr">
        <is>
          <t>Abra INVENTARIO. La columna ESTADO le dice qué hacer: OK, REABASTECER, AGOTADO o ERROR (ERROR = stock negativo: vendió algo que no había registrado como comprado). «Unidades sugeridas a comprar» le dice cuánto pedir para llegar al stock máximo.</t>
        </is>
      </c>
    </row>
    <row r="53" ht="42" customHeight="1">
      <c r="B53" s="5" t="inlineStr">
        <is>
          <t>Revisar la rentabilidad</t>
        </is>
      </c>
      <c r="C53" s="6" t="inlineStr">
        <is>
          <t>Abra RENTABILIDAD. El bloque 1 (columnas A:Y) es su estado de resultados mes a mes. El bloque 2 (AA:AP) le dice qué producto deja más utilidad. Los bloques 3 y 4 analizan categorías y canales. El bloque 5 (BJ:BL) resume la inversión, el capital comprometido y el ROI.</t>
        </is>
      </c>
    </row>
    <row r="54" ht="28" customHeight="1">
      <c r="B54" s="5" t="inlineStr">
        <is>
          <t>Revisar el flujo de efectivo</t>
        </is>
      </c>
      <c r="C54" s="6" t="inlineStr">
        <is>
          <t>Abra CAJA. Compare la columna «Utilidad neta del mes» con «Flujo neto del mes»: la diferencia le explica por qué puede tener utilidad y no tener dinero (o al revés).</t>
        </is>
      </c>
    </row>
    <row r="55" ht="42" customHeight="1">
      <c r="B55" s="5" t="inlineStr">
        <is>
          <t>Usar los escenarios</t>
        </is>
      </c>
      <c r="C55" s="6" t="inlineStr">
        <is>
          <t>Abra ESCENARIOS. La columna BASE se llena con sus datos reales. Escriba sus supuestos en las columnas CONSERVADOR y CRECIMIENTO y compare ventas, utilidad, margen, punto de equilibrio, ROI y efectivo. Nada de eso afecta sus datos reales.</t>
        </is>
      </c>
    </row>
    <row r="56" ht="42" customHeight="1">
      <c r="B56" s="5" t="inlineStr">
        <is>
          <t>Interpretar el dashboard</t>
        </is>
      </c>
      <c r="C56" s="6" t="inlineStr">
        <is>
          <t>Elija el mes en la celda amarilla. Arriba verá ventas, rentabilidad, acumulado, inventario, efectivo, metas e indicadores clave; abajo, la evolución en gráficos. Si aparece el aviso rojo de problemas pendientes, vaya a CONTROL antes de tomar decisiones con esos números.</t>
        </is>
      </c>
    </row>
    <row r="57" ht="42" customHeight="1">
      <c r="B57" s="5" t="inlineStr">
        <is>
          <t>Interpretar el punto de equilibrio</t>
        </is>
      </c>
      <c r="C57" s="6" t="inlineStr">
        <is>
          <t>Abra EQUILIBRIO. «Punto de equilibrio en unidades» es cuánto debe vender al mes para no perder. Si su venta promedio está por debajo, está perdiendo dinero. El «margen de seguridad» le dice cuánto pueden caer sus ventas antes de llegar a ese punto.</t>
        </is>
      </c>
    </row>
    <row r="58" ht="28" customHeight="1">
      <c r="B58" s="5" t="inlineStr">
        <is>
          <t>Corregir errores</t>
        </is>
      </c>
      <c r="C58" s="6" t="inlineStr">
        <is>
          <t>Abra CONTROL. Cada línea le dice qué está mal, cuántos casos hay y en qué hoja se corrige. La tabla de la derecha señala producto por producto qué le falta.</t>
        </is>
      </c>
    </row>
    <row r="60" ht="22" customHeight="1">
      <c r="B60" s="3" t="inlineStr">
        <is>
          <t>CINCO REGLAS FINANCIERAS QUE ESTE SISTEMA RESPETA</t>
        </is>
      </c>
      <c r="C60" s="4" t="n"/>
    </row>
    <row r="61" ht="28" customHeight="1">
      <c r="B61" s="5" t="inlineStr">
        <is>
          <t>Ingresos ≠ utilidad</t>
        </is>
      </c>
      <c r="C61" s="6" t="inlineStr">
        <is>
          <t>Vender L 10,000 no es ganar L 10,000. A la venta hay que restarle el costo del producto (utilidad bruta) y después los gastos del negocio (utilidad neta). Vea RENTABILIDAD.</t>
        </is>
      </c>
    </row>
    <row r="62" ht="28" customHeight="1">
      <c r="B62" s="5" t="inlineStr">
        <is>
          <t>Utilidad ≠ flujo de efectivo</t>
        </is>
      </c>
      <c r="C62" s="6" t="inlineStr">
        <is>
          <t>Puede tener utilidad y no tener dinero: si vendió a crédito o si compró inventario. La hoja CAJA muestra el dinero real y la columna «Diferencia utilidad − flujo» explica la brecha.</t>
        </is>
      </c>
    </row>
    <row r="63" ht="28" customHeight="1">
      <c r="B63" s="5" t="inlineStr">
        <is>
          <t>Margen ≠ markup</t>
        </is>
      </c>
      <c r="C63" s="6" t="inlineStr">
        <is>
          <t>Margen = utilidad ÷ PRECIO. Markup = utilidad ÷ COSTO. Un producto que cuesta L 100 y se vende a L 150 tiene 33.3% de margen y 50% de markup. Confundirlos es la forma más común de fijar mal un precio.</t>
        </is>
      </c>
    </row>
    <row r="64" ht="16" customHeight="1">
      <c r="B64" s="5" t="inlineStr">
        <is>
          <t>Ventas ≠ dinero disponible</t>
        </is>
      </c>
      <c r="C64" s="6" t="inlineStr">
        <is>
          <t>Lo que está en «Cuentas por cobrar» todavía no es suyo. El saldo disponible está en CAJA.</t>
        </is>
      </c>
    </row>
    <row r="65" ht="28" customHeight="1">
      <c r="B65" s="5" t="inlineStr">
        <is>
          <t>Costo de compra ≠ costo real</t>
        </is>
      </c>
      <c r="C65" s="6" t="inlineStr">
        <is>
          <t>El costo real incluye transporte, impuestos, aranceles y empaque. Por eso la hoja COSTOS separa costos directos, logísticos y variables de venta: es la única manera de saber si realmente gana dinero.</t>
        </is>
      </c>
    </row>
    <row r="67" ht="22" customHeight="1">
      <c r="B67" s="3" t="inlineStr">
        <is>
          <t>GLOSARIO: QUÉ SIGNIFICA CADA INDICADOR</t>
        </is>
      </c>
      <c r="C67" s="4" t="n"/>
    </row>
    <row r="68" ht="28" customHeight="1">
      <c r="B68" s="5" t="inlineStr">
        <is>
          <t>Costo real unitario</t>
        </is>
      </c>
      <c r="C68" s="6" t="inlineStr">
        <is>
          <t>Compra + materia prima + empaque + transporte + importación + impuestos + otros. Lo que de verdad le cuesta una unidad puesta en su bodega.</t>
        </is>
      </c>
    </row>
    <row r="69" ht="16" customHeight="1">
      <c r="B69" s="5" t="inlineStr">
        <is>
          <t>Costo variable de venta</t>
        </is>
      </c>
      <c r="C69" s="6" t="inlineStr">
        <is>
          <t>Comisiones, delivery y publicidad atribuibles a esa venta. Depende del precio.</t>
        </is>
      </c>
    </row>
    <row r="70" ht="16" customHeight="1">
      <c r="B70" s="5" t="inlineStr">
        <is>
          <t>Utilidad unitaria</t>
        </is>
      </c>
      <c r="C70" s="6" t="inlineStr">
        <is>
          <t>Precio de venta actual − costo real unitario.</t>
        </is>
      </c>
    </row>
    <row r="71" ht="16" customHeight="1">
      <c r="B71" s="5" t="inlineStr">
        <is>
          <t>Margen bruto %</t>
        </is>
      </c>
      <c r="C71" s="6" t="inlineStr">
        <is>
          <t>Utilidad ÷ precio. De cada L 100 vendidos, cuánto queda antes de gastos.</t>
        </is>
      </c>
    </row>
    <row r="72" ht="16" customHeight="1">
      <c r="B72" s="5" t="inlineStr">
        <is>
          <t>Markup %</t>
        </is>
      </c>
      <c r="C72" s="6" t="inlineStr">
        <is>
          <t>Utilidad ÷ costo. Cuánto le agrega al costo para fijar el precio.</t>
        </is>
      </c>
    </row>
    <row r="73" ht="28" customHeight="1">
      <c r="B73" s="5" t="inlineStr">
        <is>
          <t>Margen de contribución</t>
        </is>
      </c>
      <c r="C73" s="6" t="inlineStr">
        <is>
          <t>Precio − costo variable total. Lo que cada unidad aporta para pagar los gastos fijos. Es la base del punto de equilibrio.</t>
        </is>
      </c>
    </row>
    <row r="74" ht="16" customHeight="1">
      <c r="B74" s="5" t="inlineStr">
        <is>
          <t>Utilidad bruta</t>
        </is>
      </c>
      <c r="C74" s="6" t="inlineStr">
        <is>
          <t>Ventas netas − costo de ventas.</t>
        </is>
      </c>
    </row>
    <row r="75" ht="16" customHeight="1">
      <c r="B75" s="5" t="inlineStr">
        <is>
          <t>Utilidad operativa</t>
        </is>
      </c>
      <c r="C75" s="6" t="inlineStr">
        <is>
          <t>Utilidad bruta − gastos fijos y variables.</t>
        </is>
      </c>
    </row>
    <row r="76" ht="16" customHeight="1">
      <c r="B76" s="5" t="inlineStr">
        <is>
          <t>Utilidad neta</t>
        </is>
      </c>
      <c r="C76" s="6" t="inlineStr">
        <is>
          <t>Utilidad operativa + otros ingresos − otros egresos. Lo que realmente ganó.</t>
        </is>
      </c>
    </row>
    <row r="77" ht="16" customHeight="1">
      <c r="B77" s="5" t="inlineStr">
        <is>
          <t>Margen neto %</t>
        </is>
      </c>
      <c r="C77" s="6" t="inlineStr">
        <is>
          <t>Utilidad neta ÷ ventas netas.</t>
        </is>
      </c>
    </row>
    <row r="78" ht="16" customHeight="1">
      <c r="B78" s="5" t="inlineStr">
        <is>
          <t>Punto de equilibrio</t>
        </is>
      </c>
      <c r="C78" s="6" t="inlineStr">
        <is>
          <t>Costos fijos ÷ margen de contribución unitario. Las unidades que debe vender para no ganar ni perder.</t>
        </is>
      </c>
    </row>
    <row r="79" ht="16" customHeight="1">
      <c r="B79" s="5" t="inlineStr">
        <is>
          <t>ROI sobre la inversión</t>
        </is>
      </c>
      <c r="C79" s="6" t="inlineStr">
        <is>
          <t>Utilidad neta acumulada ÷ (compras + gastos). Cuánto rinde cada lempira que ha puesto en el negocio.</t>
        </is>
      </c>
    </row>
    <row r="80" ht="16" customHeight="1">
      <c r="B80" s="5" t="inlineStr">
        <is>
          <t>ROI sobre el capital</t>
        </is>
      </c>
      <c r="C80" s="6" t="inlineStr">
        <is>
          <t>Utilidad neta acumulada ÷ capital aportado por usted.</t>
        </is>
      </c>
    </row>
    <row r="81" ht="16" customHeight="1">
      <c r="B81" s="5" t="inlineStr">
        <is>
          <t>ROAS</t>
        </is>
      </c>
      <c r="C81" s="6" t="inlineStr">
        <is>
          <t>Ventas ÷ inversión en publicidad. Cuántos lempiras vende por cada lempira de publicidad.</t>
        </is>
      </c>
    </row>
    <row r="82" ht="16" customHeight="1">
      <c r="B82" s="5" t="inlineStr">
        <is>
          <t>Ticket promedio</t>
        </is>
      </c>
      <c r="C82" s="6" t="inlineStr">
        <is>
          <t>Ventas netas ÷ número de líneas de venta registradas.</t>
        </is>
      </c>
    </row>
    <row r="83" ht="28" customHeight="1">
      <c r="B83" s="5" t="inlineStr">
        <is>
          <t>Costo promedio ponderado</t>
        </is>
      </c>
      <c r="C83" s="6" t="inlineStr">
        <is>
          <t>Costo total de adquisición ÷ unidades compradas. Es el costo con el que se valoriza el inventario y se calcula el costo de cada venta.</t>
        </is>
      </c>
    </row>
    <row r="84" ht="28" customHeight="1">
      <c r="B84" s="5" t="inlineStr">
        <is>
          <t>Capital de trabajo comprometido</t>
        </is>
      </c>
      <c r="C84" s="6" t="inlineStr">
        <is>
          <t>Inventario + cuentas por cobrar − cuentas por pagar. El dinero que el negocio tiene «atrapado» para poder operar.</t>
        </is>
      </c>
    </row>
    <row r="85" ht="16" customHeight="1">
      <c r="B85" s="5" t="inlineStr">
        <is>
          <t>Cobertura de inventario</t>
        </is>
      </c>
      <c r="C85" s="6" t="inlineStr">
        <is>
          <t>Días que le durará el stock actual al ritmo de venta de los últimos 30 días.</t>
        </is>
      </c>
    </row>
    <row r="87" ht="22" customHeight="1">
      <c r="B87" s="3" t="inlineStr">
        <is>
          <t>NOTAS TÉCNICAS Y LÍMITES CONOCIDOS</t>
        </is>
      </c>
      <c r="C87" s="4" t="n"/>
    </row>
    <row r="88" ht="28" customHeight="1">
      <c r="B88" s="5" t="inlineStr">
        <is>
          <t>Capacidad actual</t>
        </is>
      </c>
      <c r="C88" s="6" t="inlineStr">
        <is>
          <t>60 productos, 500 líneas de venta, 300 compras, 300 gastos, 150 clientes, 40 proveedores y 36 meses de calendario. Para ampliar, copie la última fila de la tabla hacia abajo: las fórmulas se replican solas.</t>
        </is>
      </c>
    </row>
    <row r="89" ht="28" customHeight="1">
      <c r="B89" s="5" t="inlineStr">
        <is>
          <t>Costeo del inventario</t>
        </is>
      </c>
      <c r="C89" s="6" t="inlineStr">
        <is>
          <t>Se usa costo promedio ponderado global (no por capas ni FIFO). Es el método correcto y suficiente para este tamaño de operación; un software futuro puede implementar costeo por lotes.</t>
        </is>
      </c>
    </row>
    <row r="90" ht="28" customHeight="1">
      <c r="B90" s="5" t="inlineStr">
        <is>
          <t>Ticket promedio</t>
        </is>
      </c>
      <c r="C90" s="6" t="inlineStr">
        <is>
          <t>Se calcula por línea de venta. Si una factura lleva 3 productos, cuentan 3 líneas. Use la columna «Folio» para agrupar líneas de una misma factura.</t>
        </is>
      </c>
    </row>
    <row r="91" ht="28" customHeight="1">
      <c r="B91" s="5" t="inlineStr">
        <is>
          <t>Ventas anuladas</t>
        </is>
      </c>
      <c r="C91" s="6" t="inlineStr">
        <is>
          <t>Ponga el Estado en «Anulado»: la venta deja de contar en unidades, ingresos, inventario y rentabilidad, pero queda registrada como evidencia.</t>
        </is>
      </c>
    </row>
    <row r="92" ht="28" customHeight="1">
      <c r="B92" s="5" t="inlineStr">
        <is>
          <t>Impuestos</t>
        </is>
      </c>
      <c r="C92" s="6" t="inlineStr">
        <is>
          <t>El ISV de CONFIG es informativo. Si sus precios ya incluyen impuesto, el sistema trabaja con precios brutos; cuando empiece a facturar con ISV conviene registrar los precios sin impuesto para no inflar la utilidad.</t>
        </is>
      </c>
    </row>
    <row r="93" ht="28" customHeight="1">
      <c r="B93" s="5" t="inlineStr">
        <is>
          <t>Recálculo</t>
        </is>
      </c>
      <c r="C93" s="6" t="inlineStr">
        <is>
          <t>Si algún número no se actualiza, pulse F9 (recalcular). El archivo está diseñado para Excel 2016 o superior, Microsoft 365, LibreOffice Calc y Google Sheets.</t>
        </is>
      </c>
    </row>
    <row r="95" ht="22" customHeight="1">
      <c r="B95" s="3" t="inlineStr">
        <is>
          <t>PREPARADO PARA CONVERTIRSE EN SOFTWARE</t>
        </is>
      </c>
      <c r="C95" s="4" t="n"/>
    </row>
    <row r="96" ht="56" customHeight="1">
      <c r="B96" s="5" t="inlineStr">
        <is>
          <t>Modelo de datos</t>
        </is>
      </c>
      <c r="C96" s="6" t="inlineStr">
        <is>
          <t>Cada hoja de captura es una tabla relacional: PRODUCTOS (clave SKU), CLIENTES (ID), PROVEEDORES (ID), COMPRAS (ID), VENTAS (ID), GASTOS (ID) y MOVIMIENTOS DE CAJA (ID). Los cálculos viven en hojas aparte (INVENTARIO, RENTABILIDAD, CAJA, CONTROL) y la parametrización vive en CONFIG. Esa separación entre datos, cálculos y configuración es exactamente la que necesita una base de datos.</t>
        </is>
      </c>
    </row>
    <row r="97" ht="42" customHeight="1">
      <c r="B97" s="5" t="inlineStr">
        <is>
          <t>Migración</t>
        </is>
      </c>
      <c r="C97" s="6" t="inlineStr">
        <is>
          <t>Cuando el negocio lo pida, cada tabla se convierte en una tabla SQL con las mismas columnas y las mismas llaves; las fórmulas de INVENTARIO, RENTABILIDAD y CAJA se convierten en vistas o consultas. En el repositorio se incluye el documento MODELO_DE_DATOS.md con el esquema listo para implementar.</t>
        </is>
      </c>
    </row>
    <row r="98" ht="56" customHeight="1">
      <c r="B98" s="5" t="inlineStr">
        <is>
          <t>Protección</t>
        </is>
      </c>
      <c r="C98" s="6" t="inlineStr">
        <is>
          <t>Las hojas RENTABILIDAD, CONTROL y DASHBOARD están protegidas (sin contraseña) para que nadie borre una fórmula por accidente. Si necesita modificarlas: Revisar → Desproteger hoja. En las demás hojas las celdas con fórmula están bloqueadas y las amarillas desbloqueadas; puede activar la protección desde Revisar → Proteger hoja cuando lo desee.</t>
        </is>
      </c>
    </row>
  </sheetData>
  <hyperlinks>
    <hyperlink xmlns:r="http://schemas.openxmlformats.org/officeDocument/2006/relationships" ref="B19" r:id="rId1"/>
    <hyperlink xmlns:r="http://schemas.openxmlformats.org/officeDocument/2006/relationships" ref="B20" r:id="rId2"/>
    <hyperlink xmlns:r="http://schemas.openxmlformats.org/officeDocument/2006/relationships" ref="B21" r:id="rId3"/>
    <hyperlink xmlns:r="http://schemas.openxmlformats.org/officeDocument/2006/relationships" ref="B22" r:id="rId4"/>
    <hyperlink xmlns:r="http://schemas.openxmlformats.org/officeDocument/2006/relationships" ref="B23" r:id="rId5"/>
    <hyperlink xmlns:r="http://schemas.openxmlformats.org/officeDocument/2006/relationships" ref="B24" r:id="rId6"/>
    <hyperlink xmlns:r="http://schemas.openxmlformats.org/officeDocument/2006/relationships" ref="B25" r:id="rId7"/>
    <hyperlink xmlns:r="http://schemas.openxmlformats.org/officeDocument/2006/relationships" ref="B26" r:id="rId8"/>
    <hyperlink xmlns:r="http://schemas.openxmlformats.org/officeDocument/2006/relationships" ref="B27" r:id="rId9"/>
    <hyperlink xmlns:r="http://schemas.openxmlformats.org/officeDocument/2006/relationships" ref="B28" r:id="rId10"/>
    <hyperlink xmlns:r="http://schemas.openxmlformats.org/officeDocument/2006/relationships" ref="B29" r:id="rId11"/>
    <hyperlink xmlns:r="http://schemas.openxmlformats.org/officeDocument/2006/relationships" ref="B30" r:id="rId12"/>
    <hyperlink xmlns:r="http://schemas.openxmlformats.org/officeDocument/2006/relationships" ref="B31" r:id="rId13"/>
    <hyperlink xmlns:r="http://schemas.openxmlformats.org/officeDocument/2006/relationships" ref="B32" r:id="rId14"/>
    <hyperlink xmlns:r="http://schemas.openxmlformats.org/officeDocument/2006/relationships" ref="B33" r:id="rId15"/>
    <hyperlink xmlns:r="http://schemas.openxmlformats.org/officeDocument/2006/relationships" ref="B34" r:id="rId16"/>
  </hyperlinks>
  <printOptions horizontalCentered="1"/>
  <pageMargins left="0.4" right="0.4" top="0.5" bottom="0.5" header="0.5" footer="0.5"/>
  <pageSetup orientation="landscape" fitToHeight="0" fitToWidth="1"/>
</worksheet>
</file>

<file path=xl/worksheets/sheet2.xml><?xml version="1.0" encoding="utf-8"?>
<worksheet xmlns="http://schemas.openxmlformats.org/spreadsheetml/2006/main">
  <sheetPr>
    <tabColor rgb="001F3A5F"/>
    <outlinePr summaryBelow="1" summaryRight="1"/>
    <pageSetUpPr fitToPage="1"/>
  </sheetPr>
  <dimension ref="B1:T88"/>
  <sheetViews>
    <sheetView showGridLines="0" workbookViewId="0">
      <selection activeCell="A1" sqref="A1"/>
    </sheetView>
  </sheetViews>
  <sheetFormatPr baseColWidth="8" defaultRowHeight="15"/>
  <cols>
    <col width="2" customWidth="1" min="1" max="1"/>
    <col width="13.5" customWidth="1" min="2" max="2"/>
    <col width="13.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 width="13.5" customWidth="1" min="13" max="13"/>
    <col width="13.5" customWidth="1" min="14" max="14"/>
    <col width="13.5" customWidth="1" min="15" max="15"/>
    <col hidden="1" width="18" customWidth="1" min="16" max="16"/>
    <col hidden="1" width="18" customWidth="1" min="17" max="17"/>
    <col hidden="1" width="18" customWidth="1" min="18" max="18"/>
    <col hidden="1" width="18" customWidth="1" min="19" max="19"/>
    <col hidden="1" width="18" customWidth="1" min="20" max="20"/>
    <col hidden="1" width="18" customWidth="1" min="21" max="21"/>
  </cols>
  <sheetData>
    <row r="1">
      <c r="B1" s="1" t="inlineStr">
        <is>
          <t>AROMATIC · TABLERO FINANCIERO</t>
        </is>
      </c>
    </row>
    <row r="2">
      <c r="B2" s="2" t="inlineStr">
        <is>
          <t>Todo lo que ve aquí se calcula solo. Cambie el mes en la celda amarilla para analizar otro período.</t>
        </is>
      </c>
    </row>
    <row r="4">
      <c r="B4" s="14" t="inlineStr">
        <is>
          <t>Mes en análisis:</t>
        </is>
      </c>
      <c r="C4" s="15" t="n">
        <v>46266</v>
      </c>
      <c r="E4" s="16" t="inlineStr">
        <is>
          <t>← seleccione el mes</t>
        </is>
      </c>
      <c r="G4" s="14">
        <f>IF(CONTROL!$B$4=0,"✓ Datos sin problemas pendientes","⚠ "&amp;TEXT(CONTROL!$B$4,"0")&amp;" dato(s) pendiente(s) o problema(s) detectado(s) — vea la hoja CONTROL")</f>
        <v/>
      </c>
    </row>
    <row r="6">
      <c r="B6" s="3" t="inlineStr">
        <is>
          <t>VENTAS DEL MES SELECCIONADO</t>
        </is>
      </c>
      <c r="C6" s="4" t="n"/>
      <c r="D6" s="4" t="n"/>
      <c r="E6" s="4" t="n"/>
      <c r="F6" s="4" t="n"/>
      <c r="G6" s="4" t="n"/>
      <c r="H6" s="4" t="n"/>
      <c r="I6" s="4" t="n"/>
      <c r="J6" s="4" t="n"/>
      <c r="K6" s="4" t="n"/>
      <c r="L6" s="4" t="n"/>
      <c r="M6" s="4" t="n"/>
    </row>
    <row r="7">
      <c r="B7" s="17" t="inlineStr">
        <is>
          <t>Ventas netas</t>
        </is>
      </c>
      <c r="C7" s="18" t="n"/>
      <c r="D7" s="18" t="n"/>
      <c r="E7" s="17" t="inlineStr">
        <is>
          <t>Unidades vendidas</t>
        </is>
      </c>
      <c r="F7" s="18" t="n"/>
      <c r="G7" s="18" t="n"/>
      <c r="H7" s="17" t="inlineStr">
        <is>
          <t>Ticket promedio</t>
        </is>
      </c>
      <c r="I7" s="18" t="n"/>
      <c r="J7" s="18" t="n"/>
      <c r="K7" s="17" t="inlineStr">
        <is>
          <t>Transacciones</t>
        </is>
      </c>
      <c r="L7" s="18" t="n"/>
      <c r="M7" s="18" t="n"/>
    </row>
    <row r="8" ht="26" customHeight="1">
      <c r="B8" s="19">
        <f>IFERROR(INDEX(RENTABILIDAD!$D$8:$D$43,MATCH($C$4,RENTABILIDAD!$A$8:$A$43,0)),"")</f>
        <v/>
      </c>
      <c r="C8" s="20" t="n"/>
      <c r="D8" s="20" t="n"/>
      <c r="E8" s="21">
        <f>IFERROR(INDEX(RENTABILIDAD!$E$8:$E$43,MATCH($C$4,RENTABILIDAD!$A$8:$A$43,0)),"")</f>
        <v/>
      </c>
      <c r="F8" s="20" t="n"/>
      <c r="G8" s="20" t="n"/>
      <c r="H8" s="22">
        <f>IFERROR(INDEX(RENTABILIDAD!$R$8:$R$43,MATCH($C$4,RENTABILIDAD!$A$8:$A$43,0)),"")</f>
        <v/>
      </c>
      <c r="I8" s="20" t="n"/>
      <c r="J8" s="20" t="n"/>
      <c r="K8" s="21">
        <f>IFERROR(INDEX(RENTABILIDAD!$Q$8:$Q$43,MATCH($C$4,RENTABILIDAD!$A$8:$A$43,0)),"")</f>
        <v/>
      </c>
      <c r="L8" s="20" t="n"/>
      <c r="M8" s="20" t="n"/>
    </row>
    <row r="10">
      <c r="B10" s="3" t="inlineStr">
        <is>
          <t>RENTABILIDAD DEL MES</t>
        </is>
      </c>
      <c r="C10" s="4" t="n"/>
      <c r="D10" s="4" t="n"/>
      <c r="E10" s="4" t="n"/>
      <c r="F10" s="4" t="n"/>
      <c r="G10" s="4" t="n"/>
      <c r="H10" s="4" t="n"/>
      <c r="I10" s="4" t="n"/>
      <c r="J10" s="4" t="n"/>
      <c r="K10" s="4" t="n"/>
      <c r="L10" s="4" t="n"/>
      <c r="M10" s="4" t="n"/>
    </row>
    <row r="11">
      <c r="B11" s="17" t="inlineStr">
        <is>
          <t>Utilidad bruta</t>
        </is>
      </c>
      <c r="C11" s="18" t="n"/>
      <c r="D11" s="18" t="n"/>
      <c r="E11" s="17" t="inlineStr">
        <is>
          <t>Margen bruto</t>
        </is>
      </c>
      <c r="F11" s="18" t="n"/>
      <c r="G11" s="18" t="n"/>
      <c r="H11" s="17" t="inlineStr">
        <is>
          <t>Utilidad neta</t>
        </is>
      </c>
      <c r="I11" s="18" t="n"/>
      <c r="J11" s="18" t="n"/>
      <c r="K11" s="17" t="inlineStr">
        <is>
          <t>Margen neto</t>
        </is>
      </c>
      <c r="L11" s="18" t="n"/>
      <c r="M11" s="18" t="n"/>
    </row>
    <row r="12" ht="26" customHeight="1">
      <c r="B12" s="19">
        <f>IFERROR(INDEX(RENTABILIDAD!$G$8:$G$43,MATCH($C$4,RENTABILIDAD!$A$8:$A$43,0)),"")</f>
        <v/>
      </c>
      <c r="C12" s="20" t="n"/>
      <c r="D12" s="20" t="n"/>
      <c r="E12" s="23">
        <f>IFERROR(INDEX(RENTABILIDAD!$H$8:$H$43,MATCH($C$4,RENTABILIDAD!$A$8:$A$43,0)),"")</f>
        <v/>
      </c>
      <c r="F12" s="20" t="n"/>
      <c r="G12" s="20" t="n"/>
      <c r="H12" s="19">
        <f>IFERROR(INDEX(RENTABILIDAD!$O$8:$O$43,MATCH($C$4,RENTABILIDAD!$A$8:$A$43,0)),"")</f>
        <v/>
      </c>
      <c r="I12" s="20" t="n"/>
      <c r="J12" s="20" t="n"/>
      <c r="K12" s="23">
        <f>IFERROR(INDEX(RENTABILIDAD!$P$8:$P$43,MATCH($C$4,RENTABILIDAD!$A$8:$A$43,0)),"")</f>
        <v/>
      </c>
      <c r="L12" s="20" t="n"/>
      <c r="M12" s="20" t="n"/>
    </row>
    <row r="14">
      <c r="B14" s="3" t="inlineStr">
        <is>
          <t>ACUMULADO DEL NEGOCIO</t>
        </is>
      </c>
      <c r="C14" s="4" t="n"/>
      <c r="D14" s="4" t="n"/>
      <c r="E14" s="4" t="n"/>
      <c r="F14" s="4" t="n"/>
      <c r="G14" s="4" t="n"/>
      <c r="H14" s="4" t="n"/>
      <c r="I14" s="4" t="n"/>
      <c r="J14" s="4" t="n"/>
      <c r="K14" s="4" t="n"/>
      <c r="L14" s="4" t="n"/>
      <c r="M14" s="4" t="n"/>
    </row>
    <row r="15">
      <c r="B15" s="17" t="inlineStr">
        <is>
          <t>Ventas acumuladas</t>
        </is>
      </c>
      <c r="C15" s="18" t="n"/>
      <c r="D15" s="18" t="n"/>
      <c r="E15" s="17" t="inlineStr">
        <is>
          <t>Utilidad neta acumulada</t>
        </is>
      </c>
      <c r="F15" s="18" t="n"/>
      <c r="G15" s="18" t="n"/>
      <c r="H15" s="17" t="inlineStr">
        <is>
          <t>ROI sobre la inversión</t>
        </is>
      </c>
      <c r="I15" s="18" t="n"/>
      <c r="J15" s="18" t="n"/>
      <c r="K15" s="17" t="inlineStr">
        <is>
          <t>Margen neto acumulado</t>
        </is>
      </c>
      <c r="L15" s="18" t="n"/>
      <c r="M15" s="18" t="n"/>
    </row>
    <row r="16" ht="26" customHeight="1">
      <c r="B16" s="19">
        <f>RENTABILIDAD!$D$44</f>
        <v/>
      </c>
      <c r="C16" s="20" t="n"/>
      <c r="D16" s="20" t="n"/>
      <c r="E16" s="19">
        <f>RENTABILIDAD!$O$44</f>
        <v/>
      </c>
      <c r="F16" s="20" t="n"/>
      <c r="G16" s="20" t="n"/>
      <c r="H16" s="23">
        <f>RENTABILIDAD!$BK$26</f>
        <v/>
      </c>
      <c r="I16" s="20" t="n"/>
      <c r="J16" s="20" t="n"/>
      <c r="K16" s="23">
        <f>RENTABILIDAD!$P$44</f>
        <v/>
      </c>
      <c r="L16" s="20" t="n"/>
      <c r="M16" s="20" t="n"/>
    </row>
    <row r="18">
      <c r="B18" s="3" t="inlineStr">
        <is>
          <t>INVENTARIO Y CAPITAL</t>
        </is>
      </c>
      <c r="C18" s="4" t="n"/>
      <c r="D18" s="4" t="n"/>
      <c r="E18" s="4" t="n"/>
      <c r="F18" s="4" t="n"/>
      <c r="G18" s="4" t="n"/>
      <c r="H18" s="4" t="n"/>
      <c r="I18" s="4" t="n"/>
      <c r="J18" s="4" t="n"/>
      <c r="K18" s="4" t="n"/>
      <c r="L18" s="4" t="n"/>
      <c r="M18" s="4" t="n"/>
    </row>
    <row r="19">
      <c r="B19" s="17" t="inlineStr">
        <is>
          <t>Valor del inventario</t>
        </is>
      </c>
      <c r="C19" s="18" t="n"/>
      <c r="D19" s="18" t="n"/>
      <c r="E19" s="17" t="inlineStr">
        <is>
          <t>Productos con stock bajo</t>
        </is>
      </c>
      <c r="F19" s="18" t="n"/>
      <c r="G19" s="18" t="n"/>
      <c r="H19" s="17" t="inlineStr">
        <is>
          <t>Productos agotados</t>
        </is>
      </c>
      <c r="I19" s="18" t="n"/>
      <c r="J19" s="18" t="n"/>
      <c r="K19" s="17" t="inlineStr">
        <is>
          <t>Capital de trabajo comprometido</t>
        </is>
      </c>
      <c r="L19" s="18" t="n"/>
      <c r="M19" s="18" t="n"/>
    </row>
    <row r="20" ht="26" customHeight="1">
      <c r="B20" s="19">
        <f>RENTABILIDAD!$BK$29</f>
        <v/>
      </c>
      <c r="C20" s="20" t="n"/>
      <c r="D20" s="20" t="n"/>
      <c r="E20" s="24">
        <f>COUNTIF(tblInventario[ESTADO],"REABASTECER")</f>
        <v/>
      </c>
      <c r="F20" s="20" t="n"/>
      <c r="G20" s="20" t="n"/>
      <c r="H20" s="25">
        <f>COUNTIF(tblInventario[ESTADO],"AGOTADO")</f>
        <v/>
      </c>
      <c r="I20" s="20" t="n"/>
      <c r="J20" s="20" t="n"/>
      <c r="K20" s="19">
        <f>RENTABILIDAD!$BK$32</f>
        <v/>
      </c>
      <c r="L20" s="20" t="n"/>
      <c r="M20" s="20" t="n"/>
    </row>
    <row r="22">
      <c r="B22" s="3" t="inlineStr">
        <is>
          <t>EFECTIVO DEL MES</t>
        </is>
      </c>
      <c r="C22" s="4" t="n"/>
      <c r="D22" s="4" t="n"/>
      <c r="E22" s="4" t="n"/>
      <c r="F22" s="4" t="n"/>
      <c r="G22" s="4" t="n"/>
      <c r="H22" s="4" t="n"/>
      <c r="I22" s="4" t="n"/>
      <c r="J22" s="4" t="n"/>
      <c r="K22" s="4" t="n"/>
      <c r="L22" s="4" t="n"/>
      <c r="M22" s="4" t="n"/>
    </row>
    <row r="23">
      <c r="B23" s="17" t="inlineStr">
        <is>
          <t>Entradas de efectivo</t>
        </is>
      </c>
      <c r="C23" s="18" t="n"/>
      <c r="D23" s="18" t="n"/>
      <c r="E23" s="17" t="inlineStr">
        <is>
          <t>Salidas de efectivo</t>
        </is>
      </c>
      <c r="F23" s="18" t="n"/>
      <c r="G23" s="18" t="n"/>
      <c r="H23" s="17" t="inlineStr">
        <is>
          <t>Flujo neto del mes</t>
        </is>
      </c>
      <c r="I23" s="18" t="n"/>
      <c r="J23" s="18" t="n"/>
      <c r="K23" s="17" t="inlineStr">
        <is>
          <t>Saldo disponible al cierre</t>
        </is>
      </c>
      <c r="L23" s="18" t="n"/>
      <c r="M23" s="18" t="n"/>
    </row>
    <row r="24" ht="26" customHeight="1">
      <c r="B24" s="26">
        <f>IFERROR(INDEX(CAJA!$G$7:$G$42,MATCH($C$4,RENTABILIDAD!$A$8:$A$43,0)),"")</f>
        <v/>
      </c>
      <c r="C24" s="20" t="n"/>
      <c r="D24" s="20" t="n"/>
      <c r="E24" s="27">
        <f>IFERROR(INDEX(CAJA!$M$7:$M$42,MATCH($C$4,RENTABILIDAD!$A$8:$A$43,0)),"")</f>
        <v/>
      </c>
      <c r="F24" s="20" t="n"/>
      <c r="G24" s="20" t="n"/>
      <c r="H24" s="19">
        <f>IFERROR(INDEX(CAJA!$N$7:$N$42,MATCH($C$4,RENTABILIDAD!$A$8:$A$43,0)),"")</f>
        <v/>
      </c>
      <c r="I24" s="20" t="n"/>
      <c r="J24" s="20" t="n"/>
      <c r="K24" s="19">
        <f>IFERROR(INDEX(CAJA!$O$7:$O$42,MATCH($C$4,RENTABILIDAD!$A$8:$A$43,0)),"")</f>
        <v/>
      </c>
      <c r="L24" s="20" t="n"/>
      <c r="M24" s="20" t="n"/>
    </row>
    <row r="26">
      <c r="B26" s="3" t="inlineStr">
        <is>
          <t>CUMPLIMIENTO DE METAS DEL MES</t>
        </is>
      </c>
      <c r="C26" s="4" t="n"/>
      <c r="D26" s="4" t="n"/>
      <c r="E26" s="4" t="n"/>
      <c r="F26" s="4" t="n"/>
      <c r="G26" s="4" t="n"/>
      <c r="H26" s="4" t="n"/>
      <c r="I26" s="4" t="n"/>
      <c r="J26" s="4" t="n"/>
      <c r="K26" s="4" t="n"/>
      <c r="L26" s="4" t="n"/>
      <c r="M26" s="4" t="n"/>
    </row>
    <row r="27">
      <c r="B27" s="17" t="inlineStr">
        <is>
          <t>Cumplimiento de ventas</t>
        </is>
      </c>
      <c r="C27" s="18" t="n"/>
      <c r="D27" s="18" t="n"/>
      <c r="E27" s="17" t="inlineStr">
        <is>
          <t>Cumplimiento de utilidad</t>
        </is>
      </c>
      <c r="F27" s="18" t="n"/>
      <c r="G27" s="18" t="n"/>
      <c r="H27" s="17" t="inlineStr">
        <is>
          <t>Cumplimiento de unidades</t>
        </is>
      </c>
      <c r="I27" s="18" t="n"/>
      <c r="J27" s="18" t="n"/>
      <c r="K27" s="17" t="inlineStr">
        <is>
          <t>Estado del mes</t>
        </is>
      </c>
      <c r="L27" s="18" t="n"/>
      <c r="M27" s="18" t="n"/>
    </row>
    <row r="28" ht="26" customHeight="1">
      <c r="B28" s="23">
        <f>IFERROR(INDEX(METAS!$L$7:$L$42,MATCH($C$4,RENTABILIDAD!$A$8:$A$43,0)),"")</f>
        <v/>
      </c>
      <c r="C28" s="20" t="n"/>
      <c r="D28" s="20" t="n"/>
      <c r="E28" s="23">
        <f>IFERROR(INDEX(METAS!$M$7:$M$42,MATCH($C$4,RENTABILIDAD!$A$8:$A$43,0)),"")</f>
        <v/>
      </c>
      <c r="F28" s="20" t="n"/>
      <c r="G28" s="20" t="n"/>
      <c r="H28" s="23">
        <f>IFERROR(INDEX(METAS!$N$7:$N$42,MATCH($C$4,RENTABILIDAD!$A$8:$A$43,0)),"")</f>
        <v/>
      </c>
      <c r="I28" s="20" t="n"/>
      <c r="J28" s="20" t="n"/>
      <c r="K28" s="28">
        <f>IFERROR(INDEX(METAS!$W$7:$W$42,MATCH($C$4,RENTABILIDAD!$A$8:$A$43,0)),"")</f>
        <v/>
      </c>
      <c r="L28" s="20" t="n"/>
      <c r="M28" s="20" t="n"/>
    </row>
    <row r="30">
      <c r="B30" s="3" t="inlineStr">
        <is>
          <t>INDICADORES FINANCIEROS CLAVE</t>
        </is>
      </c>
      <c r="C30" s="4" t="n"/>
      <c r="D30" s="4" t="n"/>
      <c r="E30" s="4" t="n"/>
      <c r="F30" s="4" t="n"/>
      <c r="G30" s="4" t="n"/>
      <c r="H30" s="4" t="n"/>
      <c r="I30" s="4" t="n"/>
      <c r="J30" s="4" t="n"/>
      <c r="K30" s="4" t="n"/>
      <c r="L30" s="4" t="n"/>
      <c r="M30" s="4" t="n"/>
    </row>
    <row r="31">
      <c r="B31" s="17" t="inlineStr">
        <is>
          <t>Punto de equilibrio (unidades/mes)</t>
        </is>
      </c>
      <c r="C31" s="18" t="n"/>
      <c r="D31" s="18" t="n"/>
      <c r="E31" s="17" t="inlineStr">
        <is>
          <t>Punto de equilibrio (Lempiras/mes)</t>
        </is>
      </c>
      <c r="F31" s="18" t="n"/>
      <c r="G31" s="18" t="n"/>
      <c r="H31" s="17" t="inlineStr">
        <is>
          <t>Margen de contribución %</t>
        </is>
      </c>
      <c r="I31" s="18" t="n"/>
      <c r="J31" s="18" t="n"/>
      <c r="K31" s="17" t="inlineStr">
        <is>
          <t>Cuentas por cobrar</t>
        </is>
      </c>
      <c r="L31" s="18" t="n"/>
      <c r="M31" s="18" t="n"/>
    </row>
    <row r="32" ht="26" customHeight="1">
      <c r="B32" s="21">
        <f>EQUILIBRIO!$B$16</f>
        <v/>
      </c>
      <c r="C32" s="20" t="n"/>
      <c r="D32" s="20" t="n"/>
      <c r="E32" s="19">
        <f>EQUILIBRIO!$B$17</f>
        <v/>
      </c>
      <c r="F32" s="20" t="n"/>
      <c r="G32" s="20" t="n"/>
      <c r="H32" s="23">
        <f>EQUILIBRIO!$B$15</f>
        <v/>
      </c>
      <c r="I32" s="20" t="n"/>
      <c r="J32" s="20" t="n"/>
      <c r="K32" s="29">
        <f>RENTABILIDAD!$BK$30</f>
        <v/>
      </c>
      <c r="L32" s="20" t="n"/>
      <c r="M32" s="20" t="n"/>
    </row>
    <row r="34">
      <c r="P34" s="2" t="inlineStr">
        <is>
          <t>Datos auxiliares de los gráficos (no editar)</t>
        </is>
      </c>
    </row>
    <row r="35">
      <c r="P35" s="14" t="inlineStr">
        <is>
          <t>Producto (utilidad)</t>
        </is>
      </c>
      <c r="Q35" s="14" t="inlineStr">
        <is>
          <t>Utilidad</t>
        </is>
      </c>
      <c r="S35" s="14" t="inlineStr">
        <is>
          <t>Producto (unidades)</t>
        </is>
      </c>
      <c r="T35" s="14" t="inlineStr">
        <is>
          <t>Unidades</t>
        </is>
      </c>
    </row>
    <row r="36">
      <c r="P36">
        <f>IFERROR(IF(LARGE(RENTABILIDAD!$AO$8:$AO$67,1)&lt;=0,"",INDEX(RENTABILIDAD!$AB$8:$AB$67,MATCH(LARGE(RENTABILIDAD!$AO$8:$AO$67,1),RENTABILIDAD!$AO$8:$AO$67,0))),"")</f>
        <v/>
      </c>
      <c r="Q36" s="30">
        <f>IFERROR(IF(LARGE(RENTABILIDAD!$AO$8:$AO$67,1)&lt;=0,"",INDEX(RENTABILIDAD!$AG$8:$AG$67,MATCH(LARGE(RENTABILIDAD!$AO$8:$AO$67,1),RENTABILIDAD!$AO$8:$AO$67,0))),"")</f>
        <v/>
      </c>
      <c r="S36">
        <f>IFERROR(IF(LARGE(RENTABILIDAD!$AP$8:$AP$67,1)&lt;=0,"",INDEX(RENTABILIDAD!$AB$8:$AB$67,MATCH(LARGE(RENTABILIDAD!$AP$8:$AP$67,1),RENTABILIDAD!$AP$8:$AP$67,0))),"")</f>
        <v/>
      </c>
      <c r="T36" s="31">
        <f>IFERROR(IF(LARGE(RENTABILIDAD!$AP$8:$AP$67,1)&lt;=0,"",INDEX(RENTABILIDAD!$AD$8:$AD$67,MATCH(LARGE(RENTABILIDAD!$AP$8:$AP$67,1),RENTABILIDAD!$AP$8:$AP$67,0))),"")</f>
        <v/>
      </c>
    </row>
    <row r="37">
      <c r="P37">
        <f>IFERROR(IF(LARGE(RENTABILIDAD!$AO$8:$AO$67,2)&lt;=0,"",INDEX(RENTABILIDAD!$AB$8:$AB$67,MATCH(LARGE(RENTABILIDAD!$AO$8:$AO$67,2),RENTABILIDAD!$AO$8:$AO$67,0))),"")</f>
        <v/>
      </c>
      <c r="Q37" s="30">
        <f>IFERROR(IF(LARGE(RENTABILIDAD!$AO$8:$AO$67,2)&lt;=0,"",INDEX(RENTABILIDAD!$AG$8:$AG$67,MATCH(LARGE(RENTABILIDAD!$AO$8:$AO$67,2),RENTABILIDAD!$AO$8:$AO$67,0))),"")</f>
        <v/>
      </c>
      <c r="S37">
        <f>IFERROR(IF(LARGE(RENTABILIDAD!$AP$8:$AP$67,2)&lt;=0,"",INDEX(RENTABILIDAD!$AB$8:$AB$67,MATCH(LARGE(RENTABILIDAD!$AP$8:$AP$67,2),RENTABILIDAD!$AP$8:$AP$67,0))),"")</f>
        <v/>
      </c>
      <c r="T37" s="31">
        <f>IFERROR(IF(LARGE(RENTABILIDAD!$AP$8:$AP$67,2)&lt;=0,"",INDEX(RENTABILIDAD!$AD$8:$AD$67,MATCH(LARGE(RENTABILIDAD!$AP$8:$AP$67,2),RENTABILIDAD!$AP$8:$AP$67,0))),"")</f>
        <v/>
      </c>
    </row>
    <row r="38">
      <c r="P38">
        <f>IFERROR(IF(LARGE(RENTABILIDAD!$AO$8:$AO$67,3)&lt;=0,"",INDEX(RENTABILIDAD!$AB$8:$AB$67,MATCH(LARGE(RENTABILIDAD!$AO$8:$AO$67,3),RENTABILIDAD!$AO$8:$AO$67,0))),"")</f>
        <v/>
      </c>
      <c r="Q38" s="30">
        <f>IFERROR(IF(LARGE(RENTABILIDAD!$AO$8:$AO$67,3)&lt;=0,"",INDEX(RENTABILIDAD!$AG$8:$AG$67,MATCH(LARGE(RENTABILIDAD!$AO$8:$AO$67,3),RENTABILIDAD!$AO$8:$AO$67,0))),"")</f>
        <v/>
      </c>
      <c r="S38">
        <f>IFERROR(IF(LARGE(RENTABILIDAD!$AP$8:$AP$67,3)&lt;=0,"",INDEX(RENTABILIDAD!$AB$8:$AB$67,MATCH(LARGE(RENTABILIDAD!$AP$8:$AP$67,3),RENTABILIDAD!$AP$8:$AP$67,0))),"")</f>
        <v/>
      </c>
      <c r="T38" s="31">
        <f>IFERROR(IF(LARGE(RENTABILIDAD!$AP$8:$AP$67,3)&lt;=0,"",INDEX(RENTABILIDAD!$AD$8:$AD$67,MATCH(LARGE(RENTABILIDAD!$AP$8:$AP$67,3),RENTABILIDAD!$AP$8:$AP$67,0))),"")</f>
        <v/>
      </c>
    </row>
    <row r="39">
      <c r="P39">
        <f>IFERROR(IF(LARGE(RENTABILIDAD!$AO$8:$AO$67,4)&lt;=0,"",INDEX(RENTABILIDAD!$AB$8:$AB$67,MATCH(LARGE(RENTABILIDAD!$AO$8:$AO$67,4),RENTABILIDAD!$AO$8:$AO$67,0))),"")</f>
        <v/>
      </c>
      <c r="Q39" s="30">
        <f>IFERROR(IF(LARGE(RENTABILIDAD!$AO$8:$AO$67,4)&lt;=0,"",INDEX(RENTABILIDAD!$AG$8:$AG$67,MATCH(LARGE(RENTABILIDAD!$AO$8:$AO$67,4),RENTABILIDAD!$AO$8:$AO$67,0))),"")</f>
        <v/>
      </c>
      <c r="S39">
        <f>IFERROR(IF(LARGE(RENTABILIDAD!$AP$8:$AP$67,4)&lt;=0,"",INDEX(RENTABILIDAD!$AB$8:$AB$67,MATCH(LARGE(RENTABILIDAD!$AP$8:$AP$67,4),RENTABILIDAD!$AP$8:$AP$67,0))),"")</f>
        <v/>
      </c>
      <c r="T39" s="31">
        <f>IFERROR(IF(LARGE(RENTABILIDAD!$AP$8:$AP$67,4)&lt;=0,"",INDEX(RENTABILIDAD!$AD$8:$AD$67,MATCH(LARGE(RENTABILIDAD!$AP$8:$AP$67,4),RENTABILIDAD!$AP$8:$AP$67,0))),"")</f>
        <v/>
      </c>
    </row>
    <row r="40">
      <c r="P40">
        <f>IFERROR(IF(LARGE(RENTABILIDAD!$AO$8:$AO$67,5)&lt;=0,"",INDEX(RENTABILIDAD!$AB$8:$AB$67,MATCH(LARGE(RENTABILIDAD!$AO$8:$AO$67,5),RENTABILIDAD!$AO$8:$AO$67,0))),"")</f>
        <v/>
      </c>
      <c r="Q40" s="30">
        <f>IFERROR(IF(LARGE(RENTABILIDAD!$AO$8:$AO$67,5)&lt;=0,"",INDEX(RENTABILIDAD!$AG$8:$AG$67,MATCH(LARGE(RENTABILIDAD!$AO$8:$AO$67,5),RENTABILIDAD!$AO$8:$AO$67,0))),"")</f>
        <v/>
      </c>
      <c r="S40">
        <f>IFERROR(IF(LARGE(RENTABILIDAD!$AP$8:$AP$67,5)&lt;=0,"",INDEX(RENTABILIDAD!$AB$8:$AB$67,MATCH(LARGE(RENTABILIDAD!$AP$8:$AP$67,5),RENTABILIDAD!$AP$8:$AP$67,0))),"")</f>
        <v/>
      </c>
      <c r="T40" s="31">
        <f>IFERROR(IF(LARGE(RENTABILIDAD!$AP$8:$AP$67,5)&lt;=0,"",INDEX(RENTABILIDAD!$AD$8:$AD$67,MATCH(LARGE(RENTABILIDAD!$AP$8:$AP$67,5),RENTABILIDAD!$AP$8:$AP$67,0))),"")</f>
        <v/>
      </c>
    </row>
    <row r="41">
      <c r="P41">
        <f>IFERROR(IF(LARGE(RENTABILIDAD!$AO$8:$AO$67,6)&lt;=0,"",INDEX(RENTABILIDAD!$AB$8:$AB$67,MATCH(LARGE(RENTABILIDAD!$AO$8:$AO$67,6),RENTABILIDAD!$AO$8:$AO$67,0))),"")</f>
        <v/>
      </c>
      <c r="Q41" s="30">
        <f>IFERROR(IF(LARGE(RENTABILIDAD!$AO$8:$AO$67,6)&lt;=0,"",INDEX(RENTABILIDAD!$AG$8:$AG$67,MATCH(LARGE(RENTABILIDAD!$AO$8:$AO$67,6),RENTABILIDAD!$AO$8:$AO$67,0))),"")</f>
        <v/>
      </c>
      <c r="S41">
        <f>IFERROR(IF(LARGE(RENTABILIDAD!$AP$8:$AP$67,6)&lt;=0,"",INDEX(RENTABILIDAD!$AB$8:$AB$67,MATCH(LARGE(RENTABILIDAD!$AP$8:$AP$67,6),RENTABILIDAD!$AP$8:$AP$67,0))),"")</f>
        <v/>
      </c>
      <c r="T41" s="31">
        <f>IFERROR(IF(LARGE(RENTABILIDAD!$AP$8:$AP$67,6)&lt;=0,"",INDEX(RENTABILIDAD!$AD$8:$AD$67,MATCH(LARGE(RENTABILIDAD!$AP$8:$AP$67,6),RENTABILIDAD!$AP$8:$AP$67,0))),"")</f>
        <v/>
      </c>
    </row>
    <row r="42">
      <c r="P42">
        <f>IFERROR(IF(LARGE(RENTABILIDAD!$AO$8:$AO$67,7)&lt;=0,"",INDEX(RENTABILIDAD!$AB$8:$AB$67,MATCH(LARGE(RENTABILIDAD!$AO$8:$AO$67,7),RENTABILIDAD!$AO$8:$AO$67,0))),"")</f>
        <v/>
      </c>
      <c r="Q42" s="30">
        <f>IFERROR(IF(LARGE(RENTABILIDAD!$AO$8:$AO$67,7)&lt;=0,"",INDEX(RENTABILIDAD!$AG$8:$AG$67,MATCH(LARGE(RENTABILIDAD!$AO$8:$AO$67,7),RENTABILIDAD!$AO$8:$AO$67,0))),"")</f>
        <v/>
      </c>
      <c r="S42">
        <f>IFERROR(IF(LARGE(RENTABILIDAD!$AP$8:$AP$67,7)&lt;=0,"",INDEX(RENTABILIDAD!$AB$8:$AB$67,MATCH(LARGE(RENTABILIDAD!$AP$8:$AP$67,7),RENTABILIDAD!$AP$8:$AP$67,0))),"")</f>
        <v/>
      </c>
      <c r="T42" s="31">
        <f>IFERROR(IF(LARGE(RENTABILIDAD!$AP$8:$AP$67,7)&lt;=0,"",INDEX(RENTABILIDAD!$AD$8:$AD$67,MATCH(LARGE(RENTABILIDAD!$AP$8:$AP$67,7),RENTABILIDAD!$AP$8:$AP$67,0))),"")</f>
        <v/>
      </c>
    </row>
    <row r="43">
      <c r="P43">
        <f>IFERROR(IF(LARGE(RENTABILIDAD!$AO$8:$AO$67,8)&lt;=0,"",INDEX(RENTABILIDAD!$AB$8:$AB$67,MATCH(LARGE(RENTABILIDAD!$AO$8:$AO$67,8),RENTABILIDAD!$AO$8:$AO$67,0))),"")</f>
        <v/>
      </c>
      <c r="Q43" s="30">
        <f>IFERROR(IF(LARGE(RENTABILIDAD!$AO$8:$AO$67,8)&lt;=0,"",INDEX(RENTABILIDAD!$AG$8:$AG$67,MATCH(LARGE(RENTABILIDAD!$AO$8:$AO$67,8),RENTABILIDAD!$AO$8:$AO$67,0))),"")</f>
        <v/>
      </c>
      <c r="S43">
        <f>IFERROR(IF(LARGE(RENTABILIDAD!$AP$8:$AP$67,8)&lt;=0,"",INDEX(RENTABILIDAD!$AB$8:$AB$67,MATCH(LARGE(RENTABILIDAD!$AP$8:$AP$67,8),RENTABILIDAD!$AP$8:$AP$67,0))),"")</f>
        <v/>
      </c>
      <c r="T43" s="31">
        <f>IFERROR(IF(LARGE(RENTABILIDAD!$AP$8:$AP$67,8)&lt;=0,"",INDEX(RENTABILIDAD!$AD$8:$AD$67,MATCH(LARGE(RENTABILIDAD!$AP$8:$AP$67,8),RENTABILIDAD!$AP$8:$AP$67,0))),"")</f>
        <v/>
      </c>
    </row>
    <row r="44">
      <c r="P44">
        <f>IFERROR(IF(LARGE(RENTABILIDAD!$AO$8:$AO$67,9)&lt;=0,"",INDEX(RENTABILIDAD!$AB$8:$AB$67,MATCH(LARGE(RENTABILIDAD!$AO$8:$AO$67,9),RENTABILIDAD!$AO$8:$AO$67,0))),"")</f>
        <v/>
      </c>
      <c r="Q44" s="30">
        <f>IFERROR(IF(LARGE(RENTABILIDAD!$AO$8:$AO$67,9)&lt;=0,"",INDEX(RENTABILIDAD!$AG$8:$AG$67,MATCH(LARGE(RENTABILIDAD!$AO$8:$AO$67,9),RENTABILIDAD!$AO$8:$AO$67,0))),"")</f>
        <v/>
      </c>
      <c r="S44">
        <f>IFERROR(IF(LARGE(RENTABILIDAD!$AP$8:$AP$67,9)&lt;=0,"",INDEX(RENTABILIDAD!$AB$8:$AB$67,MATCH(LARGE(RENTABILIDAD!$AP$8:$AP$67,9),RENTABILIDAD!$AP$8:$AP$67,0))),"")</f>
        <v/>
      </c>
      <c r="T44" s="31">
        <f>IFERROR(IF(LARGE(RENTABILIDAD!$AP$8:$AP$67,9)&lt;=0,"",INDEX(RENTABILIDAD!$AD$8:$AD$67,MATCH(LARGE(RENTABILIDAD!$AP$8:$AP$67,9),RENTABILIDAD!$AP$8:$AP$67,0))),"")</f>
        <v/>
      </c>
    </row>
    <row r="45">
      <c r="P45">
        <f>IFERROR(IF(LARGE(RENTABILIDAD!$AO$8:$AO$67,10)&lt;=0,"",INDEX(RENTABILIDAD!$AB$8:$AB$67,MATCH(LARGE(RENTABILIDAD!$AO$8:$AO$67,10),RENTABILIDAD!$AO$8:$AO$67,0))),"")</f>
        <v/>
      </c>
      <c r="Q45" s="30">
        <f>IFERROR(IF(LARGE(RENTABILIDAD!$AO$8:$AO$67,10)&lt;=0,"",INDEX(RENTABILIDAD!$AG$8:$AG$67,MATCH(LARGE(RENTABILIDAD!$AO$8:$AO$67,10),RENTABILIDAD!$AO$8:$AO$67,0))),"")</f>
        <v/>
      </c>
      <c r="S45">
        <f>IFERROR(IF(LARGE(RENTABILIDAD!$AP$8:$AP$67,10)&lt;=0,"",INDEX(RENTABILIDAD!$AB$8:$AB$67,MATCH(LARGE(RENTABILIDAD!$AP$8:$AP$67,10),RENTABILIDAD!$AP$8:$AP$67,0))),"")</f>
        <v/>
      </c>
      <c r="T45" s="31">
        <f>IFERROR(IF(LARGE(RENTABILIDAD!$AP$8:$AP$67,10)&lt;=0,"",INDEX(RENTABILIDAD!$AD$8:$AD$67,MATCH(LARGE(RENTABILIDAD!$AP$8:$AP$67,10),RENTABILIDAD!$AP$8:$AP$67,0))),"")</f>
        <v/>
      </c>
    </row>
    <row r="88">
      <c r="B88" s="16" t="inlineStr">
        <is>
          <t>Los gráficos se actualizan solos al registrar ventas, compras y gastos. Si un gráfico aparece vacío es porque todavía no hay datos de ese tipo.</t>
        </is>
      </c>
    </row>
  </sheetData>
  <sheetProtection selectLockedCells="0" selectUnlockedCells="0" sheet="1" objects="0" insertRows="1" insertHyperlinks="1" autoFilter="0" scenarios="0" formatColumns="0" deleteColumns="1" insertColumns="1" pivotTables="1" deleteRows="1" formatCells="0" formatRows="0" sort="0"/>
  <mergeCells count="58">
    <mergeCell ref="B11:D11"/>
    <mergeCell ref="E28:G28"/>
    <mergeCell ref="E19:G19"/>
    <mergeCell ref="K32:M32"/>
    <mergeCell ref="B23:D23"/>
    <mergeCell ref="B8:D8"/>
    <mergeCell ref="E31:G31"/>
    <mergeCell ref="K31:M31"/>
    <mergeCell ref="G4:M4"/>
    <mergeCell ref="B88:M88"/>
    <mergeCell ref="K12:M12"/>
    <mergeCell ref="E15:G15"/>
    <mergeCell ref="H11:J11"/>
    <mergeCell ref="H7:J7"/>
    <mergeCell ref="H16:J16"/>
    <mergeCell ref="K8:M8"/>
    <mergeCell ref="B28:D28"/>
    <mergeCell ref="B19:D19"/>
    <mergeCell ref="H32:J32"/>
    <mergeCell ref="E11:G11"/>
    <mergeCell ref="E27:G27"/>
    <mergeCell ref="H28:J28"/>
    <mergeCell ref="K27:M27"/>
    <mergeCell ref="H19:J19"/>
    <mergeCell ref="H27:J27"/>
    <mergeCell ref="K23:M23"/>
    <mergeCell ref="H12:J12"/>
    <mergeCell ref="B15:D15"/>
    <mergeCell ref="E7:G7"/>
    <mergeCell ref="K7:M7"/>
    <mergeCell ref="B24:D24"/>
    <mergeCell ref="B20:D20"/>
    <mergeCell ref="E16:G16"/>
    <mergeCell ref="H15:J15"/>
    <mergeCell ref="E32:G32"/>
    <mergeCell ref="K19:M19"/>
    <mergeCell ref="H24:J24"/>
    <mergeCell ref="K28:M28"/>
    <mergeCell ref="H23:J23"/>
    <mergeCell ref="B32:D32"/>
    <mergeCell ref="H8:J8"/>
    <mergeCell ref="E12:G12"/>
    <mergeCell ref="E20:G20"/>
    <mergeCell ref="B7:D7"/>
    <mergeCell ref="K16:M16"/>
    <mergeCell ref="B16:D16"/>
    <mergeCell ref="K15:M15"/>
    <mergeCell ref="H20:J20"/>
    <mergeCell ref="E24:G24"/>
    <mergeCell ref="K24:M24"/>
    <mergeCell ref="B31:D31"/>
    <mergeCell ref="E23:G23"/>
    <mergeCell ref="E8:G8"/>
    <mergeCell ref="H31:J31"/>
    <mergeCell ref="B27:D27"/>
    <mergeCell ref="K20:M20"/>
    <mergeCell ref="B12:D12"/>
    <mergeCell ref="K11:M11"/>
  </mergeCells>
  <conditionalFormatting sqref="G4">
    <cfRule type="expression" priority="1" dxfId="0">
      <formula>CONTROL!$B$4&gt;0</formula>
    </cfRule>
    <cfRule type="expression" priority="2" dxfId="1">
      <formula>CONTROL!$B$4=0</formula>
    </cfRule>
  </conditionalFormatting>
  <conditionalFormatting sqref="B27:M28">
    <cfRule type="cellIs" priority="3" operator="greaterThanOrEqual" dxfId="2">
      <formula>1</formula>
    </cfRule>
  </conditionalFormatting>
  <conditionalFormatting sqref="B23:M24">
    <cfRule type="cellIs" priority="4" operator="lessThan" dxfId="3">
      <formula>0</formula>
    </cfRule>
  </conditionalFormatting>
  <dataValidations count="1">
    <dataValidation sqref="C4" showDropDown="0" showInputMessage="0" showErrorMessage="0" allowBlank="1" errorTitle="Mes inválido" error="Seleccione un mes del calendario financiero." type="list">
      <formula1>=LISTA_MESES</formula1>
    </dataValidation>
  </dataValidations>
  <printOptions horizontalCentered="1"/>
  <pageMargins left="0.4" right="0.4" top="0.5" bottom="0.5"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tabColor rgb="002E5C8A"/>
    <outlinePr summaryBelow="1" summaryRight="1"/>
    <pageSetUpPr fitToPage="1"/>
  </sheetPr>
  <dimension ref="A1:AD66"/>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14" customWidth="1" min="1" max="1"/>
    <col width="36" customWidth="1" min="2" max="2"/>
    <col width="16" customWidth="1" min="3" max="3"/>
    <col width="22" customWidth="1" min="4" max="4"/>
    <col width="13" customWidth="1" min="5" max="5"/>
    <col width="12" customWidth="1" min="6" max="6"/>
    <col width="11" customWidth="1" min="7" max="7"/>
    <col width="30" customWidth="1" min="8" max="8"/>
    <col width="22" customWidth="1" min="9" max="9"/>
    <col width="16" customWidth="1" min="10" max="10"/>
    <col width="15" customWidth="1" min="11" max="11"/>
    <col width="13" customWidth="1" min="12" max="12"/>
    <col width="12" customWidth="1" min="13" max="13"/>
    <col width="13" customWidth="1" min="14" max="14"/>
    <col width="12" customWidth="1" min="15" max="15"/>
    <col width="13" customWidth="1" min="16" max="16"/>
    <col width="15" customWidth="1" min="17" max="17"/>
    <col width="13" customWidth="1" min="18" max="18"/>
    <col width="14" customWidth="1" min="19" max="19"/>
    <col width="13" customWidth="1" min="20" max="20"/>
    <col width="12" customWidth="1" min="21" max="21"/>
    <col width="11" customWidth="1" min="22" max="22"/>
    <col width="14" customWidth="1" min="23" max="23"/>
    <col width="11" customWidth="1" min="24" max="24"/>
    <col width="11" customWidth="1" min="25" max="25"/>
    <col width="11" customWidth="1" min="26" max="26"/>
    <col width="12" customWidth="1" min="27" max="27"/>
    <col width="18" customWidth="1" min="28" max="28"/>
    <col width="14" customWidth="1" min="29" max="29"/>
    <col width="28" customWidth="1" min="30" max="30"/>
  </cols>
  <sheetData>
    <row r="1">
      <c r="A1" s="1" t="inlineStr">
        <is>
          <t>PRODUCTOS — Catálogo maestro</t>
        </is>
      </c>
    </row>
    <row r="2">
      <c r="A2" s="2" t="inlineStr">
        <is>
          <t>Una fila por SKU. Amarillo = usted lo escribe · Gris = lo calcula el sistema. Los costos se capturan en la hoja COSTOS y se reflejan aquí automáticamente.</t>
        </is>
      </c>
    </row>
    <row r="3" ht="30" customHeight="1">
      <c r="A3" s="32" t="inlineStr">
        <is>
          <t>⚠ REGLA DE PRECIOS:</t>
        </is>
      </c>
      <c r="B3" s="16" t="inlineStr">
        <is>
          <t>La columna «Precio de referencia del catálogo 2016» es SOLO INFORMATIVA y no entra en ningún cálculo. El sistema únicamente usa «Precio de venta actual», que nace vacío: usted debe escribirlo cuando defina sus precios reales.</t>
        </is>
      </c>
    </row>
    <row r="6" ht="48" customHeight="1">
      <c r="A6" s="11" t="inlineStr">
        <is>
          <t>SKU</t>
        </is>
      </c>
      <c r="B6" s="11" t="inlineStr">
        <is>
          <t>Nombre del producto</t>
        </is>
      </c>
      <c r="C6" s="11" t="inlineStr">
        <is>
          <t>Categoría</t>
        </is>
      </c>
      <c r="D6" s="11" t="inlineStr">
        <is>
          <t>Subcategoría</t>
        </is>
      </c>
      <c r="E6" s="11" t="inlineStr">
        <is>
          <t>Presentación</t>
        </is>
      </c>
      <c r="F6" s="11" t="inlineStr">
        <is>
          <t>Unidad de medida</t>
        </is>
      </c>
      <c r="G6" s="11" t="inlineStr">
        <is>
          <t>Contenido (mL)</t>
        </is>
      </c>
      <c r="H6" s="11" t="inlineStr">
        <is>
          <t>Aromas disponibles</t>
        </is>
      </c>
      <c r="I6" s="11" t="inlineStr">
        <is>
          <t>Proveedor principal</t>
        </is>
      </c>
      <c r="J6" s="11" t="inlineStr">
        <is>
          <t>Precio de referencia del catálogo 2016 (INFORMATIVO)</t>
        </is>
      </c>
      <c r="K6" s="11" t="inlineStr">
        <is>
          <t>Precio de venta actual</t>
        </is>
      </c>
      <c r="L6" s="11" t="inlineStr">
        <is>
          <t>Costo de compra unitario</t>
        </is>
      </c>
      <c r="M6" s="11" t="inlineStr">
        <is>
          <t>Transporte unitario</t>
        </is>
      </c>
      <c r="N6" s="11" t="inlineStr">
        <is>
          <t>Impuestos / aranceles unitarios</t>
        </is>
      </c>
      <c r="O6" s="11" t="inlineStr">
        <is>
          <t>Empaque unitario</t>
        </is>
      </c>
      <c r="P6" s="11" t="inlineStr">
        <is>
          <t>Otros costos variables unitarios</t>
        </is>
      </c>
      <c r="Q6" s="11" t="inlineStr">
        <is>
          <t>COSTO REAL UNITARIO</t>
        </is>
      </c>
      <c r="R6" s="11" t="inlineStr">
        <is>
          <t>Costo variable de venta unitario</t>
        </is>
      </c>
      <c r="S6" s="11" t="inlineStr">
        <is>
          <t>Costo variable TOTAL unitario</t>
        </is>
      </c>
      <c r="T6" s="11" t="inlineStr">
        <is>
          <t>Utilidad unitaria</t>
        </is>
      </c>
      <c r="U6" s="11" t="inlineStr">
        <is>
          <t>Margen bruto %</t>
        </is>
      </c>
      <c r="V6" s="11" t="inlineStr">
        <is>
          <t>Markup %</t>
        </is>
      </c>
      <c r="W6" s="11" t="inlineStr">
        <is>
          <t>Margen de contribución unitario</t>
        </is>
      </c>
      <c r="X6" s="11" t="inlineStr">
        <is>
          <t>Stock actual</t>
        </is>
      </c>
      <c r="Y6" s="11" t="inlineStr">
        <is>
          <t>Stock mínimo</t>
        </is>
      </c>
      <c r="Z6" s="11" t="inlineStr">
        <is>
          <t>Stock máximo</t>
        </is>
      </c>
      <c r="AA6" s="11" t="inlineStr">
        <is>
          <t>Estado</t>
        </is>
      </c>
      <c r="AB6" s="11" t="inlineStr">
        <is>
          <t>Estado de datos</t>
        </is>
      </c>
      <c r="AC6" s="11" t="inlineStr">
        <is>
          <t>Fecha de actualización</t>
        </is>
      </c>
      <c r="AD6" s="11" t="inlineStr">
        <is>
          <t>Notas</t>
        </is>
      </c>
    </row>
    <row r="7">
      <c r="A7" s="33" t="inlineStr">
        <is>
          <t>GEL-250</t>
        </is>
      </c>
      <c r="B7" s="33" t="inlineStr">
        <is>
          <t>Gel Desinfectante Antibacterial</t>
        </is>
      </c>
      <c r="C7" s="33" t="inlineStr">
        <is>
          <t>Hogar</t>
        </is>
      </c>
      <c r="D7" s="33" t="inlineStr">
        <is>
          <t>Desinfección personal</t>
        </is>
      </c>
      <c r="E7" s="33" t="inlineStr">
        <is>
          <t>250 mL</t>
        </is>
      </c>
      <c r="F7" s="33" t="inlineStr">
        <is>
          <t>Unidad</t>
        </is>
      </c>
      <c r="G7" s="34" t="n">
        <v>250</v>
      </c>
      <c r="H7" s="33" t="inlineStr">
        <is>
          <t>Original, Papaya, Fresa</t>
        </is>
      </c>
      <c r="I7" s="33" t="n"/>
      <c r="J7" s="35" t="n">
        <v>35</v>
      </c>
      <c r="K7" s="36" t="n"/>
      <c r="L7" s="37">
        <f>IF($A7="","",IFERROR(IF(INDEX(tblCostos[Costo de compra unitario],MATCH($A7,tblCostos[SKU],0))="","PENDIENTE",INDEX(tblCostos[Costo de compra unitario],MATCH($A7,tblCostos[SKU],0))),"PENDIENTE"))</f>
        <v/>
      </c>
      <c r="M7" s="37">
        <f>IF($A7="","",IFERROR(IF(INDEX(tblCostos[Transporte unitario],MATCH($A7,tblCostos[SKU],0))="","",INDEX(tblCostos[Transporte unitario],MATCH($A7,tblCostos[SKU],0))),""))</f>
        <v/>
      </c>
      <c r="N7" s="37">
        <f>IF($A7="","",IFERROR(IF(INDEX(tblCostos[Impuestos / aranceles unitarios],MATCH($A7,tblCostos[SKU],0))="","",INDEX(tblCostos[Impuestos / aranceles unitarios],MATCH($A7,tblCostos[SKU],0))),""))</f>
        <v/>
      </c>
      <c r="O7" s="37">
        <f>IF($A7="","",IFERROR(IF(INDEX(tblCostos[Empaque unitario],MATCH($A7,tblCostos[SKU],0))="","",INDEX(tblCostos[Empaque unitario],MATCH($A7,tblCostos[SKU],0))),""))</f>
        <v/>
      </c>
      <c r="P7" s="37">
        <f>IF($A7="","",IFERROR(IF(INDEX(tblCostos[Otros costos variables unitarios],MATCH($A7,tblCostos[SKU],0))="","",INDEX(tblCostos[Otros costos variables unitarios],MATCH($A7,tblCostos[SKU],0))),""))</f>
        <v/>
      </c>
      <c r="Q7" s="37">
        <f>IF($A7="","",IFERROR(IF(INDEX(tblCostos[COSTO REAL UNITARIO],MATCH($A7,tblCostos[SKU],0))="","PENDIENTE",INDEX(tblCostos[COSTO REAL UNITARIO],MATCH($A7,tblCostos[SKU],0))),"PENDIENTE"))</f>
        <v/>
      </c>
      <c r="R7" s="37">
        <f>IF($A7="","",IFERROR(IF(INDEX(tblCostos[Costo variable de venta unitario],MATCH($A7,tblCostos[SKU],0))="","",INDEX(tblCostos[Costo variable de venta unitario],MATCH($A7,tblCostos[SKU],0))),""))</f>
        <v/>
      </c>
      <c r="S7" s="37">
        <f>IF($A7="","",IF(NOT(ISNUMBER($Q7)),"PENDIENTE",$Q7+IF(ISNUMBER($R7),$R7,0)))</f>
        <v/>
      </c>
      <c r="T7" s="37">
        <f>IF($A7="","",IF(OR($K7="",NOT(ISNUMBER($K7)),NOT(ISNUMBER($Q7))),"PENDIENTE",$K7-$Q7))</f>
        <v/>
      </c>
      <c r="U7" s="38">
        <f>IF($A7="","",IF(OR(NOT(ISNUMBER($T7)),NOT(ISNUMBER($K7)),$K7&lt;=0),"PENDIENTE",$T7/$K7))</f>
        <v/>
      </c>
      <c r="V7" s="38">
        <f>IF($A7="","",IF(OR(NOT(ISNUMBER($T7)),NOT(ISNUMBER($Q7)),$Q7&lt;=0),"PENDIENTE",$T7/$Q7))</f>
        <v/>
      </c>
      <c r="W7" s="37">
        <f>IF($A7="","",IF(OR($K7="",NOT(ISNUMBER($K7)),NOT(ISNUMBER($S7))),"PENDIENTE",$K7-$S7))</f>
        <v/>
      </c>
      <c r="X7" s="39">
        <f>IF($A7="","",IFERROR(INDEX(tblInventario[Stock actual],MATCH($A7,tblInventario[SKU],0)),0))</f>
        <v/>
      </c>
      <c r="Y7" s="34" t="n"/>
      <c r="Z7" s="34" t="n"/>
      <c r="AA7" s="33" t="inlineStr">
        <is>
          <t>Activo</t>
        </is>
      </c>
      <c r="AB7" s="40">
        <f>IF($A7="","",IF(COUNTIF(tblCostos[SKU],$A7)=0,"SIN FILA EN COSTOS",IF(AND($K7="",NOT(ISNUMBER($Q7))),"FALTA PRECIO Y COSTO",IF($K7="","FALTA PRECIO",IF(NOT(ISNUMBER($Q7)),"FALTA COSTO",IF($T7&lt;0,"MARGEN NEGATIVO",IF($T7=0,"PRECIO = COSTO","COMPLETO")))))))</f>
        <v/>
      </c>
      <c r="AC7" s="41" t="n"/>
      <c r="AD7" s="33" t="n"/>
    </row>
    <row r="8">
      <c r="A8" s="33" t="inlineStr">
        <is>
          <t>GEL-500</t>
        </is>
      </c>
      <c r="B8" s="33" t="inlineStr">
        <is>
          <t>Gel Desinfectante Antibacterial</t>
        </is>
      </c>
      <c r="C8" s="33" t="inlineStr">
        <is>
          <t>Hogar</t>
        </is>
      </c>
      <c r="D8" s="33" t="inlineStr">
        <is>
          <t>Desinfección personal</t>
        </is>
      </c>
      <c r="E8" s="33" t="inlineStr">
        <is>
          <t>500 mL</t>
        </is>
      </c>
      <c r="F8" s="33" t="inlineStr">
        <is>
          <t>Unidad</t>
        </is>
      </c>
      <c r="G8" s="34" t="n">
        <v>500</v>
      </c>
      <c r="H8" s="33" t="inlineStr">
        <is>
          <t>Original, Papaya, Fresa</t>
        </is>
      </c>
      <c r="I8" s="33" t="n"/>
      <c r="J8" s="35" t="n">
        <v>70</v>
      </c>
      <c r="K8" s="36" t="n"/>
      <c r="L8" s="37">
        <f>IF($A8="","",IFERROR(IF(INDEX(tblCostos[Costo de compra unitario],MATCH($A8,tblCostos[SKU],0))="","PENDIENTE",INDEX(tblCostos[Costo de compra unitario],MATCH($A8,tblCostos[SKU],0))),"PENDIENTE"))</f>
        <v/>
      </c>
      <c r="M8" s="37">
        <f>IF($A8="","",IFERROR(IF(INDEX(tblCostos[Transporte unitario],MATCH($A8,tblCostos[SKU],0))="","",INDEX(tblCostos[Transporte unitario],MATCH($A8,tblCostos[SKU],0))),""))</f>
        <v/>
      </c>
      <c r="N8" s="37">
        <f>IF($A8="","",IFERROR(IF(INDEX(tblCostos[Impuestos / aranceles unitarios],MATCH($A8,tblCostos[SKU],0))="","",INDEX(tblCostos[Impuestos / aranceles unitarios],MATCH($A8,tblCostos[SKU],0))),""))</f>
        <v/>
      </c>
      <c r="O8" s="37">
        <f>IF($A8="","",IFERROR(IF(INDEX(tblCostos[Empaque unitario],MATCH($A8,tblCostos[SKU],0))="","",INDEX(tblCostos[Empaque unitario],MATCH($A8,tblCostos[SKU],0))),""))</f>
        <v/>
      </c>
      <c r="P8" s="37">
        <f>IF($A8="","",IFERROR(IF(INDEX(tblCostos[Otros costos variables unitarios],MATCH($A8,tblCostos[SKU],0))="","",INDEX(tblCostos[Otros costos variables unitarios],MATCH($A8,tblCostos[SKU],0))),""))</f>
        <v/>
      </c>
      <c r="Q8" s="37">
        <f>IF($A8="","",IFERROR(IF(INDEX(tblCostos[COSTO REAL UNITARIO],MATCH($A8,tblCostos[SKU],0))="","PENDIENTE",INDEX(tblCostos[COSTO REAL UNITARIO],MATCH($A8,tblCostos[SKU],0))),"PENDIENTE"))</f>
        <v/>
      </c>
      <c r="R8" s="37">
        <f>IF($A8="","",IFERROR(IF(INDEX(tblCostos[Costo variable de venta unitario],MATCH($A8,tblCostos[SKU],0))="","",INDEX(tblCostos[Costo variable de venta unitario],MATCH($A8,tblCostos[SKU],0))),""))</f>
        <v/>
      </c>
      <c r="S8" s="37">
        <f>IF($A8="","",IF(NOT(ISNUMBER($Q8)),"PENDIENTE",$Q8+IF(ISNUMBER($R8),$R8,0)))</f>
        <v/>
      </c>
      <c r="T8" s="37">
        <f>IF($A8="","",IF(OR($K8="",NOT(ISNUMBER($K8)),NOT(ISNUMBER($Q8))),"PENDIENTE",$K8-$Q8))</f>
        <v/>
      </c>
      <c r="U8" s="38">
        <f>IF($A8="","",IF(OR(NOT(ISNUMBER($T8)),NOT(ISNUMBER($K8)),$K8&lt;=0),"PENDIENTE",$T8/$K8))</f>
        <v/>
      </c>
      <c r="V8" s="38">
        <f>IF($A8="","",IF(OR(NOT(ISNUMBER($T8)),NOT(ISNUMBER($Q8)),$Q8&lt;=0),"PENDIENTE",$T8/$Q8))</f>
        <v/>
      </c>
      <c r="W8" s="37">
        <f>IF($A8="","",IF(OR($K8="",NOT(ISNUMBER($K8)),NOT(ISNUMBER($S8))),"PENDIENTE",$K8-$S8))</f>
        <v/>
      </c>
      <c r="X8" s="39">
        <f>IF($A8="","",IFERROR(INDEX(tblInventario[Stock actual],MATCH($A8,tblInventario[SKU],0)),0))</f>
        <v/>
      </c>
      <c r="Y8" s="34" t="n"/>
      <c r="Z8" s="34" t="n"/>
      <c r="AA8" s="33" t="inlineStr">
        <is>
          <t>Activo</t>
        </is>
      </c>
      <c r="AB8" s="40">
        <f>IF($A8="","",IF(COUNTIF(tblCostos[SKU],$A8)=0,"SIN FILA EN COSTOS",IF(AND($K8="",NOT(ISNUMBER($Q8))),"FALTA PRECIO Y COSTO",IF($K8="","FALTA PRECIO",IF(NOT(ISNUMBER($Q8)),"FALTA COSTO",IF($T8&lt;0,"MARGEN NEGATIVO",IF($T8=0,"PRECIO = COSTO","COMPLETO")))))))</f>
        <v/>
      </c>
      <c r="AC8" s="41" t="n"/>
      <c r="AD8" s="33" t="n"/>
    </row>
    <row r="9">
      <c r="A9" s="33" t="inlineStr">
        <is>
          <t>GEL-2L</t>
        </is>
      </c>
      <c r="B9" s="33" t="inlineStr">
        <is>
          <t>Gel Desinfectante Antibacterial</t>
        </is>
      </c>
      <c r="C9" s="33" t="inlineStr">
        <is>
          <t>Hogar</t>
        </is>
      </c>
      <c r="D9" s="33" t="inlineStr">
        <is>
          <t>Desinfección personal</t>
        </is>
      </c>
      <c r="E9" s="33" t="inlineStr">
        <is>
          <t>2 Litros</t>
        </is>
      </c>
      <c r="F9" s="33" t="inlineStr">
        <is>
          <t>Unidad</t>
        </is>
      </c>
      <c r="G9" s="34" t="n">
        <v>2000</v>
      </c>
      <c r="H9" s="33" t="inlineStr">
        <is>
          <t>Original, Papaya, Fresa</t>
        </is>
      </c>
      <c r="I9" s="33" t="n"/>
      <c r="J9" s="35" t="n">
        <v>140</v>
      </c>
      <c r="K9" s="36" t="n"/>
      <c r="L9" s="37">
        <f>IF($A9="","",IFERROR(IF(INDEX(tblCostos[Costo de compra unitario],MATCH($A9,tblCostos[SKU],0))="","PENDIENTE",INDEX(tblCostos[Costo de compra unitario],MATCH($A9,tblCostos[SKU],0))),"PENDIENTE"))</f>
        <v/>
      </c>
      <c r="M9" s="37">
        <f>IF($A9="","",IFERROR(IF(INDEX(tblCostos[Transporte unitario],MATCH($A9,tblCostos[SKU],0))="","",INDEX(tblCostos[Transporte unitario],MATCH($A9,tblCostos[SKU],0))),""))</f>
        <v/>
      </c>
      <c r="N9" s="37">
        <f>IF($A9="","",IFERROR(IF(INDEX(tblCostos[Impuestos / aranceles unitarios],MATCH($A9,tblCostos[SKU],0))="","",INDEX(tblCostos[Impuestos / aranceles unitarios],MATCH($A9,tblCostos[SKU],0))),""))</f>
        <v/>
      </c>
      <c r="O9" s="37">
        <f>IF($A9="","",IFERROR(IF(INDEX(tblCostos[Empaque unitario],MATCH($A9,tblCostos[SKU],0))="","",INDEX(tblCostos[Empaque unitario],MATCH($A9,tblCostos[SKU],0))),""))</f>
        <v/>
      </c>
      <c r="P9" s="37">
        <f>IF($A9="","",IFERROR(IF(INDEX(tblCostos[Otros costos variables unitarios],MATCH($A9,tblCostos[SKU],0))="","",INDEX(tblCostos[Otros costos variables unitarios],MATCH($A9,tblCostos[SKU],0))),""))</f>
        <v/>
      </c>
      <c r="Q9" s="37">
        <f>IF($A9="","",IFERROR(IF(INDEX(tblCostos[COSTO REAL UNITARIO],MATCH($A9,tblCostos[SKU],0))="","PENDIENTE",INDEX(tblCostos[COSTO REAL UNITARIO],MATCH($A9,tblCostos[SKU],0))),"PENDIENTE"))</f>
        <v/>
      </c>
      <c r="R9" s="37">
        <f>IF($A9="","",IFERROR(IF(INDEX(tblCostos[Costo variable de venta unitario],MATCH($A9,tblCostos[SKU],0))="","",INDEX(tblCostos[Costo variable de venta unitario],MATCH($A9,tblCostos[SKU],0))),""))</f>
        <v/>
      </c>
      <c r="S9" s="37">
        <f>IF($A9="","",IF(NOT(ISNUMBER($Q9)),"PENDIENTE",$Q9+IF(ISNUMBER($R9),$R9,0)))</f>
        <v/>
      </c>
      <c r="T9" s="37">
        <f>IF($A9="","",IF(OR($K9="",NOT(ISNUMBER($K9)),NOT(ISNUMBER($Q9))),"PENDIENTE",$K9-$Q9))</f>
        <v/>
      </c>
      <c r="U9" s="38">
        <f>IF($A9="","",IF(OR(NOT(ISNUMBER($T9)),NOT(ISNUMBER($K9)),$K9&lt;=0),"PENDIENTE",$T9/$K9))</f>
        <v/>
      </c>
      <c r="V9" s="38">
        <f>IF($A9="","",IF(OR(NOT(ISNUMBER($T9)),NOT(ISNUMBER($Q9)),$Q9&lt;=0),"PENDIENTE",$T9/$Q9))</f>
        <v/>
      </c>
      <c r="W9" s="37">
        <f>IF($A9="","",IF(OR($K9="",NOT(ISNUMBER($K9)),NOT(ISNUMBER($S9))),"PENDIENTE",$K9-$S9))</f>
        <v/>
      </c>
      <c r="X9" s="39">
        <f>IF($A9="","",IFERROR(INDEX(tblInventario[Stock actual],MATCH($A9,tblInventario[SKU],0)),0))</f>
        <v/>
      </c>
      <c r="Y9" s="34" t="n"/>
      <c r="Z9" s="34" t="n"/>
      <c r="AA9" s="33" t="inlineStr">
        <is>
          <t>Activo</t>
        </is>
      </c>
      <c r="AB9" s="40">
        <f>IF($A9="","",IF(COUNTIF(tblCostos[SKU],$A9)=0,"SIN FILA EN COSTOS",IF(AND($K9="",NOT(ISNUMBER($Q9))),"FALTA PRECIO Y COSTO",IF($K9="","FALTA PRECIO",IF(NOT(ISNUMBER($Q9)),"FALTA COSTO",IF($T9&lt;0,"MARGEN NEGATIVO",IF($T9=0,"PRECIO = COSTO","COMPLETO")))))))</f>
        <v/>
      </c>
      <c r="AC9" s="41" t="n"/>
      <c r="AD9" s="33" t="n"/>
    </row>
    <row r="10">
      <c r="A10" s="33" t="inlineStr">
        <is>
          <t>GEL-GAL</t>
        </is>
      </c>
      <c r="B10" s="33" t="inlineStr">
        <is>
          <t>Gel Desinfectante Antibacterial</t>
        </is>
      </c>
      <c r="C10" s="33" t="inlineStr">
        <is>
          <t>Hogar</t>
        </is>
      </c>
      <c r="D10" s="33" t="inlineStr">
        <is>
          <t>Desinfección personal</t>
        </is>
      </c>
      <c r="E10" s="33" t="inlineStr">
        <is>
          <t>Galón</t>
        </is>
      </c>
      <c r="F10" s="33" t="inlineStr">
        <is>
          <t>Unidad</t>
        </is>
      </c>
      <c r="G10" s="34" t="n">
        <v>3785</v>
      </c>
      <c r="H10" s="33" t="inlineStr">
        <is>
          <t>Original, Papaya, Fresa</t>
        </is>
      </c>
      <c r="I10" s="33" t="n"/>
      <c r="J10" s="35" t="n">
        <v>330</v>
      </c>
      <c r="K10" s="36" t="n"/>
      <c r="L10" s="37">
        <f>IF($A10="","",IFERROR(IF(INDEX(tblCostos[Costo de compra unitario],MATCH($A10,tblCostos[SKU],0))="","PENDIENTE",INDEX(tblCostos[Costo de compra unitario],MATCH($A10,tblCostos[SKU],0))),"PENDIENTE"))</f>
        <v/>
      </c>
      <c r="M10" s="37">
        <f>IF($A10="","",IFERROR(IF(INDEX(tblCostos[Transporte unitario],MATCH($A10,tblCostos[SKU],0))="","",INDEX(tblCostos[Transporte unitario],MATCH($A10,tblCostos[SKU],0))),""))</f>
        <v/>
      </c>
      <c r="N10" s="37">
        <f>IF($A10="","",IFERROR(IF(INDEX(tblCostos[Impuestos / aranceles unitarios],MATCH($A10,tblCostos[SKU],0))="","",INDEX(tblCostos[Impuestos / aranceles unitarios],MATCH($A10,tblCostos[SKU],0))),""))</f>
        <v/>
      </c>
      <c r="O10" s="37">
        <f>IF($A10="","",IFERROR(IF(INDEX(tblCostos[Empaque unitario],MATCH($A10,tblCostos[SKU],0))="","",INDEX(tblCostos[Empaque unitario],MATCH($A10,tblCostos[SKU],0))),""))</f>
        <v/>
      </c>
      <c r="P10" s="37">
        <f>IF($A10="","",IFERROR(IF(INDEX(tblCostos[Otros costos variables unitarios],MATCH($A10,tblCostos[SKU],0))="","",INDEX(tblCostos[Otros costos variables unitarios],MATCH($A10,tblCostos[SKU],0))),""))</f>
        <v/>
      </c>
      <c r="Q10" s="37">
        <f>IF($A10="","",IFERROR(IF(INDEX(tblCostos[COSTO REAL UNITARIO],MATCH($A10,tblCostos[SKU],0))="","PENDIENTE",INDEX(tblCostos[COSTO REAL UNITARIO],MATCH($A10,tblCostos[SKU],0))),"PENDIENTE"))</f>
        <v/>
      </c>
      <c r="R10" s="37">
        <f>IF($A10="","",IFERROR(IF(INDEX(tblCostos[Costo variable de venta unitario],MATCH($A10,tblCostos[SKU],0))="","",INDEX(tblCostos[Costo variable de venta unitario],MATCH($A10,tblCostos[SKU],0))),""))</f>
        <v/>
      </c>
      <c r="S10" s="37">
        <f>IF($A10="","",IF(NOT(ISNUMBER($Q10)),"PENDIENTE",$Q10+IF(ISNUMBER($R10),$R10,0)))</f>
        <v/>
      </c>
      <c r="T10" s="37">
        <f>IF($A10="","",IF(OR($K10="",NOT(ISNUMBER($K10)),NOT(ISNUMBER($Q10))),"PENDIENTE",$K10-$Q10))</f>
        <v/>
      </c>
      <c r="U10" s="38">
        <f>IF($A10="","",IF(OR(NOT(ISNUMBER($T10)),NOT(ISNUMBER($K10)),$K10&lt;=0),"PENDIENTE",$T10/$K10))</f>
        <v/>
      </c>
      <c r="V10" s="38">
        <f>IF($A10="","",IF(OR(NOT(ISNUMBER($T10)),NOT(ISNUMBER($Q10)),$Q10&lt;=0),"PENDIENTE",$T10/$Q10))</f>
        <v/>
      </c>
      <c r="W10" s="37">
        <f>IF($A10="","",IF(OR($K10="",NOT(ISNUMBER($K10)),NOT(ISNUMBER($S10))),"PENDIENTE",$K10-$S10))</f>
        <v/>
      </c>
      <c r="X10" s="39">
        <f>IF($A10="","",IFERROR(INDEX(tblInventario[Stock actual],MATCH($A10,tblInventario[SKU],0)),0))</f>
        <v/>
      </c>
      <c r="Y10" s="34" t="n"/>
      <c r="Z10" s="34" t="n"/>
      <c r="AA10" s="33" t="inlineStr">
        <is>
          <t>Activo</t>
        </is>
      </c>
      <c r="AB10" s="40">
        <f>IF($A10="","",IF(COUNTIF(tblCostos[SKU],$A10)=0,"SIN FILA EN COSTOS",IF(AND($K10="",NOT(ISNUMBER($Q10))),"FALTA PRECIO Y COSTO",IF($K10="","FALTA PRECIO",IF(NOT(ISNUMBER($Q10)),"FALTA COSTO",IF($T10&lt;0,"MARGEN NEGATIVO",IF($T10=0,"PRECIO = COSTO","COMPLETO")))))))</f>
        <v/>
      </c>
      <c r="AC10" s="41" t="n"/>
      <c r="AD10" s="33" t="n"/>
    </row>
    <row r="11">
      <c r="A11" s="33" t="inlineStr">
        <is>
          <t>JAB-500</t>
        </is>
      </c>
      <c r="B11" s="33" t="inlineStr">
        <is>
          <t>Jabón Líquido para Manos</t>
        </is>
      </c>
      <c r="C11" s="33" t="inlineStr">
        <is>
          <t>Hogar</t>
        </is>
      </c>
      <c r="D11" s="33" t="inlineStr">
        <is>
          <t>Cuidado personal</t>
        </is>
      </c>
      <c r="E11" s="33" t="inlineStr">
        <is>
          <t>500 mL</t>
        </is>
      </c>
      <c r="F11" s="33" t="inlineStr">
        <is>
          <t>Unidad</t>
        </is>
      </c>
      <c r="G11" s="34" t="n">
        <v>500</v>
      </c>
      <c r="H11" s="33" t="inlineStr">
        <is>
          <t>Chicle, Floral, Frutas tropicales, Coco, Cherry, Fresh</t>
        </is>
      </c>
      <c r="I11" s="33" t="n"/>
      <c r="J11" s="35" t="n">
        <v>60</v>
      </c>
      <c r="K11" s="36" t="n"/>
      <c r="L11" s="37">
        <f>IF($A11="","",IFERROR(IF(INDEX(tblCostos[Costo de compra unitario],MATCH($A11,tblCostos[SKU],0))="","PENDIENTE",INDEX(tblCostos[Costo de compra unitario],MATCH($A11,tblCostos[SKU],0))),"PENDIENTE"))</f>
        <v/>
      </c>
      <c r="M11" s="37">
        <f>IF($A11="","",IFERROR(IF(INDEX(tblCostos[Transporte unitario],MATCH($A11,tblCostos[SKU],0))="","",INDEX(tblCostos[Transporte unitario],MATCH($A11,tblCostos[SKU],0))),""))</f>
        <v/>
      </c>
      <c r="N11" s="37">
        <f>IF($A11="","",IFERROR(IF(INDEX(tblCostos[Impuestos / aranceles unitarios],MATCH($A11,tblCostos[SKU],0))="","",INDEX(tblCostos[Impuestos / aranceles unitarios],MATCH($A11,tblCostos[SKU],0))),""))</f>
        <v/>
      </c>
      <c r="O11" s="37">
        <f>IF($A11="","",IFERROR(IF(INDEX(tblCostos[Empaque unitario],MATCH($A11,tblCostos[SKU],0))="","",INDEX(tblCostos[Empaque unitario],MATCH($A11,tblCostos[SKU],0))),""))</f>
        <v/>
      </c>
      <c r="P11" s="37">
        <f>IF($A11="","",IFERROR(IF(INDEX(tblCostos[Otros costos variables unitarios],MATCH($A11,tblCostos[SKU],0))="","",INDEX(tblCostos[Otros costos variables unitarios],MATCH($A11,tblCostos[SKU],0))),""))</f>
        <v/>
      </c>
      <c r="Q11" s="37">
        <f>IF($A11="","",IFERROR(IF(INDEX(tblCostos[COSTO REAL UNITARIO],MATCH($A11,tblCostos[SKU],0))="","PENDIENTE",INDEX(tblCostos[COSTO REAL UNITARIO],MATCH($A11,tblCostos[SKU],0))),"PENDIENTE"))</f>
        <v/>
      </c>
      <c r="R11" s="37">
        <f>IF($A11="","",IFERROR(IF(INDEX(tblCostos[Costo variable de venta unitario],MATCH($A11,tblCostos[SKU],0))="","",INDEX(tblCostos[Costo variable de venta unitario],MATCH($A11,tblCostos[SKU],0))),""))</f>
        <v/>
      </c>
      <c r="S11" s="37">
        <f>IF($A11="","",IF(NOT(ISNUMBER($Q11)),"PENDIENTE",$Q11+IF(ISNUMBER($R11),$R11,0)))</f>
        <v/>
      </c>
      <c r="T11" s="37">
        <f>IF($A11="","",IF(OR($K11="",NOT(ISNUMBER($K11)),NOT(ISNUMBER($Q11))),"PENDIENTE",$K11-$Q11))</f>
        <v/>
      </c>
      <c r="U11" s="38">
        <f>IF($A11="","",IF(OR(NOT(ISNUMBER($T11)),NOT(ISNUMBER($K11)),$K11&lt;=0),"PENDIENTE",$T11/$K11))</f>
        <v/>
      </c>
      <c r="V11" s="38">
        <f>IF($A11="","",IF(OR(NOT(ISNUMBER($T11)),NOT(ISNUMBER($Q11)),$Q11&lt;=0),"PENDIENTE",$T11/$Q11))</f>
        <v/>
      </c>
      <c r="W11" s="37">
        <f>IF($A11="","",IF(OR($K11="",NOT(ISNUMBER($K11)),NOT(ISNUMBER($S11))),"PENDIENTE",$K11-$S11))</f>
        <v/>
      </c>
      <c r="X11" s="39">
        <f>IF($A11="","",IFERROR(INDEX(tblInventario[Stock actual],MATCH($A11,tblInventario[SKU],0)),0))</f>
        <v/>
      </c>
      <c r="Y11" s="34" t="n"/>
      <c r="Z11" s="34" t="n"/>
      <c r="AA11" s="33" t="inlineStr">
        <is>
          <t>Activo</t>
        </is>
      </c>
      <c r="AB11" s="40">
        <f>IF($A11="","",IF(COUNTIF(tblCostos[SKU],$A11)=0,"SIN FILA EN COSTOS",IF(AND($K11="",NOT(ISNUMBER($Q11))),"FALTA PRECIO Y COSTO",IF($K11="","FALTA PRECIO",IF(NOT(ISNUMBER($Q11)),"FALTA COSTO",IF($T11&lt;0,"MARGEN NEGATIVO",IF($T11=0,"PRECIO = COSTO","COMPLETO")))))))</f>
        <v/>
      </c>
      <c r="AC11" s="41" t="n"/>
      <c r="AD11" s="33" t="n"/>
    </row>
    <row r="12">
      <c r="A12" s="33" t="inlineStr">
        <is>
          <t>JAB-2L</t>
        </is>
      </c>
      <c r="B12" s="33" t="inlineStr">
        <is>
          <t>Jabón Líquido para Manos</t>
        </is>
      </c>
      <c r="C12" s="33" t="inlineStr">
        <is>
          <t>Hogar</t>
        </is>
      </c>
      <c r="D12" s="33" t="inlineStr">
        <is>
          <t>Cuidado personal</t>
        </is>
      </c>
      <c r="E12" s="33" t="inlineStr">
        <is>
          <t>2 Litros</t>
        </is>
      </c>
      <c r="F12" s="33" t="inlineStr">
        <is>
          <t>Unidad</t>
        </is>
      </c>
      <c r="G12" s="34" t="n">
        <v>2000</v>
      </c>
      <c r="H12" s="33" t="inlineStr">
        <is>
          <t>Chicle, Floral, Frutas tropicales, Coco, Cherry, Fresh</t>
        </is>
      </c>
      <c r="I12" s="33" t="n"/>
      <c r="J12" s="35" t="n">
        <v>100</v>
      </c>
      <c r="K12" s="36" t="n"/>
      <c r="L12" s="37">
        <f>IF($A12="","",IFERROR(IF(INDEX(tblCostos[Costo de compra unitario],MATCH($A12,tblCostos[SKU],0))="","PENDIENTE",INDEX(tblCostos[Costo de compra unitario],MATCH($A12,tblCostos[SKU],0))),"PENDIENTE"))</f>
        <v/>
      </c>
      <c r="M12" s="37">
        <f>IF($A12="","",IFERROR(IF(INDEX(tblCostos[Transporte unitario],MATCH($A12,tblCostos[SKU],0))="","",INDEX(tblCostos[Transporte unitario],MATCH($A12,tblCostos[SKU],0))),""))</f>
        <v/>
      </c>
      <c r="N12" s="37">
        <f>IF($A12="","",IFERROR(IF(INDEX(tblCostos[Impuestos / aranceles unitarios],MATCH($A12,tblCostos[SKU],0))="","",INDEX(tblCostos[Impuestos / aranceles unitarios],MATCH($A12,tblCostos[SKU],0))),""))</f>
        <v/>
      </c>
      <c r="O12" s="37">
        <f>IF($A12="","",IFERROR(IF(INDEX(tblCostos[Empaque unitario],MATCH($A12,tblCostos[SKU],0))="","",INDEX(tblCostos[Empaque unitario],MATCH($A12,tblCostos[SKU],0))),""))</f>
        <v/>
      </c>
      <c r="P12" s="37">
        <f>IF($A12="","",IFERROR(IF(INDEX(tblCostos[Otros costos variables unitarios],MATCH($A12,tblCostos[SKU],0))="","",INDEX(tblCostos[Otros costos variables unitarios],MATCH($A12,tblCostos[SKU],0))),""))</f>
        <v/>
      </c>
      <c r="Q12" s="37">
        <f>IF($A12="","",IFERROR(IF(INDEX(tblCostos[COSTO REAL UNITARIO],MATCH($A12,tblCostos[SKU],0))="","PENDIENTE",INDEX(tblCostos[COSTO REAL UNITARIO],MATCH($A12,tblCostos[SKU],0))),"PENDIENTE"))</f>
        <v/>
      </c>
      <c r="R12" s="37">
        <f>IF($A12="","",IFERROR(IF(INDEX(tblCostos[Costo variable de venta unitario],MATCH($A12,tblCostos[SKU],0))="","",INDEX(tblCostos[Costo variable de venta unitario],MATCH($A12,tblCostos[SKU],0))),""))</f>
        <v/>
      </c>
      <c r="S12" s="37">
        <f>IF($A12="","",IF(NOT(ISNUMBER($Q12)),"PENDIENTE",$Q12+IF(ISNUMBER($R12),$R12,0)))</f>
        <v/>
      </c>
      <c r="T12" s="37">
        <f>IF($A12="","",IF(OR($K12="",NOT(ISNUMBER($K12)),NOT(ISNUMBER($Q12))),"PENDIENTE",$K12-$Q12))</f>
        <v/>
      </c>
      <c r="U12" s="38">
        <f>IF($A12="","",IF(OR(NOT(ISNUMBER($T12)),NOT(ISNUMBER($K12)),$K12&lt;=0),"PENDIENTE",$T12/$K12))</f>
        <v/>
      </c>
      <c r="V12" s="38">
        <f>IF($A12="","",IF(OR(NOT(ISNUMBER($T12)),NOT(ISNUMBER($Q12)),$Q12&lt;=0),"PENDIENTE",$T12/$Q12))</f>
        <v/>
      </c>
      <c r="W12" s="37">
        <f>IF($A12="","",IF(OR($K12="",NOT(ISNUMBER($K12)),NOT(ISNUMBER($S12))),"PENDIENTE",$K12-$S12))</f>
        <v/>
      </c>
      <c r="X12" s="39">
        <f>IF($A12="","",IFERROR(INDEX(tblInventario[Stock actual],MATCH($A12,tblInventario[SKU],0)),0))</f>
        <v/>
      </c>
      <c r="Y12" s="34" t="n"/>
      <c r="Z12" s="34" t="n"/>
      <c r="AA12" s="33" t="inlineStr">
        <is>
          <t>Activo</t>
        </is>
      </c>
      <c r="AB12" s="40">
        <f>IF($A12="","",IF(COUNTIF(tblCostos[SKU],$A12)=0,"SIN FILA EN COSTOS",IF(AND($K12="",NOT(ISNUMBER($Q12))),"FALTA PRECIO Y COSTO",IF($K12="","FALTA PRECIO",IF(NOT(ISNUMBER($Q12)),"FALTA COSTO",IF($T12&lt;0,"MARGEN NEGATIVO",IF($T12=0,"PRECIO = COSTO","COMPLETO")))))))</f>
        <v/>
      </c>
      <c r="AC12" s="41" t="n"/>
      <c r="AD12" s="33" t="n"/>
    </row>
    <row r="13">
      <c r="A13" s="33" t="inlineStr">
        <is>
          <t>JAB-GAL</t>
        </is>
      </c>
      <c r="B13" s="33" t="inlineStr">
        <is>
          <t>Jabón Líquido para Manos</t>
        </is>
      </c>
      <c r="C13" s="33" t="inlineStr">
        <is>
          <t>Hogar</t>
        </is>
      </c>
      <c r="D13" s="33" t="inlineStr">
        <is>
          <t>Cuidado personal</t>
        </is>
      </c>
      <c r="E13" s="33" t="inlineStr">
        <is>
          <t>Galón</t>
        </is>
      </c>
      <c r="F13" s="33" t="inlineStr">
        <is>
          <t>Unidad</t>
        </is>
      </c>
      <c r="G13" s="34" t="n">
        <v>3785</v>
      </c>
      <c r="H13" s="33" t="inlineStr">
        <is>
          <t>Chicle, Floral, Frutas tropicales, Coco, Cherry, Fresh</t>
        </is>
      </c>
      <c r="I13" s="33" t="n"/>
      <c r="J13" s="35" t="n">
        <v>150</v>
      </c>
      <c r="K13" s="36" t="n"/>
      <c r="L13" s="37">
        <f>IF($A13="","",IFERROR(IF(INDEX(tblCostos[Costo de compra unitario],MATCH($A13,tblCostos[SKU],0))="","PENDIENTE",INDEX(tblCostos[Costo de compra unitario],MATCH($A13,tblCostos[SKU],0))),"PENDIENTE"))</f>
        <v/>
      </c>
      <c r="M13" s="37">
        <f>IF($A13="","",IFERROR(IF(INDEX(tblCostos[Transporte unitario],MATCH($A13,tblCostos[SKU],0))="","",INDEX(tblCostos[Transporte unitario],MATCH($A13,tblCostos[SKU],0))),""))</f>
        <v/>
      </c>
      <c r="N13" s="37">
        <f>IF($A13="","",IFERROR(IF(INDEX(tblCostos[Impuestos / aranceles unitarios],MATCH($A13,tblCostos[SKU],0))="","",INDEX(tblCostos[Impuestos / aranceles unitarios],MATCH($A13,tblCostos[SKU],0))),""))</f>
        <v/>
      </c>
      <c r="O13" s="37">
        <f>IF($A13="","",IFERROR(IF(INDEX(tblCostos[Empaque unitario],MATCH($A13,tblCostos[SKU],0))="","",INDEX(tblCostos[Empaque unitario],MATCH($A13,tblCostos[SKU],0))),""))</f>
        <v/>
      </c>
      <c r="P13" s="37">
        <f>IF($A13="","",IFERROR(IF(INDEX(tblCostos[Otros costos variables unitarios],MATCH($A13,tblCostos[SKU],0))="","",INDEX(tblCostos[Otros costos variables unitarios],MATCH($A13,tblCostos[SKU],0))),""))</f>
        <v/>
      </c>
      <c r="Q13" s="37">
        <f>IF($A13="","",IFERROR(IF(INDEX(tblCostos[COSTO REAL UNITARIO],MATCH($A13,tblCostos[SKU],0))="","PENDIENTE",INDEX(tblCostos[COSTO REAL UNITARIO],MATCH($A13,tblCostos[SKU],0))),"PENDIENTE"))</f>
        <v/>
      </c>
      <c r="R13" s="37">
        <f>IF($A13="","",IFERROR(IF(INDEX(tblCostos[Costo variable de venta unitario],MATCH($A13,tblCostos[SKU],0))="","",INDEX(tblCostos[Costo variable de venta unitario],MATCH($A13,tblCostos[SKU],0))),""))</f>
        <v/>
      </c>
      <c r="S13" s="37">
        <f>IF($A13="","",IF(NOT(ISNUMBER($Q13)),"PENDIENTE",$Q13+IF(ISNUMBER($R13),$R13,0)))</f>
        <v/>
      </c>
      <c r="T13" s="37">
        <f>IF($A13="","",IF(OR($K13="",NOT(ISNUMBER($K13)),NOT(ISNUMBER($Q13))),"PENDIENTE",$K13-$Q13))</f>
        <v/>
      </c>
      <c r="U13" s="38">
        <f>IF($A13="","",IF(OR(NOT(ISNUMBER($T13)),NOT(ISNUMBER($K13)),$K13&lt;=0),"PENDIENTE",$T13/$K13))</f>
        <v/>
      </c>
      <c r="V13" s="38">
        <f>IF($A13="","",IF(OR(NOT(ISNUMBER($T13)),NOT(ISNUMBER($Q13)),$Q13&lt;=0),"PENDIENTE",$T13/$Q13))</f>
        <v/>
      </c>
      <c r="W13" s="37">
        <f>IF($A13="","",IF(OR($K13="",NOT(ISNUMBER($K13)),NOT(ISNUMBER($S13))),"PENDIENTE",$K13-$S13))</f>
        <v/>
      </c>
      <c r="X13" s="39">
        <f>IF($A13="","",IFERROR(INDEX(tblInventario[Stock actual],MATCH($A13,tblInventario[SKU],0)),0))</f>
        <v/>
      </c>
      <c r="Y13" s="34" t="n"/>
      <c r="Z13" s="34" t="n"/>
      <c r="AA13" s="33" t="inlineStr">
        <is>
          <t>Activo</t>
        </is>
      </c>
      <c r="AB13" s="40">
        <f>IF($A13="","",IF(COUNTIF(tblCostos[SKU],$A13)=0,"SIN FILA EN COSTOS",IF(AND($K13="",NOT(ISNUMBER($Q13))),"FALTA PRECIO Y COSTO",IF($K13="","FALTA PRECIO",IF(NOT(ISNUMBER($Q13)),"FALTA COSTO",IF($T13&lt;0,"MARGEN NEGATIVO",IF($T13=0,"PRECIO = COSTO","COMPLETO")))))))</f>
        <v/>
      </c>
      <c r="AC13" s="41" t="n"/>
      <c r="AD13" s="33" t="n"/>
    </row>
    <row r="14">
      <c r="A14" s="33" t="inlineStr">
        <is>
          <t>SUA-GAL</t>
        </is>
      </c>
      <c r="B14" s="33" t="inlineStr">
        <is>
          <t>Suavizante sin Enjuague</t>
        </is>
      </c>
      <c r="C14" s="33" t="inlineStr">
        <is>
          <t>Lavandería</t>
        </is>
      </c>
      <c r="D14" s="33" t="inlineStr">
        <is>
          <t>Suavizantes</t>
        </is>
      </c>
      <c r="E14" s="33" t="inlineStr">
        <is>
          <t>Galón</t>
        </is>
      </c>
      <c r="F14" s="33" t="inlineStr">
        <is>
          <t>Unidad</t>
        </is>
      </c>
      <c r="G14" s="34" t="n">
        <v>3785</v>
      </c>
      <c r="H14" s="33" t="inlineStr">
        <is>
          <t>Floral</t>
        </is>
      </c>
      <c r="I14" s="33" t="n"/>
      <c r="J14" s="35" t="n">
        <v>130</v>
      </c>
      <c r="K14" s="36" t="n"/>
      <c r="L14" s="37">
        <f>IF($A14="","",IFERROR(IF(INDEX(tblCostos[Costo de compra unitario],MATCH($A14,tblCostos[SKU],0))="","PENDIENTE",INDEX(tblCostos[Costo de compra unitario],MATCH($A14,tblCostos[SKU],0))),"PENDIENTE"))</f>
        <v/>
      </c>
      <c r="M14" s="37">
        <f>IF($A14="","",IFERROR(IF(INDEX(tblCostos[Transporte unitario],MATCH($A14,tblCostos[SKU],0))="","",INDEX(tblCostos[Transporte unitario],MATCH($A14,tblCostos[SKU],0))),""))</f>
        <v/>
      </c>
      <c r="N14" s="37">
        <f>IF($A14="","",IFERROR(IF(INDEX(tblCostos[Impuestos / aranceles unitarios],MATCH($A14,tblCostos[SKU],0))="","",INDEX(tblCostos[Impuestos / aranceles unitarios],MATCH($A14,tblCostos[SKU],0))),""))</f>
        <v/>
      </c>
      <c r="O14" s="37">
        <f>IF($A14="","",IFERROR(IF(INDEX(tblCostos[Empaque unitario],MATCH($A14,tblCostos[SKU],0))="","",INDEX(tblCostos[Empaque unitario],MATCH($A14,tblCostos[SKU],0))),""))</f>
        <v/>
      </c>
      <c r="P14" s="37">
        <f>IF($A14="","",IFERROR(IF(INDEX(tblCostos[Otros costos variables unitarios],MATCH($A14,tblCostos[SKU],0))="","",INDEX(tblCostos[Otros costos variables unitarios],MATCH($A14,tblCostos[SKU],0))),""))</f>
        <v/>
      </c>
      <c r="Q14" s="37">
        <f>IF($A14="","",IFERROR(IF(INDEX(tblCostos[COSTO REAL UNITARIO],MATCH($A14,tblCostos[SKU],0))="","PENDIENTE",INDEX(tblCostos[COSTO REAL UNITARIO],MATCH($A14,tblCostos[SKU],0))),"PENDIENTE"))</f>
        <v/>
      </c>
      <c r="R14" s="37">
        <f>IF($A14="","",IFERROR(IF(INDEX(tblCostos[Costo variable de venta unitario],MATCH($A14,tblCostos[SKU],0))="","",INDEX(tblCostos[Costo variable de venta unitario],MATCH($A14,tblCostos[SKU],0))),""))</f>
        <v/>
      </c>
      <c r="S14" s="37">
        <f>IF($A14="","",IF(NOT(ISNUMBER($Q14)),"PENDIENTE",$Q14+IF(ISNUMBER($R14),$R14,0)))</f>
        <v/>
      </c>
      <c r="T14" s="37">
        <f>IF($A14="","",IF(OR($K14="",NOT(ISNUMBER($K14)),NOT(ISNUMBER($Q14))),"PENDIENTE",$K14-$Q14))</f>
        <v/>
      </c>
      <c r="U14" s="38">
        <f>IF($A14="","",IF(OR(NOT(ISNUMBER($T14)),NOT(ISNUMBER($K14)),$K14&lt;=0),"PENDIENTE",$T14/$K14))</f>
        <v/>
      </c>
      <c r="V14" s="38">
        <f>IF($A14="","",IF(OR(NOT(ISNUMBER($T14)),NOT(ISNUMBER($Q14)),$Q14&lt;=0),"PENDIENTE",$T14/$Q14))</f>
        <v/>
      </c>
      <c r="W14" s="37">
        <f>IF($A14="","",IF(OR($K14="",NOT(ISNUMBER($K14)),NOT(ISNUMBER($S14))),"PENDIENTE",$K14-$S14))</f>
        <v/>
      </c>
      <c r="X14" s="39">
        <f>IF($A14="","",IFERROR(INDEX(tblInventario[Stock actual],MATCH($A14,tblInventario[SKU],0)),0))</f>
        <v/>
      </c>
      <c r="Y14" s="34" t="n"/>
      <c r="Z14" s="34" t="n"/>
      <c r="AA14" s="33" t="inlineStr">
        <is>
          <t>Activo</t>
        </is>
      </c>
      <c r="AB14" s="40">
        <f>IF($A14="","",IF(COUNTIF(tblCostos[SKU],$A14)=0,"SIN FILA EN COSTOS",IF(AND($K14="",NOT(ISNUMBER($Q14))),"FALTA PRECIO Y COSTO",IF($K14="","FALTA PRECIO",IF(NOT(ISNUMBER($Q14)),"FALTA COSTO",IF($T14&lt;0,"MARGEN NEGATIVO",IF($T14=0,"PRECIO = COSTO","COMPLETO")))))))</f>
        <v/>
      </c>
      <c r="AC14" s="41" t="n"/>
      <c r="AD14" s="33" t="n"/>
    </row>
    <row r="15">
      <c r="A15" s="33" t="inlineStr">
        <is>
          <t>DET-GAL</t>
        </is>
      </c>
      <c r="B15" s="33" t="inlineStr">
        <is>
          <t>Detergente Líquido para Lavadora</t>
        </is>
      </c>
      <c r="C15" s="33" t="inlineStr">
        <is>
          <t>Lavandería</t>
        </is>
      </c>
      <c r="D15" s="33" t="inlineStr">
        <is>
          <t>Detergentes</t>
        </is>
      </c>
      <c r="E15" s="33" t="inlineStr">
        <is>
          <t>Galón</t>
        </is>
      </c>
      <c r="F15" s="33" t="inlineStr">
        <is>
          <t>Unidad</t>
        </is>
      </c>
      <c r="G15" s="34" t="n">
        <v>3785</v>
      </c>
      <c r="H15" s="33" t="inlineStr">
        <is>
          <t>Floral</t>
        </is>
      </c>
      <c r="I15" s="33" t="n"/>
      <c r="J15" s="35" t="n">
        <v>140</v>
      </c>
      <c r="K15" s="36" t="n"/>
      <c r="L15" s="37">
        <f>IF($A15="","",IFERROR(IF(INDEX(tblCostos[Costo de compra unitario],MATCH($A15,tblCostos[SKU],0))="","PENDIENTE",INDEX(tblCostos[Costo de compra unitario],MATCH($A15,tblCostos[SKU],0))),"PENDIENTE"))</f>
        <v/>
      </c>
      <c r="M15" s="37">
        <f>IF($A15="","",IFERROR(IF(INDEX(tblCostos[Transporte unitario],MATCH($A15,tblCostos[SKU],0))="","",INDEX(tblCostos[Transporte unitario],MATCH($A15,tblCostos[SKU],0))),""))</f>
        <v/>
      </c>
      <c r="N15" s="37">
        <f>IF($A15="","",IFERROR(IF(INDEX(tblCostos[Impuestos / aranceles unitarios],MATCH($A15,tblCostos[SKU],0))="","",INDEX(tblCostos[Impuestos / aranceles unitarios],MATCH($A15,tblCostos[SKU],0))),""))</f>
        <v/>
      </c>
      <c r="O15" s="37">
        <f>IF($A15="","",IFERROR(IF(INDEX(tblCostos[Empaque unitario],MATCH($A15,tblCostos[SKU],0))="","",INDEX(tblCostos[Empaque unitario],MATCH($A15,tblCostos[SKU],0))),""))</f>
        <v/>
      </c>
      <c r="P15" s="37">
        <f>IF($A15="","",IFERROR(IF(INDEX(tblCostos[Otros costos variables unitarios],MATCH($A15,tblCostos[SKU],0))="","",INDEX(tblCostos[Otros costos variables unitarios],MATCH($A15,tblCostos[SKU],0))),""))</f>
        <v/>
      </c>
      <c r="Q15" s="37">
        <f>IF($A15="","",IFERROR(IF(INDEX(tblCostos[COSTO REAL UNITARIO],MATCH($A15,tblCostos[SKU],0))="","PENDIENTE",INDEX(tblCostos[COSTO REAL UNITARIO],MATCH($A15,tblCostos[SKU],0))),"PENDIENTE"))</f>
        <v/>
      </c>
      <c r="R15" s="37">
        <f>IF($A15="","",IFERROR(IF(INDEX(tblCostos[Costo variable de venta unitario],MATCH($A15,tblCostos[SKU],0))="","",INDEX(tblCostos[Costo variable de venta unitario],MATCH($A15,tblCostos[SKU],0))),""))</f>
        <v/>
      </c>
      <c r="S15" s="37">
        <f>IF($A15="","",IF(NOT(ISNUMBER($Q15)),"PENDIENTE",$Q15+IF(ISNUMBER($R15),$R15,0)))</f>
        <v/>
      </c>
      <c r="T15" s="37">
        <f>IF($A15="","",IF(OR($K15="",NOT(ISNUMBER($K15)),NOT(ISNUMBER($Q15))),"PENDIENTE",$K15-$Q15))</f>
        <v/>
      </c>
      <c r="U15" s="38">
        <f>IF($A15="","",IF(OR(NOT(ISNUMBER($T15)),NOT(ISNUMBER($K15)),$K15&lt;=0),"PENDIENTE",$T15/$K15))</f>
        <v/>
      </c>
      <c r="V15" s="38">
        <f>IF($A15="","",IF(OR(NOT(ISNUMBER($T15)),NOT(ISNUMBER($Q15)),$Q15&lt;=0),"PENDIENTE",$T15/$Q15))</f>
        <v/>
      </c>
      <c r="W15" s="37">
        <f>IF($A15="","",IF(OR($K15="",NOT(ISNUMBER($K15)),NOT(ISNUMBER($S15))),"PENDIENTE",$K15-$S15))</f>
        <v/>
      </c>
      <c r="X15" s="39">
        <f>IF($A15="","",IFERROR(INDEX(tblInventario[Stock actual],MATCH($A15,tblInventario[SKU],0)),0))</f>
        <v/>
      </c>
      <c r="Y15" s="34" t="n"/>
      <c r="Z15" s="34" t="n"/>
      <c r="AA15" s="33" t="inlineStr">
        <is>
          <t>Activo</t>
        </is>
      </c>
      <c r="AB15" s="40">
        <f>IF($A15="","",IF(COUNTIF(tblCostos[SKU],$A15)=0,"SIN FILA EN COSTOS",IF(AND($K15="",NOT(ISNUMBER($Q15))),"FALTA PRECIO Y COSTO",IF($K15="","FALTA PRECIO",IF(NOT(ISNUMBER($Q15)),"FALTA COSTO",IF($T15&lt;0,"MARGEN NEGATIVO",IF($T15=0,"PRECIO = COSTO","COMPLETO")))))))</f>
        <v/>
      </c>
      <c r="AC15" s="41" t="n"/>
      <c r="AD15" s="33" t="n"/>
    </row>
    <row r="16">
      <c r="A16" s="33" t="inlineStr">
        <is>
          <t>VID-750</t>
        </is>
      </c>
      <c r="B16" s="33" t="inlineStr">
        <is>
          <t>Limpiador de Vidrios</t>
        </is>
      </c>
      <c r="C16" s="33" t="inlineStr">
        <is>
          <t>Limpieza Hogar</t>
        </is>
      </c>
      <c r="D16" s="33" t="inlineStr">
        <is>
          <t>Vidrios y cristales</t>
        </is>
      </c>
      <c r="E16" s="33" t="inlineStr">
        <is>
          <t>750 mL</t>
        </is>
      </c>
      <c r="F16" s="33" t="inlineStr">
        <is>
          <t>Unidad</t>
        </is>
      </c>
      <c r="G16" s="34" t="n">
        <v>750</v>
      </c>
      <c r="H16" s="33" t="inlineStr">
        <is>
          <t>Sin aroma específico</t>
        </is>
      </c>
      <c r="I16" s="33" t="n"/>
      <c r="J16" s="35" t="n">
        <v>60</v>
      </c>
      <c r="K16" s="36" t="n"/>
      <c r="L16" s="37">
        <f>IF($A16="","",IFERROR(IF(INDEX(tblCostos[Costo de compra unitario],MATCH($A16,tblCostos[SKU],0))="","PENDIENTE",INDEX(tblCostos[Costo de compra unitario],MATCH($A16,tblCostos[SKU],0))),"PENDIENTE"))</f>
        <v/>
      </c>
      <c r="M16" s="37">
        <f>IF($A16="","",IFERROR(IF(INDEX(tblCostos[Transporte unitario],MATCH($A16,tblCostos[SKU],0))="","",INDEX(tblCostos[Transporte unitario],MATCH($A16,tblCostos[SKU],0))),""))</f>
        <v/>
      </c>
      <c r="N16" s="37">
        <f>IF($A16="","",IFERROR(IF(INDEX(tblCostos[Impuestos / aranceles unitarios],MATCH($A16,tblCostos[SKU],0))="","",INDEX(tblCostos[Impuestos / aranceles unitarios],MATCH($A16,tblCostos[SKU],0))),""))</f>
        <v/>
      </c>
      <c r="O16" s="37">
        <f>IF($A16="","",IFERROR(IF(INDEX(tblCostos[Empaque unitario],MATCH($A16,tblCostos[SKU],0))="","",INDEX(tblCostos[Empaque unitario],MATCH($A16,tblCostos[SKU],0))),""))</f>
        <v/>
      </c>
      <c r="P16" s="37">
        <f>IF($A16="","",IFERROR(IF(INDEX(tblCostos[Otros costos variables unitarios],MATCH($A16,tblCostos[SKU],0))="","",INDEX(tblCostos[Otros costos variables unitarios],MATCH($A16,tblCostos[SKU],0))),""))</f>
        <v/>
      </c>
      <c r="Q16" s="37">
        <f>IF($A16="","",IFERROR(IF(INDEX(tblCostos[COSTO REAL UNITARIO],MATCH($A16,tblCostos[SKU],0))="","PENDIENTE",INDEX(tblCostos[COSTO REAL UNITARIO],MATCH($A16,tblCostos[SKU],0))),"PENDIENTE"))</f>
        <v/>
      </c>
      <c r="R16" s="37">
        <f>IF($A16="","",IFERROR(IF(INDEX(tblCostos[Costo variable de venta unitario],MATCH($A16,tblCostos[SKU],0))="","",INDEX(tblCostos[Costo variable de venta unitario],MATCH($A16,tblCostos[SKU],0))),""))</f>
        <v/>
      </c>
      <c r="S16" s="37">
        <f>IF($A16="","",IF(NOT(ISNUMBER($Q16)),"PENDIENTE",$Q16+IF(ISNUMBER($R16),$R16,0)))</f>
        <v/>
      </c>
      <c r="T16" s="37">
        <f>IF($A16="","",IF(OR($K16="",NOT(ISNUMBER($K16)),NOT(ISNUMBER($Q16))),"PENDIENTE",$K16-$Q16))</f>
        <v/>
      </c>
      <c r="U16" s="38">
        <f>IF($A16="","",IF(OR(NOT(ISNUMBER($T16)),NOT(ISNUMBER($K16)),$K16&lt;=0),"PENDIENTE",$T16/$K16))</f>
        <v/>
      </c>
      <c r="V16" s="38">
        <f>IF($A16="","",IF(OR(NOT(ISNUMBER($T16)),NOT(ISNUMBER($Q16)),$Q16&lt;=0),"PENDIENTE",$T16/$Q16))</f>
        <v/>
      </c>
      <c r="W16" s="37">
        <f>IF($A16="","",IF(OR($K16="",NOT(ISNUMBER($K16)),NOT(ISNUMBER($S16))),"PENDIENTE",$K16-$S16))</f>
        <v/>
      </c>
      <c r="X16" s="39">
        <f>IF($A16="","",IFERROR(INDEX(tblInventario[Stock actual],MATCH($A16,tblInventario[SKU],0)),0))</f>
        <v/>
      </c>
      <c r="Y16" s="34" t="n"/>
      <c r="Z16" s="34" t="n"/>
      <c r="AA16" s="33" t="inlineStr">
        <is>
          <t>Activo</t>
        </is>
      </c>
      <c r="AB16" s="40">
        <f>IF($A16="","",IF(COUNTIF(tblCostos[SKU],$A16)=0,"SIN FILA EN COSTOS",IF(AND($K16="",NOT(ISNUMBER($Q16))),"FALTA PRECIO Y COSTO",IF($K16="","FALTA PRECIO",IF(NOT(ISNUMBER($Q16)),"FALTA COSTO",IF($T16&lt;0,"MARGEN NEGATIVO",IF($T16=0,"PRECIO = COSTO","COMPLETO")))))))</f>
        <v/>
      </c>
      <c r="AC16" s="41" t="n"/>
      <c r="AD16" s="33" t="n"/>
    </row>
    <row r="17">
      <c r="A17" s="33" t="inlineStr">
        <is>
          <t>VID-GAL</t>
        </is>
      </c>
      <c r="B17" s="33" t="inlineStr">
        <is>
          <t>Limpiador de Vidrios</t>
        </is>
      </c>
      <c r="C17" s="33" t="inlineStr">
        <is>
          <t>Limpieza Hogar</t>
        </is>
      </c>
      <c r="D17" s="33" t="inlineStr">
        <is>
          <t>Vidrios y cristales</t>
        </is>
      </c>
      <c r="E17" s="33" t="inlineStr">
        <is>
          <t>Galón</t>
        </is>
      </c>
      <c r="F17" s="33" t="inlineStr">
        <is>
          <t>Unidad</t>
        </is>
      </c>
      <c r="G17" s="34" t="n">
        <v>3785</v>
      </c>
      <c r="H17" s="33" t="inlineStr">
        <is>
          <t>Sin aroma específico</t>
        </is>
      </c>
      <c r="I17" s="33" t="n"/>
      <c r="J17" s="35" t="n">
        <v>120</v>
      </c>
      <c r="K17" s="36" t="n"/>
      <c r="L17" s="37">
        <f>IF($A17="","",IFERROR(IF(INDEX(tblCostos[Costo de compra unitario],MATCH($A17,tblCostos[SKU],0))="","PENDIENTE",INDEX(tblCostos[Costo de compra unitario],MATCH($A17,tblCostos[SKU],0))),"PENDIENTE"))</f>
        <v/>
      </c>
      <c r="M17" s="37">
        <f>IF($A17="","",IFERROR(IF(INDEX(tblCostos[Transporte unitario],MATCH($A17,tblCostos[SKU],0))="","",INDEX(tblCostos[Transporte unitario],MATCH($A17,tblCostos[SKU],0))),""))</f>
        <v/>
      </c>
      <c r="N17" s="37">
        <f>IF($A17="","",IFERROR(IF(INDEX(tblCostos[Impuestos / aranceles unitarios],MATCH($A17,tblCostos[SKU],0))="","",INDEX(tblCostos[Impuestos / aranceles unitarios],MATCH($A17,tblCostos[SKU],0))),""))</f>
        <v/>
      </c>
      <c r="O17" s="37">
        <f>IF($A17="","",IFERROR(IF(INDEX(tblCostos[Empaque unitario],MATCH($A17,tblCostos[SKU],0))="","",INDEX(tblCostos[Empaque unitario],MATCH($A17,tblCostos[SKU],0))),""))</f>
        <v/>
      </c>
      <c r="P17" s="37">
        <f>IF($A17="","",IFERROR(IF(INDEX(tblCostos[Otros costos variables unitarios],MATCH($A17,tblCostos[SKU],0))="","",INDEX(tblCostos[Otros costos variables unitarios],MATCH($A17,tblCostos[SKU],0))),""))</f>
        <v/>
      </c>
      <c r="Q17" s="37">
        <f>IF($A17="","",IFERROR(IF(INDEX(tblCostos[COSTO REAL UNITARIO],MATCH($A17,tblCostos[SKU],0))="","PENDIENTE",INDEX(tblCostos[COSTO REAL UNITARIO],MATCH($A17,tblCostos[SKU],0))),"PENDIENTE"))</f>
        <v/>
      </c>
      <c r="R17" s="37">
        <f>IF($A17="","",IFERROR(IF(INDEX(tblCostos[Costo variable de venta unitario],MATCH($A17,tblCostos[SKU],0))="","",INDEX(tblCostos[Costo variable de venta unitario],MATCH($A17,tblCostos[SKU],0))),""))</f>
        <v/>
      </c>
      <c r="S17" s="37">
        <f>IF($A17="","",IF(NOT(ISNUMBER($Q17)),"PENDIENTE",$Q17+IF(ISNUMBER($R17),$R17,0)))</f>
        <v/>
      </c>
      <c r="T17" s="37">
        <f>IF($A17="","",IF(OR($K17="",NOT(ISNUMBER($K17)),NOT(ISNUMBER($Q17))),"PENDIENTE",$K17-$Q17))</f>
        <v/>
      </c>
      <c r="U17" s="38">
        <f>IF($A17="","",IF(OR(NOT(ISNUMBER($T17)),NOT(ISNUMBER($K17)),$K17&lt;=0),"PENDIENTE",$T17/$K17))</f>
        <v/>
      </c>
      <c r="V17" s="38">
        <f>IF($A17="","",IF(OR(NOT(ISNUMBER($T17)),NOT(ISNUMBER($Q17)),$Q17&lt;=0),"PENDIENTE",$T17/$Q17))</f>
        <v/>
      </c>
      <c r="W17" s="37">
        <f>IF($A17="","",IF(OR($K17="",NOT(ISNUMBER($K17)),NOT(ISNUMBER($S17))),"PENDIENTE",$K17-$S17))</f>
        <v/>
      </c>
      <c r="X17" s="39">
        <f>IF($A17="","",IFERROR(INDEX(tblInventario[Stock actual],MATCH($A17,tblInventario[SKU],0)),0))</f>
        <v/>
      </c>
      <c r="Y17" s="34" t="n"/>
      <c r="Z17" s="34" t="n"/>
      <c r="AA17" s="33" t="inlineStr">
        <is>
          <t>Activo</t>
        </is>
      </c>
      <c r="AB17" s="40">
        <f>IF($A17="","",IF(COUNTIF(tblCostos[SKU],$A17)=0,"SIN FILA EN COSTOS",IF(AND($K17="",NOT(ISNUMBER($Q17))),"FALTA PRECIO Y COSTO",IF($K17="","FALTA PRECIO",IF(NOT(ISNUMBER($Q17)),"FALTA COSTO",IF($T17&lt;0,"MARGEN NEGATIVO",IF($T17=0,"PRECIO = COSTO","COMPLETO")))))))</f>
        <v/>
      </c>
      <c r="AC17" s="41" t="n"/>
      <c r="AD17" s="33" t="n"/>
    </row>
    <row r="18">
      <c r="A18" s="33" t="inlineStr">
        <is>
          <t>LAV-500</t>
        </is>
      </c>
      <c r="B18" s="33" t="inlineStr">
        <is>
          <t>Deterlente Lavaplatos</t>
        </is>
      </c>
      <c r="C18" s="33" t="inlineStr">
        <is>
          <t>Limpieza Hogar</t>
        </is>
      </c>
      <c r="D18" s="33" t="inlineStr">
        <is>
          <t>Cocina</t>
        </is>
      </c>
      <c r="E18" s="33" t="inlineStr">
        <is>
          <t>500 mL</t>
        </is>
      </c>
      <c r="F18" s="33" t="inlineStr">
        <is>
          <t>Unidad</t>
        </is>
      </c>
      <c r="G18" s="34" t="n">
        <v>500</v>
      </c>
      <c r="H18" s="33" t="inlineStr">
        <is>
          <t>Limón</t>
        </is>
      </c>
      <c r="I18" s="33" t="n"/>
      <c r="J18" s="35" t="n">
        <v>50</v>
      </c>
      <c r="K18" s="36" t="n"/>
      <c r="L18" s="37">
        <f>IF($A18="","",IFERROR(IF(INDEX(tblCostos[Costo de compra unitario],MATCH($A18,tblCostos[SKU],0))="","PENDIENTE",INDEX(tblCostos[Costo de compra unitario],MATCH($A18,tblCostos[SKU],0))),"PENDIENTE"))</f>
        <v/>
      </c>
      <c r="M18" s="37">
        <f>IF($A18="","",IFERROR(IF(INDEX(tblCostos[Transporte unitario],MATCH($A18,tblCostos[SKU],0))="","",INDEX(tblCostos[Transporte unitario],MATCH($A18,tblCostos[SKU],0))),""))</f>
        <v/>
      </c>
      <c r="N18" s="37">
        <f>IF($A18="","",IFERROR(IF(INDEX(tblCostos[Impuestos / aranceles unitarios],MATCH($A18,tblCostos[SKU],0))="","",INDEX(tblCostos[Impuestos / aranceles unitarios],MATCH($A18,tblCostos[SKU],0))),""))</f>
        <v/>
      </c>
      <c r="O18" s="37">
        <f>IF($A18="","",IFERROR(IF(INDEX(tblCostos[Empaque unitario],MATCH($A18,tblCostos[SKU],0))="","",INDEX(tblCostos[Empaque unitario],MATCH($A18,tblCostos[SKU],0))),""))</f>
        <v/>
      </c>
      <c r="P18" s="37">
        <f>IF($A18="","",IFERROR(IF(INDEX(tblCostos[Otros costos variables unitarios],MATCH($A18,tblCostos[SKU],0))="","",INDEX(tblCostos[Otros costos variables unitarios],MATCH($A18,tblCostos[SKU],0))),""))</f>
        <v/>
      </c>
      <c r="Q18" s="37">
        <f>IF($A18="","",IFERROR(IF(INDEX(tblCostos[COSTO REAL UNITARIO],MATCH($A18,tblCostos[SKU],0))="","PENDIENTE",INDEX(tblCostos[COSTO REAL UNITARIO],MATCH($A18,tblCostos[SKU],0))),"PENDIENTE"))</f>
        <v/>
      </c>
      <c r="R18" s="37">
        <f>IF($A18="","",IFERROR(IF(INDEX(tblCostos[Costo variable de venta unitario],MATCH($A18,tblCostos[SKU],0))="","",INDEX(tblCostos[Costo variable de venta unitario],MATCH($A18,tblCostos[SKU],0))),""))</f>
        <v/>
      </c>
      <c r="S18" s="37">
        <f>IF($A18="","",IF(NOT(ISNUMBER($Q18)),"PENDIENTE",$Q18+IF(ISNUMBER($R18),$R18,0)))</f>
        <v/>
      </c>
      <c r="T18" s="37">
        <f>IF($A18="","",IF(OR($K18="",NOT(ISNUMBER($K18)),NOT(ISNUMBER($Q18))),"PENDIENTE",$K18-$Q18))</f>
        <v/>
      </c>
      <c r="U18" s="38">
        <f>IF($A18="","",IF(OR(NOT(ISNUMBER($T18)),NOT(ISNUMBER($K18)),$K18&lt;=0),"PENDIENTE",$T18/$K18))</f>
        <v/>
      </c>
      <c r="V18" s="38">
        <f>IF($A18="","",IF(OR(NOT(ISNUMBER($T18)),NOT(ISNUMBER($Q18)),$Q18&lt;=0),"PENDIENTE",$T18/$Q18))</f>
        <v/>
      </c>
      <c r="W18" s="37">
        <f>IF($A18="","",IF(OR($K18="",NOT(ISNUMBER($K18)),NOT(ISNUMBER($S18))),"PENDIENTE",$K18-$S18))</f>
        <v/>
      </c>
      <c r="X18" s="39">
        <f>IF($A18="","",IFERROR(INDEX(tblInventario[Stock actual],MATCH($A18,tblInventario[SKU],0)),0))</f>
        <v/>
      </c>
      <c r="Y18" s="34" t="n"/>
      <c r="Z18" s="34" t="n"/>
      <c r="AA18" s="33" t="inlineStr">
        <is>
          <t>Activo</t>
        </is>
      </c>
      <c r="AB18" s="40">
        <f>IF($A18="","",IF(COUNTIF(tblCostos[SKU],$A18)=0,"SIN FILA EN COSTOS",IF(AND($K18="",NOT(ISNUMBER($Q18))),"FALTA PRECIO Y COSTO",IF($K18="","FALTA PRECIO",IF(NOT(ISNUMBER($Q18)),"FALTA COSTO",IF($T18&lt;0,"MARGEN NEGATIVO",IF($T18=0,"PRECIO = COSTO","COMPLETO")))))))</f>
        <v/>
      </c>
      <c r="AC18" s="41" t="n"/>
      <c r="AD18" s="33" t="n"/>
    </row>
    <row r="19">
      <c r="A19" s="33" t="inlineStr">
        <is>
          <t>LAV-GAL</t>
        </is>
      </c>
      <c r="B19" s="33" t="inlineStr">
        <is>
          <t>Deterlente Lavaplatos</t>
        </is>
      </c>
      <c r="C19" s="33" t="inlineStr">
        <is>
          <t>Limpieza Hogar</t>
        </is>
      </c>
      <c r="D19" s="33" t="inlineStr">
        <is>
          <t>Cocina</t>
        </is>
      </c>
      <c r="E19" s="33" t="inlineStr">
        <is>
          <t>Galón</t>
        </is>
      </c>
      <c r="F19" s="33" t="inlineStr">
        <is>
          <t>Unidad</t>
        </is>
      </c>
      <c r="G19" s="34" t="n">
        <v>3785</v>
      </c>
      <c r="H19" s="33" t="inlineStr">
        <is>
          <t>Limón</t>
        </is>
      </c>
      <c r="I19" s="33" t="n"/>
      <c r="J19" s="35" t="n">
        <v>130</v>
      </c>
      <c r="K19" s="36" t="n"/>
      <c r="L19" s="37">
        <f>IF($A19="","",IFERROR(IF(INDEX(tblCostos[Costo de compra unitario],MATCH($A19,tblCostos[SKU],0))="","PENDIENTE",INDEX(tblCostos[Costo de compra unitario],MATCH($A19,tblCostos[SKU],0))),"PENDIENTE"))</f>
        <v/>
      </c>
      <c r="M19" s="37">
        <f>IF($A19="","",IFERROR(IF(INDEX(tblCostos[Transporte unitario],MATCH($A19,tblCostos[SKU],0))="","",INDEX(tblCostos[Transporte unitario],MATCH($A19,tblCostos[SKU],0))),""))</f>
        <v/>
      </c>
      <c r="N19" s="37">
        <f>IF($A19="","",IFERROR(IF(INDEX(tblCostos[Impuestos / aranceles unitarios],MATCH($A19,tblCostos[SKU],0))="","",INDEX(tblCostos[Impuestos / aranceles unitarios],MATCH($A19,tblCostos[SKU],0))),""))</f>
        <v/>
      </c>
      <c r="O19" s="37">
        <f>IF($A19="","",IFERROR(IF(INDEX(tblCostos[Empaque unitario],MATCH($A19,tblCostos[SKU],0))="","",INDEX(tblCostos[Empaque unitario],MATCH($A19,tblCostos[SKU],0))),""))</f>
        <v/>
      </c>
      <c r="P19" s="37">
        <f>IF($A19="","",IFERROR(IF(INDEX(tblCostos[Otros costos variables unitarios],MATCH($A19,tblCostos[SKU],0))="","",INDEX(tblCostos[Otros costos variables unitarios],MATCH($A19,tblCostos[SKU],0))),""))</f>
        <v/>
      </c>
      <c r="Q19" s="37">
        <f>IF($A19="","",IFERROR(IF(INDEX(tblCostos[COSTO REAL UNITARIO],MATCH($A19,tblCostos[SKU],0))="","PENDIENTE",INDEX(tblCostos[COSTO REAL UNITARIO],MATCH($A19,tblCostos[SKU],0))),"PENDIENTE"))</f>
        <v/>
      </c>
      <c r="R19" s="37">
        <f>IF($A19="","",IFERROR(IF(INDEX(tblCostos[Costo variable de venta unitario],MATCH($A19,tblCostos[SKU],0))="","",INDEX(tblCostos[Costo variable de venta unitario],MATCH($A19,tblCostos[SKU],0))),""))</f>
        <v/>
      </c>
      <c r="S19" s="37">
        <f>IF($A19="","",IF(NOT(ISNUMBER($Q19)),"PENDIENTE",$Q19+IF(ISNUMBER($R19),$R19,0)))</f>
        <v/>
      </c>
      <c r="T19" s="37">
        <f>IF($A19="","",IF(OR($K19="",NOT(ISNUMBER($K19)),NOT(ISNUMBER($Q19))),"PENDIENTE",$K19-$Q19))</f>
        <v/>
      </c>
      <c r="U19" s="38">
        <f>IF($A19="","",IF(OR(NOT(ISNUMBER($T19)),NOT(ISNUMBER($K19)),$K19&lt;=0),"PENDIENTE",$T19/$K19))</f>
        <v/>
      </c>
      <c r="V19" s="38">
        <f>IF($A19="","",IF(OR(NOT(ISNUMBER($T19)),NOT(ISNUMBER($Q19)),$Q19&lt;=0),"PENDIENTE",$T19/$Q19))</f>
        <v/>
      </c>
      <c r="W19" s="37">
        <f>IF($A19="","",IF(OR($K19="",NOT(ISNUMBER($K19)),NOT(ISNUMBER($S19))),"PENDIENTE",$K19-$S19))</f>
        <v/>
      </c>
      <c r="X19" s="39">
        <f>IF($A19="","",IFERROR(INDEX(tblInventario[Stock actual],MATCH($A19,tblInventario[SKU],0)),0))</f>
        <v/>
      </c>
      <c r="Y19" s="34" t="n"/>
      <c r="Z19" s="34" t="n"/>
      <c r="AA19" s="33" t="inlineStr">
        <is>
          <t>Activo</t>
        </is>
      </c>
      <c r="AB19" s="40">
        <f>IF($A19="","",IF(COUNTIF(tblCostos[SKU],$A19)=0,"SIN FILA EN COSTOS",IF(AND($K19="",NOT(ISNUMBER($Q19))),"FALTA PRECIO Y COSTO",IF($K19="","FALTA PRECIO",IF(NOT(ISNUMBER($Q19)),"FALTA COSTO",IF($T19&lt;0,"MARGEN NEGATIVO",IF($T19=0,"PRECIO = COSTO","COMPLETO")))))))</f>
        <v/>
      </c>
      <c r="AC19" s="41" t="n"/>
      <c r="AD19" s="33" t="n"/>
    </row>
    <row r="20">
      <c r="A20" s="33" t="inlineStr">
        <is>
          <t>DES-750</t>
        </is>
      </c>
      <c r="B20" s="33" t="inlineStr">
        <is>
          <t>Limpiador Desengrasante de Cocina</t>
        </is>
      </c>
      <c r="C20" s="33" t="inlineStr">
        <is>
          <t>Limpieza Hogar</t>
        </is>
      </c>
      <c r="D20" s="33" t="inlineStr">
        <is>
          <t>Cocina</t>
        </is>
      </c>
      <c r="E20" s="33" t="inlineStr">
        <is>
          <t>750 mL</t>
        </is>
      </c>
      <c r="F20" s="33" t="inlineStr">
        <is>
          <t>Unidad</t>
        </is>
      </c>
      <c r="G20" s="34" t="n">
        <v>750</v>
      </c>
      <c r="H20" s="33" t="inlineStr">
        <is>
          <t>Naranja</t>
        </is>
      </c>
      <c r="I20" s="33" t="n"/>
      <c r="J20" s="35" t="n">
        <v>65</v>
      </c>
      <c r="K20" s="36" t="n"/>
      <c r="L20" s="37">
        <f>IF($A20="","",IFERROR(IF(INDEX(tblCostos[Costo de compra unitario],MATCH($A20,tblCostos[SKU],0))="","PENDIENTE",INDEX(tblCostos[Costo de compra unitario],MATCH($A20,tblCostos[SKU],0))),"PENDIENTE"))</f>
        <v/>
      </c>
      <c r="M20" s="37">
        <f>IF($A20="","",IFERROR(IF(INDEX(tblCostos[Transporte unitario],MATCH($A20,tblCostos[SKU],0))="","",INDEX(tblCostos[Transporte unitario],MATCH($A20,tblCostos[SKU],0))),""))</f>
        <v/>
      </c>
      <c r="N20" s="37">
        <f>IF($A20="","",IFERROR(IF(INDEX(tblCostos[Impuestos / aranceles unitarios],MATCH($A20,tblCostos[SKU],0))="","",INDEX(tblCostos[Impuestos / aranceles unitarios],MATCH($A20,tblCostos[SKU],0))),""))</f>
        <v/>
      </c>
      <c r="O20" s="37">
        <f>IF($A20="","",IFERROR(IF(INDEX(tblCostos[Empaque unitario],MATCH($A20,tblCostos[SKU],0))="","",INDEX(tblCostos[Empaque unitario],MATCH($A20,tblCostos[SKU],0))),""))</f>
        <v/>
      </c>
      <c r="P20" s="37">
        <f>IF($A20="","",IFERROR(IF(INDEX(tblCostos[Otros costos variables unitarios],MATCH($A20,tblCostos[SKU],0))="","",INDEX(tblCostos[Otros costos variables unitarios],MATCH($A20,tblCostos[SKU],0))),""))</f>
        <v/>
      </c>
      <c r="Q20" s="37">
        <f>IF($A20="","",IFERROR(IF(INDEX(tblCostos[COSTO REAL UNITARIO],MATCH($A20,tblCostos[SKU],0))="","PENDIENTE",INDEX(tblCostos[COSTO REAL UNITARIO],MATCH($A20,tblCostos[SKU],0))),"PENDIENTE"))</f>
        <v/>
      </c>
      <c r="R20" s="37">
        <f>IF($A20="","",IFERROR(IF(INDEX(tblCostos[Costo variable de venta unitario],MATCH($A20,tblCostos[SKU],0))="","",INDEX(tblCostos[Costo variable de venta unitario],MATCH($A20,tblCostos[SKU],0))),""))</f>
        <v/>
      </c>
      <c r="S20" s="37">
        <f>IF($A20="","",IF(NOT(ISNUMBER($Q20)),"PENDIENTE",$Q20+IF(ISNUMBER($R20),$R20,0)))</f>
        <v/>
      </c>
      <c r="T20" s="37">
        <f>IF($A20="","",IF(OR($K20="",NOT(ISNUMBER($K20)),NOT(ISNUMBER($Q20))),"PENDIENTE",$K20-$Q20))</f>
        <v/>
      </c>
      <c r="U20" s="38">
        <f>IF($A20="","",IF(OR(NOT(ISNUMBER($T20)),NOT(ISNUMBER($K20)),$K20&lt;=0),"PENDIENTE",$T20/$K20))</f>
        <v/>
      </c>
      <c r="V20" s="38">
        <f>IF($A20="","",IF(OR(NOT(ISNUMBER($T20)),NOT(ISNUMBER($Q20)),$Q20&lt;=0),"PENDIENTE",$T20/$Q20))</f>
        <v/>
      </c>
      <c r="W20" s="37">
        <f>IF($A20="","",IF(OR($K20="",NOT(ISNUMBER($K20)),NOT(ISNUMBER($S20))),"PENDIENTE",$K20-$S20))</f>
        <v/>
      </c>
      <c r="X20" s="39">
        <f>IF($A20="","",IFERROR(INDEX(tblInventario[Stock actual],MATCH($A20,tblInventario[SKU],0)),0))</f>
        <v/>
      </c>
      <c r="Y20" s="34" t="n"/>
      <c r="Z20" s="34" t="n"/>
      <c r="AA20" s="33" t="inlineStr">
        <is>
          <t>Activo</t>
        </is>
      </c>
      <c r="AB20" s="40">
        <f>IF($A20="","",IF(COUNTIF(tblCostos[SKU],$A20)=0,"SIN FILA EN COSTOS",IF(AND($K20="",NOT(ISNUMBER($Q20))),"FALTA PRECIO Y COSTO",IF($K20="","FALTA PRECIO",IF(NOT(ISNUMBER($Q20)),"FALTA COSTO",IF($T20&lt;0,"MARGEN NEGATIVO",IF($T20=0,"PRECIO = COSTO","COMPLETO")))))))</f>
        <v/>
      </c>
      <c r="AC20" s="41" t="n"/>
      <c r="AD20" s="33" t="n"/>
    </row>
    <row r="21">
      <c r="A21" s="33" t="inlineStr">
        <is>
          <t>DES-GAL</t>
        </is>
      </c>
      <c r="B21" s="33" t="inlineStr">
        <is>
          <t>Limpiador Desengrasante de Cocina</t>
        </is>
      </c>
      <c r="C21" s="33" t="inlineStr">
        <is>
          <t>Limpieza Hogar</t>
        </is>
      </c>
      <c r="D21" s="33" t="inlineStr">
        <is>
          <t>Cocina</t>
        </is>
      </c>
      <c r="E21" s="33" t="inlineStr">
        <is>
          <t>Galón</t>
        </is>
      </c>
      <c r="F21" s="33" t="inlineStr">
        <is>
          <t>Unidad</t>
        </is>
      </c>
      <c r="G21" s="34" t="n">
        <v>3785</v>
      </c>
      <c r="H21" s="33" t="inlineStr">
        <is>
          <t>Naranja</t>
        </is>
      </c>
      <c r="I21" s="33" t="n"/>
      <c r="J21" s="35" t="n">
        <v>135</v>
      </c>
      <c r="K21" s="36" t="n"/>
      <c r="L21" s="37">
        <f>IF($A21="","",IFERROR(IF(INDEX(tblCostos[Costo de compra unitario],MATCH($A21,tblCostos[SKU],0))="","PENDIENTE",INDEX(tblCostos[Costo de compra unitario],MATCH($A21,tblCostos[SKU],0))),"PENDIENTE"))</f>
        <v/>
      </c>
      <c r="M21" s="37">
        <f>IF($A21="","",IFERROR(IF(INDEX(tblCostos[Transporte unitario],MATCH($A21,tblCostos[SKU],0))="","",INDEX(tblCostos[Transporte unitario],MATCH($A21,tblCostos[SKU],0))),""))</f>
        <v/>
      </c>
      <c r="N21" s="37">
        <f>IF($A21="","",IFERROR(IF(INDEX(tblCostos[Impuestos / aranceles unitarios],MATCH($A21,tblCostos[SKU],0))="","",INDEX(tblCostos[Impuestos / aranceles unitarios],MATCH($A21,tblCostos[SKU],0))),""))</f>
        <v/>
      </c>
      <c r="O21" s="37">
        <f>IF($A21="","",IFERROR(IF(INDEX(tblCostos[Empaque unitario],MATCH($A21,tblCostos[SKU],0))="","",INDEX(tblCostos[Empaque unitario],MATCH($A21,tblCostos[SKU],0))),""))</f>
        <v/>
      </c>
      <c r="P21" s="37">
        <f>IF($A21="","",IFERROR(IF(INDEX(tblCostos[Otros costos variables unitarios],MATCH($A21,tblCostos[SKU],0))="","",INDEX(tblCostos[Otros costos variables unitarios],MATCH($A21,tblCostos[SKU],0))),""))</f>
        <v/>
      </c>
      <c r="Q21" s="37">
        <f>IF($A21="","",IFERROR(IF(INDEX(tblCostos[COSTO REAL UNITARIO],MATCH($A21,tblCostos[SKU],0))="","PENDIENTE",INDEX(tblCostos[COSTO REAL UNITARIO],MATCH($A21,tblCostos[SKU],0))),"PENDIENTE"))</f>
        <v/>
      </c>
      <c r="R21" s="37">
        <f>IF($A21="","",IFERROR(IF(INDEX(tblCostos[Costo variable de venta unitario],MATCH($A21,tblCostos[SKU],0))="","",INDEX(tblCostos[Costo variable de venta unitario],MATCH($A21,tblCostos[SKU],0))),""))</f>
        <v/>
      </c>
      <c r="S21" s="37">
        <f>IF($A21="","",IF(NOT(ISNUMBER($Q21)),"PENDIENTE",$Q21+IF(ISNUMBER($R21),$R21,0)))</f>
        <v/>
      </c>
      <c r="T21" s="37">
        <f>IF($A21="","",IF(OR($K21="",NOT(ISNUMBER($K21)),NOT(ISNUMBER($Q21))),"PENDIENTE",$K21-$Q21))</f>
        <v/>
      </c>
      <c r="U21" s="38">
        <f>IF($A21="","",IF(OR(NOT(ISNUMBER($T21)),NOT(ISNUMBER($K21)),$K21&lt;=0),"PENDIENTE",$T21/$K21))</f>
        <v/>
      </c>
      <c r="V21" s="38">
        <f>IF($A21="","",IF(OR(NOT(ISNUMBER($T21)),NOT(ISNUMBER($Q21)),$Q21&lt;=0),"PENDIENTE",$T21/$Q21))</f>
        <v/>
      </c>
      <c r="W21" s="37">
        <f>IF($A21="","",IF(OR($K21="",NOT(ISNUMBER($K21)),NOT(ISNUMBER($S21))),"PENDIENTE",$K21-$S21))</f>
        <v/>
      </c>
      <c r="X21" s="39">
        <f>IF($A21="","",IFERROR(INDEX(tblInventario[Stock actual],MATCH($A21,tblInventario[SKU],0)),0))</f>
        <v/>
      </c>
      <c r="Y21" s="34" t="n"/>
      <c r="Z21" s="34" t="n"/>
      <c r="AA21" s="33" t="inlineStr">
        <is>
          <t>Activo</t>
        </is>
      </c>
      <c r="AB21" s="40">
        <f>IF($A21="","",IF(COUNTIF(tblCostos[SKU],$A21)=0,"SIN FILA EN COSTOS",IF(AND($K21="",NOT(ISNUMBER($Q21))),"FALTA PRECIO Y COSTO",IF($K21="","FALTA PRECIO",IF(NOT(ISNUMBER($Q21)),"FALTA COSTO",IF($T21&lt;0,"MARGEN NEGATIVO",IF($T21=0,"PRECIO = COSTO","COMPLETO")))))))</f>
        <v/>
      </c>
      <c r="AC21" s="41" t="n"/>
      <c r="AD21" s="33" t="n"/>
    </row>
    <row r="22">
      <c r="A22" s="33" t="inlineStr">
        <is>
          <t>ACE-250</t>
        </is>
      </c>
      <c r="B22" s="33" t="inlineStr">
        <is>
          <t>Aceite Rojo para Muebles</t>
        </is>
      </c>
      <c r="C22" s="33" t="inlineStr">
        <is>
          <t>Limpieza Hogar</t>
        </is>
      </c>
      <c r="D22" s="33" t="inlineStr">
        <is>
          <t>Muebles y madera</t>
        </is>
      </c>
      <c r="E22" s="33" t="inlineStr">
        <is>
          <t>250 mL</t>
        </is>
      </c>
      <c r="F22" s="33" t="inlineStr">
        <is>
          <t>Unidad</t>
        </is>
      </c>
      <c r="G22" s="34" t="n">
        <v>250</v>
      </c>
      <c r="H22" s="33" t="inlineStr">
        <is>
          <t>Original</t>
        </is>
      </c>
      <c r="I22" s="33" t="n"/>
      <c r="J22" s="35" t="n">
        <v>50</v>
      </c>
      <c r="K22" s="36" t="n"/>
      <c r="L22" s="37">
        <f>IF($A22="","",IFERROR(IF(INDEX(tblCostos[Costo de compra unitario],MATCH($A22,tblCostos[SKU],0))="","PENDIENTE",INDEX(tblCostos[Costo de compra unitario],MATCH($A22,tblCostos[SKU],0))),"PENDIENTE"))</f>
        <v/>
      </c>
      <c r="M22" s="37">
        <f>IF($A22="","",IFERROR(IF(INDEX(tblCostos[Transporte unitario],MATCH($A22,tblCostos[SKU],0))="","",INDEX(tblCostos[Transporte unitario],MATCH($A22,tblCostos[SKU],0))),""))</f>
        <v/>
      </c>
      <c r="N22" s="37">
        <f>IF($A22="","",IFERROR(IF(INDEX(tblCostos[Impuestos / aranceles unitarios],MATCH($A22,tblCostos[SKU],0))="","",INDEX(tblCostos[Impuestos / aranceles unitarios],MATCH($A22,tblCostos[SKU],0))),""))</f>
        <v/>
      </c>
      <c r="O22" s="37">
        <f>IF($A22="","",IFERROR(IF(INDEX(tblCostos[Empaque unitario],MATCH($A22,tblCostos[SKU],0))="","",INDEX(tblCostos[Empaque unitario],MATCH($A22,tblCostos[SKU],0))),""))</f>
        <v/>
      </c>
      <c r="P22" s="37">
        <f>IF($A22="","",IFERROR(IF(INDEX(tblCostos[Otros costos variables unitarios],MATCH($A22,tblCostos[SKU],0))="","",INDEX(tblCostos[Otros costos variables unitarios],MATCH($A22,tblCostos[SKU],0))),""))</f>
        <v/>
      </c>
      <c r="Q22" s="37">
        <f>IF($A22="","",IFERROR(IF(INDEX(tblCostos[COSTO REAL UNITARIO],MATCH($A22,tblCostos[SKU],0))="","PENDIENTE",INDEX(tblCostos[COSTO REAL UNITARIO],MATCH($A22,tblCostos[SKU],0))),"PENDIENTE"))</f>
        <v/>
      </c>
      <c r="R22" s="37">
        <f>IF($A22="","",IFERROR(IF(INDEX(tblCostos[Costo variable de venta unitario],MATCH($A22,tblCostos[SKU],0))="","",INDEX(tblCostos[Costo variable de venta unitario],MATCH($A22,tblCostos[SKU],0))),""))</f>
        <v/>
      </c>
      <c r="S22" s="37">
        <f>IF($A22="","",IF(NOT(ISNUMBER($Q22)),"PENDIENTE",$Q22+IF(ISNUMBER($R22),$R22,0)))</f>
        <v/>
      </c>
      <c r="T22" s="37">
        <f>IF($A22="","",IF(OR($K22="",NOT(ISNUMBER($K22)),NOT(ISNUMBER($Q22))),"PENDIENTE",$K22-$Q22))</f>
        <v/>
      </c>
      <c r="U22" s="38">
        <f>IF($A22="","",IF(OR(NOT(ISNUMBER($T22)),NOT(ISNUMBER($K22)),$K22&lt;=0),"PENDIENTE",$T22/$K22))</f>
        <v/>
      </c>
      <c r="V22" s="38">
        <f>IF($A22="","",IF(OR(NOT(ISNUMBER($T22)),NOT(ISNUMBER($Q22)),$Q22&lt;=0),"PENDIENTE",$T22/$Q22))</f>
        <v/>
      </c>
      <c r="W22" s="37">
        <f>IF($A22="","",IF(OR($K22="",NOT(ISNUMBER($K22)),NOT(ISNUMBER($S22))),"PENDIENTE",$K22-$S22))</f>
        <v/>
      </c>
      <c r="X22" s="39">
        <f>IF($A22="","",IFERROR(INDEX(tblInventario[Stock actual],MATCH($A22,tblInventario[SKU],0)),0))</f>
        <v/>
      </c>
      <c r="Y22" s="34" t="n"/>
      <c r="Z22" s="34" t="n"/>
      <c r="AA22" s="33" t="inlineStr">
        <is>
          <t>Activo</t>
        </is>
      </c>
      <c r="AB22" s="40">
        <f>IF($A22="","",IF(COUNTIF(tblCostos[SKU],$A22)=0,"SIN FILA EN COSTOS",IF(AND($K22="",NOT(ISNUMBER($Q22))),"FALTA PRECIO Y COSTO",IF($K22="","FALTA PRECIO",IF(NOT(ISNUMBER($Q22)),"FALTA COSTO",IF($T22&lt;0,"MARGEN NEGATIVO",IF($T22=0,"PRECIO = COSTO","COMPLETO")))))))</f>
        <v/>
      </c>
      <c r="AC22" s="41" t="n"/>
      <c r="AD22" s="33" t="n"/>
    </row>
    <row r="23">
      <c r="A23" s="33" t="inlineStr">
        <is>
          <t>ACE-GAL</t>
        </is>
      </c>
      <c r="B23" s="33" t="inlineStr">
        <is>
          <t>Aceite Rojo para Muebles</t>
        </is>
      </c>
      <c r="C23" s="33" t="inlineStr">
        <is>
          <t>Limpieza Hogar</t>
        </is>
      </c>
      <c r="D23" s="33" t="inlineStr">
        <is>
          <t>Muebles y madera</t>
        </is>
      </c>
      <c r="E23" s="33" t="inlineStr">
        <is>
          <t>Galón</t>
        </is>
      </c>
      <c r="F23" s="33" t="inlineStr">
        <is>
          <t>Unidad</t>
        </is>
      </c>
      <c r="G23" s="34" t="n">
        <v>3785</v>
      </c>
      <c r="H23" s="33" t="inlineStr">
        <is>
          <t>Original</t>
        </is>
      </c>
      <c r="I23" s="33" t="n"/>
      <c r="J23" s="35" t="n">
        <v>380</v>
      </c>
      <c r="K23" s="36" t="n"/>
      <c r="L23" s="37">
        <f>IF($A23="","",IFERROR(IF(INDEX(tblCostos[Costo de compra unitario],MATCH($A23,tblCostos[SKU],0))="","PENDIENTE",INDEX(tblCostos[Costo de compra unitario],MATCH($A23,tblCostos[SKU],0))),"PENDIENTE"))</f>
        <v/>
      </c>
      <c r="M23" s="37">
        <f>IF($A23="","",IFERROR(IF(INDEX(tblCostos[Transporte unitario],MATCH($A23,tblCostos[SKU],0))="","",INDEX(tblCostos[Transporte unitario],MATCH($A23,tblCostos[SKU],0))),""))</f>
        <v/>
      </c>
      <c r="N23" s="37">
        <f>IF($A23="","",IFERROR(IF(INDEX(tblCostos[Impuestos / aranceles unitarios],MATCH($A23,tblCostos[SKU],0))="","",INDEX(tblCostos[Impuestos / aranceles unitarios],MATCH($A23,tblCostos[SKU],0))),""))</f>
        <v/>
      </c>
      <c r="O23" s="37">
        <f>IF($A23="","",IFERROR(IF(INDEX(tblCostos[Empaque unitario],MATCH($A23,tblCostos[SKU],0))="","",INDEX(tblCostos[Empaque unitario],MATCH($A23,tblCostos[SKU],0))),""))</f>
        <v/>
      </c>
      <c r="P23" s="37">
        <f>IF($A23="","",IFERROR(IF(INDEX(tblCostos[Otros costos variables unitarios],MATCH($A23,tblCostos[SKU],0))="","",INDEX(tblCostos[Otros costos variables unitarios],MATCH($A23,tblCostos[SKU],0))),""))</f>
        <v/>
      </c>
      <c r="Q23" s="37">
        <f>IF($A23="","",IFERROR(IF(INDEX(tblCostos[COSTO REAL UNITARIO],MATCH($A23,tblCostos[SKU],0))="","PENDIENTE",INDEX(tblCostos[COSTO REAL UNITARIO],MATCH($A23,tblCostos[SKU],0))),"PENDIENTE"))</f>
        <v/>
      </c>
      <c r="R23" s="37">
        <f>IF($A23="","",IFERROR(IF(INDEX(tblCostos[Costo variable de venta unitario],MATCH($A23,tblCostos[SKU],0))="","",INDEX(tblCostos[Costo variable de venta unitario],MATCH($A23,tblCostos[SKU],0))),""))</f>
        <v/>
      </c>
      <c r="S23" s="37">
        <f>IF($A23="","",IF(NOT(ISNUMBER($Q23)),"PENDIENTE",$Q23+IF(ISNUMBER($R23),$R23,0)))</f>
        <v/>
      </c>
      <c r="T23" s="37">
        <f>IF($A23="","",IF(OR($K23="",NOT(ISNUMBER($K23)),NOT(ISNUMBER($Q23))),"PENDIENTE",$K23-$Q23))</f>
        <v/>
      </c>
      <c r="U23" s="38">
        <f>IF($A23="","",IF(OR(NOT(ISNUMBER($T23)),NOT(ISNUMBER($K23)),$K23&lt;=0),"PENDIENTE",$T23/$K23))</f>
        <v/>
      </c>
      <c r="V23" s="38">
        <f>IF($A23="","",IF(OR(NOT(ISNUMBER($T23)),NOT(ISNUMBER($Q23)),$Q23&lt;=0),"PENDIENTE",$T23/$Q23))</f>
        <v/>
      </c>
      <c r="W23" s="37">
        <f>IF($A23="","",IF(OR($K23="",NOT(ISNUMBER($K23)),NOT(ISNUMBER($S23))),"PENDIENTE",$K23-$S23))</f>
        <v/>
      </c>
      <c r="X23" s="39">
        <f>IF($A23="","",IFERROR(INDEX(tblInventario[Stock actual],MATCH($A23,tblInventario[SKU],0)),0))</f>
        <v/>
      </c>
      <c r="Y23" s="34" t="n"/>
      <c r="Z23" s="34" t="n"/>
      <c r="AA23" s="33" t="inlineStr">
        <is>
          <t>Activo</t>
        </is>
      </c>
      <c r="AB23" s="40">
        <f>IF($A23="","",IF(COUNTIF(tblCostos[SKU],$A23)=0,"SIN FILA EN COSTOS",IF(AND($K23="",NOT(ISNUMBER($Q23))),"FALTA PRECIO Y COSTO",IF($K23="","FALTA PRECIO",IF(NOT(ISNUMBER($Q23)),"FALTA COSTO",IF($T23&lt;0,"MARGEN NEGATIVO",IF($T23=0,"PRECIO = COSTO","COMPLETO")))))))</f>
        <v/>
      </c>
      <c r="AC23" s="41" t="n"/>
      <c r="AD23" s="33" t="n"/>
    </row>
    <row r="24">
      <c r="A24" s="33" t="inlineStr">
        <is>
          <t>MUL-900</t>
        </is>
      </c>
      <c r="B24" s="33" t="inlineStr">
        <is>
          <t>Limpiador Desinfectante Multiusos</t>
        </is>
      </c>
      <c r="C24" s="33" t="inlineStr">
        <is>
          <t>Limpieza Hogar</t>
        </is>
      </c>
      <c r="D24" s="33" t="inlineStr">
        <is>
          <t>Pisos y multiusos</t>
        </is>
      </c>
      <c r="E24" s="33" t="inlineStr">
        <is>
          <t>900 mL</t>
        </is>
      </c>
      <c r="F24" s="33" t="inlineStr">
        <is>
          <t>Unidad</t>
        </is>
      </c>
      <c r="G24" s="34" t="n">
        <v>900</v>
      </c>
      <c r="H24" s="33" t="inlineStr">
        <is>
          <t>Lavanda, Floral, Chicle, Campo de Flores, Pino, Manzana Verde, Manzana Canela, Bebé, Limón</t>
        </is>
      </c>
      <c r="I24" s="33" t="n"/>
      <c r="J24" s="35" t="n">
        <v>25</v>
      </c>
      <c r="K24" s="36" t="n"/>
      <c r="L24" s="37">
        <f>IF($A24="","",IFERROR(IF(INDEX(tblCostos[Costo de compra unitario],MATCH($A24,tblCostos[SKU],0))="","PENDIENTE",INDEX(tblCostos[Costo de compra unitario],MATCH($A24,tblCostos[SKU],0))),"PENDIENTE"))</f>
        <v/>
      </c>
      <c r="M24" s="37">
        <f>IF($A24="","",IFERROR(IF(INDEX(tblCostos[Transporte unitario],MATCH($A24,tblCostos[SKU],0))="","",INDEX(tblCostos[Transporte unitario],MATCH($A24,tblCostos[SKU],0))),""))</f>
        <v/>
      </c>
      <c r="N24" s="37">
        <f>IF($A24="","",IFERROR(IF(INDEX(tblCostos[Impuestos / aranceles unitarios],MATCH($A24,tblCostos[SKU],0))="","",INDEX(tblCostos[Impuestos / aranceles unitarios],MATCH($A24,tblCostos[SKU],0))),""))</f>
        <v/>
      </c>
      <c r="O24" s="37">
        <f>IF($A24="","",IFERROR(IF(INDEX(tblCostos[Empaque unitario],MATCH($A24,tblCostos[SKU],0))="","",INDEX(tblCostos[Empaque unitario],MATCH($A24,tblCostos[SKU],0))),""))</f>
        <v/>
      </c>
      <c r="P24" s="37">
        <f>IF($A24="","",IFERROR(IF(INDEX(tblCostos[Otros costos variables unitarios],MATCH($A24,tblCostos[SKU],0))="","",INDEX(tblCostos[Otros costos variables unitarios],MATCH($A24,tblCostos[SKU],0))),""))</f>
        <v/>
      </c>
      <c r="Q24" s="37">
        <f>IF($A24="","",IFERROR(IF(INDEX(tblCostos[COSTO REAL UNITARIO],MATCH($A24,tblCostos[SKU],0))="","PENDIENTE",INDEX(tblCostos[COSTO REAL UNITARIO],MATCH($A24,tblCostos[SKU],0))),"PENDIENTE"))</f>
        <v/>
      </c>
      <c r="R24" s="37">
        <f>IF($A24="","",IFERROR(IF(INDEX(tblCostos[Costo variable de venta unitario],MATCH($A24,tblCostos[SKU],0))="","",INDEX(tblCostos[Costo variable de venta unitario],MATCH($A24,tblCostos[SKU],0))),""))</f>
        <v/>
      </c>
      <c r="S24" s="37">
        <f>IF($A24="","",IF(NOT(ISNUMBER($Q24)),"PENDIENTE",$Q24+IF(ISNUMBER($R24),$R24,0)))</f>
        <v/>
      </c>
      <c r="T24" s="37">
        <f>IF($A24="","",IF(OR($K24="",NOT(ISNUMBER($K24)),NOT(ISNUMBER($Q24))),"PENDIENTE",$K24-$Q24))</f>
        <v/>
      </c>
      <c r="U24" s="38">
        <f>IF($A24="","",IF(OR(NOT(ISNUMBER($T24)),NOT(ISNUMBER($K24)),$K24&lt;=0),"PENDIENTE",$T24/$K24))</f>
        <v/>
      </c>
      <c r="V24" s="38">
        <f>IF($A24="","",IF(OR(NOT(ISNUMBER($T24)),NOT(ISNUMBER($Q24)),$Q24&lt;=0),"PENDIENTE",$T24/$Q24))</f>
        <v/>
      </c>
      <c r="W24" s="37">
        <f>IF($A24="","",IF(OR($K24="",NOT(ISNUMBER($K24)),NOT(ISNUMBER($S24))),"PENDIENTE",$K24-$S24))</f>
        <v/>
      </c>
      <c r="X24" s="39">
        <f>IF($A24="","",IFERROR(INDEX(tblInventario[Stock actual],MATCH($A24,tblInventario[SKU],0)),0))</f>
        <v/>
      </c>
      <c r="Y24" s="34" t="n"/>
      <c r="Z24" s="34" t="n"/>
      <c r="AA24" s="33" t="inlineStr">
        <is>
          <t>Activo</t>
        </is>
      </c>
      <c r="AB24" s="40">
        <f>IF($A24="","",IF(COUNTIF(tblCostos[SKU],$A24)=0,"SIN FILA EN COSTOS",IF(AND($K24="",NOT(ISNUMBER($Q24))),"FALTA PRECIO Y COSTO",IF($K24="","FALTA PRECIO",IF(NOT(ISNUMBER($Q24)),"FALTA COSTO",IF($T24&lt;0,"MARGEN NEGATIVO",IF($T24=0,"PRECIO = COSTO","COMPLETO")))))))</f>
        <v/>
      </c>
      <c r="AC24" s="41" t="n"/>
      <c r="AD24" s="33" t="n"/>
    </row>
    <row r="25">
      <c r="A25" s="33" t="inlineStr">
        <is>
          <t>MUL-GAL</t>
        </is>
      </c>
      <c r="B25" s="33" t="inlineStr">
        <is>
          <t>Limpiador Desinfectante Multiusos</t>
        </is>
      </c>
      <c r="C25" s="33" t="inlineStr">
        <is>
          <t>Limpieza Hogar</t>
        </is>
      </c>
      <c r="D25" s="33" t="inlineStr">
        <is>
          <t>Pisos y multiusos</t>
        </is>
      </c>
      <c r="E25" s="33" t="inlineStr">
        <is>
          <t>Galón</t>
        </is>
      </c>
      <c r="F25" s="33" t="inlineStr">
        <is>
          <t>Unidad</t>
        </is>
      </c>
      <c r="G25" s="34" t="n">
        <v>3785</v>
      </c>
      <c r="H25" s="33" t="inlineStr">
        <is>
          <t>Lavanda, Floral, Chicle, Campo de Flores, Pino, Manzana Verde, Manzana Canela, Bebé, Limón</t>
        </is>
      </c>
      <c r="I25" s="33" t="n"/>
      <c r="J25" s="35" t="n">
        <v>80</v>
      </c>
      <c r="K25" s="36" t="n"/>
      <c r="L25" s="37">
        <f>IF($A25="","",IFERROR(IF(INDEX(tblCostos[Costo de compra unitario],MATCH($A25,tblCostos[SKU],0))="","PENDIENTE",INDEX(tblCostos[Costo de compra unitario],MATCH($A25,tblCostos[SKU],0))),"PENDIENTE"))</f>
        <v/>
      </c>
      <c r="M25" s="37">
        <f>IF($A25="","",IFERROR(IF(INDEX(tblCostos[Transporte unitario],MATCH($A25,tblCostos[SKU],0))="","",INDEX(tblCostos[Transporte unitario],MATCH($A25,tblCostos[SKU],0))),""))</f>
        <v/>
      </c>
      <c r="N25" s="37">
        <f>IF($A25="","",IFERROR(IF(INDEX(tblCostos[Impuestos / aranceles unitarios],MATCH($A25,tblCostos[SKU],0))="","",INDEX(tblCostos[Impuestos / aranceles unitarios],MATCH($A25,tblCostos[SKU],0))),""))</f>
        <v/>
      </c>
      <c r="O25" s="37">
        <f>IF($A25="","",IFERROR(IF(INDEX(tblCostos[Empaque unitario],MATCH($A25,tblCostos[SKU],0))="","",INDEX(tblCostos[Empaque unitario],MATCH($A25,tblCostos[SKU],0))),""))</f>
        <v/>
      </c>
      <c r="P25" s="37">
        <f>IF($A25="","",IFERROR(IF(INDEX(tblCostos[Otros costos variables unitarios],MATCH($A25,tblCostos[SKU],0))="","",INDEX(tblCostos[Otros costos variables unitarios],MATCH($A25,tblCostos[SKU],0))),""))</f>
        <v/>
      </c>
      <c r="Q25" s="37">
        <f>IF($A25="","",IFERROR(IF(INDEX(tblCostos[COSTO REAL UNITARIO],MATCH($A25,tblCostos[SKU],0))="","PENDIENTE",INDEX(tblCostos[COSTO REAL UNITARIO],MATCH($A25,tblCostos[SKU],0))),"PENDIENTE"))</f>
        <v/>
      </c>
      <c r="R25" s="37">
        <f>IF($A25="","",IFERROR(IF(INDEX(tblCostos[Costo variable de venta unitario],MATCH($A25,tblCostos[SKU],0))="","",INDEX(tblCostos[Costo variable de venta unitario],MATCH($A25,tblCostos[SKU],0))),""))</f>
        <v/>
      </c>
      <c r="S25" s="37">
        <f>IF($A25="","",IF(NOT(ISNUMBER($Q25)),"PENDIENTE",$Q25+IF(ISNUMBER($R25),$R25,0)))</f>
        <v/>
      </c>
      <c r="T25" s="37">
        <f>IF($A25="","",IF(OR($K25="",NOT(ISNUMBER($K25)),NOT(ISNUMBER($Q25))),"PENDIENTE",$K25-$Q25))</f>
        <v/>
      </c>
      <c r="U25" s="38">
        <f>IF($A25="","",IF(OR(NOT(ISNUMBER($T25)),NOT(ISNUMBER($K25)),$K25&lt;=0),"PENDIENTE",$T25/$K25))</f>
        <v/>
      </c>
      <c r="V25" s="38">
        <f>IF($A25="","",IF(OR(NOT(ISNUMBER($T25)),NOT(ISNUMBER($Q25)),$Q25&lt;=0),"PENDIENTE",$T25/$Q25))</f>
        <v/>
      </c>
      <c r="W25" s="37">
        <f>IF($A25="","",IF(OR($K25="",NOT(ISNUMBER($K25)),NOT(ISNUMBER($S25))),"PENDIENTE",$K25-$S25))</f>
        <v/>
      </c>
      <c r="X25" s="39">
        <f>IF($A25="","",IFERROR(INDEX(tblInventario[Stock actual],MATCH($A25,tblInventario[SKU],0)),0))</f>
        <v/>
      </c>
      <c r="Y25" s="34" t="n"/>
      <c r="Z25" s="34" t="n"/>
      <c r="AA25" s="33" t="inlineStr">
        <is>
          <t>Activo</t>
        </is>
      </c>
      <c r="AB25" s="40">
        <f>IF($A25="","",IF(COUNTIF(tblCostos[SKU],$A25)=0,"SIN FILA EN COSTOS",IF(AND($K25="",NOT(ISNUMBER($Q25))),"FALTA PRECIO Y COSTO",IF($K25="","FALTA PRECIO",IF(NOT(ISNUMBER($Q25)),"FALTA COSTO",IF($T25&lt;0,"MARGEN NEGATIVO",IF($T25=0,"PRECIO = COSTO","COMPLETO")))))))</f>
        <v/>
      </c>
      <c r="AC25" s="41" t="n"/>
      <c r="AD25" s="33" t="n"/>
    </row>
    <row r="26">
      <c r="A26" s="33" t="inlineStr">
        <is>
          <t>MUL-5L</t>
        </is>
      </c>
      <c r="B26" s="33" t="inlineStr">
        <is>
          <t>Limpiador Desinfectante Multiusos</t>
        </is>
      </c>
      <c r="C26" s="33" t="inlineStr">
        <is>
          <t>Limpieza Hogar</t>
        </is>
      </c>
      <c r="D26" s="33" t="inlineStr">
        <is>
          <t>Pisos y multiusos</t>
        </is>
      </c>
      <c r="E26" s="33" t="inlineStr">
        <is>
          <t>5 Litros</t>
        </is>
      </c>
      <c r="F26" s="33" t="inlineStr">
        <is>
          <t>Unidad</t>
        </is>
      </c>
      <c r="G26" s="34" t="n">
        <v>5000</v>
      </c>
      <c r="H26" s="33" t="inlineStr">
        <is>
          <t>Lavanda, Floral, Chicle, Campo de Flores, Pino, Manzana Verde, Manzana Canela, Bebé, Limón</t>
        </is>
      </c>
      <c r="I26" s="33" t="n"/>
      <c r="J26" s="35" t="n">
        <v>100</v>
      </c>
      <c r="K26" s="36" t="n"/>
      <c r="L26" s="37">
        <f>IF($A26="","",IFERROR(IF(INDEX(tblCostos[Costo de compra unitario],MATCH($A26,tblCostos[SKU],0))="","PENDIENTE",INDEX(tblCostos[Costo de compra unitario],MATCH($A26,tblCostos[SKU],0))),"PENDIENTE"))</f>
        <v/>
      </c>
      <c r="M26" s="37">
        <f>IF($A26="","",IFERROR(IF(INDEX(tblCostos[Transporte unitario],MATCH($A26,tblCostos[SKU],0))="","",INDEX(tblCostos[Transporte unitario],MATCH($A26,tblCostos[SKU],0))),""))</f>
        <v/>
      </c>
      <c r="N26" s="37">
        <f>IF($A26="","",IFERROR(IF(INDEX(tblCostos[Impuestos / aranceles unitarios],MATCH($A26,tblCostos[SKU],0))="","",INDEX(tblCostos[Impuestos / aranceles unitarios],MATCH($A26,tblCostos[SKU],0))),""))</f>
        <v/>
      </c>
      <c r="O26" s="37">
        <f>IF($A26="","",IFERROR(IF(INDEX(tblCostos[Empaque unitario],MATCH($A26,tblCostos[SKU],0))="","",INDEX(tblCostos[Empaque unitario],MATCH($A26,tblCostos[SKU],0))),""))</f>
        <v/>
      </c>
      <c r="P26" s="37">
        <f>IF($A26="","",IFERROR(IF(INDEX(tblCostos[Otros costos variables unitarios],MATCH($A26,tblCostos[SKU],0))="","",INDEX(tblCostos[Otros costos variables unitarios],MATCH($A26,tblCostos[SKU],0))),""))</f>
        <v/>
      </c>
      <c r="Q26" s="37">
        <f>IF($A26="","",IFERROR(IF(INDEX(tblCostos[COSTO REAL UNITARIO],MATCH($A26,tblCostos[SKU],0))="","PENDIENTE",INDEX(tblCostos[COSTO REAL UNITARIO],MATCH($A26,tblCostos[SKU],0))),"PENDIENTE"))</f>
        <v/>
      </c>
      <c r="R26" s="37">
        <f>IF($A26="","",IFERROR(IF(INDEX(tblCostos[Costo variable de venta unitario],MATCH($A26,tblCostos[SKU],0))="","",INDEX(tblCostos[Costo variable de venta unitario],MATCH($A26,tblCostos[SKU],0))),""))</f>
        <v/>
      </c>
      <c r="S26" s="37">
        <f>IF($A26="","",IF(NOT(ISNUMBER($Q26)),"PENDIENTE",$Q26+IF(ISNUMBER($R26),$R26,0)))</f>
        <v/>
      </c>
      <c r="T26" s="37">
        <f>IF($A26="","",IF(OR($K26="",NOT(ISNUMBER($K26)),NOT(ISNUMBER($Q26))),"PENDIENTE",$K26-$Q26))</f>
        <v/>
      </c>
      <c r="U26" s="38">
        <f>IF($A26="","",IF(OR(NOT(ISNUMBER($T26)),NOT(ISNUMBER($K26)),$K26&lt;=0),"PENDIENTE",$T26/$K26))</f>
        <v/>
      </c>
      <c r="V26" s="38">
        <f>IF($A26="","",IF(OR(NOT(ISNUMBER($T26)),NOT(ISNUMBER($Q26)),$Q26&lt;=0),"PENDIENTE",$T26/$Q26))</f>
        <v/>
      </c>
      <c r="W26" s="37">
        <f>IF($A26="","",IF(OR($K26="",NOT(ISNUMBER($K26)),NOT(ISNUMBER($S26))),"PENDIENTE",$K26-$S26))</f>
        <v/>
      </c>
      <c r="X26" s="39">
        <f>IF($A26="","",IFERROR(INDEX(tblInventario[Stock actual],MATCH($A26,tblInventario[SKU],0)),0))</f>
        <v/>
      </c>
      <c r="Y26" s="34" t="n"/>
      <c r="Z26" s="34" t="n"/>
      <c r="AA26" s="33" t="inlineStr">
        <is>
          <t>Activo</t>
        </is>
      </c>
      <c r="AB26" s="40">
        <f>IF($A26="","",IF(COUNTIF(tblCostos[SKU],$A26)=0,"SIN FILA EN COSTOS",IF(AND($K26="",NOT(ISNUMBER($Q26))),"FALTA PRECIO Y COSTO",IF($K26="","FALTA PRECIO",IF(NOT(ISNUMBER($Q26)),"FALTA COSTO",IF($T26&lt;0,"MARGEN NEGATIVO",IF($T26=0,"PRECIO = COSTO","COMPLETO")))))))</f>
        <v/>
      </c>
      <c r="AC26" s="41" t="n"/>
      <c r="AD26" s="33" t="n"/>
    </row>
    <row r="27">
      <c r="A27" s="33" t="inlineStr">
        <is>
          <t>ODO-250</t>
        </is>
      </c>
      <c r="B27" s="33" t="inlineStr">
        <is>
          <t>Odorless Eliminador de Olores</t>
        </is>
      </c>
      <c r="C27" s="33" t="inlineStr">
        <is>
          <t>Limpieza Hogar</t>
        </is>
      </c>
      <c r="D27" s="33" t="inlineStr">
        <is>
          <t>Aromatización y desinfección</t>
        </is>
      </c>
      <c r="E27" s="33" t="inlineStr">
        <is>
          <t>250 mL</t>
        </is>
      </c>
      <c r="F27" s="33" t="inlineStr">
        <is>
          <t>Unidad</t>
        </is>
      </c>
      <c r="G27" s="34" t="n">
        <v>250</v>
      </c>
      <c r="H27" s="33" t="inlineStr">
        <is>
          <t>Manzana Canela, Limón</t>
        </is>
      </c>
      <c r="I27" s="33" t="n"/>
      <c r="J27" s="35" t="n">
        <v>50</v>
      </c>
      <c r="K27" s="36" t="n"/>
      <c r="L27" s="37">
        <f>IF($A27="","",IFERROR(IF(INDEX(tblCostos[Costo de compra unitario],MATCH($A27,tblCostos[SKU],0))="","PENDIENTE",INDEX(tblCostos[Costo de compra unitario],MATCH($A27,tblCostos[SKU],0))),"PENDIENTE"))</f>
        <v/>
      </c>
      <c r="M27" s="37">
        <f>IF($A27="","",IFERROR(IF(INDEX(tblCostos[Transporte unitario],MATCH($A27,tblCostos[SKU],0))="","",INDEX(tblCostos[Transporte unitario],MATCH($A27,tblCostos[SKU],0))),""))</f>
        <v/>
      </c>
      <c r="N27" s="37">
        <f>IF($A27="","",IFERROR(IF(INDEX(tblCostos[Impuestos / aranceles unitarios],MATCH($A27,tblCostos[SKU],0))="","",INDEX(tblCostos[Impuestos / aranceles unitarios],MATCH($A27,tblCostos[SKU],0))),""))</f>
        <v/>
      </c>
      <c r="O27" s="37">
        <f>IF($A27="","",IFERROR(IF(INDEX(tblCostos[Empaque unitario],MATCH($A27,tblCostos[SKU],0))="","",INDEX(tblCostos[Empaque unitario],MATCH($A27,tblCostos[SKU],0))),""))</f>
        <v/>
      </c>
      <c r="P27" s="37">
        <f>IF($A27="","",IFERROR(IF(INDEX(tblCostos[Otros costos variables unitarios],MATCH($A27,tblCostos[SKU],0))="","",INDEX(tblCostos[Otros costos variables unitarios],MATCH($A27,tblCostos[SKU],0))),""))</f>
        <v/>
      </c>
      <c r="Q27" s="37">
        <f>IF($A27="","",IFERROR(IF(INDEX(tblCostos[COSTO REAL UNITARIO],MATCH($A27,tblCostos[SKU],0))="","PENDIENTE",INDEX(tblCostos[COSTO REAL UNITARIO],MATCH($A27,tblCostos[SKU],0))),"PENDIENTE"))</f>
        <v/>
      </c>
      <c r="R27" s="37">
        <f>IF($A27="","",IFERROR(IF(INDEX(tblCostos[Costo variable de venta unitario],MATCH($A27,tblCostos[SKU],0))="","",INDEX(tblCostos[Costo variable de venta unitario],MATCH($A27,tblCostos[SKU],0))),""))</f>
        <v/>
      </c>
      <c r="S27" s="37">
        <f>IF($A27="","",IF(NOT(ISNUMBER($Q27)),"PENDIENTE",$Q27+IF(ISNUMBER($R27),$R27,0)))</f>
        <v/>
      </c>
      <c r="T27" s="37">
        <f>IF($A27="","",IF(OR($K27="",NOT(ISNUMBER($K27)),NOT(ISNUMBER($Q27))),"PENDIENTE",$K27-$Q27))</f>
        <v/>
      </c>
      <c r="U27" s="38">
        <f>IF($A27="","",IF(OR(NOT(ISNUMBER($T27)),NOT(ISNUMBER($K27)),$K27&lt;=0),"PENDIENTE",$T27/$K27))</f>
        <v/>
      </c>
      <c r="V27" s="38">
        <f>IF($A27="","",IF(OR(NOT(ISNUMBER($T27)),NOT(ISNUMBER($Q27)),$Q27&lt;=0),"PENDIENTE",$T27/$Q27))</f>
        <v/>
      </c>
      <c r="W27" s="37">
        <f>IF($A27="","",IF(OR($K27="",NOT(ISNUMBER($K27)),NOT(ISNUMBER($S27))),"PENDIENTE",$K27-$S27))</f>
        <v/>
      </c>
      <c r="X27" s="39">
        <f>IF($A27="","",IFERROR(INDEX(tblInventario[Stock actual],MATCH($A27,tblInventario[SKU],0)),0))</f>
        <v/>
      </c>
      <c r="Y27" s="34" t="n"/>
      <c r="Z27" s="34" t="n"/>
      <c r="AA27" s="33" t="inlineStr">
        <is>
          <t>Activo</t>
        </is>
      </c>
      <c r="AB27" s="40">
        <f>IF($A27="","",IF(COUNTIF(tblCostos[SKU],$A27)=0,"SIN FILA EN COSTOS",IF(AND($K27="",NOT(ISNUMBER($Q27))),"FALTA PRECIO Y COSTO",IF($K27="","FALTA PRECIO",IF(NOT(ISNUMBER($Q27)),"FALTA COSTO",IF($T27&lt;0,"MARGEN NEGATIVO",IF($T27=0,"PRECIO = COSTO","COMPLETO")))))))</f>
        <v/>
      </c>
      <c r="AC27" s="41" t="n"/>
      <c r="AD27" s="33" t="n"/>
    </row>
    <row r="28">
      <c r="A28" s="33" t="inlineStr">
        <is>
          <t>BAN-750</t>
        </is>
      </c>
      <c r="B28" s="33" t="inlineStr">
        <is>
          <t>Bañopurific Limpiador Desinfectante</t>
        </is>
      </c>
      <c r="C28" s="33" t="inlineStr">
        <is>
          <t>Limpieza Hogar</t>
        </is>
      </c>
      <c r="D28" s="33" t="inlineStr">
        <is>
          <t>Baños</t>
        </is>
      </c>
      <c r="E28" s="33" t="inlineStr">
        <is>
          <t>750 mL</t>
        </is>
      </c>
      <c r="F28" s="33" t="inlineStr">
        <is>
          <t>Unidad</t>
        </is>
      </c>
      <c r="G28" s="34" t="n">
        <v>750</v>
      </c>
      <c r="H28" s="33" t="inlineStr">
        <is>
          <t>Sin aroma específico</t>
        </is>
      </c>
      <c r="I28" s="33" t="n"/>
      <c r="J28" s="35" t="n">
        <v>75</v>
      </c>
      <c r="K28" s="36" t="n"/>
      <c r="L28" s="37">
        <f>IF($A28="","",IFERROR(IF(INDEX(tblCostos[Costo de compra unitario],MATCH($A28,tblCostos[SKU],0))="","PENDIENTE",INDEX(tblCostos[Costo de compra unitario],MATCH($A28,tblCostos[SKU],0))),"PENDIENTE"))</f>
        <v/>
      </c>
      <c r="M28" s="37">
        <f>IF($A28="","",IFERROR(IF(INDEX(tblCostos[Transporte unitario],MATCH($A28,tblCostos[SKU],0))="","",INDEX(tblCostos[Transporte unitario],MATCH($A28,tblCostos[SKU],0))),""))</f>
        <v/>
      </c>
      <c r="N28" s="37">
        <f>IF($A28="","",IFERROR(IF(INDEX(tblCostos[Impuestos / aranceles unitarios],MATCH($A28,tblCostos[SKU],0))="","",INDEX(tblCostos[Impuestos / aranceles unitarios],MATCH($A28,tblCostos[SKU],0))),""))</f>
        <v/>
      </c>
      <c r="O28" s="37">
        <f>IF($A28="","",IFERROR(IF(INDEX(tblCostos[Empaque unitario],MATCH($A28,tblCostos[SKU],0))="","",INDEX(tblCostos[Empaque unitario],MATCH($A28,tblCostos[SKU],0))),""))</f>
        <v/>
      </c>
      <c r="P28" s="37">
        <f>IF($A28="","",IFERROR(IF(INDEX(tblCostos[Otros costos variables unitarios],MATCH($A28,tblCostos[SKU],0))="","",INDEX(tblCostos[Otros costos variables unitarios],MATCH($A28,tblCostos[SKU],0))),""))</f>
        <v/>
      </c>
      <c r="Q28" s="37">
        <f>IF($A28="","",IFERROR(IF(INDEX(tblCostos[COSTO REAL UNITARIO],MATCH($A28,tblCostos[SKU],0))="","PENDIENTE",INDEX(tblCostos[COSTO REAL UNITARIO],MATCH($A28,tblCostos[SKU],0))),"PENDIENTE"))</f>
        <v/>
      </c>
      <c r="R28" s="37">
        <f>IF($A28="","",IFERROR(IF(INDEX(tblCostos[Costo variable de venta unitario],MATCH($A28,tblCostos[SKU],0))="","",INDEX(tblCostos[Costo variable de venta unitario],MATCH($A28,tblCostos[SKU],0))),""))</f>
        <v/>
      </c>
      <c r="S28" s="37">
        <f>IF($A28="","",IF(NOT(ISNUMBER($Q28)),"PENDIENTE",$Q28+IF(ISNUMBER($R28),$R28,0)))</f>
        <v/>
      </c>
      <c r="T28" s="37">
        <f>IF($A28="","",IF(OR($K28="",NOT(ISNUMBER($K28)),NOT(ISNUMBER($Q28))),"PENDIENTE",$K28-$Q28))</f>
        <v/>
      </c>
      <c r="U28" s="38">
        <f>IF($A28="","",IF(OR(NOT(ISNUMBER($T28)),NOT(ISNUMBER($K28)),$K28&lt;=0),"PENDIENTE",$T28/$K28))</f>
        <v/>
      </c>
      <c r="V28" s="38">
        <f>IF($A28="","",IF(OR(NOT(ISNUMBER($T28)),NOT(ISNUMBER($Q28)),$Q28&lt;=0),"PENDIENTE",$T28/$Q28))</f>
        <v/>
      </c>
      <c r="W28" s="37">
        <f>IF($A28="","",IF(OR($K28="",NOT(ISNUMBER($K28)),NOT(ISNUMBER($S28))),"PENDIENTE",$K28-$S28))</f>
        <v/>
      </c>
      <c r="X28" s="39">
        <f>IF($A28="","",IFERROR(INDEX(tblInventario[Stock actual],MATCH($A28,tblInventario[SKU],0)),0))</f>
        <v/>
      </c>
      <c r="Y28" s="34" t="n"/>
      <c r="Z28" s="34" t="n"/>
      <c r="AA28" s="33" t="inlineStr">
        <is>
          <t>Activo</t>
        </is>
      </c>
      <c r="AB28" s="40">
        <f>IF($A28="","",IF(COUNTIF(tblCostos[SKU],$A28)=0,"SIN FILA EN COSTOS",IF(AND($K28="",NOT(ISNUMBER($Q28))),"FALTA PRECIO Y COSTO",IF($K28="","FALTA PRECIO",IF(NOT(ISNUMBER($Q28)),"FALTA COSTO",IF($T28&lt;0,"MARGEN NEGATIVO",IF($T28=0,"PRECIO = COSTO","COMPLETO")))))))</f>
        <v/>
      </c>
      <c r="AC28" s="41" t="n"/>
      <c r="AD28" s="33" t="n"/>
    </row>
    <row r="29">
      <c r="A29" s="33" t="inlineStr">
        <is>
          <t>BAN-GAL</t>
        </is>
      </c>
      <c r="B29" s="33" t="inlineStr">
        <is>
          <t>Bañopurific Limpiador Desinfectante</t>
        </is>
      </c>
      <c r="C29" s="33" t="inlineStr">
        <is>
          <t>Limpieza Hogar</t>
        </is>
      </c>
      <c r="D29" s="33" t="inlineStr">
        <is>
          <t>Baños</t>
        </is>
      </c>
      <c r="E29" s="33" t="inlineStr">
        <is>
          <t>Galón</t>
        </is>
      </c>
      <c r="F29" s="33" t="inlineStr">
        <is>
          <t>Unidad</t>
        </is>
      </c>
      <c r="G29" s="34" t="n">
        <v>3785</v>
      </c>
      <c r="H29" s="33" t="inlineStr">
        <is>
          <t>Sin aroma específico</t>
        </is>
      </c>
      <c r="I29" s="33" t="n"/>
      <c r="J29" s="35" t="n">
        <v>150</v>
      </c>
      <c r="K29" s="36" t="n"/>
      <c r="L29" s="37">
        <f>IF($A29="","",IFERROR(IF(INDEX(tblCostos[Costo de compra unitario],MATCH($A29,tblCostos[SKU],0))="","PENDIENTE",INDEX(tblCostos[Costo de compra unitario],MATCH($A29,tblCostos[SKU],0))),"PENDIENTE"))</f>
        <v/>
      </c>
      <c r="M29" s="37">
        <f>IF($A29="","",IFERROR(IF(INDEX(tblCostos[Transporte unitario],MATCH($A29,tblCostos[SKU],0))="","",INDEX(tblCostos[Transporte unitario],MATCH($A29,tblCostos[SKU],0))),""))</f>
        <v/>
      </c>
      <c r="N29" s="37">
        <f>IF($A29="","",IFERROR(IF(INDEX(tblCostos[Impuestos / aranceles unitarios],MATCH($A29,tblCostos[SKU],0))="","",INDEX(tblCostos[Impuestos / aranceles unitarios],MATCH($A29,tblCostos[SKU],0))),""))</f>
        <v/>
      </c>
      <c r="O29" s="37">
        <f>IF($A29="","",IFERROR(IF(INDEX(tblCostos[Empaque unitario],MATCH($A29,tblCostos[SKU],0))="","",INDEX(tblCostos[Empaque unitario],MATCH($A29,tblCostos[SKU],0))),""))</f>
        <v/>
      </c>
      <c r="P29" s="37">
        <f>IF($A29="","",IFERROR(IF(INDEX(tblCostos[Otros costos variables unitarios],MATCH($A29,tblCostos[SKU],0))="","",INDEX(tblCostos[Otros costos variables unitarios],MATCH($A29,tblCostos[SKU],0))),""))</f>
        <v/>
      </c>
      <c r="Q29" s="37">
        <f>IF($A29="","",IFERROR(IF(INDEX(tblCostos[COSTO REAL UNITARIO],MATCH($A29,tblCostos[SKU],0))="","PENDIENTE",INDEX(tblCostos[COSTO REAL UNITARIO],MATCH($A29,tblCostos[SKU],0))),"PENDIENTE"))</f>
        <v/>
      </c>
      <c r="R29" s="37">
        <f>IF($A29="","",IFERROR(IF(INDEX(tblCostos[Costo variable de venta unitario],MATCH($A29,tblCostos[SKU],0))="","",INDEX(tblCostos[Costo variable de venta unitario],MATCH($A29,tblCostos[SKU],0))),""))</f>
        <v/>
      </c>
      <c r="S29" s="37">
        <f>IF($A29="","",IF(NOT(ISNUMBER($Q29)),"PENDIENTE",$Q29+IF(ISNUMBER($R29),$R29,0)))</f>
        <v/>
      </c>
      <c r="T29" s="37">
        <f>IF($A29="","",IF(OR($K29="",NOT(ISNUMBER($K29)),NOT(ISNUMBER($Q29))),"PENDIENTE",$K29-$Q29))</f>
        <v/>
      </c>
      <c r="U29" s="38">
        <f>IF($A29="","",IF(OR(NOT(ISNUMBER($T29)),NOT(ISNUMBER($K29)),$K29&lt;=0),"PENDIENTE",$T29/$K29))</f>
        <v/>
      </c>
      <c r="V29" s="38">
        <f>IF($A29="","",IF(OR(NOT(ISNUMBER($T29)),NOT(ISNUMBER($Q29)),$Q29&lt;=0),"PENDIENTE",$T29/$Q29))</f>
        <v/>
      </c>
      <c r="W29" s="37">
        <f>IF($A29="","",IF(OR($K29="",NOT(ISNUMBER($K29)),NOT(ISNUMBER($S29))),"PENDIENTE",$K29-$S29))</f>
        <v/>
      </c>
      <c r="X29" s="39">
        <f>IF($A29="","",IFERROR(INDEX(tblInventario[Stock actual],MATCH($A29,tblInventario[SKU],0)),0))</f>
        <v/>
      </c>
      <c r="Y29" s="34" t="n"/>
      <c r="Z29" s="34" t="n"/>
      <c r="AA29" s="33" t="inlineStr">
        <is>
          <t>Activo</t>
        </is>
      </c>
      <c r="AB29" s="40">
        <f>IF($A29="","",IF(COUNTIF(tblCostos[SKU],$A29)=0,"SIN FILA EN COSTOS",IF(AND($K29="",NOT(ISNUMBER($Q29))),"FALTA PRECIO Y COSTO",IF($K29="","FALTA PRECIO",IF(NOT(ISNUMBER($Q29)),"FALTA COSTO",IF($T29&lt;0,"MARGEN NEGATIVO",IF($T29=0,"PRECIO = COSTO","COMPLETO")))))))</f>
        <v/>
      </c>
      <c r="AC29" s="41" t="n"/>
      <c r="AD29" s="33" t="n"/>
    </row>
    <row r="30">
      <c r="A30" s="33" t="inlineStr">
        <is>
          <t>CAN-1L</t>
        </is>
      </c>
      <c r="B30" s="33" t="inlineStr">
        <is>
          <t>Desatorador de Cañerías</t>
        </is>
      </c>
      <c r="C30" s="33" t="inlineStr">
        <is>
          <t>Limpieza Hogar</t>
        </is>
      </c>
      <c r="D30" s="33" t="inlineStr">
        <is>
          <t>Baños</t>
        </is>
      </c>
      <c r="E30" s="33" t="inlineStr">
        <is>
          <t>1 Litro</t>
        </is>
      </c>
      <c r="F30" s="33" t="inlineStr">
        <is>
          <t>Unidad</t>
        </is>
      </c>
      <c r="G30" s="34" t="n">
        <v>1000</v>
      </c>
      <c r="H30" s="33" t="inlineStr">
        <is>
          <t>Sin aroma específico</t>
        </is>
      </c>
      <c r="I30" s="33" t="n"/>
      <c r="J30" s="35" t="n">
        <v>130</v>
      </c>
      <c r="K30" s="36" t="n"/>
      <c r="L30" s="37">
        <f>IF($A30="","",IFERROR(IF(INDEX(tblCostos[Costo de compra unitario],MATCH($A30,tblCostos[SKU],0))="","PENDIENTE",INDEX(tblCostos[Costo de compra unitario],MATCH($A30,tblCostos[SKU],0))),"PENDIENTE"))</f>
        <v/>
      </c>
      <c r="M30" s="37">
        <f>IF($A30="","",IFERROR(IF(INDEX(tblCostos[Transporte unitario],MATCH($A30,tblCostos[SKU],0))="","",INDEX(tblCostos[Transporte unitario],MATCH($A30,tblCostos[SKU],0))),""))</f>
        <v/>
      </c>
      <c r="N30" s="37">
        <f>IF($A30="","",IFERROR(IF(INDEX(tblCostos[Impuestos / aranceles unitarios],MATCH($A30,tblCostos[SKU],0))="","",INDEX(tblCostos[Impuestos / aranceles unitarios],MATCH($A30,tblCostos[SKU],0))),""))</f>
        <v/>
      </c>
      <c r="O30" s="37">
        <f>IF($A30="","",IFERROR(IF(INDEX(tblCostos[Empaque unitario],MATCH($A30,tblCostos[SKU],0))="","",INDEX(tblCostos[Empaque unitario],MATCH($A30,tblCostos[SKU],0))),""))</f>
        <v/>
      </c>
      <c r="P30" s="37">
        <f>IF($A30="","",IFERROR(IF(INDEX(tblCostos[Otros costos variables unitarios],MATCH($A30,tblCostos[SKU],0))="","",INDEX(tblCostos[Otros costos variables unitarios],MATCH($A30,tblCostos[SKU],0))),""))</f>
        <v/>
      </c>
      <c r="Q30" s="37">
        <f>IF($A30="","",IFERROR(IF(INDEX(tblCostos[COSTO REAL UNITARIO],MATCH($A30,tblCostos[SKU],0))="","PENDIENTE",INDEX(tblCostos[COSTO REAL UNITARIO],MATCH($A30,tblCostos[SKU],0))),"PENDIENTE"))</f>
        <v/>
      </c>
      <c r="R30" s="37">
        <f>IF($A30="","",IFERROR(IF(INDEX(tblCostos[Costo variable de venta unitario],MATCH($A30,tblCostos[SKU],0))="","",INDEX(tblCostos[Costo variable de venta unitario],MATCH($A30,tblCostos[SKU],0))),""))</f>
        <v/>
      </c>
      <c r="S30" s="37">
        <f>IF($A30="","",IF(NOT(ISNUMBER($Q30)),"PENDIENTE",$Q30+IF(ISNUMBER($R30),$R30,0)))</f>
        <v/>
      </c>
      <c r="T30" s="37">
        <f>IF($A30="","",IF(OR($K30="",NOT(ISNUMBER($K30)),NOT(ISNUMBER($Q30))),"PENDIENTE",$K30-$Q30))</f>
        <v/>
      </c>
      <c r="U30" s="38">
        <f>IF($A30="","",IF(OR(NOT(ISNUMBER($T30)),NOT(ISNUMBER($K30)),$K30&lt;=0),"PENDIENTE",$T30/$K30))</f>
        <v/>
      </c>
      <c r="V30" s="38">
        <f>IF($A30="","",IF(OR(NOT(ISNUMBER($T30)),NOT(ISNUMBER($Q30)),$Q30&lt;=0),"PENDIENTE",$T30/$Q30))</f>
        <v/>
      </c>
      <c r="W30" s="37">
        <f>IF($A30="","",IF(OR($K30="",NOT(ISNUMBER($K30)),NOT(ISNUMBER($S30))),"PENDIENTE",$K30-$S30))</f>
        <v/>
      </c>
      <c r="X30" s="39">
        <f>IF($A30="","",IFERROR(INDEX(tblInventario[Stock actual],MATCH($A30,tblInventario[SKU],0)),0))</f>
        <v/>
      </c>
      <c r="Y30" s="34" t="n"/>
      <c r="Z30" s="34" t="n"/>
      <c r="AA30" s="33" t="inlineStr">
        <is>
          <t>Activo</t>
        </is>
      </c>
      <c r="AB30" s="40">
        <f>IF($A30="","",IF(COUNTIF(tblCostos[SKU],$A30)=0,"SIN FILA EN COSTOS",IF(AND($K30="",NOT(ISNUMBER($Q30))),"FALTA PRECIO Y COSTO",IF($K30="","FALTA PRECIO",IF(NOT(ISNUMBER($Q30)),"FALTA COSTO",IF($T30&lt;0,"MARGEN NEGATIVO",IF($T30=0,"PRECIO = COSTO","COMPLETO")))))))</f>
        <v/>
      </c>
      <c r="AC30" s="41" t="n"/>
      <c r="AD30" s="33" t="n"/>
    </row>
    <row r="31">
      <c r="A31" s="33" t="inlineStr">
        <is>
          <t>CAN-GAL</t>
        </is>
      </c>
      <c r="B31" s="33" t="inlineStr">
        <is>
          <t>Desatorador de Cañerías</t>
        </is>
      </c>
      <c r="C31" s="33" t="inlineStr">
        <is>
          <t>Limpieza Hogar</t>
        </is>
      </c>
      <c r="D31" s="33" t="inlineStr">
        <is>
          <t>Baños</t>
        </is>
      </c>
      <c r="E31" s="33" t="inlineStr">
        <is>
          <t>Galón</t>
        </is>
      </c>
      <c r="F31" s="33" t="inlineStr">
        <is>
          <t>Unidad</t>
        </is>
      </c>
      <c r="G31" s="34" t="n">
        <v>3785</v>
      </c>
      <c r="H31" s="33" t="inlineStr">
        <is>
          <t>Sin aroma específico</t>
        </is>
      </c>
      <c r="I31" s="33" t="n"/>
      <c r="J31" s="35" t="n">
        <v>400</v>
      </c>
      <c r="K31" s="36" t="n"/>
      <c r="L31" s="37">
        <f>IF($A31="","",IFERROR(IF(INDEX(tblCostos[Costo de compra unitario],MATCH($A31,tblCostos[SKU],0))="","PENDIENTE",INDEX(tblCostos[Costo de compra unitario],MATCH($A31,tblCostos[SKU],0))),"PENDIENTE"))</f>
        <v/>
      </c>
      <c r="M31" s="37">
        <f>IF($A31="","",IFERROR(IF(INDEX(tblCostos[Transporte unitario],MATCH($A31,tblCostos[SKU],0))="","",INDEX(tblCostos[Transporte unitario],MATCH($A31,tblCostos[SKU],0))),""))</f>
        <v/>
      </c>
      <c r="N31" s="37">
        <f>IF($A31="","",IFERROR(IF(INDEX(tblCostos[Impuestos / aranceles unitarios],MATCH($A31,tblCostos[SKU],0))="","",INDEX(tblCostos[Impuestos / aranceles unitarios],MATCH($A31,tblCostos[SKU],0))),""))</f>
        <v/>
      </c>
      <c r="O31" s="37">
        <f>IF($A31="","",IFERROR(IF(INDEX(tblCostos[Empaque unitario],MATCH($A31,tblCostos[SKU],0))="","",INDEX(tblCostos[Empaque unitario],MATCH($A31,tblCostos[SKU],0))),""))</f>
        <v/>
      </c>
      <c r="P31" s="37">
        <f>IF($A31="","",IFERROR(IF(INDEX(tblCostos[Otros costos variables unitarios],MATCH($A31,tblCostos[SKU],0))="","",INDEX(tblCostos[Otros costos variables unitarios],MATCH($A31,tblCostos[SKU],0))),""))</f>
        <v/>
      </c>
      <c r="Q31" s="37">
        <f>IF($A31="","",IFERROR(IF(INDEX(tblCostos[COSTO REAL UNITARIO],MATCH($A31,tblCostos[SKU],0))="","PENDIENTE",INDEX(tblCostos[COSTO REAL UNITARIO],MATCH($A31,tblCostos[SKU],0))),"PENDIENTE"))</f>
        <v/>
      </c>
      <c r="R31" s="37">
        <f>IF($A31="","",IFERROR(IF(INDEX(tblCostos[Costo variable de venta unitario],MATCH($A31,tblCostos[SKU],0))="","",INDEX(tblCostos[Costo variable de venta unitario],MATCH($A31,tblCostos[SKU],0))),""))</f>
        <v/>
      </c>
      <c r="S31" s="37">
        <f>IF($A31="","",IF(NOT(ISNUMBER($Q31)),"PENDIENTE",$Q31+IF(ISNUMBER($R31),$R31,0)))</f>
        <v/>
      </c>
      <c r="T31" s="37">
        <f>IF($A31="","",IF(OR($K31="",NOT(ISNUMBER($K31)),NOT(ISNUMBER($Q31))),"PENDIENTE",$K31-$Q31))</f>
        <v/>
      </c>
      <c r="U31" s="38">
        <f>IF($A31="","",IF(OR(NOT(ISNUMBER($T31)),NOT(ISNUMBER($K31)),$K31&lt;=0),"PENDIENTE",$T31/$K31))</f>
        <v/>
      </c>
      <c r="V31" s="38">
        <f>IF($A31="","",IF(OR(NOT(ISNUMBER($T31)),NOT(ISNUMBER($Q31)),$Q31&lt;=0),"PENDIENTE",$T31/$Q31))</f>
        <v/>
      </c>
      <c r="W31" s="37">
        <f>IF($A31="","",IF(OR($K31="",NOT(ISNUMBER($K31)),NOT(ISNUMBER($S31))),"PENDIENTE",$K31-$S31))</f>
        <v/>
      </c>
      <c r="X31" s="39">
        <f>IF($A31="","",IFERROR(INDEX(tblInventario[Stock actual],MATCH($A31,tblInventario[SKU],0)),0))</f>
        <v/>
      </c>
      <c r="Y31" s="34" t="n"/>
      <c r="Z31" s="34" t="n"/>
      <c r="AA31" s="33" t="inlineStr">
        <is>
          <t>Activo</t>
        </is>
      </c>
      <c r="AB31" s="40">
        <f>IF($A31="","",IF(COUNTIF(tblCostos[SKU],$A31)=0,"SIN FILA EN COSTOS",IF(AND($K31="",NOT(ISNUMBER($Q31))),"FALTA PRECIO Y COSTO",IF($K31="","FALTA PRECIO",IF(NOT(ISNUMBER($Q31)),"FALTA COSTO",IF($T31&lt;0,"MARGEN NEGATIVO",IF($T31=0,"PRECIO = COSTO","COMPLETO")))))))</f>
        <v/>
      </c>
      <c r="AC31" s="41" t="n"/>
      <c r="AD31" s="33" t="n"/>
    </row>
    <row r="32">
      <c r="A32" s="33" t="inlineStr">
        <is>
          <t>SHA-250</t>
        </is>
      </c>
      <c r="B32" s="33" t="inlineStr">
        <is>
          <t>Shampoo para Auto</t>
        </is>
      </c>
      <c r="C32" s="33" t="inlineStr">
        <is>
          <t>Automotriz</t>
        </is>
      </c>
      <c r="D32" s="33" t="inlineStr">
        <is>
          <t>Lavado</t>
        </is>
      </c>
      <c r="E32" s="33" t="inlineStr">
        <is>
          <t>250 mL</t>
        </is>
      </c>
      <c r="F32" s="33" t="inlineStr">
        <is>
          <t>Unidad</t>
        </is>
      </c>
      <c r="G32" s="34" t="n">
        <v>250</v>
      </c>
      <c r="H32" s="33" t="inlineStr">
        <is>
          <t>Original</t>
        </is>
      </c>
      <c r="I32" s="33" t="n"/>
      <c r="J32" s="35" t="n">
        <v>30</v>
      </c>
      <c r="K32" s="36" t="n"/>
      <c r="L32" s="37">
        <f>IF($A32="","",IFERROR(IF(INDEX(tblCostos[Costo de compra unitario],MATCH($A32,tblCostos[SKU],0))="","PENDIENTE",INDEX(tblCostos[Costo de compra unitario],MATCH($A32,tblCostos[SKU],0))),"PENDIENTE"))</f>
        <v/>
      </c>
      <c r="M32" s="37">
        <f>IF($A32="","",IFERROR(IF(INDEX(tblCostos[Transporte unitario],MATCH($A32,tblCostos[SKU],0))="","",INDEX(tblCostos[Transporte unitario],MATCH($A32,tblCostos[SKU],0))),""))</f>
        <v/>
      </c>
      <c r="N32" s="37">
        <f>IF($A32="","",IFERROR(IF(INDEX(tblCostos[Impuestos / aranceles unitarios],MATCH($A32,tblCostos[SKU],0))="","",INDEX(tblCostos[Impuestos / aranceles unitarios],MATCH($A32,tblCostos[SKU],0))),""))</f>
        <v/>
      </c>
      <c r="O32" s="37">
        <f>IF($A32="","",IFERROR(IF(INDEX(tblCostos[Empaque unitario],MATCH($A32,tblCostos[SKU],0))="","",INDEX(tblCostos[Empaque unitario],MATCH($A32,tblCostos[SKU],0))),""))</f>
        <v/>
      </c>
      <c r="P32" s="37">
        <f>IF($A32="","",IFERROR(IF(INDEX(tblCostos[Otros costos variables unitarios],MATCH($A32,tblCostos[SKU],0))="","",INDEX(tblCostos[Otros costos variables unitarios],MATCH($A32,tblCostos[SKU],0))),""))</f>
        <v/>
      </c>
      <c r="Q32" s="37">
        <f>IF($A32="","",IFERROR(IF(INDEX(tblCostos[COSTO REAL UNITARIO],MATCH($A32,tblCostos[SKU],0))="","PENDIENTE",INDEX(tblCostos[COSTO REAL UNITARIO],MATCH($A32,tblCostos[SKU],0))),"PENDIENTE"))</f>
        <v/>
      </c>
      <c r="R32" s="37">
        <f>IF($A32="","",IFERROR(IF(INDEX(tblCostos[Costo variable de venta unitario],MATCH($A32,tblCostos[SKU],0))="","",INDEX(tblCostos[Costo variable de venta unitario],MATCH($A32,tblCostos[SKU],0))),""))</f>
        <v/>
      </c>
      <c r="S32" s="37">
        <f>IF($A32="","",IF(NOT(ISNUMBER($Q32)),"PENDIENTE",$Q32+IF(ISNUMBER($R32),$R32,0)))</f>
        <v/>
      </c>
      <c r="T32" s="37">
        <f>IF($A32="","",IF(OR($K32="",NOT(ISNUMBER($K32)),NOT(ISNUMBER($Q32))),"PENDIENTE",$K32-$Q32))</f>
        <v/>
      </c>
      <c r="U32" s="38">
        <f>IF($A32="","",IF(OR(NOT(ISNUMBER($T32)),NOT(ISNUMBER($K32)),$K32&lt;=0),"PENDIENTE",$T32/$K32))</f>
        <v/>
      </c>
      <c r="V32" s="38">
        <f>IF($A32="","",IF(OR(NOT(ISNUMBER($T32)),NOT(ISNUMBER($Q32)),$Q32&lt;=0),"PENDIENTE",$T32/$Q32))</f>
        <v/>
      </c>
      <c r="W32" s="37">
        <f>IF($A32="","",IF(OR($K32="",NOT(ISNUMBER($K32)),NOT(ISNUMBER($S32))),"PENDIENTE",$K32-$S32))</f>
        <v/>
      </c>
      <c r="X32" s="39">
        <f>IF($A32="","",IFERROR(INDEX(tblInventario[Stock actual],MATCH($A32,tblInventario[SKU],0)),0))</f>
        <v/>
      </c>
      <c r="Y32" s="34" t="n"/>
      <c r="Z32" s="34" t="n"/>
      <c r="AA32" s="33" t="inlineStr">
        <is>
          <t>Activo</t>
        </is>
      </c>
      <c r="AB32" s="40">
        <f>IF($A32="","",IF(COUNTIF(tblCostos[SKU],$A32)=0,"SIN FILA EN COSTOS",IF(AND($K32="",NOT(ISNUMBER($Q32))),"FALTA PRECIO Y COSTO",IF($K32="","FALTA PRECIO",IF(NOT(ISNUMBER($Q32)),"FALTA COSTO",IF($T32&lt;0,"MARGEN NEGATIVO",IF($T32=0,"PRECIO = COSTO","COMPLETO")))))))</f>
        <v/>
      </c>
      <c r="AC32" s="41" t="n"/>
      <c r="AD32" s="33" t="n"/>
    </row>
    <row r="33">
      <c r="A33" s="33" t="inlineStr">
        <is>
          <t>SHA-2L</t>
        </is>
      </c>
      <c r="B33" s="33" t="inlineStr">
        <is>
          <t>Shampoo para Auto</t>
        </is>
      </c>
      <c r="C33" s="33" t="inlineStr">
        <is>
          <t>Automotriz</t>
        </is>
      </c>
      <c r="D33" s="33" t="inlineStr">
        <is>
          <t>Lavado</t>
        </is>
      </c>
      <c r="E33" s="33" t="inlineStr">
        <is>
          <t>2 Litros</t>
        </is>
      </c>
      <c r="F33" s="33" t="inlineStr">
        <is>
          <t>Unidad</t>
        </is>
      </c>
      <c r="G33" s="34" t="n">
        <v>2000</v>
      </c>
      <c r="H33" s="33" t="inlineStr">
        <is>
          <t>Original</t>
        </is>
      </c>
      <c r="I33" s="33" t="n"/>
      <c r="J33" s="35" t="n">
        <v>80</v>
      </c>
      <c r="K33" s="36" t="n"/>
      <c r="L33" s="37">
        <f>IF($A33="","",IFERROR(IF(INDEX(tblCostos[Costo de compra unitario],MATCH($A33,tblCostos[SKU],0))="","PENDIENTE",INDEX(tblCostos[Costo de compra unitario],MATCH($A33,tblCostos[SKU],0))),"PENDIENTE"))</f>
        <v/>
      </c>
      <c r="M33" s="37">
        <f>IF($A33="","",IFERROR(IF(INDEX(tblCostos[Transporte unitario],MATCH($A33,tblCostos[SKU],0))="","",INDEX(tblCostos[Transporte unitario],MATCH($A33,tblCostos[SKU],0))),""))</f>
        <v/>
      </c>
      <c r="N33" s="37">
        <f>IF($A33="","",IFERROR(IF(INDEX(tblCostos[Impuestos / aranceles unitarios],MATCH($A33,tblCostos[SKU],0))="","",INDEX(tblCostos[Impuestos / aranceles unitarios],MATCH($A33,tblCostos[SKU],0))),""))</f>
        <v/>
      </c>
      <c r="O33" s="37">
        <f>IF($A33="","",IFERROR(IF(INDEX(tblCostos[Empaque unitario],MATCH($A33,tblCostos[SKU],0))="","",INDEX(tblCostos[Empaque unitario],MATCH($A33,tblCostos[SKU],0))),""))</f>
        <v/>
      </c>
      <c r="P33" s="37">
        <f>IF($A33="","",IFERROR(IF(INDEX(tblCostos[Otros costos variables unitarios],MATCH($A33,tblCostos[SKU],0))="","",INDEX(tblCostos[Otros costos variables unitarios],MATCH($A33,tblCostos[SKU],0))),""))</f>
        <v/>
      </c>
      <c r="Q33" s="37">
        <f>IF($A33="","",IFERROR(IF(INDEX(tblCostos[COSTO REAL UNITARIO],MATCH($A33,tblCostos[SKU],0))="","PENDIENTE",INDEX(tblCostos[COSTO REAL UNITARIO],MATCH($A33,tblCostos[SKU],0))),"PENDIENTE"))</f>
        <v/>
      </c>
      <c r="R33" s="37">
        <f>IF($A33="","",IFERROR(IF(INDEX(tblCostos[Costo variable de venta unitario],MATCH($A33,tblCostos[SKU],0))="","",INDEX(tblCostos[Costo variable de venta unitario],MATCH($A33,tblCostos[SKU],0))),""))</f>
        <v/>
      </c>
      <c r="S33" s="37">
        <f>IF($A33="","",IF(NOT(ISNUMBER($Q33)),"PENDIENTE",$Q33+IF(ISNUMBER($R33),$R33,0)))</f>
        <v/>
      </c>
      <c r="T33" s="37">
        <f>IF($A33="","",IF(OR($K33="",NOT(ISNUMBER($K33)),NOT(ISNUMBER($Q33))),"PENDIENTE",$K33-$Q33))</f>
        <v/>
      </c>
      <c r="U33" s="38">
        <f>IF($A33="","",IF(OR(NOT(ISNUMBER($T33)),NOT(ISNUMBER($K33)),$K33&lt;=0),"PENDIENTE",$T33/$K33))</f>
        <v/>
      </c>
      <c r="V33" s="38">
        <f>IF($A33="","",IF(OR(NOT(ISNUMBER($T33)),NOT(ISNUMBER($Q33)),$Q33&lt;=0),"PENDIENTE",$T33/$Q33))</f>
        <v/>
      </c>
      <c r="W33" s="37">
        <f>IF($A33="","",IF(OR($K33="",NOT(ISNUMBER($K33)),NOT(ISNUMBER($S33))),"PENDIENTE",$K33-$S33))</f>
        <v/>
      </c>
      <c r="X33" s="39">
        <f>IF($A33="","",IFERROR(INDEX(tblInventario[Stock actual],MATCH($A33,tblInventario[SKU],0)),0))</f>
        <v/>
      </c>
      <c r="Y33" s="34" t="n"/>
      <c r="Z33" s="34" t="n"/>
      <c r="AA33" s="33" t="inlineStr">
        <is>
          <t>Activo</t>
        </is>
      </c>
      <c r="AB33" s="40">
        <f>IF($A33="","",IF(COUNTIF(tblCostos[SKU],$A33)=0,"SIN FILA EN COSTOS",IF(AND($K33="",NOT(ISNUMBER($Q33))),"FALTA PRECIO Y COSTO",IF($K33="","FALTA PRECIO",IF(NOT(ISNUMBER($Q33)),"FALTA COSTO",IF($T33&lt;0,"MARGEN NEGATIVO",IF($T33=0,"PRECIO = COSTO","COMPLETO")))))))</f>
        <v/>
      </c>
      <c r="AC33" s="41" t="n"/>
      <c r="AD33" s="33" t="n"/>
    </row>
    <row r="34">
      <c r="A34" s="33" t="inlineStr">
        <is>
          <t>SHA-GAL</t>
        </is>
      </c>
      <c r="B34" s="33" t="inlineStr">
        <is>
          <t>Shampoo para Auto</t>
        </is>
      </c>
      <c r="C34" s="33" t="inlineStr">
        <is>
          <t>Automotriz</t>
        </is>
      </c>
      <c r="D34" s="33" t="inlineStr">
        <is>
          <t>Lavado</t>
        </is>
      </c>
      <c r="E34" s="33" t="inlineStr">
        <is>
          <t>Galón</t>
        </is>
      </c>
      <c r="F34" s="33" t="inlineStr">
        <is>
          <t>Unidad</t>
        </is>
      </c>
      <c r="G34" s="34" t="n">
        <v>3785</v>
      </c>
      <c r="H34" s="33" t="inlineStr">
        <is>
          <t>Original</t>
        </is>
      </c>
      <c r="I34" s="33" t="n"/>
      <c r="J34" s="35" t="n">
        <v>100</v>
      </c>
      <c r="K34" s="36" t="n"/>
      <c r="L34" s="37">
        <f>IF($A34="","",IFERROR(IF(INDEX(tblCostos[Costo de compra unitario],MATCH($A34,tblCostos[SKU],0))="","PENDIENTE",INDEX(tblCostos[Costo de compra unitario],MATCH($A34,tblCostos[SKU],0))),"PENDIENTE"))</f>
        <v/>
      </c>
      <c r="M34" s="37">
        <f>IF($A34="","",IFERROR(IF(INDEX(tblCostos[Transporte unitario],MATCH($A34,tblCostos[SKU],0))="","",INDEX(tblCostos[Transporte unitario],MATCH($A34,tblCostos[SKU],0))),""))</f>
        <v/>
      </c>
      <c r="N34" s="37">
        <f>IF($A34="","",IFERROR(IF(INDEX(tblCostos[Impuestos / aranceles unitarios],MATCH($A34,tblCostos[SKU],0))="","",INDEX(tblCostos[Impuestos / aranceles unitarios],MATCH($A34,tblCostos[SKU],0))),""))</f>
        <v/>
      </c>
      <c r="O34" s="37">
        <f>IF($A34="","",IFERROR(IF(INDEX(tblCostos[Empaque unitario],MATCH($A34,tblCostos[SKU],0))="","",INDEX(tblCostos[Empaque unitario],MATCH($A34,tblCostos[SKU],0))),""))</f>
        <v/>
      </c>
      <c r="P34" s="37">
        <f>IF($A34="","",IFERROR(IF(INDEX(tblCostos[Otros costos variables unitarios],MATCH($A34,tblCostos[SKU],0))="","",INDEX(tblCostos[Otros costos variables unitarios],MATCH($A34,tblCostos[SKU],0))),""))</f>
        <v/>
      </c>
      <c r="Q34" s="37">
        <f>IF($A34="","",IFERROR(IF(INDEX(tblCostos[COSTO REAL UNITARIO],MATCH($A34,tblCostos[SKU],0))="","PENDIENTE",INDEX(tblCostos[COSTO REAL UNITARIO],MATCH($A34,tblCostos[SKU],0))),"PENDIENTE"))</f>
        <v/>
      </c>
      <c r="R34" s="37">
        <f>IF($A34="","",IFERROR(IF(INDEX(tblCostos[Costo variable de venta unitario],MATCH($A34,tblCostos[SKU],0))="","",INDEX(tblCostos[Costo variable de venta unitario],MATCH($A34,tblCostos[SKU],0))),""))</f>
        <v/>
      </c>
      <c r="S34" s="37">
        <f>IF($A34="","",IF(NOT(ISNUMBER($Q34)),"PENDIENTE",$Q34+IF(ISNUMBER($R34),$R34,0)))</f>
        <v/>
      </c>
      <c r="T34" s="37">
        <f>IF($A34="","",IF(OR($K34="",NOT(ISNUMBER($K34)),NOT(ISNUMBER($Q34))),"PENDIENTE",$K34-$Q34))</f>
        <v/>
      </c>
      <c r="U34" s="38">
        <f>IF($A34="","",IF(OR(NOT(ISNUMBER($T34)),NOT(ISNUMBER($K34)),$K34&lt;=0),"PENDIENTE",$T34/$K34))</f>
        <v/>
      </c>
      <c r="V34" s="38">
        <f>IF($A34="","",IF(OR(NOT(ISNUMBER($T34)),NOT(ISNUMBER($Q34)),$Q34&lt;=0),"PENDIENTE",$T34/$Q34))</f>
        <v/>
      </c>
      <c r="W34" s="37">
        <f>IF($A34="","",IF(OR($K34="",NOT(ISNUMBER($K34)),NOT(ISNUMBER($S34))),"PENDIENTE",$K34-$S34))</f>
        <v/>
      </c>
      <c r="X34" s="39">
        <f>IF($A34="","",IFERROR(INDEX(tblInventario[Stock actual],MATCH($A34,tblInventario[SKU],0)),0))</f>
        <v/>
      </c>
      <c r="Y34" s="34" t="n"/>
      <c r="Z34" s="34" t="n"/>
      <c r="AA34" s="33" t="inlineStr">
        <is>
          <t>Activo</t>
        </is>
      </c>
      <c r="AB34" s="40">
        <f>IF($A34="","",IF(COUNTIF(tblCostos[SKU],$A34)=0,"SIN FILA EN COSTOS",IF(AND($K34="",NOT(ISNUMBER($Q34))),"FALTA PRECIO Y COSTO",IF($K34="","FALTA PRECIO",IF(NOT(ISNUMBER($Q34)),"FALTA COSTO",IF($T34&lt;0,"MARGEN NEGATIVO",IF($T34=0,"PRECIO = COSTO","COMPLETO")))))))</f>
        <v/>
      </c>
      <c r="AC34" s="41" t="n"/>
      <c r="AD34" s="33" t="n"/>
    </row>
    <row r="35">
      <c r="A35" s="33" t="inlineStr">
        <is>
          <t>ARO-100</t>
        </is>
      </c>
      <c r="B35" s="33" t="inlineStr">
        <is>
          <t>Aromatizante para Auto</t>
        </is>
      </c>
      <c r="C35" s="33" t="inlineStr">
        <is>
          <t>Automotriz</t>
        </is>
      </c>
      <c r="D35" s="33" t="inlineStr">
        <is>
          <t>Aromatización</t>
        </is>
      </c>
      <c r="E35" s="33" t="inlineStr">
        <is>
          <t>100 mL</t>
        </is>
      </c>
      <c r="F35" s="33" t="inlineStr">
        <is>
          <t>Unidad</t>
        </is>
      </c>
      <c r="G35" s="34" t="n">
        <v>100</v>
      </c>
      <c r="H35" s="33" t="inlineStr">
        <is>
          <t>Manzana Canela, Limón, Chicle, Fresh</t>
        </is>
      </c>
      <c r="I35" s="33" t="n"/>
      <c r="J35" s="35" t="n">
        <v>45</v>
      </c>
      <c r="K35" s="36" t="n"/>
      <c r="L35" s="37">
        <f>IF($A35="","",IFERROR(IF(INDEX(tblCostos[Costo de compra unitario],MATCH($A35,tblCostos[SKU],0))="","PENDIENTE",INDEX(tblCostos[Costo de compra unitario],MATCH($A35,tblCostos[SKU],0))),"PENDIENTE"))</f>
        <v/>
      </c>
      <c r="M35" s="37">
        <f>IF($A35="","",IFERROR(IF(INDEX(tblCostos[Transporte unitario],MATCH($A35,tblCostos[SKU],0))="","",INDEX(tblCostos[Transporte unitario],MATCH($A35,tblCostos[SKU],0))),""))</f>
        <v/>
      </c>
      <c r="N35" s="37">
        <f>IF($A35="","",IFERROR(IF(INDEX(tblCostos[Impuestos / aranceles unitarios],MATCH($A35,tblCostos[SKU],0))="","",INDEX(tblCostos[Impuestos / aranceles unitarios],MATCH($A35,tblCostos[SKU],0))),""))</f>
        <v/>
      </c>
      <c r="O35" s="37">
        <f>IF($A35="","",IFERROR(IF(INDEX(tblCostos[Empaque unitario],MATCH($A35,tblCostos[SKU],0))="","",INDEX(tblCostos[Empaque unitario],MATCH($A35,tblCostos[SKU],0))),""))</f>
        <v/>
      </c>
      <c r="P35" s="37">
        <f>IF($A35="","",IFERROR(IF(INDEX(tblCostos[Otros costos variables unitarios],MATCH($A35,tblCostos[SKU],0))="","",INDEX(tblCostos[Otros costos variables unitarios],MATCH($A35,tblCostos[SKU],0))),""))</f>
        <v/>
      </c>
      <c r="Q35" s="37">
        <f>IF($A35="","",IFERROR(IF(INDEX(tblCostos[COSTO REAL UNITARIO],MATCH($A35,tblCostos[SKU],0))="","PENDIENTE",INDEX(tblCostos[COSTO REAL UNITARIO],MATCH($A35,tblCostos[SKU],0))),"PENDIENTE"))</f>
        <v/>
      </c>
      <c r="R35" s="37">
        <f>IF($A35="","",IFERROR(IF(INDEX(tblCostos[Costo variable de venta unitario],MATCH($A35,tblCostos[SKU],0))="","",INDEX(tblCostos[Costo variable de venta unitario],MATCH($A35,tblCostos[SKU],0))),""))</f>
        <v/>
      </c>
      <c r="S35" s="37">
        <f>IF($A35="","",IF(NOT(ISNUMBER($Q35)),"PENDIENTE",$Q35+IF(ISNUMBER($R35),$R35,0)))</f>
        <v/>
      </c>
      <c r="T35" s="37">
        <f>IF($A35="","",IF(OR($K35="",NOT(ISNUMBER($K35)),NOT(ISNUMBER($Q35))),"PENDIENTE",$K35-$Q35))</f>
        <v/>
      </c>
      <c r="U35" s="38">
        <f>IF($A35="","",IF(OR(NOT(ISNUMBER($T35)),NOT(ISNUMBER($K35)),$K35&lt;=0),"PENDIENTE",$T35/$K35))</f>
        <v/>
      </c>
      <c r="V35" s="38">
        <f>IF($A35="","",IF(OR(NOT(ISNUMBER($T35)),NOT(ISNUMBER($Q35)),$Q35&lt;=0),"PENDIENTE",$T35/$Q35))</f>
        <v/>
      </c>
      <c r="W35" s="37">
        <f>IF($A35="","",IF(OR($K35="",NOT(ISNUMBER($K35)),NOT(ISNUMBER($S35))),"PENDIENTE",$K35-$S35))</f>
        <v/>
      </c>
      <c r="X35" s="39">
        <f>IF($A35="","",IFERROR(INDEX(tblInventario[Stock actual],MATCH($A35,tblInventario[SKU],0)),0))</f>
        <v/>
      </c>
      <c r="Y35" s="34" t="n"/>
      <c r="Z35" s="34" t="n"/>
      <c r="AA35" s="33" t="inlineStr">
        <is>
          <t>Activo</t>
        </is>
      </c>
      <c r="AB35" s="40">
        <f>IF($A35="","",IF(COUNTIF(tblCostos[SKU],$A35)=0,"SIN FILA EN COSTOS",IF(AND($K35="",NOT(ISNUMBER($Q35))),"FALTA PRECIO Y COSTO",IF($K35="","FALTA PRECIO",IF(NOT(ISNUMBER($Q35)),"FALTA COSTO",IF($T35&lt;0,"MARGEN NEGATIVO",IF($T35=0,"PRECIO = COSTO","COMPLETO")))))))</f>
        <v/>
      </c>
      <c r="AC35" s="41" t="n"/>
      <c r="AD35" s="33" t="n"/>
    </row>
    <row r="36">
      <c r="A36" s="33" t="inlineStr">
        <is>
          <t>ARO-250</t>
        </is>
      </c>
      <c r="B36" s="33" t="inlineStr">
        <is>
          <t>Aromatizante para Auto</t>
        </is>
      </c>
      <c r="C36" s="33" t="inlineStr">
        <is>
          <t>Automotriz</t>
        </is>
      </c>
      <c r="D36" s="33" t="inlineStr">
        <is>
          <t>Aromatización</t>
        </is>
      </c>
      <c r="E36" s="33" t="inlineStr">
        <is>
          <t>250 mL</t>
        </is>
      </c>
      <c r="F36" s="33" t="inlineStr">
        <is>
          <t>Unidad</t>
        </is>
      </c>
      <c r="G36" s="34" t="n">
        <v>250</v>
      </c>
      <c r="H36" s="33" t="inlineStr">
        <is>
          <t>Manzana Canela, Limón, Chicle, Fresh</t>
        </is>
      </c>
      <c r="I36" s="33" t="n"/>
      <c r="J36" s="35" t="n">
        <v>65</v>
      </c>
      <c r="K36" s="36" t="n"/>
      <c r="L36" s="37">
        <f>IF($A36="","",IFERROR(IF(INDEX(tblCostos[Costo de compra unitario],MATCH($A36,tblCostos[SKU],0))="","PENDIENTE",INDEX(tblCostos[Costo de compra unitario],MATCH($A36,tblCostos[SKU],0))),"PENDIENTE"))</f>
        <v/>
      </c>
      <c r="M36" s="37">
        <f>IF($A36="","",IFERROR(IF(INDEX(tblCostos[Transporte unitario],MATCH($A36,tblCostos[SKU],0))="","",INDEX(tblCostos[Transporte unitario],MATCH($A36,tblCostos[SKU],0))),""))</f>
        <v/>
      </c>
      <c r="N36" s="37">
        <f>IF($A36="","",IFERROR(IF(INDEX(tblCostos[Impuestos / aranceles unitarios],MATCH($A36,tblCostos[SKU],0))="","",INDEX(tblCostos[Impuestos / aranceles unitarios],MATCH($A36,tblCostos[SKU],0))),""))</f>
        <v/>
      </c>
      <c r="O36" s="37">
        <f>IF($A36="","",IFERROR(IF(INDEX(tblCostos[Empaque unitario],MATCH($A36,tblCostos[SKU],0))="","",INDEX(tblCostos[Empaque unitario],MATCH($A36,tblCostos[SKU],0))),""))</f>
        <v/>
      </c>
      <c r="P36" s="37">
        <f>IF($A36="","",IFERROR(IF(INDEX(tblCostos[Otros costos variables unitarios],MATCH($A36,tblCostos[SKU],0))="","",INDEX(tblCostos[Otros costos variables unitarios],MATCH($A36,tblCostos[SKU],0))),""))</f>
        <v/>
      </c>
      <c r="Q36" s="37">
        <f>IF($A36="","",IFERROR(IF(INDEX(tblCostos[COSTO REAL UNITARIO],MATCH($A36,tblCostos[SKU],0))="","PENDIENTE",INDEX(tblCostos[COSTO REAL UNITARIO],MATCH($A36,tblCostos[SKU],0))),"PENDIENTE"))</f>
        <v/>
      </c>
      <c r="R36" s="37">
        <f>IF($A36="","",IFERROR(IF(INDEX(tblCostos[Costo variable de venta unitario],MATCH($A36,tblCostos[SKU],0))="","",INDEX(tblCostos[Costo variable de venta unitario],MATCH($A36,tblCostos[SKU],0))),""))</f>
        <v/>
      </c>
      <c r="S36" s="37">
        <f>IF($A36="","",IF(NOT(ISNUMBER($Q36)),"PENDIENTE",$Q36+IF(ISNUMBER($R36),$R36,0)))</f>
        <v/>
      </c>
      <c r="T36" s="37">
        <f>IF($A36="","",IF(OR($K36="",NOT(ISNUMBER($K36)),NOT(ISNUMBER($Q36))),"PENDIENTE",$K36-$Q36))</f>
        <v/>
      </c>
      <c r="U36" s="38">
        <f>IF($A36="","",IF(OR(NOT(ISNUMBER($T36)),NOT(ISNUMBER($K36)),$K36&lt;=0),"PENDIENTE",$T36/$K36))</f>
        <v/>
      </c>
      <c r="V36" s="38">
        <f>IF($A36="","",IF(OR(NOT(ISNUMBER($T36)),NOT(ISNUMBER($Q36)),$Q36&lt;=0),"PENDIENTE",$T36/$Q36))</f>
        <v/>
      </c>
      <c r="W36" s="37">
        <f>IF($A36="","",IF(OR($K36="",NOT(ISNUMBER($K36)),NOT(ISNUMBER($S36))),"PENDIENTE",$K36-$S36))</f>
        <v/>
      </c>
      <c r="X36" s="39">
        <f>IF($A36="","",IFERROR(INDEX(tblInventario[Stock actual],MATCH($A36,tblInventario[SKU],0)),0))</f>
        <v/>
      </c>
      <c r="Y36" s="34" t="n"/>
      <c r="Z36" s="34" t="n"/>
      <c r="AA36" s="33" t="inlineStr">
        <is>
          <t>Activo</t>
        </is>
      </c>
      <c r="AB36" s="40">
        <f>IF($A36="","",IF(COUNTIF(tblCostos[SKU],$A36)=0,"SIN FILA EN COSTOS",IF(AND($K36="",NOT(ISNUMBER($Q36))),"FALTA PRECIO Y COSTO",IF($K36="","FALTA PRECIO",IF(NOT(ISNUMBER($Q36)),"FALTA COSTO",IF($T36&lt;0,"MARGEN NEGATIVO",IF($T36=0,"PRECIO = COSTO","COMPLETO")))))))</f>
        <v/>
      </c>
      <c r="AC36" s="41" t="n"/>
      <c r="AD36" s="33" t="n"/>
    </row>
    <row r="37">
      <c r="A37" s="33" t="inlineStr">
        <is>
          <t>PAU-250</t>
        </is>
      </c>
      <c r="B37" s="33" t="inlineStr">
        <is>
          <t>Puli-Auto Abrillantador y Protector</t>
        </is>
      </c>
      <c r="C37" s="33" t="inlineStr">
        <is>
          <t>Automotriz</t>
        </is>
      </c>
      <c r="D37" s="33" t="inlineStr">
        <is>
          <t>Abrillantadores</t>
        </is>
      </c>
      <c r="E37" s="33" t="inlineStr">
        <is>
          <t>250 mL</t>
        </is>
      </c>
      <c r="F37" s="33" t="inlineStr">
        <is>
          <t>Unidad</t>
        </is>
      </c>
      <c r="G37" s="34" t="n">
        <v>250</v>
      </c>
      <c r="H37" s="33" t="inlineStr">
        <is>
          <t>Original</t>
        </is>
      </c>
      <c r="I37" s="33" t="n"/>
      <c r="J37" s="35" t="n">
        <v>50</v>
      </c>
      <c r="K37" s="36" t="n"/>
      <c r="L37" s="37">
        <f>IF($A37="","",IFERROR(IF(INDEX(tblCostos[Costo de compra unitario],MATCH($A37,tblCostos[SKU],0))="","PENDIENTE",INDEX(tblCostos[Costo de compra unitario],MATCH($A37,tblCostos[SKU],0))),"PENDIENTE"))</f>
        <v/>
      </c>
      <c r="M37" s="37">
        <f>IF($A37="","",IFERROR(IF(INDEX(tblCostos[Transporte unitario],MATCH($A37,tblCostos[SKU],0))="","",INDEX(tblCostos[Transporte unitario],MATCH($A37,tblCostos[SKU],0))),""))</f>
        <v/>
      </c>
      <c r="N37" s="37">
        <f>IF($A37="","",IFERROR(IF(INDEX(tblCostos[Impuestos / aranceles unitarios],MATCH($A37,tblCostos[SKU],0))="","",INDEX(tblCostos[Impuestos / aranceles unitarios],MATCH($A37,tblCostos[SKU],0))),""))</f>
        <v/>
      </c>
      <c r="O37" s="37">
        <f>IF($A37="","",IFERROR(IF(INDEX(tblCostos[Empaque unitario],MATCH($A37,tblCostos[SKU],0))="","",INDEX(tblCostos[Empaque unitario],MATCH($A37,tblCostos[SKU],0))),""))</f>
        <v/>
      </c>
      <c r="P37" s="37">
        <f>IF($A37="","",IFERROR(IF(INDEX(tblCostos[Otros costos variables unitarios],MATCH($A37,tblCostos[SKU],0))="","",INDEX(tblCostos[Otros costos variables unitarios],MATCH($A37,tblCostos[SKU],0))),""))</f>
        <v/>
      </c>
      <c r="Q37" s="37">
        <f>IF($A37="","",IFERROR(IF(INDEX(tblCostos[COSTO REAL UNITARIO],MATCH($A37,tblCostos[SKU],0))="","PENDIENTE",INDEX(tblCostos[COSTO REAL UNITARIO],MATCH($A37,tblCostos[SKU],0))),"PENDIENTE"))</f>
        <v/>
      </c>
      <c r="R37" s="37">
        <f>IF($A37="","",IFERROR(IF(INDEX(tblCostos[Costo variable de venta unitario],MATCH($A37,tblCostos[SKU],0))="","",INDEX(tblCostos[Costo variable de venta unitario],MATCH($A37,tblCostos[SKU],0))),""))</f>
        <v/>
      </c>
      <c r="S37" s="37">
        <f>IF($A37="","",IF(NOT(ISNUMBER($Q37)),"PENDIENTE",$Q37+IF(ISNUMBER($R37),$R37,0)))</f>
        <v/>
      </c>
      <c r="T37" s="37">
        <f>IF($A37="","",IF(OR($K37="",NOT(ISNUMBER($K37)),NOT(ISNUMBER($Q37))),"PENDIENTE",$K37-$Q37))</f>
        <v/>
      </c>
      <c r="U37" s="38">
        <f>IF($A37="","",IF(OR(NOT(ISNUMBER($T37)),NOT(ISNUMBER($K37)),$K37&lt;=0),"PENDIENTE",$T37/$K37))</f>
        <v/>
      </c>
      <c r="V37" s="38">
        <f>IF($A37="","",IF(OR(NOT(ISNUMBER($T37)),NOT(ISNUMBER($Q37)),$Q37&lt;=0),"PENDIENTE",$T37/$Q37))</f>
        <v/>
      </c>
      <c r="W37" s="37">
        <f>IF($A37="","",IF(OR($K37="",NOT(ISNUMBER($K37)),NOT(ISNUMBER($S37))),"PENDIENTE",$K37-$S37))</f>
        <v/>
      </c>
      <c r="X37" s="39">
        <f>IF($A37="","",IFERROR(INDEX(tblInventario[Stock actual],MATCH($A37,tblInventario[SKU],0)),0))</f>
        <v/>
      </c>
      <c r="Y37" s="34" t="n"/>
      <c r="Z37" s="34" t="n"/>
      <c r="AA37" s="33" t="inlineStr">
        <is>
          <t>Activo</t>
        </is>
      </c>
      <c r="AB37" s="40">
        <f>IF($A37="","",IF(COUNTIF(tblCostos[SKU],$A37)=0,"SIN FILA EN COSTOS",IF(AND($K37="",NOT(ISNUMBER($Q37))),"FALTA PRECIO Y COSTO",IF($K37="","FALTA PRECIO",IF(NOT(ISNUMBER($Q37)),"FALTA COSTO",IF($T37&lt;0,"MARGEN NEGATIVO",IF($T37=0,"PRECIO = COSTO","COMPLETO")))))))</f>
        <v/>
      </c>
      <c r="AC37" s="41" t="n"/>
      <c r="AD37" s="33" t="n"/>
    </row>
    <row r="38">
      <c r="A38" s="33" t="inlineStr">
        <is>
          <t>PAU-GAL</t>
        </is>
      </c>
      <c r="B38" s="33" t="inlineStr">
        <is>
          <t>Puli-Auto Abrillantador y Protector</t>
        </is>
      </c>
      <c r="C38" s="33" t="inlineStr">
        <is>
          <t>Automotriz</t>
        </is>
      </c>
      <c r="D38" s="33" t="inlineStr">
        <is>
          <t>Abrillantadores</t>
        </is>
      </c>
      <c r="E38" s="33" t="inlineStr">
        <is>
          <t>Galón</t>
        </is>
      </c>
      <c r="F38" s="33" t="inlineStr">
        <is>
          <t>Unidad</t>
        </is>
      </c>
      <c r="G38" s="34" t="n">
        <v>3785</v>
      </c>
      <c r="H38" s="33" t="inlineStr">
        <is>
          <t>Original</t>
        </is>
      </c>
      <c r="I38" s="33" t="n"/>
      <c r="J38" s="35" t="n">
        <v>170</v>
      </c>
      <c r="K38" s="36" t="n"/>
      <c r="L38" s="37">
        <f>IF($A38="","",IFERROR(IF(INDEX(tblCostos[Costo de compra unitario],MATCH($A38,tblCostos[SKU],0))="","PENDIENTE",INDEX(tblCostos[Costo de compra unitario],MATCH($A38,tblCostos[SKU],0))),"PENDIENTE"))</f>
        <v/>
      </c>
      <c r="M38" s="37">
        <f>IF($A38="","",IFERROR(IF(INDEX(tblCostos[Transporte unitario],MATCH($A38,tblCostos[SKU],0))="","",INDEX(tblCostos[Transporte unitario],MATCH($A38,tblCostos[SKU],0))),""))</f>
        <v/>
      </c>
      <c r="N38" s="37">
        <f>IF($A38="","",IFERROR(IF(INDEX(tblCostos[Impuestos / aranceles unitarios],MATCH($A38,tblCostos[SKU],0))="","",INDEX(tblCostos[Impuestos / aranceles unitarios],MATCH($A38,tblCostos[SKU],0))),""))</f>
        <v/>
      </c>
      <c r="O38" s="37">
        <f>IF($A38="","",IFERROR(IF(INDEX(tblCostos[Empaque unitario],MATCH($A38,tblCostos[SKU],0))="","",INDEX(tblCostos[Empaque unitario],MATCH($A38,tblCostos[SKU],0))),""))</f>
        <v/>
      </c>
      <c r="P38" s="37">
        <f>IF($A38="","",IFERROR(IF(INDEX(tblCostos[Otros costos variables unitarios],MATCH($A38,tblCostos[SKU],0))="","",INDEX(tblCostos[Otros costos variables unitarios],MATCH($A38,tblCostos[SKU],0))),""))</f>
        <v/>
      </c>
      <c r="Q38" s="37">
        <f>IF($A38="","",IFERROR(IF(INDEX(tblCostos[COSTO REAL UNITARIO],MATCH($A38,tblCostos[SKU],0))="","PENDIENTE",INDEX(tblCostos[COSTO REAL UNITARIO],MATCH($A38,tblCostos[SKU],0))),"PENDIENTE"))</f>
        <v/>
      </c>
      <c r="R38" s="37">
        <f>IF($A38="","",IFERROR(IF(INDEX(tblCostos[Costo variable de venta unitario],MATCH($A38,tblCostos[SKU],0))="","",INDEX(tblCostos[Costo variable de venta unitario],MATCH($A38,tblCostos[SKU],0))),""))</f>
        <v/>
      </c>
      <c r="S38" s="37">
        <f>IF($A38="","",IF(NOT(ISNUMBER($Q38)),"PENDIENTE",$Q38+IF(ISNUMBER($R38),$R38,0)))</f>
        <v/>
      </c>
      <c r="T38" s="37">
        <f>IF($A38="","",IF(OR($K38="",NOT(ISNUMBER($K38)),NOT(ISNUMBER($Q38))),"PENDIENTE",$K38-$Q38))</f>
        <v/>
      </c>
      <c r="U38" s="38">
        <f>IF($A38="","",IF(OR(NOT(ISNUMBER($T38)),NOT(ISNUMBER($K38)),$K38&lt;=0),"PENDIENTE",$T38/$K38))</f>
        <v/>
      </c>
      <c r="V38" s="38">
        <f>IF($A38="","",IF(OR(NOT(ISNUMBER($T38)),NOT(ISNUMBER($Q38)),$Q38&lt;=0),"PENDIENTE",$T38/$Q38))</f>
        <v/>
      </c>
      <c r="W38" s="37">
        <f>IF($A38="","",IF(OR($K38="",NOT(ISNUMBER($K38)),NOT(ISNUMBER($S38))),"PENDIENTE",$K38-$S38))</f>
        <v/>
      </c>
      <c r="X38" s="39">
        <f>IF($A38="","",IFERROR(INDEX(tblInventario[Stock actual],MATCH($A38,tblInventario[SKU],0)),0))</f>
        <v/>
      </c>
      <c r="Y38" s="34" t="n"/>
      <c r="Z38" s="34" t="n"/>
      <c r="AA38" s="33" t="inlineStr">
        <is>
          <t>Activo</t>
        </is>
      </c>
      <c r="AB38" s="40">
        <f>IF($A38="","",IF(COUNTIF(tblCostos[SKU],$A38)=0,"SIN FILA EN COSTOS",IF(AND($K38="",NOT(ISNUMBER($Q38))),"FALTA PRECIO Y COSTO",IF($K38="","FALTA PRECIO",IF(NOT(ISNUMBER($Q38)),"FALTA COSTO",IF($T38&lt;0,"MARGEN NEGATIVO",IF($T38=0,"PRECIO = COSTO","COMPLETO")))))))</f>
        <v/>
      </c>
      <c r="AC38" s="41" t="n"/>
      <c r="AD38" s="33" t="n"/>
    </row>
    <row r="39">
      <c r="A39" s="33" t="inlineStr">
        <is>
          <t>PLL-710</t>
        </is>
      </c>
      <c r="B39" s="33" t="inlineStr">
        <is>
          <t>Puli-Llanta en Crema</t>
        </is>
      </c>
      <c r="C39" s="33" t="inlineStr">
        <is>
          <t>Automotriz</t>
        </is>
      </c>
      <c r="D39" s="33" t="inlineStr">
        <is>
          <t>Abrillantadores</t>
        </is>
      </c>
      <c r="E39" s="33" t="inlineStr">
        <is>
          <t>710 mL</t>
        </is>
      </c>
      <c r="F39" s="33" t="inlineStr">
        <is>
          <t>Unidad</t>
        </is>
      </c>
      <c r="G39" s="34" t="n">
        <v>710</v>
      </c>
      <c r="H39" s="33" t="inlineStr">
        <is>
          <t>Original</t>
        </is>
      </c>
      <c r="I39" s="33" t="n"/>
      <c r="J39" s="35" t="n">
        <v>75</v>
      </c>
      <c r="K39" s="36" t="n"/>
      <c r="L39" s="37">
        <f>IF($A39="","",IFERROR(IF(INDEX(tblCostos[Costo de compra unitario],MATCH($A39,tblCostos[SKU],0))="","PENDIENTE",INDEX(tblCostos[Costo de compra unitario],MATCH($A39,tblCostos[SKU],0))),"PENDIENTE"))</f>
        <v/>
      </c>
      <c r="M39" s="37">
        <f>IF($A39="","",IFERROR(IF(INDEX(tblCostos[Transporte unitario],MATCH($A39,tblCostos[SKU],0))="","",INDEX(tblCostos[Transporte unitario],MATCH($A39,tblCostos[SKU],0))),""))</f>
        <v/>
      </c>
      <c r="N39" s="37">
        <f>IF($A39="","",IFERROR(IF(INDEX(tblCostos[Impuestos / aranceles unitarios],MATCH($A39,tblCostos[SKU],0))="","",INDEX(tblCostos[Impuestos / aranceles unitarios],MATCH($A39,tblCostos[SKU],0))),""))</f>
        <v/>
      </c>
      <c r="O39" s="37">
        <f>IF($A39="","",IFERROR(IF(INDEX(tblCostos[Empaque unitario],MATCH($A39,tblCostos[SKU],0))="","",INDEX(tblCostos[Empaque unitario],MATCH($A39,tblCostos[SKU],0))),""))</f>
        <v/>
      </c>
      <c r="P39" s="37">
        <f>IF($A39="","",IFERROR(IF(INDEX(tblCostos[Otros costos variables unitarios],MATCH($A39,tblCostos[SKU],0))="","",INDEX(tblCostos[Otros costos variables unitarios],MATCH($A39,tblCostos[SKU],0))),""))</f>
        <v/>
      </c>
      <c r="Q39" s="37">
        <f>IF($A39="","",IFERROR(IF(INDEX(tblCostos[COSTO REAL UNITARIO],MATCH($A39,tblCostos[SKU],0))="","PENDIENTE",INDEX(tblCostos[COSTO REAL UNITARIO],MATCH($A39,tblCostos[SKU],0))),"PENDIENTE"))</f>
        <v/>
      </c>
      <c r="R39" s="37">
        <f>IF($A39="","",IFERROR(IF(INDEX(tblCostos[Costo variable de venta unitario],MATCH($A39,tblCostos[SKU],0))="","",INDEX(tblCostos[Costo variable de venta unitario],MATCH($A39,tblCostos[SKU],0))),""))</f>
        <v/>
      </c>
      <c r="S39" s="37">
        <f>IF($A39="","",IF(NOT(ISNUMBER($Q39)),"PENDIENTE",$Q39+IF(ISNUMBER($R39),$R39,0)))</f>
        <v/>
      </c>
      <c r="T39" s="37">
        <f>IF($A39="","",IF(OR($K39="",NOT(ISNUMBER($K39)),NOT(ISNUMBER($Q39))),"PENDIENTE",$K39-$Q39))</f>
        <v/>
      </c>
      <c r="U39" s="38">
        <f>IF($A39="","",IF(OR(NOT(ISNUMBER($T39)),NOT(ISNUMBER($K39)),$K39&lt;=0),"PENDIENTE",$T39/$K39))</f>
        <v/>
      </c>
      <c r="V39" s="38">
        <f>IF($A39="","",IF(OR(NOT(ISNUMBER($T39)),NOT(ISNUMBER($Q39)),$Q39&lt;=0),"PENDIENTE",$T39/$Q39))</f>
        <v/>
      </c>
      <c r="W39" s="37">
        <f>IF($A39="","",IF(OR($K39="",NOT(ISNUMBER($K39)),NOT(ISNUMBER($S39))),"PENDIENTE",$K39-$S39))</f>
        <v/>
      </c>
      <c r="X39" s="39">
        <f>IF($A39="","",IFERROR(INDEX(tblInventario[Stock actual],MATCH($A39,tblInventario[SKU],0)),0))</f>
        <v/>
      </c>
      <c r="Y39" s="34" t="n"/>
      <c r="Z39" s="34" t="n"/>
      <c r="AA39" s="33" t="inlineStr">
        <is>
          <t>Activo</t>
        </is>
      </c>
      <c r="AB39" s="40">
        <f>IF($A39="","",IF(COUNTIF(tblCostos[SKU],$A39)=0,"SIN FILA EN COSTOS",IF(AND($K39="",NOT(ISNUMBER($Q39))),"FALTA PRECIO Y COSTO",IF($K39="","FALTA PRECIO",IF(NOT(ISNUMBER($Q39)),"FALTA COSTO",IF($T39&lt;0,"MARGEN NEGATIVO",IF($T39=0,"PRECIO = COSTO","COMPLETO")))))))</f>
        <v/>
      </c>
      <c r="AC39" s="41" t="n"/>
      <c r="AD39" s="33" t="n"/>
    </row>
    <row r="40">
      <c r="A40" s="33" t="inlineStr">
        <is>
          <t>PLL-TAR</t>
        </is>
      </c>
      <c r="B40" s="33" t="inlineStr">
        <is>
          <t>Puli-Llanta en Crema</t>
        </is>
      </c>
      <c r="C40" s="33" t="inlineStr">
        <is>
          <t>Automotriz</t>
        </is>
      </c>
      <c r="D40" s="33" t="inlineStr">
        <is>
          <t>Abrillantadores</t>
        </is>
      </c>
      <c r="E40" s="33" t="inlineStr">
        <is>
          <t>Tarro</t>
        </is>
      </c>
      <c r="F40" s="33" t="inlineStr">
        <is>
          <t>Unidad</t>
        </is>
      </c>
      <c r="G40" s="34" t="n"/>
      <c r="H40" s="33" t="inlineStr">
        <is>
          <t>Original</t>
        </is>
      </c>
      <c r="I40" s="33" t="n"/>
      <c r="J40" s="35" t="n">
        <v>50</v>
      </c>
      <c r="K40" s="36" t="n"/>
      <c r="L40" s="37">
        <f>IF($A40="","",IFERROR(IF(INDEX(tblCostos[Costo de compra unitario],MATCH($A40,tblCostos[SKU],0))="","PENDIENTE",INDEX(tblCostos[Costo de compra unitario],MATCH($A40,tblCostos[SKU],0))),"PENDIENTE"))</f>
        <v/>
      </c>
      <c r="M40" s="37">
        <f>IF($A40="","",IFERROR(IF(INDEX(tblCostos[Transporte unitario],MATCH($A40,tblCostos[SKU],0))="","",INDEX(tblCostos[Transporte unitario],MATCH($A40,tblCostos[SKU],0))),""))</f>
        <v/>
      </c>
      <c r="N40" s="37">
        <f>IF($A40="","",IFERROR(IF(INDEX(tblCostos[Impuestos / aranceles unitarios],MATCH($A40,tblCostos[SKU],0))="","",INDEX(tblCostos[Impuestos / aranceles unitarios],MATCH($A40,tblCostos[SKU],0))),""))</f>
        <v/>
      </c>
      <c r="O40" s="37">
        <f>IF($A40="","",IFERROR(IF(INDEX(tblCostos[Empaque unitario],MATCH($A40,tblCostos[SKU],0))="","",INDEX(tblCostos[Empaque unitario],MATCH($A40,tblCostos[SKU],0))),""))</f>
        <v/>
      </c>
      <c r="P40" s="37">
        <f>IF($A40="","",IFERROR(IF(INDEX(tblCostos[Otros costos variables unitarios],MATCH($A40,tblCostos[SKU],0))="","",INDEX(tblCostos[Otros costos variables unitarios],MATCH($A40,tblCostos[SKU],0))),""))</f>
        <v/>
      </c>
      <c r="Q40" s="37">
        <f>IF($A40="","",IFERROR(IF(INDEX(tblCostos[COSTO REAL UNITARIO],MATCH($A40,tblCostos[SKU],0))="","PENDIENTE",INDEX(tblCostos[COSTO REAL UNITARIO],MATCH($A40,tblCostos[SKU],0))),"PENDIENTE"))</f>
        <v/>
      </c>
      <c r="R40" s="37">
        <f>IF($A40="","",IFERROR(IF(INDEX(tblCostos[Costo variable de venta unitario],MATCH($A40,tblCostos[SKU],0))="","",INDEX(tblCostos[Costo variable de venta unitario],MATCH($A40,tblCostos[SKU],0))),""))</f>
        <v/>
      </c>
      <c r="S40" s="37">
        <f>IF($A40="","",IF(NOT(ISNUMBER($Q40)),"PENDIENTE",$Q40+IF(ISNUMBER($R40),$R40,0)))</f>
        <v/>
      </c>
      <c r="T40" s="37">
        <f>IF($A40="","",IF(OR($K40="",NOT(ISNUMBER($K40)),NOT(ISNUMBER($Q40))),"PENDIENTE",$K40-$Q40))</f>
        <v/>
      </c>
      <c r="U40" s="38">
        <f>IF($A40="","",IF(OR(NOT(ISNUMBER($T40)),NOT(ISNUMBER($K40)),$K40&lt;=0),"PENDIENTE",$T40/$K40))</f>
        <v/>
      </c>
      <c r="V40" s="38">
        <f>IF($A40="","",IF(OR(NOT(ISNUMBER($T40)),NOT(ISNUMBER($Q40)),$Q40&lt;=0),"PENDIENTE",$T40/$Q40))</f>
        <v/>
      </c>
      <c r="W40" s="37">
        <f>IF($A40="","",IF(OR($K40="",NOT(ISNUMBER($K40)),NOT(ISNUMBER($S40))),"PENDIENTE",$K40-$S40))</f>
        <v/>
      </c>
      <c r="X40" s="39">
        <f>IF($A40="","",IFERROR(INDEX(tblInventario[Stock actual],MATCH($A40,tblInventario[SKU],0)),0))</f>
        <v/>
      </c>
      <c r="Y40" s="34" t="n"/>
      <c r="Z40" s="34" t="n"/>
      <c r="AA40" s="33" t="inlineStr">
        <is>
          <t>Activo</t>
        </is>
      </c>
      <c r="AB40" s="40">
        <f>IF($A40="","",IF(COUNTIF(tblCostos[SKU],$A40)=0,"SIN FILA EN COSTOS",IF(AND($K40="",NOT(ISNUMBER($Q40))),"FALTA PRECIO Y COSTO",IF($K40="","FALTA PRECIO",IF(NOT(ISNUMBER($Q40)),"FALTA COSTO",IF($T40&lt;0,"MARGEN NEGATIVO",IF($T40=0,"PRECIO = COSTO","COMPLETO")))))))</f>
        <v/>
      </c>
      <c r="AC40" s="41" t="n"/>
      <c r="AD40" s="33" t="n"/>
    </row>
    <row r="41">
      <c r="A41" s="33" t="inlineStr">
        <is>
          <t>PLL-GAL</t>
        </is>
      </c>
      <c r="B41" s="33" t="inlineStr">
        <is>
          <t>Puli-Llanta en Crema</t>
        </is>
      </c>
      <c r="C41" s="33" t="inlineStr">
        <is>
          <t>Automotriz</t>
        </is>
      </c>
      <c r="D41" s="33" t="inlineStr">
        <is>
          <t>Abrillantadores</t>
        </is>
      </c>
      <c r="E41" s="33" t="inlineStr">
        <is>
          <t>Galón</t>
        </is>
      </c>
      <c r="F41" s="33" t="inlineStr">
        <is>
          <t>Unidad</t>
        </is>
      </c>
      <c r="G41" s="34" t="n">
        <v>3785</v>
      </c>
      <c r="H41" s="33" t="inlineStr">
        <is>
          <t>Original</t>
        </is>
      </c>
      <c r="I41" s="33" t="n"/>
      <c r="J41" s="35" t="n">
        <v>190</v>
      </c>
      <c r="K41" s="36" t="n"/>
      <c r="L41" s="37">
        <f>IF($A41="","",IFERROR(IF(INDEX(tblCostos[Costo de compra unitario],MATCH($A41,tblCostos[SKU],0))="","PENDIENTE",INDEX(tblCostos[Costo de compra unitario],MATCH($A41,tblCostos[SKU],0))),"PENDIENTE"))</f>
        <v/>
      </c>
      <c r="M41" s="37">
        <f>IF($A41="","",IFERROR(IF(INDEX(tblCostos[Transporte unitario],MATCH($A41,tblCostos[SKU],0))="","",INDEX(tblCostos[Transporte unitario],MATCH($A41,tblCostos[SKU],0))),""))</f>
        <v/>
      </c>
      <c r="N41" s="37">
        <f>IF($A41="","",IFERROR(IF(INDEX(tblCostos[Impuestos / aranceles unitarios],MATCH($A41,tblCostos[SKU],0))="","",INDEX(tblCostos[Impuestos / aranceles unitarios],MATCH($A41,tblCostos[SKU],0))),""))</f>
        <v/>
      </c>
      <c r="O41" s="37">
        <f>IF($A41="","",IFERROR(IF(INDEX(tblCostos[Empaque unitario],MATCH($A41,tblCostos[SKU],0))="","",INDEX(tblCostos[Empaque unitario],MATCH($A41,tblCostos[SKU],0))),""))</f>
        <v/>
      </c>
      <c r="P41" s="37">
        <f>IF($A41="","",IFERROR(IF(INDEX(tblCostos[Otros costos variables unitarios],MATCH($A41,tblCostos[SKU],0))="","",INDEX(tblCostos[Otros costos variables unitarios],MATCH($A41,tblCostos[SKU],0))),""))</f>
        <v/>
      </c>
      <c r="Q41" s="37">
        <f>IF($A41="","",IFERROR(IF(INDEX(tblCostos[COSTO REAL UNITARIO],MATCH($A41,tblCostos[SKU],0))="","PENDIENTE",INDEX(tblCostos[COSTO REAL UNITARIO],MATCH($A41,tblCostos[SKU],0))),"PENDIENTE"))</f>
        <v/>
      </c>
      <c r="R41" s="37">
        <f>IF($A41="","",IFERROR(IF(INDEX(tblCostos[Costo variable de venta unitario],MATCH($A41,tblCostos[SKU],0))="","",INDEX(tblCostos[Costo variable de venta unitario],MATCH($A41,tblCostos[SKU],0))),""))</f>
        <v/>
      </c>
      <c r="S41" s="37">
        <f>IF($A41="","",IF(NOT(ISNUMBER($Q41)),"PENDIENTE",$Q41+IF(ISNUMBER($R41),$R41,0)))</f>
        <v/>
      </c>
      <c r="T41" s="37">
        <f>IF($A41="","",IF(OR($K41="",NOT(ISNUMBER($K41)),NOT(ISNUMBER($Q41))),"PENDIENTE",$K41-$Q41))</f>
        <v/>
      </c>
      <c r="U41" s="38">
        <f>IF($A41="","",IF(OR(NOT(ISNUMBER($T41)),NOT(ISNUMBER($K41)),$K41&lt;=0),"PENDIENTE",$T41/$K41))</f>
        <v/>
      </c>
      <c r="V41" s="38">
        <f>IF($A41="","",IF(OR(NOT(ISNUMBER($T41)),NOT(ISNUMBER($Q41)),$Q41&lt;=0),"PENDIENTE",$T41/$Q41))</f>
        <v/>
      </c>
      <c r="W41" s="37">
        <f>IF($A41="","",IF(OR($K41="",NOT(ISNUMBER($K41)),NOT(ISNUMBER($S41))),"PENDIENTE",$K41-$S41))</f>
        <v/>
      </c>
      <c r="X41" s="39">
        <f>IF($A41="","",IFERROR(INDEX(tblInventario[Stock actual],MATCH($A41,tblInventario[SKU],0)),0))</f>
        <v/>
      </c>
      <c r="Y41" s="34" t="n"/>
      <c r="Z41" s="34" t="n"/>
      <c r="AA41" s="33" t="inlineStr">
        <is>
          <t>Activo</t>
        </is>
      </c>
      <c r="AB41" s="40">
        <f>IF($A41="","",IF(COUNTIF(tblCostos[SKU],$A41)=0,"SIN FILA EN COSTOS",IF(AND($K41="",NOT(ISNUMBER($Q41))),"FALTA PRECIO Y COSTO",IF($K41="","FALTA PRECIO",IF(NOT(ISNUMBER($Q41)),"FALTA COSTO",IF($T41&lt;0,"MARGEN NEGATIVO",IF($T41=0,"PRECIO = COSTO","COMPLETO")))))))</f>
        <v/>
      </c>
      <c r="AC41" s="41" t="n"/>
      <c r="AD41" s="33" t="n"/>
    </row>
    <row r="42">
      <c r="A42" s="33" t="inlineStr">
        <is>
          <t>PMA-8OZ</t>
        </is>
      </c>
      <c r="B42" s="33" t="inlineStr">
        <is>
          <t>Puli-Manos Crema Limpiadora</t>
        </is>
      </c>
      <c r="C42" s="33" t="inlineStr">
        <is>
          <t>Industrial</t>
        </is>
      </c>
      <c r="D42" s="33" t="inlineStr">
        <is>
          <t>Limpieza de manos</t>
        </is>
      </c>
      <c r="E42" s="33" t="inlineStr">
        <is>
          <t>8 Onzas</t>
        </is>
      </c>
      <c r="F42" s="33" t="inlineStr">
        <is>
          <t>Unidad</t>
        </is>
      </c>
      <c r="G42" s="34" t="n">
        <v>237</v>
      </c>
      <c r="H42" s="33" t="inlineStr">
        <is>
          <t>Original</t>
        </is>
      </c>
      <c r="I42" s="33" t="n"/>
      <c r="J42" s="35" t="n">
        <v>40</v>
      </c>
      <c r="K42" s="36" t="n"/>
      <c r="L42" s="37">
        <f>IF($A42="","",IFERROR(IF(INDEX(tblCostos[Costo de compra unitario],MATCH($A42,tblCostos[SKU],0))="","PENDIENTE",INDEX(tblCostos[Costo de compra unitario],MATCH($A42,tblCostos[SKU],0))),"PENDIENTE"))</f>
        <v/>
      </c>
      <c r="M42" s="37">
        <f>IF($A42="","",IFERROR(IF(INDEX(tblCostos[Transporte unitario],MATCH($A42,tblCostos[SKU],0))="","",INDEX(tblCostos[Transporte unitario],MATCH($A42,tblCostos[SKU],0))),""))</f>
        <v/>
      </c>
      <c r="N42" s="37">
        <f>IF($A42="","",IFERROR(IF(INDEX(tblCostos[Impuestos / aranceles unitarios],MATCH($A42,tblCostos[SKU],0))="","",INDEX(tblCostos[Impuestos / aranceles unitarios],MATCH($A42,tblCostos[SKU],0))),""))</f>
        <v/>
      </c>
      <c r="O42" s="37">
        <f>IF($A42="","",IFERROR(IF(INDEX(tblCostos[Empaque unitario],MATCH($A42,tblCostos[SKU],0))="","",INDEX(tblCostos[Empaque unitario],MATCH($A42,tblCostos[SKU],0))),""))</f>
        <v/>
      </c>
      <c r="P42" s="37">
        <f>IF($A42="","",IFERROR(IF(INDEX(tblCostos[Otros costos variables unitarios],MATCH($A42,tblCostos[SKU],0))="","",INDEX(tblCostos[Otros costos variables unitarios],MATCH($A42,tblCostos[SKU],0))),""))</f>
        <v/>
      </c>
      <c r="Q42" s="37">
        <f>IF($A42="","",IFERROR(IF(INDEX(tblCostos[COSTO REAL UNITARIO],MATCH($A42,tblCostos[SKU],0))="","PENDIENTE",INDEX(tblCostos[COSTO REAL UNITARIO],MATCH($A42,tblCostos[SKU],0))),"PENDIENTE"))</f>
        <v/>
      </c>
      <c r="R42" s="37">
        <f>IF($A42="","",IFERROR(IF(INDEX(tblCostos[Costo variable de venta unitario],MATCH($A42,tblCostos[SKU],0))="","",INDEX(tblCostos[Costo variable de venta unitario],MATCH($A42,tblCostos[SKU],0))),""))</f>
        <v/>
      </c>
      <c r="S42" s="37">
        <f>IF($A42="","",IF(NOT(ISNUMBER($Q42)),"PENDIENTE",$Q42+IF(ISNUMBER($R42),$R42,0)))</f>
        <v/>
      </c>
      <c r="T42" s="37">
        <f>IF($A42="","",IF(OR($K42="",NOT(ISNUMBER($K42)),NOT(ISNUMBER($Q42))),"PENDIENTE",$K42-$Q42))</f>
        <v/>
      </c>
      <c r="U42" s="38">
        <f>IF($A42="","",IF(OR(NOT(ISNUMBER($T42)),NOT(ISNUMBER($K42)),$K42&lt;=0),"PENDIENTE",$T42/$K42))</f>
        <v/>
      </c>
      <c r="V42" s="38">
        <f>IF($A42="","",IF(OR(NOT(ISNUMBER($T42)),NOT(ISNUMBER($Q42)),$Q42&lt;=0),"PENDIENTE",$T42/$Q42))</f>
        <v/>
      </c>
      <c r="W42" s="37">
        <f>IF($A42="","",IF(OR($K42="",NOT(ISNUMBER($K42)),NOT(ISNUMBER($S42))),"PENDIENTE",$K42-$S42))</f>
        <v/>
      </c>
      <c r="X42" s="39">
        <f>IF($A42="","",IFERROR(INDEX(tblInventario[Stock actual],MATCH($A42,tblInventario[SKU],0)),0))</f>
        <v/>
      </c>
      <c r="Y42" s="34" t="n"/>
      <c r="Z42" s="34" t="n"/>
      <c r="AA42" s="33" t="inlineStr">
        <is>
          <t>Activo</t>
        </is>
      </c>
      <c r="AB42" s="40">
        <f>IF($A42="","",IF(COUNTIF(tblCostos[SKU],$A42)=0,"SIN FILA EN COSTOS",IF(AND($K42="",NOT(ISNUMBER($Q42))),"FALTA PRECIO Y COSTO",IF($K42="","FALTA PRECIO",IF(NOT(ISNUMBER($Q42)),"FALTA COSTO",IF($T42&lt;0,"MARGEN NEGATIVO",IF($T42=0,"PRECIO = COSTO","COMPLETO")))))))</f>
        <v/>
      </c>
      <c r="AC42" s="41" t="n"/>
      <c r="AD42" s="33" t="n"/>
    </row>
    <row r="43">
      <c r="A43" s="33" t="inlineStr">
        <is>
          <t>PMA-1L</t>
        </is>
      </c>
      <c r="B43" s="33" t="inlineStr">
        <is>
          <t>Puli-Manos Crema Limpiadora</t>
        </is>
      </c>
      <c r="C43" s="33" t="inlineStr">
        <is>
          <t>Industrial</t>
        </is>
      </c>
      <c r="D43" s="33" t="inlineStr">
        <is>
          <t>Limpieza de manos</t>
        </is>
      </c>
      <c r="E43" s="33" t="inlineStr">
        <is>
          <t>1 Litro</t>
        </is>
      </c>
      <c r="F43" s="33" t="inlineStr">
        <is>
          <t>Unidad</t>
        </is>
      </c>
      <c r="G43" s="34" t="n">
        <v>1000</v>
      </c>
      <c r="H43" s="33" t="inlineStr">
        <is>
          <t>Original</t>
        </is>
      </c>
      <c r="I43" s="33" t="n"/>
      <c r="J43" s="35" t="n">
        <v>95</v>
      </c>
      <c r="K43" s="36" t="n"/>
      <c r="L43" s="37">
        <f>IF($A43="","",IFERROR(IF(INDEX(tblCostos[Costo de compra unitario],MATCH($A43,tblCostos[SKU],0))="","PENDIENTE",INDEX(tblCostos[Costo de compra unitario],MATCH($A43,tblCostos[SKU],0))),"PENDIENTE"))</f>
        <v/>
      </c>
      <c r="M43" s="37">
        <f>IF($A43="","",IFERROR(IF(INDEX(tblCostos[Transporte unitario],MATCH($A43,tblCostos[SKU],0))="","",INDEX(tblCostos[Transporte unitario],MATCH($A43,tblCostos[SKU],0))),""))</f>
        <v/>
      </c>
      <c r="N43" s="37">
        <f>IF($A43="","",IFERROR(IF(INDEX(tblCostos[Impuestos / aranceles unitarios],MATCH($A43,tblCostos[SKU],0))="","",INDEX(tblCostos[Impuestos / aranceles unitarios],MATCH($A43,tblCostos[SKU],0))),""))</f>
        <v/>
      </c>
      <c r="O43" s="37">
        <f>IF($A43="","",IFERROR(IF(INDEX(tblCostos[Empaque unitario],MATCH($A43,tblCostos[SKU],0))="","",INDEX(tblCostos[Empaque unitario],MATCH($A43,tblCostos[SKU],0))),""))</f>
        <v/>
      </c>
      <c r="P43" s="37">
        <f>IF($A43="","",IFERROR(IF(INDEX(tblCostos[Otros costos variables unitarios],MATCH($A43,tblCostos[SKU],0))="","",INDEX(tblCostos[Otros costos variables unitarios],MATCH($A43,tblCostos[SKU],0))),""))</f>
        <v/>
      </c>
      <c r="Q43" s="37">
        <f>IF($A43="","",IFERROR(IF(INDEX(tblCostos[COSTO REAL UNITARIO],MATCH($A43,tblCostos[SKU],0))="","PENDIENTE",INDEX(tblCostos[COSTO REAL UNITARIO],MATCH($A43,tblCostos[SKU],0))),"PENDIENTE"))</f>
        <v/>
      </c>
      <c r="R43" s="37">
        <f>IF($A43="","",IFERROR(IF(INDEX(tblCostos[Costo variable de venta unitario],MATCH($A43,tblCostos[SKU],0))="","",INDEX(tblCostos[Costo variable de venta unitario],MATCH($A43,tblCostos[SKU],0))),""))</f>
        <v/>
      </c>
      <c r="S43" s="37">
        <f>IF($A43="","",IF(NOT(ISNUMBER($Q43)),"PENDIENTE",$Q43+IF(ISNUMBER($R43),$R43,0)))</f>
        <v/>
      </c>
      <c r="T43" s="37">
        <f>IF($A43="","",IF(OR($K43="",NOT(ISNUMBER($K43)),NOT(ISNUMBER($Q43))),"PENDIENTE",$K43-$Q43))</f>
        <v/>
      </c>
      <c r="U43" s="38">
        <f>IF($A43="","",IF(OR(NOT(ISNUMBER($T43)),NOT(ISNUMBER($K43)),$K43&lt;=0),"PENDIENTE",$T43/$K43))</f>
        <v/>
      </c>
      <c r="V43" s="38">
        <f>IF($A43="","",IF(OR(NOT(ISNUMBER($T43)),NOT(ISNUMBER($Q43)),$Q43&lt;=0),"PENDIENTE",$T43/$Q43))</f>
        <v/>
      </c>
      <c r="W43" s="37">
        <f>IF($A43="","",IF(OR($K43="",NOT(ISNUMBER($K43)),NOT(ISNUMBER($S43))),"PENDIENTE",$K43-$S43))</f>
        <v/>
      </c>
      <c r="X43" s="39">
        <f>IF($A43="","",IFERROR(INDEX(tblInventario[Stock actual],MATCH($A43,tblInventario[SKU],0)),0))</f>
        <v/>
      </c>
      <c r="Y43" s="34" t="n"/>
      <c r="Z43" s="34" t="n"/>
      <c r="AA43" s="33" t="inlineStr">
        <is>
          <t>Activo</t>
        </is>
      </c>
      <c r="AB43" s="40">
        <f>IF($A43="","",IF(COUNTIF(tblCostos[SKU],$A43)=0,"SIN FILA EN COSTOS",IF(AND($K43="",NOT(ISNUMBER($Q43))),"FALTA PRECIO Y COSTO",IF($K43="","FALTA PRECIO",IF(NOT(ISNUMBER($Q43)),"FALTA COSTO",IF($T43&lt;0,"MARGEN NEGATIVO",IF($T43=0,"PRECIO = COSTO","COMPLETO")))))))</f>
        <v/>
      </c>
      <c r="AC43" s="41" t="n"/>
      <c r="AD43" s="33" t="n"/>
    </row>
    <row r="44">
      <c r="A44" s="33" t="inlineStr">
        <is>
          <t>PMA-GAL</t>
        </is>
      </c>
      <c r="B44" s="33" t="inlineStr">
        <is>
          <t>Puli-Manos Crema Limpiadora</t>
        </is>
      </c>
      <c r="C44" s="33" t="inlineStr">
        <is>
          <t>Industrial</t>
        </is>
      </c>
      <c r="D44" s="33" t="inlineStr">
        <is>
          <t>Limpieza de manos</t>
        </is>
      </c>
      <c r="E44" s="33" t="inlineStr">
        <is>
          <t>Galón</t>
        </is>
      </c>
      <c r="F44" s="33" t="inlineStr">
        <is>
          <t>Unidad</t>
        </is>
      </c>
      <c r="G44" s="34" t="n">
        <v>3785</v>
      </c>
      <c r="H44" s="33" t="inlineStr">
        <is>
          <t>Original</t>
        </is>
      </c>
      <c r="I44" s="33" t="n"/>
      <c r="J44" s="35" t="n">
        <v>300</v>
      </c>
      <c r="K44" s="36" t="n"/>
      <c r="L44" s="37">
        <f>IF($A44="","",IFERROR(IF(INDEX(tblCostos[Costo de compra unitario],MATCH($A44,tblCostos[SKU],0))="","PENDIENTE",INDEX(tblCostos[Costo de compra unitario],MATCH($A44,tblCostos[SKU],0))),"PENDIENTE"))</f>
        <v/>
      </c>
      <c r="M44" s="37">
        <f>IF($A44="","",IFERROR(IF(INDEX(tblCostos[Transporte unitario],MATCH($A44,tblCostos[SKU],0))="","",INDEX(tblCostos[Transporte unitario],MATCH($A44,tblCostos[SKU],0))),""))</f>
        <v/>
      </c>
      <c r="N44" s="37">
        <f>IF($A44="","",IFERROR(IF(INDEX(tblCostos[Impuestos / aranceles unitarios],MATCH($A44,tblCostos[SKU],0))="","",INDEX(tblCostos[Impuestos / aranceles unitarios],MATCH($A44,tblCostos[SKU],0))),""))</f>
        <v/>
      </c>
      <c r="O44" s="37">
        <f>IF($A44="","",IFERROR(IF(INDEX(tblCostos[Empaque unitario],MATCH($A44,tblCostos[SKU],0))="","",INDEX(tblCostos[Empaque unitario],MATCH($A44,tblCostos[SKU],0))),""))</f>
        <v/>
      </c>
      <c r="P44" s="37">
        <f>IF($A44="","",IFERROR(IF(INDEX(tblCostos[Otros costos variables unitarios],MATCH($A44,tblCostos[SKU],0))="","",INDEX(tblCostos[Otros costos variables unitarios],MATCH($A44,tblCostos[SKU],0))),""))</f>
        <v/>
      </c>
      <c r="Q44" s="37">
        <f>IF($A44="","",IFERROR(IF(INDEX(tblCostos[COSTO REAL UNITARIO],MATCH($A44,tblCostos[SKU],0))="","PENDIENTE",INDEX(tblCostos[COSTO REAL UNITARIO],MATCH($A44,tblCostos[SKU],0))),"PENDIENTE"))</f>
        <v/>
      </c>
      <c r="R44" s="37">
        <f>IF($A44="","",IFERROR(IF(INDEX(tblCostos[Costo variable de venta unitario],MATCH($A44,tblCostos[SKU],0))="","",INDEX(tblCostos[Costo variable de venta unitario],MATCH($A44,tblCostos[SKU],0))),""))</f>
        <v/>
      </c>
      <c r="S44" s="37">
        <f>IF($A44="","",IF(NOT(ISNUMBER($Q44)),"PENDIENTE",$Q44+IF(ISNUMBER($R44),$R44,0)))</f>
        <v/>
      </c>
      <c r="T44" s="37">
        <f>IF($A44="","",IF(OR($K44="",NOT(ISNUMBER($K44)),NOT(ISNUMBER($Q44))),"PENDIENTE",$K44-$Q44))</f>
        <v/>
      </c>
      <c r="U44" s="38">
        <f>IF($A44="","",IF(OR(NOT(ISNUMBER($T44)),NOT(ISNUMBER($K44)),$K44&lt;=0),"PENDIENTE",$T44/$K44))</f>
        <v/>
      </c>
      <c r="V44" s="38">
        <f>IF($A44="","",IF(OR(NOT(ISNUMBER($T44)),NOT(ISNUMBER($Q44)),$Q44&lt;=0),"PENDIENTE",$T44/$Q44))</f>
        <v/>
      </c>
      <c r="W44" s="37">
        <f>IF($A44="","",IF(OR($K44="",NOT(ISNUMBER($K44)),NOT(ISNUMBER($S44))),"PENDIENTE",$K44-$S44))</f>
        <v/>
      </c>
      <c r="X44" s="39">
        <f>IF($A44="","",IFERROR(INDEX(tblInventario[Stock actual],MATCH($A44,tblInventario[SKU],0)),0))</f>
        <v/>
      </c>
      <c r="Y44" s="34" t="n"/>
      <c r="Z44" s="34" t="n"/>
      <c r="AA44" s="33" t="inlineStr">
        <is>
          <t>Activo</t>
        </is>
      </c>
      <c r="AB44" s="40">
        <f>IF($A44="","",IF(COUNTIF(tblCostos[SKU],$A44)=0,"SIN FILA EN COSTOS",IF(AND($K44="",NOT(ISNUMBER($Q44))),"FALTA PRECIO Y COSTO",IF($K44="","FALTA PRECIO",IF(NOT(ISNUMBER($Q44)),"FALTA COSTO",IF($T44&lt;0,"MARGEN NEGATIVO",IF($T44=0,"PRECIO = COSTO","COMPLETO")))))))</f>
        <v/>
      </c>
      <c r="AC44" s="41" t="n"/>
      <c r="AD44" s="33" t="n"/>
    </row>
    <row r="45">
      <c r="A45" s="33" t="inlineStr">
        <is>
          <t>DEI-1L</t>
        </is>
      </c>
      <c r="B45" s="33" t="inlineStr">
        <is>
          <t>Desengrasante Industrial</t>
        </is>
      </c>
      <c r="C45" s="33" t="inlineStr">
        <is>
          <t>Industrial</t>
        </is>
      </c>
      <c r="D45" s="33" t="inlineStr">
        <is>
          <t>Desengrasantes</t>
        </is>
      </c>
      <c r="E45" s="33" t="inlineStr">
        <is>
          <t>1 Litro</t>
        </is>
      </c>
      <c r="F45" s="33" t="inlineStr">
        <is>
          <t>Unidad</t>
        </is>
      </c>
      <c r="G45" s="34" t="n">
        <v>1000</v>
      </c>
      <c r="H45" s="33" t="inlineStr">
        <is>
          <t>Sin aroma específico</t>
        </is>
      </c>
      <c r="I45" s="33" t="n"/>
      <c r="J45" s="35" t="n">
        <v>100</v>
      </c>
      <c r="K45" s="36" t="n"/>
      <c r="L45" s="37">
        <f>IF($A45="","",IFERROR(IF(INDEX(tblCostos[Costo de compra unitario],MATCH($A45,tblCostos[SKU],0))="","PENDIENTE",INDEX(tblCostos[Costo de compra unitario],MATCH($A45,tblCostos[SKU],0))),"PENDIENTE"))</f>
        <v/>
      </c>
      <c r="M45" s="37">
        <f>IF($A45="","",IFERROR(IF(INDEX(tblCostos[Transporte unitario],MATCH($A45,tblCostos[SKU],0))="","",INDEX(tblCostos[Transporte unitario],MATCH($A45,tblCostos[SKU],0))),""))</f>
        <v/>
      </c>
      <c r="N45" s="37">
        <f>IF($A45="","",IFERROR(IF(INDEX(tblCostos[Impuestos / aranceles unitarios],MATCH($A45,tblCostos[SKU],0))="","",INDEX(tblCostos[Impuestos / aranceles unitarios],MATCH($A45,tblCostos[SKU],0))),""))</f>
        <v/>
      </c>
      <c r="O45" s="37">
        <f>IF($A45="","",IFERROR(IF(INDEX(tblCostos[Empaque unitario],MATCH($A45,tblCostos[SKU],0))="","",INDEX(tblCostos[Empaque unitario],MATCH($A45,tblCostos[SKU],0))),""))</f>
        <v/>
      </c>
      <c r="P45" s="37">
        <f>IF($A45="","",IFERROR(IF(INDEX(tblCostos[Otros costos variables unitarios],MATCH($A45,tblCostos[SKU],0))="","",INDEX(tblCostos[Otros costos variables unitarios],MATCH($A45,tblCostos[SKU],0))),""))</f>
        <v/>
      </c>
      <c r="Q45" s="37">
        <f>IF($A45="","",IFERROR(IF(INDEX(tblCostos[COSTO REAL UNITARIO],MATCH($A45,tblCostos[SKU],0))="","PENDIENTE",INDEX(tblCostos[COSTO REAL UNITARIO],MATCH($A45,tblCostos[SKU],0))),"PENDIENTE"))</f>
        <v/>
      </c>
      <c r="R45" s="37">
        <f>IF($A45="","",IFERROR(IF(INDEX(tblCostos[Costo variable de venta unitario],MATCH($A45,tblCostos[SKU],0))="","",INDEX(tblCostos[Costo variable de venta unitario],MATCH($A45,tblCostos[SKU],0))),""))</f>
        <v/>
      </c>
      <c r="S45" s="37">
        <f>IF($A45="","",IF(NOT(ISNUMBER($Q45)),"PENDIENTE",$Q45+IF(ISNUMBER($R45),$R45,0)))</f>
        <v/>
      </c>
      <c r="T45" s="37">
        <f>IF($A45="","",IF(OR($K45="",NOT(ISNUMBER($K45)),NOT(ISNUMBER($Q45))),"PENDIENTE",$K45-$Q45))</f>
        <v/>
      </c>
      <c r="U45" s="38">
        <f>IF($A45="","",IF(OR(NOT(ISNUMBER($T45)),NOT(ISNUMBER($K45)),$K45&lt;=0),"PENDIENTE",$T45/$K45))</f>
        <v/>
      </c>
      <c r="V45" s="38">
        <f>IF($A45="","",IF(OR(NOT(ISNUMBER($T45)),NOT(ISNUMBER($Q45)),$Q45&lt;=0),"PENDIENTE",$T45/$Q45))</f>
        <v/>
      </c>
      <c r="W45" s="37">
        <f>IF($A45="","",IF(OR($K45="",NOT(ISNUMBER($K45)),NOT(ISNUMBER($S45))),"PENDIENTE",$K45-$S45))</f>
        <v/>
      </c>
      <c r="X45" s="39">
        <f>IF($A45="","",IFERROR(INDEX(tblInventario[Stock actual],MATCH($A45,tblInventario[SKU],0)),0))</f>
        <v/>
      </c>
      <c r="Y45" s="34" t="n"/>
      <c r="Z45" s="34" t="n"/>
      <c r="AA45" s="33" t="inlineStr">
        <is>
          <t>Activo</t>
        </is>
      </c>
      <c r="AB45" s="40">
        <f>IF($A45="","",IF(COUNTIF(tblCostos[SKU],$A45)=0,"SIN FILA EN COSTOS",IF(AND($K45="",NOT(ISNUMBER($Q45))),"FALTA PRECIO Y COSTO",IF($K45="","FALTA PRECIO",IF(NOT(ISNUMBER($Q45)),"FALTA COSTO",IF($T45&lt;0,"MARGEN NEGATIVO",IF($T45=0,"PRECIO = COSTO","COMPLETO")))))))</f>
        <v/>
      </c>
      <c r="AC45" s="41" t="n"/>
      <c r="AD45" s="33" t="n"/>
    </row>
    <row r="46">
      <c r="A46" s="33" t="inlineStr">
        <is>
          <t>DEI-GAL</t>
        </is>
      </c>
      <c r="B46" s="33" t="inlineStr">
        <is>
          <t>Desengrasante Industrial</t>
        </is>
      </c>
      <c r="C46" s="33" t="inlineStr">
        <is>
          <t>Industrial</t>
        </is>
      </c>
      <c r="D46" s="33" t="inlineStr">
        <is>
          <t>Desengrasantes</t>
        </is>
      </c>
      <c r="E46" s="33" t="inlineStr">
        <is>
          <t>Galón</t>
        </is>
      </c>
      <c r="F46" s="33" t="inlineStr">
        <is>
          <t>Unidad</t>
        </is>
      </c>
      <c r="G46" s="34" t="n">
        <v>3785</v>
      </c>
      <c r="H46" s="33" t="inlineStr">
        <is>
          <t>Sin aroma específico</t>
        </is>
      </c>
      <c r="I46" s="33" t="n"/>
      <c r="J46" s="35" t="n">
        <v>300</v>
      </c>
      <c r="K46" s="36" t="n"/>
      <c r="L46" s="37">
        <f>IF($A46="","",IFERROR(IF(INDEX(tblCostos[Costo de compra unitario],MATCH($A46,tblCostos[SKU],0))="","PENDIENTE",INDEX(tblCostos[Costo de compra unitario],MATCH($A46,tblCostos[SKU],0))),"PENDIENTE"))</f>
        <v/>
      </c>
      <c r="M46" s="37">
        <f>IF($A46="","",IFERROR(IF(INDEX(tblCostos[Transporte unitario],MATCH($A46,tblCostos[SKU],0))="","",INDEX(tblCostos[Transporte unitario],MATCH($A46,tblCostos[SKU],0))),""))</f>
        <v/>
      </c>
      <c r="N46" s="37">
        <f>IF($A46="","",IFERROR(IF(INDEX(tblCostos[Impuestos / aranceles unitarios],MATCH($A46,tblCostos[SKU],0))="","",INDEX(tblCostos[Impuestos / aranceles unitarios],MATCH($A46,tblCostos[SKU],0))),""))</f>
        <v/>
      </c>
      <c r="O46" s="37">
        <f>IF($A46="","",IFERROR(IF(INDEX(tblCostos[Empaque unitario],MATCH($A46,tblCostos[SKU],0))="","",INDEX(tblCostos[Empaque unitario],MATCH($A46,tblCostos[SKU],0))),""))</f>
        <v/>
      </c>
      <c r="P46" s="37">
        <f>IF($A46="","",IFERROR(IF(INDEX(tblCostos[Otros costos variables unitarios],MATCH($A46,tblCostos[SKU],0))="","",INDEX(tblCostos[Otros costos variables unitarios],MATCH($A46,tblCostos[SKU],0))),""))</f>
        <v/>
      </c>
      <c r="Q46" s="37">
        <f>IF($A46="","",IFERROR(IF(INDEX(tblCostos[COSTO REAL UNITARIO],MATCH($A46,tblCostos[SKU],0))="","PENDIENTE",INDEX(tblCostos[COSTO REAL UNITARIO],MATCH($A46,tblCostos[SKU],0))),"PENDIENTE"))</f>
        <v/>
      </c>
      <c r="R46" s="37">
        <f>IF($A46="","",IFERROR(IF(INDEX(tblCostos[Costo variable de venta unitario],MATCH($A46,tblCostos[SKU],0))="","",INDEX(tblCostos[Costo variable de venta unitario],MATCH($A46,tblCostos[SKU],0))),""))</f>
        <v/>
      </c>
      <c r="S46" s="37">
        <f>IF($A46="","",IF(NOT(ISNUMBER($Q46)),"PENDIENTE",$Q46+IF(ISNUMBER($R46),$R46,0)))</f>
        <v/>
      </c>
      <c r="T46" s="37">
        <f>IF($A46="","",IF(OR($K46="",NOT(ISNUMBER($K46)),NOT(ISNUMBER($Q46))),"PENDIENTE",$K46-$Q46))</f>
        <v/>
      </c>
      <c r="U46" s="38">
        <f>IF($A46="","",IF(OR(NOT(ISNUMBER($T46)),NOT(ISNUMBER($K46)),$K46&lt;=0),"PENDIENTE",$T46/$K46))</f>
        <v/>
      </c>
      <c r="V46" s="38">
        <f>IF($A46="","",IF(OR(NOT(ISNUMBER($T46)),NOT(ISNUMBER($Q46)),$Q46&lt;=0),"PENDIENTE",$T46/$Q46))</f>
        <v/>
      </c>
      <c r="W46" s="37">
        <f>IF($A46="","",IF(OR($K46="",NOT(ISNUMBER($K46)),NOT(ISNUMBER($S46))),"PENDIENTE",$K46-$S46))</f>
        <v/>
      </c>
      <c r="X46" s="39">
        <f>IF($A46="","",IFERROR(INDEX(tblInventario[Stock actual],MATCH($A46,tblInventario[SKU],0)),0))</f>
        <v/>
      </c>
      <c r="Y46" s="34" t="n"/>
      <c r="Z46" s="34" t="n"/>
      <c r="AA46" s="33" t="inlineStr">
        <is>
          <t>Activo</t>
        </is>
      </c>
      <c r="AB46" s="40">
        <f>IF($A46="","",IF(COUNTIF(tblCostos[SKU],$A46)=0,"SIN FILA EN COSTOS",IF(AND($K46="",NOT(ISNUMBER($Q46))),"FALTA PRECIO Y COSTO",IF($K46="","FALTA PRECIO",IF(NOT(ISNUMBER($Q46)),"FALTA COSTO",IF($T46&lt;0,"MARGEN NEGATIVO",IF($T46=0,"PRECIO = COSTO","COMPLETO")))))))</f>
        <v/>
      </c>
      <c r="AC46" s="41" t="n"/>
      <c r="AD46" s="33" t="n"/>
    </row>
    <row r="47">
      <c r="A47" s="33" t="n"/>
      <c r="B47" s="33" t="n"/>
      <c r="C47" s="33" t="n"/>
      <c r="D47" s="33" t="n"/>
      <c r="E47" s="33" t="n"/>
      <c r="F47" s="33" t="n"/>
      <c r="G47" s="34" t="n"/>
      <c r="H47" s="33" t="n"/>
      <c r="I47" s="33" t="n"/>
      <c r="J47" s="35" t="n"/>
      <c r="K47" s="36" t="n"/>
      <c r="L47" s="37">
        <f>IF($A47="","",IFERROR(IF(INDEX(tblCostos[Costo de compra unitario],MATCH($A47,tblCostos[SKU],0))="","PENDIENTE",INDEX(tblCostos[Costo de compra unitario],MATCH($A47,tblCostos[SKU],0))),"PENDIENTE"))</f>
        <v/>
      </c>
      <c r="M47" s="37">
        <f>IF($A47="","",IFERROR(IF(INDEX(tblCostos[Transporte unitario],MATCH($A47,tblCostos[SKU],0))="","",INDEX(tblCostos[Transporte unitario],MATCH($A47,tblCostos[SKU],0))),""))</f>
        <v/>
      </c>
      <c r="N47" s="37">
        <f>IF($A47="","",IFERROR(IF(INDEX(tblCostos[Impuestos / aranceles unitarios],MATCH($A47,tblCostos[SKU],0))="","",INDEX(tblCostos[Impuestos / aranceles unitarios],MATCH($A47,tblCostos[SKU],0))),""))</f>
        <v/>
      </c>
      <c r="O47" s="37">
        <f>IF($A47="","",IFERROR(IF(INDEX(tblCostos[Empaque unitario],MATCH($A47,tblCostos[SKU],0))="","",INDEX(tblCostos[Empaque unitario],MATCH($A47,tblCostos[SKU],0))),""))</f>
        <v/>
      </c>
      <c r="P47" s="37">
        <f>IF($A47="","",IFERROR(IF(INDEX(tblCostos[Otros costos variables unitarios],MATCH($A47,tblCostos[SKU],0))="","",INDEX(tblCostos[Otros costos variables unitarios],MATCH($A47,tblCostos[SKU],0))),""))</f>
        <v/>
      </c>
      <c r="Q47" s="37">
        <f>IF($A47="","",IFERROR(IF(INDEX(tblCostos[COSTO REAL UNITARIO],MATCH($A47,tblCostos[SKU],0))="","PENDIENTE",INDEX(tblCostos[COSTO REAL UNITARIO],MATCH($A47,tblCostos[SKU],0))),"PENDIENTE"))</f>
        <v/>
      </c>
      <c r="R47" s="37">
        <f>IF($A47="","",IFERROR(IF(INDEX(tblCostos[Costo variable de venta unitario],MATCH($A47,tblCostos[SKU],0))="","",INDEX(tblCostos[Costo variable de venta unitario],MATCH($A47,tblCostos[SKU],0))),""))</f>
        <v/>
      </c>
      <c r="S47" s="37">
        <f>IF($A47="","",IF(NOT(ISNUMBER($Q47)),"PENDIENTE",$Q47+IF(ISNUMBER($R47),$R47,0)))</f>
        <v/>
      </c>
      <c r="T47" s="37">
        <f>IF($A47="","",IF(OR($K47="",NOT(ISNUMBER($K47)),NOT(ISNUMBER($Q47))),"PENDIENTE",$K47-$Q47))</f>
        <v/>
      </c>
      <c r="U47" s="38">
        <f>IF($A47="","",IF(OR(NOT(ISNUMBER($T47)),NOT(ISNUMBER($K47)),$K47&lt;=0),"PENDIENTE",$T47/$K47))</f>
        <v/>
      </c>
      <c r="V47" s="38">
        <f>IF($A47="","",IF(OR(NOT(ISNUMBER($T47)),NOT(ISNUMBER($Q47)),$Q47&lt;=0),"PENDIENTE",$T47/$Q47))</f>
        <v/>
      </c>
      <c r="W47" s="37">
        <f>IF($A47="","",IF(OR($K47="",NOT(ISNUMBER($K47)),NOT(ISNUMBER($S47))),"PENDIENTE",$K47-$S47))</f>
        <v/>
      </c>
      <c r="X47" s="39">
        <f>IF($A47="","",IFERROR(INDEX(tblInventario[Stock actual],MATCH($A47,tblInventario[SKU],0)),0))</f>
        <v/>
      </c>
      <c r="Y47" s="34" t="n"/>
      <c r="Z47" s="34" t="n"/>
      <c r="AA47" s="33" t="n"/>
      <c r="AB47" s="40">
        <f>IF($A47="","",IF(COUNTIF(tblCostos[SKU],$A47)=0,"SIN FILA EN COSTOS",IF(AND($K47="",NOT(ISNUMBER($Q47))),"FALTA PRECIO Y COSTO",IF($K47="","FALTA PRECIO",IF(NOT(ISNUMBER($Q47)),"FALTA COSTO",IF($T47&lt;0,"MARGEN NEGATIVO",IF($T47=0,"PRECIO = COSTO","COMPLETO")))))))</f>
        <v/>
      </c>
      <c r="AC47" s="41" t="n"/>
      <c r="AD47" s="33" t="n"/>
    </row>
    <row r="48">
      <c r="A48" s="33" t="n"/>
      <c r="B48" s="33" t="n"/>
      <c r="C48" s="33" t="n"/>
      <c r="D48" s="33" t="n"/>
      <c r="E48" s="33" t="n"/>
      <c r="F48" s="33" t="n"/>
      <c r="G48" s="34" t="n"/>
      <c r="H48" s="33" t="n"/>
      <c r="I48" s="33" t="n"/>
      <c r="J48" s="35" t="n"/>
      <c r="K48" s="36" t="n"/>
      <c r="L48" s="37">
        <f>IF($A48="","",IFERROR(IF(INDEX(tblCostos[Costo de compra unitario],MATCH($A48,tblCostos[SKU],0))="","PENDIENTE",INDEX(tblCostos[Costo de compra unitario],MATCH($A48,tblCostos[SKU],0))),"PENDIENTE"))</f>
        <v/>
      </c>
      <c r="M48" s="37">
        <f>IF($A48="","",IFERROR(IF(INDEX(tblCostos[Transporte unitario],MATCH($A48,tblCostos[SKU],0))="","",INDEX(tblCostos[Transporte unitario],MATCH($A48,tblCostos[SKU],0))),""))</f>
        <v/>
      </c>
      <c r="N48" s="37">
        <f>IF($A48="","",IFERROR(IF(INDEX(tblCostos[Impuestos / aranceles unitarios],MATCH($A48,tblCostos[SKU],0))="","",INDEX(tblCostos[Impuestos / aranceles unitarios],MATCH($A48,tblCostos[SKU],0))),""))</f>
        <v/>
      </c>
      <c r="O48" s="37">
        <f>IF($A48="","",IFERROR(IF(INDEX(tblCostos[Empaque unitario],MATCH($A48,tblCostos[SKU],0))="","",INDEX(tblCostos[Empaque unitario],MATCH($A48,tblCostos[SKU],0))),""))</f>
        <v/>
      </c>
      <c r="P48" s="37">
        <f>IF($A48="","",IFERROR(IF(INDEX(tblCostos[Otros costos variables unitarios],MATCH($A48,tblCostos[SKU],0))="","",INDEX(tblCostos[Otros costos variables unitarios],MATCH($A48,tblCostos[SKU],0))),""))</f>
        <v/>
      </c>
      <c r="Q48" s="37">
        <f>IF($A48="","",IFERROR(IF(INDEX(tblCostos[COSTO REAL UNITARIO],MATCH($A48,tblCostos[SKU],0))="","PENDIENTE",INDEX(tblCostos[COSTO REAL UNITARIO],MATCH($A48,tblCostos[SKU],0))),"PENDIENTE"))</f>
        <v/>
      </c>
      <c r="R48" s="37">
        <f>IF($A48="","",IFERROR(IF(INDEX(tblCostos[Costo variable de venta unitario],MATCH($A48,tblCostos[SKU],0))="","",INDEX(tblCostos[Costo variable de venta unitario],MATCH($A48,tblCostos[SKU],0))),""))</f>
        <v/>
      </c>
      <c r="S48" s="37">
        <f>IF($A48="","",IF(NOT(ISNUMBER($Q48)),"PENDIENTE",$Q48+IF(ISNUMBER($R48),$R48,0)))</f>
        <v/>
      </c>
      <c r="T48" s="37">
        <f>IF($A48="","",IF(OR($K48="",NOT(ISNUMBER($K48)),NOT(ISNUMBER($Q48))),"PENDIENTE",$K48-$Q48))</f>
        <v/>
      </c>
      <c r="U48" s="38">
        <f>IF($A48="","",IF(OR(NOT(ISNUMBER($T48)),NOT(ISNUMBER($K48)),$K48&lt;=0),"PENDIENTE",$T48/$K48))</f>
        <v/>
      </c>
      <c r="V48" s="38">
        <f>IF($A48="","",IF(OR(NOT(ISNUMBER($T48)),NOT(ISNUMBER($Q48)),$Q48&lt;=0),"PENDIENTE",$T48/$Q48))</f>
        <v/>
      </c>
      <c r="W48" s="37">
        <f>IF($A48="","",IF(OR($K48="",NOT(ISNUMBER($K48)),NOT(ISNUMBER($S48))),"PENDIENTE",$K48-$S48))</f>
        <v/>
      </c>
      <c r="X48" s="39">
        <f>IF($A48="","",IFERROR(INDEX(tblInventario[Stock actual],MATCH($A48,tblInventario[SKU],0)),0))</f>
        <v/>
      </c>
      <c r="Y48" s="34" t="n"/>
      <c r="Z48" s="34" t="n"/>
      <c r="AA48" s="33" t="n"/>
      <c r="AB48" s="40">
        <f>IF($A48="","",IF(COUNTIF(tblCostos[SKU],$A48)=0,"SIN FILA EN COSTOS",IF(AND($K48="",NOT(ISNUMBER($Q48))),"FALTA PRECIO Y COSTO",IF($K48="","FALTA PRECIO",IF(NOT(ISNUMBER($Q48)),"FALTA COSTO",IF($T48&lt;0,"MARGEN NEGATIVO",IF($T48=0,"PRECIO = COSTO","COMPLETO")))))))</f>
        <v/>
      </c>
      <c r="AC48" s="41" t="n"/>
      <c r="AD48" s="33" t="n"/>
    </row>
    <row r="49">
      <c r="A49" s="33" t="n"/>
      <c r="B49" s="33" t="n"/>
      <c r="C49" s="33" t="n"/>
      <c r="D49" s="33" t="n"/>
      <c r="E49" s="33" t="n"/>
      <c r="F49" s="33" t="n"/>
      <c r="G49" s="34" t="n"/>
      <c r="H49" s="33" t="n"/>
      <c r="I49" s="33" t="n"/>
      <c r="J49" s="35" t="n"/>
      <c r="K49" s="36" t="n"/>
      <c r="L49" s="37">
        <f>IF($A49="","",IFERROR(IF(INDEX(tblCostos[Costo de compra unitario],MATCH($A49,tblCostos[SKU],0))="","PENDIENTE",INDEX(tblCostos[Costo de compra unitario],MATCH($A49,tblCostos[SKU],0))),"PENDIENTE"))</f>
        <v/>
      </c>
      <c r="M49" s="37">
        <f>IF($A49="","",IFERROR(IF(INDEX(tblCostos[Transporte unitario],MATCH($A49,tblCostos[SKU],0))="","",INDEX(tblCostos[Transporte unitario],MATCH($A49,tblCostos[SKU],0))),""))</f>
        <v/>
      </c>
      <c r="N49" s="37">
        <f>IF($A49="","",IFERROR(IF(INDEX(tblCostos[Impuestos / aranceles unitarios],MATCH($A49,tblCostos[SKU],0))="","",INDEX(tblCostos[Impuestos / aranceles unitarios],MATCH($A49,tblCostos[SKU],0))),""))</f>
        <v/>
      </c>
      <c r="O49" s="37">
        <f>IF($A49="","",IFERROR(IF(INDEX(tblCostos[Empaque unitario],MATCH($A49,tblCostos[SKU],0))="","",INDEX(tblCostos[Empaque unitario],MATCH($A49,tblCostos[SKU],0))),""))</f>
        <v/>
      </c>
      <c r="P49" s="37">
        <f>IF($A49="","",IFERROR(IF(INDEX(tblCostos[Otros costos variables unitarios],MATCH($A49,tblCostos[SKU],0))="","",INDEX(tblCostos[Otros costos variables unitarios],MATCH($A49,tblCostos[SKU],0))),""))</f>
        <v/>
      </c>
      <c r="Q49" s="37">
        <f>IF($A49="","",IFERROR(IF(INDEX(tblCostos[COSTO REAL UNITARIO],MATCH($A49,tblCostos[SKU],0))="","PENDIENTE",INDEX(tblCostos[COSTO REAL UNITARIO],MATCH($A49,tblCostos[SKU],0))),"PENDIENTE"))</f>
        <v/>
      </c>
      <c r="R49" s="37">
        <f>IF($A49="","",IFERROR(IF(INDEX(tblCostos[Costo variable de venta unitario],MATCH($A49,tblCostos[SKU],0))="","",INDEX(tblCostos[Costo variable de venta unitario],MATCH($A49,tblCostos[SKU],0))),""))</f>
        <v/>
      </c>
      <c r="S49" s="37">
        <f>IF($A49="","",IF(NOT(ISNUMBER($Q49)),"PENDIENTE",$Q49+IF(ISNUMBER($R49),$R49,0)))</f>
        <v/>
      </c>
      <c r="T49" s="37">
        <f>IF($A49="","",IF(OR($K49="",NOT(ISNUMBER($K49)),NOT(ISNUMBER($Q49))),"PENDIENTE",$K49-$Q49))</f>
        <v/>
      </c>
      <c r="U49" s="38">
        <f>IF($A49="","",IF(OR(NOT(ISNUMBER($T49)),NOT(ISNUMBER($K49)),$K49&lt;=0),"PENDIENTE",$T49/$K49))</f>
        <v/>
      </c>
      <c r="V49" s="38">
        <f>IF($A49="","",IF(OR(NOT(ISNUMBER($T49)),NOT(ISNUMBER($Q49)),$Q49&lt;=0),"PENDIENTE",$T49/$Q49))</f>
        <v/>
      </c>
      <c r="W49" s="37">
        <f>IF($A49="","",IF(OR($K49="",NOT(ISNUMBER($K49)),NOT(ISNUMBER($S49))),"PENDIENTE",$K49-$S49))</f>
        <v/>
      </c>
      <c r="X49" s="39">
        <f>IF($A49="","",IFERROR(INDEX(tblInventario[Stock actual],MATCH($A49,tblInventario[SKU],0)),0))</f>
        <v/>
      </c>
      <c r="Y49" s="34" t="n"/>
      <c r="Z49" s="34" t="n"/>
      <c r="AA49" s="33" t="n"/>
      <c r="AB49" s="40">
        <f>IF($A49="","",IF(COUNTIF(tblCostos[SKU],$A49)=0,"SIN FILA EN COSTOS",IF(AND($K49="",NOT(ISNUMBER($Q49))),"FALTA PRECIO Y COSTO",IF($K49="","FALTA PRECIO",IF(NOT(ISNUMBER($Q49)),"FALTA COSTO",IF($T49&lt;0,"MARGEN NEGATIVO",IF($T49=0,"PRECIO = COSTO","COMPLETO")))))))</f>
        <v/>
      </c>
      <c r="AC49" s="41" t="n"/>
      <c r="AD49" s="33" t="n"/>
    </row>
    <row r="50">
      <c r="A50" s="33" t="n"/>
      <c r="B50" s="33" t="n"/>
      <c r="C50" s="33" t="n"/>
      <c r="D50" s="33" t="n"/>
      <c r="E50" s="33" t="n"/>
      <c r="F50" s="33" t="n"/>
      <c r="G50" s="34" t="n"/>
      <c r="H50" s="33" t="n"/>
      <c r="I50" s="33" t="n"/>
      <c r="J50" s="35" t="n"/>
      <c r="K50" s="36" t="n"/>
      <c r="L50" s="37">
        <f>IF($A50="","",IFERROR(IF(INDEX(tblCostos[Costo de compra unitario],MATCH($A50,tblCostos[SKU],0))="","PENDIENTE",INDEX(tblCostos[Costo de compra unitario],MATCH($A50,tblCostos[SKU],0))),"PENDIENTE"))</f>
        <v/>
      </c>
      <c r="M50" s="37">
        <f>IF($A50="","",IFERROR(IF(INDEX(tblCostos[Transporte unitario],MATCH($A50,tblCostos[SKU],0))="","",INDEX(tblCostos[Transporte unitario],MATCH($A50,tblCostos[SKU],0))),""))</f>
        <v/>
      </c>
      <c r="N50" s="37">
        <f>IF($A50="","",IFERROR(IF(INDEX(tblCostos[Impuestos / aranceles unitarios],MATCH($A50,tblCostos[SKU],0))="","",INDEX(tblCostos[Impuestos / aranceles unitarios],MATCH($A50,tblCostos[SKU],0))),""))</f>
        <v/>
      </c>
      <c r="O50" s="37">
        <f>IF($A50="","",IFERROR(IF(INDEX(tblCostos[Empaque unitario],MATCH($A50,tblCostos[SKU],0))="","",INDEX(tblCostos[Empaque unitario],MATCH($A50,tblCostos[SKU],0))),""))</f>
        <v/>
      </c>
      <c r="P50" s="37">
        <f>IF($A50="","",IFERROR(IF(INDEX(tblCostos[Otros costos variables unitarios],MATCH($A50,tblCostos[SKU],0))="","",INDEX(tblCostos[Otros costos variables unitarios],MATCH($A50,tblCostos[SKU],0))),""))</f>
        <v/>
      </c>
      <c r="Q50" s="37">
        <f>IF($A50="","",IFERROR(IF(INDEX(tblCostos[COSTO REAL UNITARIO],MATCH($A50,tblCostos[SKU],0))="","PENDIENTE",INDEX(tblCostos[COSTO REAL UNITARIO],MATCH($A50,tblCostos[SKU],0))),"PENDIENTE"))</f>
        <v/>
      </c>
      <c r="R50" s="37">
        <f>IF($A50="","",IFERROR(IF(INDEX(tblCostos[Costo variable de venta unitario],MATCH($A50,tblCostos[SKU],0))="","",INDEX(tblCostos[Costo variable de venta unitario],MATCH($A50,tblCostos[SKU],0))),""))</f>
        <v/>
      </c>
      <c r="S50" s="37">
        <f>IF($A50="","",IF(NOT(ISNUMBER($Q50)),"PENDIENTE",$Q50+IF(ISNUMBER($R50),$R50,0)))</f>
        <v/>
      </c>
      <c r="T50" s="37">
        <f>IF($A50="","",IF(OR($K50="",NOT(ISNUMBER($K50)),NOT(ISNUMBER($Q50))),"PENDIENTE",$K50-$Q50))</f>
        <v/>
      </c>
      <c r="U50" s="38">
        <f>IF($A50="","",IF(OR(NOT(ISNUMBER($T50)),NOT(ISNUMBER($K50)),$K50&lt;=0),"PENDIENTE",$T50/$K50))</f>
        <v/>
      </c>
      <c r="V50" s="38">
        <f>IF($A50="","",IF(OR(NOT(ISNUMBER($T50)),NOT(ISNUMBER($Q50)),$Q50&lt;=0),"PENDIENTE",$T50/$Q50))</f>
        <v/>
      </c>
      <c r="W50" s="37">
        <f>IF($A50="","",IF(OR($K50="",NOT(ISNUMBER($K50)),NOT(ISNUMBER($S50))),"PENDIENTE",$K50-$S50))</f>
        <v/>
      </c>
      <c r="X50" s="39">
        <f>IF($A50="","",IFERROR(INDEX(tblInventario[Stock actual],MATCH($A50,tblInventario[SKU],0)),0))</f>
        <v/>
      </c>
      <c r="Y50" s="34" t="n"/>
      <c r="Z50" s="34" t="n"/>
      <c r="AA50" s="33" t="n"/>
      <c r="AB50" s="40">
        <f>IF($A50="","",IF(COUNTIF(tblCostos[SKU],$A50)=0,"SIN FILA EN COSTOS",IF(AND($K50="",NOT(ISNUMBER($Q50))),"FALTA PRECIO Y COSTO",IF($K50="","FALTA PRECIO",IF(NOT(ISNUMBER($Q50)),"FALTA COSTO",IF($T50&lt;0,"MARGEN NEGATIVO",IF($T50=0,"PRECIO = COSTO","COMPLETO")))))))</f>
        <v/>
      </c>
      <c r="AC50" s="41" t="n"/>
      <c r="AD50" s="33" t="n"/>
    </row>
    <row r="51">
      <c r="A51" s="33" t="n"/>
      <c r="B51" s="33" t="n"/>
      <c r="C51" s="33" t="n"/>
      <c r="D51" s="33" t="n"/>
      <c r="E51" s="33" t="n"/>
      <c r="F51" s="33" t="n"/>
      <c r="G51" s="34" t="n"/>
      <c r="H51" s="33" t="n"/>
      <c r="I51" s="33" t="n"/>
      <c r="J51" s="35" t="n"/>
      <c r="K51" s="36" t="n"/>
      <c r="L51" s="37">
        <f>IF($A51="","",IFERROR(IF(INDEX(tblCostos[Costo de compra unitario],MATCH($A51,tblCostos[SKU],0))="","PENDIENTE",INDEX(tblCostos[Costo de compra unitario],MATCH($A51,tblCostos[SKU],0))),"PENDIENTE"))</f>
        <v/>
      </c>
      <c r="M51" s="37">
        <f>IF($A51="","",IFERROR(IF(INDEX(tblCostos[Transporte unitario],MATCH($A51,tblCostos[SKU],0))="","",INDEX(tblCostos[Transporte unitario],MATCH($A51,tblCostos[SKU],0))),""))</f>
        <v/>
      </c>
      <c r="N51" s="37">
        <f>IF($A51="","",IFERROR(IF(INDEX(tblCostos[Impuestos / aranceles unitarios],MATCH($A51,tblCostos[SKU],0))="","",INDEX(tblCostos[Impuestos / aranceles unitarios],MATCH($A51,tblCostos[SKU],0))),""))</f>
        <v/>
      </c>
      <c r="O51" s="37">
        <f>IF($A51="","",IFERROR(IF(INDEX(tblCostos[Empaque unitario],MATCH($A51,tblCostos[SKU],0))="","",INDEX(tblCostos[Empaque unitario],MATCH($A51,tblCostos[SKU],0))),""))</f>
        <v/>
      </c>
      <c r="P51" s="37">
        <f>IF($A51="","",IFERROR(IF(INDEX(tblCostos[Otros costos variables unitarios],MATCH($A51,tblCostos[SKU],0))="","",INDEX(tblCostos[Otros costos variables unitarios],MATCH($A51,tblCostos[SKU],0))),""))</f>
        <v/>
      </c>
      <c r="Q51" s="37">
        <f>IF($A51="","",IFERROR(IF(INDEX(tblCostos[COSTO REAL UNITARIO],MATCH($A51,tblCostos[SKU],0))="","PENDIENTE",INDEX(tblCostos[COSTO REAL UNITARIO],MATCH($A51,tblCostos[SKU],0))),"PENDIENTE"))</f>
        <v/>
      </c>
      <c r="R51" s="37">
        <f>IF($A51="","",IFERROR(IF(INDEX(tblCostos[Costo variable de venta unitario],MATCH($A51,tblCostos[SKU],0))="","",INDEX(tblCostos[Costo variable de venta unitario],MATCH($A51,tblCostos[SKU],0))),""))</f>
        <v/>
      </c>
      <c r="S51" s="37">
        <f>IF($A51="","",IF(NOT(ISNUMBER($Q51)),"PENDIENTE",$Q51+IF(ISNUMBER($R51),$R51,0)))</f>
        <v/>
      </c>
      <c r="T51" s="37">
        <f>IF($A51="","",IF(OR($K51="",NOT(ISNUMBER($K51)),NOT(ISNUMBER($Q51))),"PENDIENTE",$K51-$Q51))</f>
        <v/>
      </c>
      <c r="U51" s="38">
        <f>IF($A51="","",IF(OR(NOT(ISNUMBER($T51)),NOT(ISNUMBER($K51)),$K51&lt;=0),"PENDIENTE",$T51/$K51))</f>
        <v/>
      </c>
      <c r="V51" s="38">
        <f>IF($A51="","",IF(OR(NOT(ISNUMBER($T51)),NOT(ISNUMBER($Q51)),$Q51&lt;=0),"PENDIENTE",$T51/$Q51))</f>
        <v/>
      </c>
      <c r="W51" s="37">
        <f>IF($A51="","",IF(OR($K51="",NOT(ISNUMBER($K51)),NOT(ISNUMBER($S51))),"PENDIENTE",$K51-$S51))</f>
        <v/>
      </c>
      <c r="X51" s="39">
        <f>IF($A51="","",IFERROR(INDEX(tblInventario[Stock actual],MATCH($A51,tblInventario[SKU],0)),0))</f>
        <v/>
      </c>
      <c r="Y51" s="34" t="n"/>
      <c r="Z51" s="34" t="n"/>
      <c r="AA51" s="33" t="n"/>
      <c r="AB51" s="40">
        <f>IF($A51="","",IF(COUNTIF(tblCostos[SKU],$A51)=0,"SIN FILA EN COSTOS",IF(AND($K51="",NOT(ISNUMBER($Q51))),"FALTA PRECIO Y COSTO",IF($K51="","FALTA PRECIO",IF(NOT(ISNUMBER($Q51)),"FALTA COSTO",IF($T51&lt;0,"MARGEN NEGATIVO",IF($T51=0,"PRECIO = COSTO","COMPLETO")))))))</f>
        <v/>
      </c>
      <c r="AC51" s="41" t="n"/>
      <c r="AD51" s="33" t="n"/>
    </row>
    <row r="52">
      <c r="A52" s="33" t="n"/>
      <c r="B52" s="33" t="n"/>
      <c r="C52" s="33" t="n"/>
      <c r="D52" s="33" t="n"/>
      <c r="E52" s="33" t="n"/>
      <c r="F52" s="33" t="n"/>
      <c r="G52" s="34" t="n"/>
      <c r="H52" s="33" t="n"/>
      <c r="I52" s="33" t="n"/>
      <c r="J52" s="35" t="n"/>
      <c r="K52" s="36" t="n"/>
      <c r="L52" s="37">
        <f>IF($A52="","",IFERROR(IF(INDEX(tblCostos[Costo de compra unitario],MATCH($A52,tblCostos[SKU],0))="","PENDIENTE",INDEX(tblCostos[Costo de compra unitario],MATCH($A52,tblCostos[SKU],0))),"PENDIENTE"))</f>
        <v/>
      </c>
      <c r="M52" s="37">
        <f>IF($A52="","",IFERROR(IF(INDEX(tblCostos[Transporte unitario],MATCH($A52,tblCostos[SKU],0))="","",INDEX(tblCostos[Transporte unitario],MATCH($A52,tblCostos[SKU],0))),""))</f>
        <v/>
      </c>
      <c r="N52" s="37">
        <f>IF($A52="","",IFERROR(IF(INDEX(tblCostos[Impuestos / aranceles unitarios],MATCH($A52,tblCostos[SKU],0))="","",INDEX(tblCostos[Impuestos / aranceles unitarios],MATCH($A52,tblCostos[SKU],0))),""))</f>
        <v/>
      </c>
      <c r="O52" s="37">
        <f>IF($A52="","",IFERROR(IF(INDEX(tblCostos[Empaque unitario],MATCH($A52,tblCostos[SKU],0))="","",INDEX(tblCostos[Empaque unitario],MATCH($A52,tblCostos[SKU],0))),""))</f>
        <v/>
      </c>
      <c r="P52" s="37">
        <f>IF($A52="","",IFERROR(IF(INDEX(tblCostos[Otros costos variables unitarios],MATCH($A52,tblCostos[SKU],0))="","",INDEX(tblCostos[Otros costos variables unitarios],MATCH($A52,tblCostos[SKU],0))),""))</f>
        <v/>
      </c>
      <c r="Q52" s="37">
        <f>IF($A52="","",IFERROR(IF(INDEX(tblCostos[COSTO REAL UNITARIO],MATCH($A52,tblCostos[SKU],0))="","PENDIENTE",INDEX(tblCostos[COSTO REAL UNITARIO],MATCH($A52,tblCostos[SKU],0))),"PENDIENTE"))</f>
        <v/>
      </c>
      <c r="R52" s="37">
        <f>IF($A52="","",IFERROR(IF(INDEX(tblCostos[Costo variable de venta unitario],MATCH($A52,tblCostos[SKU],0))="","",INDEX(tblCostos[Costo variable de venta unitario],MATCH($A52,tblCostos[SKU],0))),""))</f>
        <v/>
      </c>
      <c r="S52" s="37">
        <f>IF($A52="","",IF(NOT(ISNUMBER($Q52)),"PENDIENTE",$Q52+IF(ISNUMBER($R52),$R52,0)))</f>
        <v/>
      </c>
      <c r="T52" s="37">
        <f>IF($A52="","",IF(OR($K52="",NOT(ISNUMBER($K52)),NOT(ISNUMBER($Q52))),"PENDIENTE",$K52-$Q52))</f>
        <v/>
      </c>
      <c r="U52" s="38">
        <f>IF($A52="","",IF(OR(NOT(ISNUMBER($T52)),NOT(ISNUMBER($K52)),$K52&lt;=0),"PENDIENTE",$T52/$K52))</f>
        <v/>
      </c>
      <c r="V52" s="38">
        <f>IF($A52="","",IF(OR(NOT(ISNUMBER($T52)),NOT(ISNUMBER($Q52)),$Q52&lt;=0),"PENDIENTE",$T52/$Q52))</f>
        <v/>
      </c>
      <c r="W52" s="37">
        <f>IF($A52="","",IF(OR($K52="",NOT(ISNUMBER($K52)),NOT(ISNUMBER($S52))),"PENDIENTE",$K52-$S52))</f>
        <v/>
      </c>
      <c r="X52" s="39">
        <f>IF($A52="","",IFERROR(INDEX(tblInventario[Stock actual],MATCH($A52,tblInventario[SKU],0)),0))</f>
        <v/>
      </c>
      <c r="Y52" s="34" t="n"/>
      <c r="Z52" s="34" t="n"/>
      <c r="AA52" s="33" t="n"/>
      <c r="AB52" s="40">
        <f>IF($A52="","",IF(COUNTIF(tblCostos[SKU],$A52)=0,"SIN FILA EN COSTOS",IF(AND($K52="",NOT(ISNUMBER($Q52))),"FALTA PRECIO Y COSTO",IF($K52="","FALTA PRECIO",IF(NOT(ISNUMBER($Q52)),"FALTA COSTO",IF($T52&lt;0,"MARGEN NEGATIVO",IF($T52=0,"PRECIO = COSTO","COMPLETO")))))))</f>
        <v/>
      </c>
      <c r="AC52" s="41" t="n"/>
      <c r="AD52" s="33" t="n"/>
    </row>
    <row r="53">
      <c r="A53" s="33" t="n"/>
      <c r="B53" s="33" t="n"/>
      <c r="C53" s="33" t="n"/>
      <c r="D53" s="33" t="n"/>
      <c r="E53" s="33" t="n"/>
      <c r="F53" s="33" t="n"/>
      <c r="G53" s="34" t="n"/>
      <c r="H53" s="33" t="n"/>
      <c r="I53" s="33" t="n"/>
      <c r="J53" s="35" t="n"/>
      <c r="K53" s="36" t="n"/>
      <c r="L53" s="37">
        <f>IF($A53="","",IFERROR(IF(INDEX(tblCostos[Costo de compra unitario],MATCH($A53,tblCostos[SKU],0))="","PENDIENTE",INDEX(tblCostos[Costo de compra unitario],MATCH($A53,tblCostos[SKU],0))),"PENDIENTE"))</f>
        <v/>
      </c>
      <c r="M53" s="37">
        <f>IF($A53="","",IFERROR(IF(INDEX(tblCostos[Transporte unitario],MATCH($A53,tblCostos[SKU],0))="","",INDEX(tblCostos[Transporte unitario],MATCH($A53,tblCostos[SKU],0))),""))</f>
        <v/>
      </c>
      <c r="N53" s="37">
        <f>IF($A53="","",IFERROR(IF(INDEX(tblCostos[Impuestos / aranceles unitarios],MATCH($A53,tblCostos[SKU],0))="","",INDEX(tblCostos[Impuestos / aranceles unitarios],MATCH($A53,tblCostos[SKU],0))),""))</f>
        <v/>
      </c>
      <c r="O53" s="37">
        <f>IF($A53="","",IFERROR(IF(INDEX(tblCostos[Empaque unitario],MATCH($A53,tblCostos[SKU],0))="","",INDEX(tblCostos[Empaque unitario],MATCH($A53,tblCostos[SKU],0))),""))</f>
        <v/>
      </c>
      <c r="P53" s="37">
        <f>IF($A53="","",IFERROR(IF(INDEX(tblCostos[Otros costos variables unitarios],MATCH($A53,tblCostos[SKU],0))="","",INDEX(tblCostos[Otros costos variables unitarios],MATCH($A53,tblCostos[SKU],0))),""))</f>
        <v/>
      </c>
      <c r="Q53" s="37">
        <f>IF($A53="","",IFERROR(IF(INDEX(tblCostos[COSTO REAL UNITARIO],MATCH($A53,tblCostos[SKU],0))="","PENDIENTE",INDEX(tblCostos[COSTO REAL UNITARIO],MATCH($A53,tblCostos[SKU],0))),"PENDIENTE"))</f>
        <v/>
      </c>
      <c r="R53" s="37">
        <f>IF($A53="","",IFERROR(IF(INDEX(tblCostos[Costo variable de venta unitario],MATCH($A53,tblCostos[SKU],0))="","",INDEX(tblCostos[Costo variable de venta unitario],MATCH($A53,tblCostos[SKU],0))),""))</f>
        <v/>
      </c>
      <c r="S53" s="37">
        <f>IF($A53="","",IF(NOT(ISNUMBER($Q53)),"PENDIENTE",$Q53+IF(ISNUMBER($R53),$R53,0)))</f>
        <v/>
      </c>
      <c r="T53" s="37">
        <f>IF($A53="","",IF(OR($K53="",NOT(ISNUMBER($K53)),NOT(ISNUMBER($Q53))),"PENDIENTE",$K53-$Q53))</f>
        <v/>
      </c>
      <c r="U53" s="38">
        <f>IF($A53="","",IF(OR(NOT(ISNUMBER($T53)),NOT(ISNUMBER($K53)),$K53&lt;=0),"PENDIENTE",$T53/$K53))</f>
        <v/>
      </c>
      <c r="V53" s="38">
        <f>IF($A53="","",IF(OR(NOT(ISNUMBER($T53)),NOT(ISNUMBER($Q53)),$Q53&lt;=0),"PENDIENTE",$T53/$Q53))</f>
        <v/>
      </c>
      <c r="W53" s="37">
        <f>IF($A53="","",IF(OR($K53="",NOT(ISNUMBER($K53)),NOT(ISNUMBER($S53))),"PENDIENTE",$K53-$S53))</f>
        <v/>
      </c>
      <c r="X53" s="39">
        <f>IF($A53="","",IFERROR(INDEX(tblInventario[Stock actual],MATCH($A53,tblInventario[SKU],0)),0))</f>
        <v/>
      </c>
      <c r="Y53" s="34" t="n"/>
      <c r="Z53" s="34" t="n"/>
      <c r="AA53" s="33" t="n"/>
      <c r="AB53" s="40">
        <f>IF($A53="","",IF(COUNTIF(tblCostos[SKU],$A53)=0,"SIN FILA EN COSTOS",IF(AND($K53="",NOT(ISNUMBER($Q53))),"FALTA PRECIO Y COSTO",IF($K53="","FALTA PRECIO",IF(NOT(ISNUMBER($Q53)),"FALTA COSTO",IF($T53&lt;0,"MARGEN NEGATIVO",IF($T53=0,"PRECIO = COSTO","COMPLETO")))))))</f>
        <v/>
      </c>
      <c r="AC53" s="41" t="n"/>
      <c r="AD53" s="33" t="n"/>
    </row>
    <row r="54">
      <c r="A54" s="33" t="n"/>
      <c r="B54" s="33" t="n"/>
      <c r="C54" s="33" t="n"/>
      <c r="D54" s="33" t="n"/>
      <c r="E54" s="33" t="n"/>
      <c r="F54" s="33" t="n"/>
      <c r="G54" s="34" t="n"/>
      <c r="H54" s="33" t="n"/>
      <c r="I54" s="33" t="n"/>
      <c r="J54" s="35" t="n"/>
      <c r="K54" s="36" t="n"/>
      <c r="L54" s="37">
        <f>IF($A54="","",IFERROR(IF(INDEX(tblCostos[Costo de compra unitario],MATCH($A54,tblCostos[SKU],0))="","PENDIENTE",INDEX(tblCostos[Costo de compra unitario],MATCH($A54,tblCostos[SKU],0))),"PENDIENTE"))</f>
        <v/>
      </c>
      <c r="M54" s="37">
        <f>IF($A54="","",IFERROR(IF(INDEX(tblCostos[Transporte unitario],MATCH($A54,tblCostos[SKU],0))="","",INDEX(tblCostos[Transporte unitario],MATCH($A54,tblCostos[SKU],0))),""))</f>
        <v/>
      </c>
      <c r="N54" s="37">
        <f>IF($A54="","",IFERROR(IF(INDEX(tblCostos[Impuestos / aranceles unitarios],MATCH($A54,tblCostos[SKU],0))="","",INDEX(tblCostos[Impuestos / aranceles unitarios],MATCH($A54,tblCostos[SKU],0))),""))</f>
        <v/>
      </c>
      <c r="O54" s="37">
        <f>IF($A54="","",IFERROR(IF(INDEX(tblCostos[Empaque unitario],MATCH($A54,tblCostos[SKU],0))="","",INDEX(tblCostos[Empaque unitario],MATCH($A54,tblCostos[SKU],0))),""))</f>
        <v/>
      </c>
      <c r="P54" s="37">
        <f>IF($A54="","",IFERROR(IF(INDEX(tblCostos[Otros costos variables unitarios],MATCH($A54,tblCostos[SKU],0))="","",INDEX(tblCostos[Otros costos variables unitarios],MATCH($A54,tblCostos[SKU],0))),""))</f>
        <v/>
      </c>
      <c r="Q54" s="37">
        <f>IF($A54="","",IFERROR(IF(INDEX(tblCostos[COSTO REAL UNITARIO],MATCH($A54,tblCostos[SKU],0))="","PENDIENTE",INDEX(tblCostos[COSTO REAL UNITARIO],MATCH($A54,tblCostos[SKU],0))),"PENDIENTE"))</f>
        <v/>
      </c>
      <c r="R54" s="37">
        <f>IF($A54="","",IFERROR(IF(INDEX(tblCostos[Costo variable de venta unitario],MATCH($A54,tblCostos[SKU],0))="","",INDEX(tblCostos[Costo variable de venta unitario],MATCH($A54,tblCostos[SKU],0))),""))</f>
        <v/>
      </c>
      <c r="S54" s="37">
        <f>IF($A54="","",IF(NOT(ISNUMBER($Q54)),"PENDIENTE",$Q54+IF(ISNUMBER($R54),$R54,0)))</f>
        <v/>
      </c>
      <c r="T54" s="37">
        <f>IF($A54="","",IF(OR($K54="",NOT(ISNUMBER($K54)),NOT(ISNUMBER($Q54))),"PENDIENTE",$K54-$Q54))</f>
        <v/>
      </c>
      <c r="U54" s="38">
        <f>IF($A54="","",IF(OR(NOT(ISNUMBER($T54)),NOT(ISNUMBER($K54)),$K54&lt;=0),"PENDIENTE",$T54/$K54))</f>
        <v/>
      </c>
      <c r="V54" s="38">
        <f>IF($A54="","",IF(OR(NOT(ISNUMBER($T54)),NOT(ISNUMBER($Q54)),$Q54&lt;=0),"PENDIENTE",$T54/$Q54))</f>
        <v/>
      </c>
      <c r="W54" s="37">
        <f>IF($A54="","",IF(OR($K54="",NOT(ISNUMBER($K54)),NOT(ISNUMBER($S54))),"PENDIENTE",$K54-$S54))</f>
        <v/>
      </c>
      <c r="X54" s="39">
        <f>IF($A54="","",IFERROR(INDEX(tblInventario[Stock actual],MATCH($A54,tblInventario[SKU],0)),0))</f>
        <v/>
      </c>
      <c r="Y54" s="34" t="n"/>
      <c r="Z54" s="34" t="n"/>
      <c r="AA54" s="33" t="n"/>
      <c r="AB54" s="40">
        <f>IF($A54="","",IF(COUNTIF(tblCostos[SKU],$A54)=0,"SIN FILA EN COSTOS",IF(AND($K54="",NOT(ISNUMBER($Q54))),"FALTA PRECIO Y COSTO",IF($K54="","FALTA PRECIO",IF(NOT(ISNUMBER($Q54)),"FALTA COSTO",IF($T54&lt;0,"MARGEN NEGATIVO",IF($T54=0,"PRECIO = COSTO","COMPLETO")))))))</f>
        <v/>
      </c>
      <c r="AC54" s="41" t="n"/>
      <c r="AD54" s="33" t="n"/>
    </row>
    <row r="55">
      <c r="A55" s="33" t="n"/>
      <c r="B55" s="33" t="n"/>
      <c r="C55" s="33" t="n"/>
      <c r="D55" s="33" t="n"/>
      <c r="E55" s="33" t="n"/>
      <c r="F55" s="33" t="n"/>
      <c r="G55" s="34" t="n"/>
      <c r="H55" s="33" t="n"/>
      <c r="I55" s="33" t="n"/>
      <c r="J55" s="35" t="n"/>
      <c r="K55" s="36" t="n"/>
      <c r="L55" s="37">
        <f>IF($A55="","",IFERROR(IF(INDEX(tblCostos[Costo de compra unitario],MATCH($A55,tblCostos[SKU],0))="","PENDIENTE",INDEX(tblCostos[Costo de compra unitario],MATCH($A55,tblCostos[SKU],0))),"PENDIENTE"))</f>
        <v/>
      </c>
      <c r="M55" s="37">
        <f>IF($A55="","",IFERROR(IF(INDEX(tblCostos[Transporte unitario],MATCH($A55,tblCostos[SKU],0))="","",INDEX(tblCostos[Transporte unitario],MATCH($A55,tblCostos[SKU],0))),""))</f>
        <v/>
      </c>
      <c r="N55" s="37">
        <f>IF($A55="","",IFERROR(IF(INDEX(tblCostos[Impuestos / aranceles unitarios],MATCH($A55,tblCostos[SKU],0))="","",INDEX(tblCostos[Impuestos / aranceles unitarios],MATCH($A55,tblCostos[SKU],0))),""))</f>
        <v/>
      </c>
      <c r="O55" s="37">
        <f>IF($A55="","",IFERROR(IF(INDEX(tblCostos[Empaque unitario],MATCH($A55,tblCostos[SKU],0))="","",INDEX(tblCostos[Empaque unitario],MATCH($A55,tblCostos[SKU],0))),""))</f>
        <v/>
      </c>
      <c r="P55" s="37">
        <f>IF($A55="","",IFERROR(IF(INDEX(tblCostos[Otros costos variables unitarios],MATCH($A55,tblCostos[SKU],0))="","",INDEX(tblCostos[Otros costos variables unitarios],MATCH($A55,tblCostos[SKU],0))),""))</f>
        <v/>
      </c>
      <c r="Q55" s="37">
        <f>IF($A55="","",IFERROR(IF(INDEX(tblCostos[COSTO REAL UNITARIO],MATCH($A55,tblCostos[SKU],0))="","PENDIENTE",INDEX(tblCostos[COSTO REAL UNITARIO],MATCH($A55,tblCostos[SKU],0))),"PENDIENTE"))</f>
        <v/>
      </c>
      <c r="R55" s="37">
        <f>IF($A55="","",IFERROR(IF(INDEX(tblCostos[Costo variable de venta unitario],MATCH($A55,tblCostos[SKU],0))="","",INDEX(tblCostos[Costo variable de venta unitario],MATCH($A55,tblCostos[SKU],0))),""))</f>
        <v/>
      </c>
      <c r="S55" s="37">
        <f>IF($A55="","",IF(NOT(ISNUMBER($Q55)),"PENDIENTE",$Q55+IF(ISNUMBER($R55),$R55,0)))</f>
        <v/>
      </c>
      <c r="T55" s="37">
        <f>IF($A55="","",IF(OR($K55="",NOT(ISNUMBER($K55)),NOT(ISNUMBER($Q55))),"PENDIENTE",$K55-$Q55))</f>
        <v/>
      </c>
      <c r="U55" s="38">
        <f>IF($A55="","",IF(OR(NOT(ISNUMBER($T55)),NOT(ISNUMBER($K55)),$K55&lt;=0),"PENDIENTE",$T55/$K55))</f>
        <v/>
      </c>
      <c r="V55" s="38">
        <f>IF($A55="","",IF(OR(NOT(ISNUMBER($T55)),NOT(ISNUMBER($Q55)),$Q55&lt;=0),"PENDIENTE",$T55/$Q55))</f>
        <v/>
      </c>
      <c r="W55" s="37">
        <f>IF($A55="","",IF(OR($K55="",NOT(ISNUMBER($K55)),NOT(ISNUMBER($S55))),"PENDIENTE",$K55-$S55))</f>
        <v/>
      </c>
      <c r="X55" s="39">
        <f>IF($A55="","",IFERROR(INDEX(tblInventario[Stock actual],MATCH($A55,tblInventario[SKU],0)),0))</f>
        <v/>
      </c>
      <c r="Y55" s="34" t="n"/>
      <c r="Z55" s="34" t="n"/>
      <c r="AA55" s="33" t="n"/>
      <c r="AB55" s="40">
        <f>IF($A55="","",IF(COUNTIF(tblCostos[SKU],$A55)=0,"SIN FILA EN COSTOS",IF(AND($K55="",NOT(ISNUMBER($Q55))),"FALTA PRECIO Y COSTO",IF($K55="","FALTA PRECIO",IF(NOT(ISNUMBER($Q55)),"FALTA COSTO",IF($T55&lt;0,"MARGEN NEGATIVO",IF($T55=0,"PRECIO = COSTO","COMPLETO")))))))</f>
        <v/>
      </c>
      <c r="AC55" s="41" t="n"/>
      <c r="AD55" s="33" t="n"/>
    </row>
    <row r="56">
      <c r="A56" s="33" t="n"/>
      <c r="B56" s="33" t="n"/>
      <c r="C56" s="33" t="n"/>
      <c r="D56" s="33" t="n"/>
      <c r="E56" s="33" t="n"/>
      <c r="F56" s="33" t="n"/>
      <c r="G56" s="34" t="n"/>
      <c r="H56" s="33" t="n"/>
      <c r="I56" s="33" t="n"/>
      <c r="J56" s="35" t="n"/>
      <c r="K56" s="36" t="n"/>
      <c r="L56" s="37">
        <f>IF($A56="","",IFERROR(IF(INDEX(tblCostos[Costo de compra unitario],MATCH($A56,tblCostos[SKU],0))="","PENDIENTE",INDEX(tblCostos[Costo de compra unitario],MATCH($A56,tblCostos[SKU],0))),"PENDIENTE"))</f>
        <v/>
      </c>
      <c r="M56" s="37">
        <f>IF($A56="","",IFERROR(IF(INDEX(tblCostos[Transporte unitario],MATCH($A56,tblCostos[SKU],0))="","",INDEX(tblCostos[Transporte unitario],MATCH($A56,tblCostos[SKU],0))),""))</f>
        <v/>
      </c>
      <c r="N56" s="37">
        <f>IF($A56="","",IFERROR(IF(INDEX(tblCostos[Impuestos / aranceles unitarios],MATCH($A56,tblCostos[SKU],0))="","",INDEX(tblCostos[Impuestos / aranceles unitarios],MATCH($A56,tblCostos[SKU],0))),""))</f>
        <v/>
      </c>
      <c r="O56" s="37">
        <f>IF($A56="","",IFERROR(IF(INDEX(tblCostos[Empaque unitario],MATCH($A56,tblCostos[SKU],0))="","",INDEX(tblCostos[Empaque unitario],MATCH($A56,tblCostos[SKU],0))),""))</f>
        <v/>
      </c>
      <c r="P56" s="37">
        <f>IF($A56="","",IFERROR(IF(INDEX(tblCostos[Otros costos variables unitarios],MATCH($A56,tblCostos[SKU],0))="","",INDEX(tblCostos[Otros costos variables unitarios],MATCH($A56,tblCostos[SKU],0))),""))</f>
        <v/>
      </c>
      <c r="Q56" s="37">
        <f>IF($A56="","",IFERROR(IF(INDEX(tblCostos[COSTO REAL UNITARIO],MATCH($A56,tblCostos[SKU],0))="","PENDIENTE",INDEX(tblCostos[COSTO REAL UNITARIO],MATCH($A56,tblCostos[SKU],0))),"PENDIENTE"))</f>
        <v/>
      </c>
      <c r="R56" s="37">
        <f>IF($A56="","",IFERROR(IF(INDEX(tblCostos[Costo variable de venta unitario],MATCH($A56,tblCostos[SKU],0))="","",INDEX(tblCostos[Costo variable de venta unitario],MATCH($A56,tblCostos[SKU],0))),""))</f>
        <v/>
      </c>
      <c r="S56" s="37">
        <f>IF($A56="","",IF(NOT(ISNUMBER($Q56)),"PENDIENTE",$Q56+IF(ISNUMBER($R56),$R56,0)))</f>
        <v/>
      </c>
      <c r="T56" s="37">
        <f>IF($A56="","",IF(OR($K56="",NOT(ISNUMBER($K56)),NOT(ISNUMBER($Q56))),"PENDIENTE",$K56-$Q56))</f>
        <v/>
      </c>
      <c r="U56" s="38">
        <f>IF($A56="","",IF(OR(NOT(ISNUMBER($T56)),NOT(ISNUMBER($K56)),$K56&lt;=0),"PENDIENTE",$T56/$K56))</f>
        <v/>
      </c>
      <c r="V56" s="38">
        <f>IF($A56="","",IF(OR(NOT(ISNUMBER($T56)),NOT(ISNUMBER($Q56)),$Q56&lt;=0),"PENDIENTE",$T56/$Q56))</f>
        <v/>
      </c>
      <c r="W56" s="37">
        <f>IF($A56="","",IF(OR($K56="",NOT(ISNUMBER($K56)),NOT(ISNUMBER($S56))),"PENDIENTE",$K56-$S56))</f>
        <v/>
      </c>
      <c r="X56" s="39">
        <f>IF($A56="","",IFERROR(INDEX(tblInventario[Stock actual],MATCH($A56,tblInventario[SKU],0)),0))</f>
        <v/>
      </c>
      <c r="Y56" s="34" t="n"/>
      <c r="Z56" s="34" t="n"/>
      <c r="AA56" s="33" t="n"/>
      <c r="AB56" s="40">
        <f>IF($A56="","",IF(COUNTIF(tblCostos[SKU],$A56)=0,"SIN FILA EN COSTOS",IF(AND($K56="",NOT(ISNUMBER($Q56))),"FALTA PRECIO Y COSTO",IF($K56="","FALTA PRECIO",IF(NOT(ISNUMBER($Q56)),"FALTA COSTO",IF($T56&lt;0,"MARGEN NEGATIVO",IF($T56=0,"PRECIO = COSTO","COMPLETO")))))))</f>
        <v/>
      </c>
      <c r="AC56" s="41" t="n"/>
      <c r="AD56" s="33" t="n"/>
    </row>
    <row r="57">
      <c r="A57" s="33" t="n"/>
      <c r="B57" s="33" t="n"/>
      <c r="C57" s="33" t="n"/>
      <c r="D57" s="33" t="n"/>
      <c r="E57" s="33" t="n"/>
      <c r="F57" s="33" t="n"/>
      <c r="G57" s="34" t="n"/>
      <c r="H57" s="33" t="n"/>
      <c r="I57" s="33" t="n"/>
      <c r="J57" s="35" t="n"/>
      <c r="K57" s="36" t="n"/>
      <c r="L57" s="37">
        <f>IF($A57="","",IFERROR(IF(INDEX(tblCostos[Costo de compra unitario],MATCH($A57,tblCostos[SKU],0))="","PENDIENTE",INDEX(tblCostos[Costo de compra unitario],MATCH($A57,tblCostos[SKU],0))),"PENDIENTE"))</f>
        <v/>
      </c>
      <c r="M57" s="37">
        <f>IF($A57="","",IFERROR(IF(INDEX(tblCostos[Transporte unitario],MATCH($A57,tblCostos[SKU],0))="","",INDEX(tblCostos[Transporte unitario],MATCH($A57,tblCostos[SKU],0))),""))</f>
        <v/>
      </c>
      <c r="N57" s="37">
        <f>IF($A57="","",IFERROR(IF(INDEX(tblCostos[Impuestos / aranceles unitarios],MATCH($A57,tblCostos[SKU],0))="","",INDEX(tblCostos[Impuestos / aranceles unitarios],MATCH($A57,tblCostos[SKU],0))),""))</f>
        <v/>
      </c>
      <c r="O57" s="37">
        <f>IF($A57="","",IFERROR(IF(INDEX(tblCostos[Empaque unitario],MATCH($A57,tblCostos[SKU],0))="","",INDEX(tblCostos[Empaque unitario],MATCH($A57,tblCostos[SKU],0))),""))</f>
        <v/>
      </c>
      <c r="P57" s="37">
        <f>IF($A57="","",IFERROR(IF(INDEX(tblCostos[Otros costos variables unitarios],MATCH($A57,tblCostos[SKU],0))="","",INDEX(tblCostos[Otros costos variables unitarios],MATCH($A57,tblCostos[SKU],0))),""))</f>
        <v/>
      </c>
      <c r="Q57" s="37">
        <f>IF($A57="","",IFERROR(IF(INDEX(tblCostos[COSTO REAL UNITARIO],MATCH($A57,tblCostos[SKU],0))="","PENDIENTE",INDEX(tblCostos[COSTO REAL UNITARIO],MATCH($A57,tblCostos[SKU],0))),"PENDIENTE"))</f>
        <v/>
      </c>
      <c r="R57" s="37">
        <f>IF($A57="","",IFERROR(IF(INDEX(tblCostos[Costo variable de venta unitario],MATCH($A57,tblCostos[SKU],0))="","",INDEX(tblCostos[Costo variable de venta unitario],MATCH($A57,tblCostos[SKU],0))),""))</f>
        <v/>
      </c>
      <c r="S57" s="37">
        <f>IF($A57="","",IF(NOT(ISNUMBER($Q57)),"PENDIENTE",$Q57+IF(ISNUMBER($R57),$R57,0)))</f>
        <v/>
      </c>
      <c r="T57" s="37">
        <f>IF($A57="","",IF(OR($K57="",NOT(ISNUMBER($K57)),NOT(ISNUMBER($Q57))),"PENDIENTE",$K57-$Q57))</f>
        <v/>
      </c>
      <c r="U57" s="38">
        <f>IF($A57="","",IF(OR(NOT(ISNUMBER($T57)),NOT(ISNUMBER($K57)),$K57&lt;=0),"PENDIENTE",$T57/$K57))</f>
        <v/>
      </c>
      <c r="V57" s="38">
        <f>IF($A57="","",IF(OR(NOT(ISNUMBER($T57)),NOT(ISNUMBER($Q57)),$Q57&lt;=0),"PENDIENTE",$T57/$Q57))</f>
        <v/>
      </c>
      <c r="W57" s="37">
        <f>IF($A57="","",IF(OR($K57="",NOT(ISNUMBER($K57)),NOT(ISNUMBER($S57))),"PENDIENTE",$K57-$S57))</f>
        <v/>
      </c>
      <c r="X57" s="39">
        <f>IF($A57="","",IFERROR(INDEX(tblInventario[Stock actual],MATCH($A57,tblInventario[SKU],0)),0))</f>
        <v/>
      </c>
      <c r="Y57" s="34" t="n"/>
      <c r="Z57" s="34" t="n"/>
      <c r="AA57" s="33" t="n"/>
      <c r="AB57" s="40">
        <f>IF($A57="","",IF(COUNTIF(tblCostos[SKU],$A57)=0,"SIN FILA EN COSTOS",IF(AND($K57="",NOT(ISNUMBER($Q57))),"FALTA PRECIO Y COSTO",IF($K57="","FALTA PRECIO",IF(NOT(ISNUMBER($Q57)),"FALTA COSTO",IF($T57&lt;0,"MARGEN NEGATIVO",IF($T57=0,"PRECIO = COSTO","COMPLETO")))))))</f>
        <v/>
      </c>
      <c r="AC57" s="41" t="n"/>
      <c r="AD57" s="33" t="n"/>
    </row>
    <row r="58">
      <c r="A58" s="33" t="n"/>
      <c r="B58" s="33" t="n"/>
      <c r="C58" s="33" t="n"/>
      <c r="D58" s="33" t="n"/>
      <c r="E58" s="33" t="n"/>
      <c r="F58" s="33" t="n"/>
      <c r="G58" s="34" t="n"/>
      <c r="H58" s="33" t="n"/>
      <c r="I58" s="33" t="n"/>
      <c r="J58" s="35" t="n"/>
      <c r="K58" s="36" t="n"/>
      <c r="L58" s="37">
        <f>IF($A58="","",IFERROR(IF(INDEX(tblCostos[Costo de compra unitario],MATCH($A58,tblCostos[SKU],0))="","PENDIENTE",INDEX(tblCostos[Costo de compra unitario],MATCH($A58,tblCostos[SKU],0))),"PENDIENTE"))</f>
        <v/>
      </c>
      <c r="M58" s="37">
        <f>IF($A58="","",IFERROR(IF(INDEX(tblCostos[Transporte unitario],MATCH($A58,tblCostos[SKU],0))="","",INDEX(tblCostos[Transporte unitario],MATCH($A58,tblCostos[SKU],0))),""))</f>
        <v/>
      </c>
      <c r="N58" s="37">
        <f>IF($A58="","",IFERROR(IF(INDEX(tblCostos[Impuestos / aranceles unitarios],MATCH($A58,tblCostos[SKU],0))="","",INDEX(tblCostos[Impuestos / aranceles unitarios],MATCH($A58,tblCostos[SKU],0))),""))</f>
        <v/>
      </c>
      <c r="O58" s="37">
        <f>IF($A58="","",IFERROR(IF(INDEX(tblCostos[Empaque unitario],MATCH($A58,tblCostos[SKU],0))="","",INDEX(tblCostos[Empaque unitario],MATCH($A58,tblCostos[SKU],0))),""))</f>
        <v/>
      </c>
      <c r="P58" s="37">
        <f>IF($A58="","",IFERROR(IF(INDEX(tblCostos[Otros costos variables unitarios],MATCH($A58,tblCostos[SKU],0))="","",INDEX(tblCostos[Otros costos variables unitarios],MATCH($A58,tblCostos[SKU],0))),""))</f>
        <v/>
      </c>
      <c r="Q58" s="37">
        <f>IF($A58="","",IFERROR(IF(INDEX(tblCostos[COSTO REAL UNITARIO],MATCH($A58,tblCostos[SKU],0))="","PENDIENTE",INDEX(tblCostos[COSTO REAL UNITARIO],MATCH($A58,tblCostos[SKU],0))),"PENDIENTE"))</f>
        <v/>
      </c>
      <c r="R58" s="37">
        <f>IF($A58="","",IFERROR(IF(INDEX(tblCostos[Costo variable de venta unitario],MATCH($A58,tblCostos[SKU],0))="","",INDEX(tblCostos[Costo variable de venta unitario],MATCH($A58,tblCostos[SKU],0))),""))</f>
        <v/>
      </c>
      <c r="S58" s="37">
        <f>IF($A58="","",IF(NOT(ISNUMBER($Q58)),"PENDIENTE",$Q58+IF(ISNUMBER($R58),$R58,0)))</f>
        <v/>
      </c>
      <c r="T58" s="37">
        <f>IF($A58="","",IF(OR($K58="",NOT(ISNUMBER($K58)),NOT(ISNUMBER($Q58))),"PENDIENTE",$K58-$Q58))</f>
        <v/>
      </c>
      <c r="U58" s="38">
        <f>IF($A58="","",IF(OR(NOT(ISNUMBER($T58)),NOT(ISNUMBER($K58)),$K58&lt;=0),"PENDIENTE",$T58/$K58))</f>
        <v/>
      </c>
      <c r="V58" s="38">
        <f>IF($A58="","",IF(OR(NOT(ISNUMBER($T58)),NOT(ISNUMBER($Q58)),$Q58&lt;=0),"PENDIENTE",$T58/$Q58))</f>
        <v/>
      </c>
      <c r="W58" s="37">
        <f>IF($A58="","",IF(OR($K58="",NOT(ISNUMBER($K58)),NOT(ISNUMBER($S58))),"PENDIENTE",$K58-$S58))</f>
        <v/>
      </c>
      <c r="X58" s="39">
        <f>IF($A58="","",IFERROR(INDEX(tblInventario[Stock actual],MATCH($A58,tblInventario[SKU],0)),0))</f>
        <v/>
      </c>
      <c r="Y58" s="34" t="n"/>
      <c r="Z58" s="34" t="n"/>
      <c r="AA58" s="33" t="n"/>
      <c r="AB58" s="40">
        <f>IF($A58="","",IF(COUNTIF(tblCostos[SKU],$A58)=0,"SIN FILA EN COSTOS",IF(AND($K58="",NOT(ISNUMBER($Q58))),"FALTA PRECIO Y COSTO",IF($K58="","FALTA PRECIO",IF(NOT(ISNUMBER($Q58)),"FALTA COSTO",IF($T58&lt;0,"MARGEN NEGATIVO",IF($T58=0,"PRECIO = COSTO","COMPLETO")))))))</f>
        <v/>
      </c>
      <c r="AC58" s="41" t="n"/>
      <c r="AD58" s="33" t="n"/>
    </row>
    <row r="59">
      <c r="A59" s="33" t="n"/>
      <c r="B59" s="33" t="n"/>
      <c r="C59" s="33" t="n"/>
      <c r="D59" s="33" t="n"/>
      <c r="E59" s="33" t="n"/>
      <c r="F59" s="33" t="n"/>
      <c r="G59" s="34" t="n"/>
      <c r="H59" s="33" t="n"/>
      <c r="I59" s="33" t="n"/>
      <c r="J59" s="35" t="n"/>
      <c r="K59" s="36" t="n"/>
      <c r="L59" s="37">
        <f>IF($A59="","",IFERROR(IF(INDEX(tblCostos[Costo de compra unitario],MATCH($A59,tblCostos[SKU],0))="","PENDIENTE",INDEX(tblCostos[Costo de compra unitario],MATCH($A59,tblCostos[SKU],0))),"PENDIENTE"))</f>
        <v/>
      </c>
      <c r="M59" s="37">
        <f>IF($A59="","",IFERROR(IF(INDEX(tblCostos[Transporte unitario],MATCH($A59,tblCostos[SKU],0))="","",INDEX(tblCostos[Transporte unitario],MATCH($A59,tblCostos[SKU],0))),""))</f>
        <v/>
      </c>
      <c r="N59" s="37">
        <f>IF($A59="","",IFERROR(IF(INDEX(tblCostos[Impuestos / aranceles unitarios],MATCH($A59,tblCostos[SKU],0))="","",INDEX(tblCostos[Impuestos / aranceles unitarios],MATCH($A59,tblCostos[SKU],0))),""))</f>
        <v/>
      </c>
      <c r="O59" s="37">
        <f>IF($A59="","",IFERROR(IF(INDEX(tblCostos[Empaque unitario],MATCH($A59,tblCostos[SKU],0))="","",INDEX(tblCostos[Empaque unitario],MATCH($A59,tblCostos[SKU],0))),""))</f>
        <v/>
      </c>
      <c r="P59" s="37">
        <f>IF($A59="","",IFERROR(IF(INDEX(tblCostos[Otros costos variables unitarios],MATCH($A59,tblCostos[SKU],0))="","",INDEX(tblCostos[Otros costos variables unitarios],MATCH($A59,tblCostos[SKU],0))),""))</f>
        <v/>
      </c>
      <c r="Q59" s="37">
        <f>IF($A59="","",IFERROR(IF(INDEX(tblCostos[COSTO REAL UNITARIO],MATCH($A59,tblCostos[SKU],0))="","PENDIENTE",INDEX(tblCostos[COSTO REAL UNITARIO],MATCH($A59,tblCostos[SKU],0))),"PENDIENTE"))</f>
        <v/>
      </c>
      <c r="R59" s="37">
        <f>IF($A59="","",IFERROR(IF(INDEX(tblCostos[Costo variable de venta unitario],MATCH($A59,tblCostos[SKU],0))="","",INDEX(tblCostos[Costo variable de venta unitario],MATCH($A59,tblCostos[SKU],0))),""))</f>
        <v/>
      </c>
      <c r="S59" s="37">
        <f>IF($A59="","",IF(NOT(ISNUMBER($Q59)),"PENDIENTE",$Q59+IF(ISNUMBER($R59),$R59,0)))</f>
        <v/>
      </c>
      <c r="T59" s="37">
        <f>IF($A59="","",IF(OR($K59="",NOT(ISNUMBER($K59)),NOT(ISNUMBER($Q59))),"PENDIENTE",$K59-$Q59))</f>
        <v/>
      </c>
      <c r="U59" s="38">
        <f>IF($A59="","",IF(OR(NOT(ISNUMBER($T59)),NOT(ISNUMBER($K59)),$K59&lt;=0),"PENDIENTE",$T59/$K59))</f>
        <v/>
      </c>
      <c r="V59" s="38">
        <f>IF($A59="","",IF(OR(NOT(ISNUMBER($T59)),NOT(ISNUMBER($Q59)),$Q59&lt;=0),"PENDIENTE",$T59/$Q59))</f>
        <v/>
      </c>
      <c r="W59" s="37">
        <f>IF($A59="","",IF(OR($K59="",NOT(ISNUMBER($K59)),NOT(ISNUMBER($S59))),"PENDIENTE",$K59-$S59))</f>
        <v/>
      </c>
      <c r="X59" s="39">
        <f>IF($A59="","",IFERROR(INDEX(tblInventario[Stock actual],MATCH($A59,tblInventario[SKU],0)),0))</f>
        <v/>
      </c>
      <c r="Y59" s="34" t="n"/>
      <c r="Z59" s="34" t="n"/>
      <c r="AA59" s="33" t="n"/>
      <c r="AB59" s="40">
        <f>IF($A59="","",IF(COUNTIF(tblCostos[SKU],$A59)=0,"SIN FILA EN COSTOS",IF(AND($K59="",NOT(ISNUMBER($Q59))),"FALTA PRECIO Y COSTO",IF($K59="","FALTA PRECIO",IF(NOT(ISNUMBER($Q59)),"FALTA COSTO",IF($T59&lt;0,"MARGEN NEGATIVO",IF($T59=0,"PRECIO = COSTO","COMPLETO")))))))</f>
        <v/>
      </c>
      <c r="AC59" s="41" t="n"/>
      <c r="AD59" s="33" t="n"/>
    </row>
    <row r="60">
      <c r="A60" s="33" t="n"/>
      <c r="B60" s="33" t="n"/>
      <c r="C60" s="33" t="n"/>
      <c r="D60" s="33" t="n"/>
      <c r="E60" s="33" t="n"/>
      <c r="F60" s="33" t="n"/>
      <c r="G60" s="34" t="n"/>
      <c r="H60" s="33" t="n"/>
      <c r="I60" s="33" t="n"/>
      <c r="J60" s="35" t="n"/>
      <c r="K60" s="36" t="n"/>
      <c r="L60" s="37">
        <f>IF($A60="","",IFERROR(IF(INDEX(tblCostos[Costo de compra unitario],MATCH($A60,tblCostos[SKU],0))="","PENDIENTE",INDEX(tblCostos[Costo de compra unitario],MATCH($A60,tblCostos[SKU],0))),"PENDIENTE"))</f>
        <v/>
      </c>
      <c r="M60" s="37">
        <f>IF($A60="","",IFERROR(IF(INDEX(tblCostos[Transporte unitario],MATCH($A60,tblCostos[SKU],0))="","",INDEX(tblCostos[Transporte unitario],MATCH($A60,tblCostos[SKU],0))),""))</f>
        <v/>
      </c>
      <c r="N60" s="37">
        <f>IF($A60="","",IFERROR(IF(INDEX(tblCostos[Impuestos / aranceles unitarios],MATCH($A60,tblCostos[SKU],0))="","",INDEX(tblCostos[Impuestos / aranceles unitarios],MATCH($A60,tblCostos[SKU],0))),""))</f>
        <v/>
      </c>
      <c r="O60" s="37">
        <f>IF($A60="","",IFERROR(IF(INDEX(tblCostos[Empaque unitario],MATCH($A60,tblCostos[SKU],0))="","",INDEX(tblCostos[Empaque unitario],MATCH($A60,tblCostos[SKU],0))),""))</f>
        <v/>
      </c>
      <c r="P60" s="37">
        <f>IF($A60="","",IFERROR(IF(INDEX(tblCostos[Otros costos variables unitarios],MATCH($A60,tblCostos[SKU],0))="","",INDEX(tblCostos[Otros costos variables unitarios],MATCH($A60,tblCostos[SKU],0))),""))</f>
        <v/>
      </c>
      <c r="Q60" s="37">
        <f>IF($A60="","",IFERROR(IF(INDEX(tblCostos[COSTO REAL UNITARIO],MATCH($A60,tblCostos[SKU],0))="","PENDIENTE",INDEX(tblCostos[COSTO REAL UNITARIO],MATCH($A60,tblCostos[SKU],0))),"PENDIENTE"))</f>
        <v/>
      </c>
      <c r="R60" s="37">
        <f>IF($A60="","",IFERROR(IF(INDEX(tblCostos[Costo variable de venta unitario],MATCH($A60,tblCostos[SKU],0))="","",INDEX(tblCostos[Costo variable de venta unitario],MATCH($A60,tblCostos[SKU],0))),""))</f>
        <v/>
      </c>
      <c r="S60" s="37">
        <f>IF($A60="","",IF(NOT(ISNUMBER($Q60)),"PENDIENTE",$Q60+IF(ISNUMBER($R60),$R60,0)))</f>
        <v/>
      </c>
      <c r="T60" s="37">
        <f>IF($A60="","",IF(OR($K60="",NOT(ISNUMBER($K60)),NOT(ISNUMBER($Q60))),"PENDIENTE",$K60-$Q60))</f>
        <v/>
      </c>
      <c r="U60" s="38">
        <f>IF($A60="","",IF(OR(NOT(ISNUMBER($T60)),NOT(ISNUMBER($K60)),$K60&lt;=0),"PENDIENTE",$T60/$K60))</f>
        <v/>
      </c>
      <c r="V60" s="38">
        <f>IF($A60="","",IF(OR(NOT(ISNUMBER($T60)),NOT(ISNUMBER($Q60)),$Q60&lt;=0),"PENDIENTE",$T60/$Q60))</f>
        <v/>
      </c>
      <c r="W60" s="37">
        <f>IF($A60="","",IF(OR($K60="",NOT(ISNUMBER($K60)),NOT(ISNUMBER($S60))),"PENDIENTE",$K60-$S60))</f>
        <v/>
      </c>
      <c r="X60" s="39">
        <f>IF($A60="","",IFERROR(INDEX(tblInventario[Stock actual],MATCH($A60,tblInventario[SKU],0)),0))</f>
        <v/>
      </c>
      <c r="Y60" s="34" t="n"/>
      <c r="Z60" s="34" t="n"/>
      <c r="AA60" s="33" t="n"/>
      <c r="AB60" s="40">
        <f>IF($A60="","",IF(COUNTIF(tblCostos[SKU],$A60)=0,"SIN FILA EN COSTOS",IF(AND($K60="",NOT(ISNUMBER($Q60))),"FALTA PRECIO Y COSTO",IF($K60="","FALTA PRECIO",IF(NOT(ISNUMBER($Q60)),"FALTA COSTO",IF($T60&lt;0,"MARGEN NEGATIVO",IF($T60=0,"PRECIO = COSTO","COMPLETO")))))))</f>
        <v/>
      </c>
      <c r="AC60" s="41" t="n"/>
      <c r="AD60" s="33" t="n"/>
    </row>
    <row r="61">
      <c r="A61" s="33" t="n"/>
      <c r="B61" s="33" t="n"/>
      <c r="C61" s="33" t="n"/>
      <c r="D61" s="33" t="n"/>
      <c r="E61" s="33" t="n"/>
      <c r="F61" s="33" t="n"/>
      <c r="G61" s="34" t="n"/>
      <c r="H61" s="33" t="n"/>
      <c r="I61" s="33" t="n"/>
      <c r="J61" s="35" t="n"/>
      <c r="K61" s="36" t="n"/>
      <c r="L61" s="37">
        <f>IF($A61="","",IFERROR(IF(INDEX(tblCostos[Costo de compra unitario],MATCH($A61,tblCostos[SKU],0))="","PENDIENTE",INDEX(tblCostos[Costo de compra unitario],MATCH($A61,tblCostos[SKU],0))),"PENDIENTE"))</f>
        <v/>
      </c>
      <c r="M61" s="37">
        <f>IF($A61="","",IFERROR(IF(INDEX(tblCostos[Transporte unitario],MATCH($A61,tblCostos[SKU],0))="","",INDEX(tblCostos[Transporte unitario],MATCH($A61,tblCostos[SKU],0))),""))</f>
        <v/>
      </c>
      <c r="N61" s="37">
        <f>IF($A61="","",IFERROR(IF(INDEX(tblCostos[Impuestos / aranceles unitarios],MATCH($A61,tblCostos[SKU],0))="","",INDEX(tblCostos[Impuestos / aranceles unitarios],MATCH($A61,tblCostos[SKU],0))),""))</f>
        <v/>
      </c>
      <c r="O61" s="37">
        <f>IF($A61="","",IFERROR(IF(INDEX(tblCostos[Empaque unitario],MATCH($A61,tblCostos[SKU],0))="","",INDEX(tblCostos[Empaque unitario],MATCH($A61,tblCostos[SKU],0))),""))</f>
        <v/>
      </c>
      <c r="P61" s="37">
        <f>IF($A61="","",IFERROR(IF(INDEX(tblCostos[Otros costos variables unitarios],MATCH($A61,tblCostos[SKU],0))="","",INDEX(tblCostos[Otros costos variables unitarios],MATCH($A61,tblCostos[SKU],0))),""))</f>
        <v/>
      </c>
      <c r="Q61" s="37">
        <f>IF($A61="","",IFERROR(IF(INDEX(tblCostos[COSTO REAL UNITARIO],MATCH($A61,tblCostos[SKU],0))="","PENDIENTE",INDEX(tblCostos[COSTO REAL UNITARIO],MATCH($A61,tblCostos[SKU],0))),"PENDIENTE"))</f>
        <v/>
      </c>
      <c r="R61" s="37">
        <f>IF($A61="","",IFERROR(IF(INDEX(tblCostos[Costo variable de venta unitario],MATCH($A61,tblCostos[SKU],0))="","",INDEX(tblCostos[Costo variable de venta unitario],MATCH($A61,tblCostos[SKU],0))),""))</f>
        <v/>
      </c>
      <c r="S61" s="37">
        <f>IF($A61="","",IF(NOT(ISNUMBER($Q61)),"PENDIENTE",$Q61+IF(ISNUMBER($R61),$R61,0)))</f>
        <v/>
      </c>
      <c r="T61" s="37">
        <f>IF($A61="","",IF(OR($K61="",NOT(ISNUMBER($K61)),NOT(ISNUMBER($Q61))),"PENDIENTE",$K61-$Q61))</f>
        <v/>
      </c>
      <c r="U61" s="38">
        <f>IF($A61="","",IF(OR(NOT(ISNUMBER($T61)),NOT(ISNUMBER($K61)),$K61&lt;=0),"PENDIENTE",$T61/$K61))</f>
        <v/>
      </c>
      <c r="V61" s="38">
        <f>IF($A61="","",IF(OR(NOT(ISNUMBER($T61)),NOT(ISNUMBER($Q61)),$Q61&lt;=0),"PENDIENTE",$T61/$Q61))</f>
        <v/>
      </c>
      <c r="W61" s="37">
        <f>IF($A61="","",IF(OR($K61="",NOT(ISNUMBER($K61)),NOT(ISNUMBER($S61))),"PENDIENTE",$K61-$S61))</f>
        <v/>
      </c>
      <c r="X61" s="39">
        <f>IF($A61="","",IFERROR(INDEX(tblInventario[Stock actual],MATCH($A61,tblInventario[SKU],0)),0))</f>
        <v/>
      </c>
      <c r="Y61" s="34" t="n"/>
      <c r="Z61" s="34" t="n"/>
      <c r="AA61" s="33" t="n"/>
      <c r="AB61" s="40">
        <f>IF($A61="","",IF(COUNTIF(tblCostos[SKU],$A61)=0,"SIN FILA EN COSTOS",IF(AND($K61="",NOT(ISNUMBER($Q61))),"FALTA PRECIO Y COSTO",IF($K61="","FALTA PRECIO",IF(NOT(ISNUMBER($Q61)),"FALTA COSTO",IF($T61&lt;0,"MARGEN NEGATIVO",IF($T61=0,"PRECIO = COSTO","COMPLETO")))))))</f>
        <v/>
      </c>
      <c r="AC61" s="41" t="n"/>
      <c r="AD61" s="33" t="n"/>
    </row>
    <row r="62">
      <c r="A62" s="33" t="n"/>
      <c r="B62" s="33" t="n"/>
      <c r="C62" s="33" t="n"/>
      <c r="D62" s="33" t="n"/>
      <c r="E62" s="33" t="n"/>
      <c r="F62" s="33" t="n"/>
      <c r="G62" s="34" t="n"/>
      <c r="H62" s="33" t="n"/>
      <c r="I62" s="33" t="n"/>
      <c r="J62" s="35" t="n"/>
      <c r="K62" s="36" t="n"/>
      <c r="L62" s="37">
        <f>IF($A62="","",IFERROR(IF(INDEX(tblCostos[Costo de compra unitario],MATCH($A62,tblCostos[SKU],0))="","PENDIENTE",INDEX(tblCostos[Costo de compra unitario],MATCH($A62,tblCostos[SKU],0))),"PENDIENTE"))</f>
        <v/>
      </c>
      <c r="M62" s="37">
        <f>IF($A62="","",IFERROR(IF(INDEX(tblCostos[Transporte unitario],MATCH($A62,tblCostos[SKU],0))="","",INDEX(tblCostos[Transporte unitario],MATCH($A62,tblCostos[SKU],0))),""))</f>
        <v/>
      </c>
      <c r="N62" s="37">
        <f>IF($A62="","",IFERROR(IF(INDEX(tblCostos[Impuestos / aranceles unitarios],MATCH($A62,tblCostos[SKU],0))="","",INDEX(tblCostos[Impuestos / aranceles unitarios],MATCH($A62,tblCostos[SKU],0))),""))</f>
        <v/>
      </c>
      <c r="O62" s="37">
        <f>IF($A62="","",IFERROR(IF(INDEX(tblCostos[Empaque unitario],MATCH($A62,tblCostos[SKU],0))="","",INDEX(tblCostos[Empaque unitario],MATCH($A62,tblCostos[SKU],0))),""))</f>
        <v/>
      </c>
      <c r="P62" s="37">
        <f>IF($A62="","",IFERROR(IF(INDEX(tblCostos[Otros costos variables unitarios],MATCH($A62,tblCostos[SKU],0))="","",INDEX(tblCostos[Otros costos variables unitarios],MATCH($A62,tblCostos[SKU],0))),""))</f>
        <v/>
      </c>
      <c r="Q62" s="37">
        <f>IF($A62="","",IFERROR(IF(INDEX(tblCostos[COSTO REAL UNITARIO],MATCH($A62,tblCostos[SKU],0))="","PENDIENTE",INDEX(tblCostos[COSTO REAL UNITARIO],MATCH($A62,tblCostos[SKU],0))),"PENDIENTE"))</f>
        <v/>
      </c>
      <c r="R62" s="37">
        <f>IF($A62="","",IFERROR(IF(INDEX(tblCostos[Costo variable de venta unitario],MATCH($A62,tblCostos[SKU],0))="","",INDEX(tblCostos[Costo variable de venta unitario],MATCH($A62,tblCostos[SKU],0))),""))</f>
        <v/>
      </c>
      <c r="S62" s="37">
        <f>IF($A62="","",IF(NOT(ISNUMBER($Q62)),"PENDIENTE",$Q62+IF(ISNUMBER($R62),$R62,0)))</f>
        <v/>
      </c>
      <c r="T62" s="37">
        <f>IF($A62="","",IF(OR($K62="",NOT(ISNUMBER($K62)),NOT(ISNUMBER($Q62))),"PENDIENTE",$K62-$Q62))</f>
        <v/>
      </c>
      <c r="U62" s="38">
        <f>IF($A62="","",IF(OR(NOT(ISNUMBER($T62)),NOT(ISNUMBER($K62)),$K62&lt;=0),"PENDIENTE",$T62/$K62))</f>
        <v/>
      </c>
      <c r="V62" s="38">
        <f>IF($A62="","",IF(OR(NOT(ISNUMBER($T62)),NOT(ISNUMBER($Q62)),$Q62&lt;=0),"PENDIENTE",$T62/$Q62))</f>
        <v/>
      </c>
      <c r="W62" s="37">
        <f>IF($A62="","",IF(OR($K62="",NOT(ISNUMBER($K62)),NOT(ISNUMBER($S62))),"PENDIENTE",$K62-$S62))</f>
        <v/>
      </c>
      <c r="X62" s="39">
        <f>IF($A62="","",IFERROR(INDEX(tblInventario[Stock actual],MATCH($A62,tblInventario[SKU],0)),0))</f>
        <v/>
      </c>
      <c r="Y62" s="34" t="n"/>
      <c r="Z62" s="34" t="n"/>
      <c r="AA62" s="33" t="n"/>
      <c r="AB62" s="40">
        <f>IF($A62="","",IF(COUNTIF(tblCostos[SKU],$A62)=0,"SIN FILA EN COSTOS",IF(AND($K62="",NOT(ISNUMBER($Q62))),"FALTA PRECIO Y COSTO",IF($K62="","FALTA PRECIO",IF(NOT(ISNUMBER($Q62)),"FALTA COSTO",IF($T62&lt;0,"MARGEN NEGATIVO",IF($T62=0,"PRECIO = COSTO","COMPLETO")))))))</f>
        <v/>
      </c>
      <c r="AC62" s="41" t="n"/>
      <c r="AD62" s="33" t="n"/>
    </row>
    <row r="63">
      <c r="A63" s="33" t="n"/>
      <c r="B63" s="33" t="n"/>
      <c r="C63" s="33" t="n"/>
      <c r="D63" s="33" t="n"/>
      <c r="E63" s="33" t="n"/>
      <c r="F63" s="33" t="n"/>
      <c r="G63" s="34" t="n"/>
      <c r="H63" s="33" t="n"/>
      <c r="I63" s="33" t="n"/>
      <c r="J63" s="35" t="n"/>
      <c r="K63" s="36" t="n"/>
      <c r="L63" s="37">
        <f>IF($A63="","",IFERROR(IF(INDEX(tblCostos[Costo de compra unitario],MATCH($A63,tblCostos[SKU],0))="","PENDIENTE",INDEX(tblCostos[Costo de compra unitario],MATCH($A63,tblCostos[SKU],0))),"PENDIENTE"))</f>
        <v/>
      </c>
      <c r="M63" s="37">
        <f>IF($A63="","",IFERROR(IF(INDEX(tblCostos[Transporte unitario],MATCH($A63,tblCostos[SKU],0))="","",INDEX(tblCostos[Transporte unitario],MATCH($A63,tblCostos[SKU],0))),""))</f>
        <v/>
      </c>
      <c r="N63" s="37">
        <f>IF($A63="","",IFERROR(IF(INDEX(tblCostos[Impuestos / aranceles unitarios],MATCH($A63,tblCostos[SKU],0))="","",INDEX(tblCostos[Impuestos / aranceles unitarios],MATCH($A63,tblCostos[SKU],0))),""))</f>
        <v/>
      </c>
      <c r="O63" s="37">
        <f>IF($A63="","",IFERROR(IF(INDEX(tblCostos[Empaque unitario],MATCH($A63,tblCostos[SKU],0))="","",INDEX(tblCostos[Empaque unitario],MATCH($A63,tblCostos[SKU],0))),""))</f>
        <v/>
      </c>
      <c r="P63" s="37">
        <f>IF($A63="","",IFERROR(IF(INDEX(tblCostos[Otros costos variables unitarios],MATCH($A63,tblCostos[SKU],0))="","",INDEX(tblCostos[Otros costos variables unitarios],MATCH($A63,tblCostos[SKU],0))),""))</f>
        <v/>
      </c>
      <c r="Q63" s="37">
        <f>IF($A63="","",IFERROR(IF(INDEX(tblCostos[COSTO REAL UNITARIO],MATCH($A63,tblCostos[SKU],0))="","PENDIENTE",INDEX(tblCostos[COSTO REAL UNITARIO],MATCH($A63,tblCostos[SKU],0))),"PENDIENTE"))</f>
        <v/>
      </c>
      <c r="R63" s="37">
        <f>IF($A63="","",IFERROR(IF(INDEX(tblCostos[Costo variable de venta unitario],MATCH($A63,tblCostos[SKU],0))="","",INDEX(tblCostos[Costo variable de venta unitario],MATCH($A63,tblCostos[SKU],0))),""))</f>
        <v/>
      </c>
      <c r="S63" s="37">
        <f>IF($A63="","",IF(NOT(ISNUMBER($Q63)),"PENDIENTE",$Q63+IF(ISNUMBER($R63),$R63,0)))</f>
        <v/>
      </c>
      <c r="T63" s="37">
        <f>IF($A63="","",IF(OR($K63="",NOT(ISNUMBER($K63)),NOT(ISNUMBER($Q63))),"PENDIENTE",$K63-$Q63))</f>
        <v/>
      </c>
      <c r="U63" s="38">
        <f>IF($A63="","",IF(OR(NOT(ISNUMBER($T63)),NOT(ISNUMBER($K63)),$K63&lt;=0),"PENDIENTE",$T63/$K63))</f>
        <v/>
      </c>
      <c r="V63" s="38">
        <f>IF($A63="","",IF(OR(NOT(ISNUMBER($T63)),NOT(ISNUMBER($Q63)),$Q63&lt;=0),"PENDIENTE",$T63/$Q63))</f>
        <v/>
      </c>
      <c r="W63" s="37">
        <f>IF($A63="","",IF(OR($K63="",NOT(ISNUMBER($K63)),NOT(ISNUMBER($S63))),"PENDIENTE",$K63-$S63))</f>
        <v/>
      </c>
      <c r="X63" s="39">
        <f>IF($A63="","",IFERROR(INDEX(tblInventario[Stock actual],MATCH($A63,tblInventario[SKU],0)),0))</f>
        <v/>
      </c>
      <c r="Y63" s="34" t="n"/>
      <c r="Z63" s="34" t="n"/>
      <c r="AA63" s="33" t="n"/>
      <c r="AB63" s="40">
        <f>IF($A63="","",IF(COUNTIF(tblCostos[SKU],$A63)=0,"SIN FILA EN COSTOS",IF(AND($K63="",NOT(ISNUMBER($Q63))),"FALTA PRECIO Y COSTO",IF($K63="","FALTA PRECIO",IF(NOT(ISNUMBER($Q63)),"FALTA COSTO",IF($T63&lt;0,"MARGEN NEGATIVO",IF($T63=0,"PRECIO = COSTO","COMPLETO")))))))</f>
        <v/>
      </c>
      <c r="AC63" s="41" t="n"/>
      <c r="AD63" s="33" t="n"/>
    </row>
    <row r="64">
      <c r="A64" s="33" t="n"/>
      <c r="B64" s="33" t="n"/>
      <c r="C64" s="33" t="n"/>
      <c r="D64" s="33" t="n"/>
      <c r="E64" s="33" t="n"/>
      <c r="F64" s="33" t="n"/>
      <c r="G64" s="34" t="n"/>
      <c r="H64" s="33" t="n"/>
      <c r="I64" s="33" t="n"/>
      <c r="J64" s="35" t="n"/>
      <c r="K64" s="36" t="n"/>
      <c r="L64" s="37">
        <f>IF($A64="","",IFERROR(IF(INDEX(tblCostos[Costo de compra unitario],MATCH($A64,tblCostos[SKU],0))="","PENDIENTE",INDEX(tblCostos[Costo de compra unitario],MATCH($A64,tblCostos[SKU],0))),"PENDIENTE"))</f>
        <v/>
      </c>
      <c r="M64" s="37">
        <f>IF($A64="","",IFERROR(IF(INDEX(tblCostos[Transporte unitario],MATCH($A64,tblCostos[SKU],0))="","",INDEX(tblCostos[Transporte unitario],MATCH($A64,tblCostos[SKU],0))),""))</f>
        <v/>
      </c>
      <c r="N64" s="37">
        <f>IF($A64="","",IFERROR(IF(INDEX(tblCostos[Impuestos / aranceles unitarios],MATCH($A64,tblCostos[SKU],0))="","",INDEX(tblCostos[Impuestos / aranceles unitarios],MATCH($A64,tblCostos[SKU],0))),""))</f>
        <v/>
      </c>
      <c r="O64" s="37">
        <f>IF($A64="","",IFERROR(IF(INDEX(tblCostos[Empaque unitario],MATCH($A64,tblCostos[SKU],0))="","",INDEX(tblCostos[Empaque unitario],MATCH($A64,tblCostos[SKU],0))),""))</f>
        <v/>
      </c>
      <c r="P64" s="37">
        <f>IF($A64="","",IFERROR(IF(INDEX(tblCostos[Otros costos variables unitarios],MATCH($A64,tblCostos[SKU],0))="","",INDEX(tblCostos[Otros costos variables unitarios],MATCH($A64,tblCostos[SKU],0))),""))</f>
        <v/>
      </c>
      <c r="Q64" s="37">
        <f>IF($A64="","",IFERROR(IF(INDEX(tblCostos[COSTO REAL UNITARIO],MATCH($A64,tblCostos[SKU],0))="","PENDIENTE",INDEX(tblCostos[COSTO REAL UNITARIO],MATCH($A64,tblCostos[SKU],0))),"PENDIENTE"))</f>
        <v/>
      </c>
      <c r="R64" s="37">
        <f>IF($A64="","",IFERROR(IF(INDEX(tblCostos[Costo variable de venta unitario],MATCH($A64,tblCostos[SKU],0))="","",INDEX(tblCostos[Costo variable de venta unitario],MATCH($A64,tblCostos[SKU],0))),""))</f>
        <v/>
      </c>
      <c r="S64" s="37">
        <f>IF($A64="","",IF(NOT(ISNUMBER($Q64)),"PENDIENTE",$Q64+IF(ISNUMBER($R64),$R64,0)))</f>
        <v/>
      </c>
      <c r="T64" s="37">
        <f>IF($A64="","",IF(OR($K64="",NOT(ISNUMBER($K64)),NOT(ISNUMBER($Q64))),"PENDIENTE",$K64-$Q64))</f>
        <v/>
      </c>
      <c r="U64" s="38">
        <f>IF($A64="","",IF(OR(NOT(ISNUMBER($T64)),NOT(ISNUMBER($K64)),$K64&lt;=0),"PENDIENTE",$T64/$K64))</f>
        <v/>
      </c>
      <c r="V64" s="38">
        <f>IF($A64="","",IF(OR(NOT(ISNUMBER($T64)),NOT(ISNUMBER($Q64)),$Q64&lt;=0),"PENDIENTE",$T64/$Q64))</f>
        <v/>
      </c>
      <c r="W64" s="37">
        <f>IF($A64="","",IF(OR($K64="",NOT(ISNUMBER($K64)),NOT(ISNUMBER($S64))),"PENDIENTE",$K64-$S64))</f>
        <v/>
      </c>
      <c r="X64" s="39">
        <f>IF($A64="","",IFERROR(INDEX(tblInventario[Stock actual],MATCH($A64,tblInventario[SKU],0)),0))</f>
        <v/>
      </c>
      <c r="Y64" s="34" t="n"/>
      <c r="Z64" s="34" t="n"/>
      <c r="AA64" s="33" t="n"/>
      <c r="AB64" s="40">
        <f>IF($A64="","",IF(COUNTIF(tblCostos[SKU],$A64)=0,"SIN FILA EN COSTOS",IF(AND($K64="",NOT(ISNUMBER($Q64))),"FALTA PRECIO Y COSTO",IF($K64="","FALTA PRECIO",IF(NOT(ISNUMBER($Q64)),"FALTA COSTO",IF($T64&lt;0,"MARGEN NEGATIVO",IF($T64=0,"PRECIO = COSTO","COMPLETO")))))))</f>
        <v/>
      </c>
      <c r="AC64" s="41" t="n"/>
      <c r="AD64" s="33" t="n"/>
    </row>
    <row r="65">
      <c r="A65" s="33" t="n"/>
      <c r="B65" s="33" t="n"/>
      <c r="C65" s="33" t="n"/>
      <c r="D65" s="33" t="n"/>
      <c r="E65" s="33" t="n"/>
      <c r="F65" s="33" t="n"/>
      <c r="G65" s="34" t="n"/>
      <c r="H65" s="33" t="n"/>
      <c r="I65" s="33" t="n"/>
      <c r="J65" s="35" t="n"/>
      <c r="K65" s="36" t="n"/>
      <c r="L65" s="37">
        <f>IF($A65="","",IFERROR(IF(INDEX(tblCostos[Costo de compra unitario],MATCH($A65,tblCostos[SKU],0))="","PENDIENTE",INDEX(tblCostos[Costo de compra unitario],MATCH($A65,tblCostos[SKU],0))),"PENDIENTE"))</f>
        <v/>
      </c>
      <c r="M65" s="37">
        <f>IF($A65="","",IFERROR(IF(INDEX(tblCostos[Transporte unitario],MATCH($A65,tblCostos[SKU],0))="","",INDEX(tblCostos[Transporte unitario],MATCH($A65,tblCostos[SKU],0))),""))</f>
        <v/>
      </c>
      <c r="N65" s="37">
        <f>IF($A65="","",IFERROR(IF(INDEX(tblCostos[Impuestos / aranceles unitarios],MATCH($A65,tblCostos[SKU],0))="","",INDEX(tblCostos[Impuestos / aranceles unitarios],MATCH($A65,tblCostos[SKU],0))),""))</f>
        <v/>
      </c>
      <c r="O65" s="37">
        <f>IF($A65="","",IFERROR(IF(INDEX(tblCostos[Empaque unitario],MATCH($A65,tblCostos[SKU],0))="","",INDEX(tblCostos[Empaque unitario],MATCH($A65,tblCostos[SKU],0))),""))</f>
        <v/>
      </c>
      <c r="P65" s="37">
        <f>IF($A65="","",IFERROR(IF(INDEX(tblCostos[Otros costos variables unitarios],MATCH($A65,tblCostos[SKU],0))="","",INDEX(tblCostos[Otros costos variables unitarios],MATCH($A65,tblCostos[SKU],0))),""))</f>
        <v/>
      </c>
      <c r="Q65" s="37">
        <f>IF($A65="","",IFERROR(IF(INDEX(tblCostos[COSTO REAL UNITARIO],MATCH($A65,tblCostos[SKU],0))="","PENDIENTE",INDEX(tblCostos[COSTO REAL UNITARIO],MATCH($A65,tblCostos[SKU],0))),"PENDIENTE"))</f>
        <v/>
      </c>
      <c r="R65" s="37">
        <f>IF($A65="","",IFERROR(IF(INDEX(tblCostos[Costo variable de venta unitario],MATCH($A65,tblCostos[SKU],0))="","",INDEX(tblCostos[Costo variable de venta unitario],MATCH($A65,tblCostos[SKU],0))),""))</f>
        <v/>
      </c>
      <c r="S65" s="37">
        <f>IF($A65="","",IF(NOT(ISNUMBER($Q65)),"PENDIENTE",$Q65+IF(ISNUMBER($R65),$R65,0)))</f>
        <v/>
      </c>
      <c r="T65" s="37">
        <f>IF($A65="","",IF(OR($K65="",NOT(ISNUMBER($K65)),NOT(ISNUMBER($Q65))),"PENDIENTE",$K65-$Q65))</f>
        <v/>
      </c>
      <c r="U65" s="38">
        <f>IF($A65="","",IF(OR(NOT(ISNUMBER($T65)),NOT(ISNUMBER($K65)),$K65&lt;=0),"PENDIENTE",$T65/$K65))</f>
        <v/>
      </c>
      <c r="V65" s="38">
        <f>IF($A65="","",IF(OR(NOT(ISNUMBER($T65)),NOT(ISNUMBER($Q65)),$Q65&lt;=0),"PENDIENTE",$T65/$Q65))</f>
        <v/>
      </c>
      <c r="W65" s="37">
        <f>IF($A65="","",IF(OR($K65="",NOT(ISNUMBER($K65)),NOT(ISNUMBER($S65))),"PENDIENTE",$K65-$S65))</f>
        <v/>
      </c>
      <c r="X65" s="39">
        <f>IF($A65="","",IFERROR(INDEX(tblInventario[Stock actual],MATCH($A65,tblInventario[SKU],0)),0))</f>
        <v/>
      </c>
      <c r="Y65" s="34" t="n"/>
      <c r="Z65" s="34" t="n"/>
      <c r="AA65" s="33" t="n"/>
      <c r="AB65" s="40">
        <f>IF($A65="","",IF(COUNTIF(tblCostos[SKU],$A65)=0,"SIN FILA EN COSTOS",IF(AND($K65="",NOT(ISNUMBER($Q65))),"FALTA PRECIO Y COSTO",IF($K65="","FALTA PRECIO",IF(NOT(ISNUMBER($Q65)),"FALTA COSTO",IF($T65&lt;0,"MARGEN NEGATIVO",IF($T65=0,"PRECIO = COSTO","COMPLETO")))))))</f>
        <v/>
      </c>
      <c r="AC65" s="41" t="n"/>
      <c r="AD65" s="33" t="n"/>
    </row>
    <row r="66">
      <c r="A66" s="33" t="n"/>
      <c r="B66" s="33" t="n"/>
      <c r="C66" s="33" t="n"/>
      <c r="D66" s="33" t="n"/>
      <c r="E66" s="33" t="n"/>
      <c r="F66" s="33" t="n"/>
      <c r="G66" s="34" t="n"/>
      <c r="H66" s="33" t="n"/>
      <c r="I66" s="33" t="n"/>
      <c r="J66" s="35" t="n"/>
      <c r="K66" s="36" t="n"/>
      <c r="L66" s="37">
        <f>IF($A66="","",IFERROR(IF(INDEX(tblCostos[Costo de compra unitario],MATCH($A66,tblCostos[SKU],0))="","PENDIENTE",INDEX(tblCostos[Costo de compra unitario],MATCH($A66,tblCostos[SKU],0))),"PENDIENTE"))</f>
        <v/>
      </c>
      <c r="M66" s="37">
        <f>IF($A66="","",IFERROR(IF(INDEX(tblCostos[Transporte unitario],MATCH($A66,tblCostos[SKU],0))="","",INDEX(tblCostos[Transporte unitario],MATCH($A66,tblCostos[SKU],0))),""))</f>
        <v/>
      </c>
      <c r="N66" s="37">
        <f>IF($A66="","",IFERROR(IF(INDEX(tblCostos[Impuestos / aranceles unitarios],MATCH($A66,tblCostos[SKU],0))="","",INDEX(tblCostos[Impuestos / aranceles unitarios],MATCH($A66,tblCostos[SKU],0))),""))</f>
        <v/>
      </c>
      <c r="O66" s="37">
        <f>IF($A66="","",IFERROR(IF(INDEX(tblCostos[Empaque unitario],MATCH($A66,tblCostos[SKU],0))="","",INDEX(tblCostos[Empaque unitario],MATCH($A66,tblCostos[SKU],0))),""))</f>
        <v/>
      </c>
      <c r="P66" s="37">
        <f>IF($A66="","",IFERROR(IF(INDEX(tblCostos[Otros costos variables unitarios],MATCH($A66,tblCostos[SKU],0))="","",INDEX(tblCostos[Otros costos variables unitarios],MATCH($A66,tblCostos[SKU],0))),""))</f>
        <v/>
      </c>
      <c r="Q66" s="37">
        <f>IF($A66="","",IFERROR(IF(INDEX(tblCostos[COSTO REAL UNITARIO],MATCH($A66,tblCostos[SKU],0))="","PENDIENTE",INDEX(tblCostos[COSTO REAL UNITARIO],MATCH($A66,tblCostos[SKU],0))),"PENDIENTE"))</f>
        <v/>
      </c>
      <c r="R66" s="37">
        <f>IF($A66="","",IFERROR(IF(INDEX(tblCostos[Costo variable de venta unitario],MATCH($A66,tblCostos[SKU],0))="","",INDEX(tblCostos[Costo variable de venta unitario],MATCH($A66,tblCostos[SKU],0))),""))</f>
        <v/>
      </c>
      <c r="S66" s="37">
        <f>IF($A66="","",IF(NOT(ISNUMBER($Q66)),"PENDIENTE",$Q66+IF(ISNUMBER($R66),$R66,0)))</f>
        <v/>
      </c>
      <c r="T66" s="37">
        <f>IF($A66="","",IF(OR($K66="",NOT(ISNUMBER($K66)),NOT(ISNUMBER($Q66))),"PENDIENTE",$K66-$Q66))</f>
        <v/>
      </c>
      <c r="U66" s="38">
        <f>IF($A66="","",IF(OR(NOT(ISNUMBER($T66)),NOT(ISNUMBER($K66)),$K66&lt;=0),"PENDIENTE",$T66/$K66))</f>
        <v/>
      </c>
      <c r="V66" s="38">
        <f>IF($A66="","",IF(OR(NOT(ISNUMBER($T66)),NOT(ISNUMBER($Q66)),$Q66&lt;=0),"PENDIENTE",$T66/$Q66))</f>
        <v/>
      </c>
      <c r="W66" s="37">
        <f>IF($A66="","",IF(OR($K66="",NOT(ISNUMBER($K66)),NOT(ISNUMBER($S66))),"PENDIENTE",$K66-$S66))</f>
        <v/>
      </c>
      <c r="X66" s="39">
        <f>IF($A66="","",IFERROR(INDEX(tblInventario[Stock actual],MATCH($A66,tblInventario[SKU],0)),0))</f>
        <v/>
      </c>
      <c r="Y66" s="34" t="n"/>
      <c r="Z66" s="34" t="n"/>
      <c r="AA66" s="33" t="n"/>
      <c r="AB66" s="40">
        <f>IF($A66="","",IF(COUNTIF(tblCostos[SKU],$A66)=0,"SIN FILA EN COSTOS",IF(AND($K66="",NOT(ISNUMBER($Q66))),"FALTA PRECIO Y COSTO",IF($K66="","FALTA PRECIO",IF(NOT(ISNUMBER($Q66)),"FALTA COSTO",IF($T66&lt;0,"MARGEN NEGATIVO",IF($T66=0,"PRECIO = COSTO","COMPLETO")))))))</f>
        <v/>
      </c>
      <c r="AC66" s="41" t="n"/>
      <c r="AD66" s="33" t="n"/>
    </row>
  </sheetData>
  <mergeCells count="1">
    <mergeCell ref="B3:N3"/>
  </mergeCells>
  <conditionalFormatting sqref="AB7:AB66">
    <cfRule type="expression" priority="1" dxfId="4">
      <formula>AB7="COMPLETO"</formula>
    </cfRule>
    <cfRule type="expression" priority="2" dxfId="5">
      <formula>OR(AB7="MARGEN NEGATIVO",AB7="SIN FILA EN COSTOS")</formula>
    </cfRule>
    <cfRule type="expression" priority="3" dxfId="6">
      <formula>OR(AB7="FALTA PRECIO",AB7="FALTA COSTO",AB7="FALTA PRECIO Y COSTO",AB7="PRECIO = COSTO")</formula>
    </cfRule>
  </conditionalFormatting>
  <conditionalFormatting sqref="U7:U66">
    <cfRule type="cellIs" priority="4" operator="lessThan" dxfId="0">
      <formula>0</formula>
    </cfRule>
  </conditionalFormatting>
  <conditionalFormatting sqref="X7:X66">
    <cfRule type="expression" priority="5" dxfId="6">
      <formula>AND($A7&lt;&gt;"",ISNUMBER($X7),ISNUMBER($Y7),$X7&lt;=N($Y7)*MAX(1,PAR_ALERTA_STOCK))</formula>
    </cfRule>
    <cfRule type="cellIs" priority="6" operator="lessThanOrEqual" dxfId="5">
      <formula>0</formula>
    </cfRule>
  </conditionalFormatting>
  <dataValidations count="9">
    <dataValidation sqref="C7:C66" showDropDown="0" showInputMessage="0" showErrorMessage="0" allowBlank="1" errorTitle="Valor fuera de la lista" error="Ese valor no está en la lista. Agréguelo en la hoja CONFIG si es nuevo." type="list" errorStyle="warning">
      <formula1>=LISTA_CATEGORIAS</formula1>
    </dataValidation>
    <dataValidation sqref="D7:D66" showDropDown="0" showInputMessage="0" showErrorMessage="0" allowBlank="1" errorTitle="Valor fuera de la lista" error="Ese valor no está en la lista. Agréguelo en la hoja CONFIG si es nuevo." type="list" errorStyle="warning">
      <formula1>=LISTA_SUBCATEGORIAS</formula1>
    </dataValidation>
    <dataValidation sqref="E7:E66" showDropDown="0" showInputMessage="0" showErrorMessage="0" allowBlank="1" errorTitle="Valor fuera de la lista" error="Ese valor no está en la lista. Agréguelo en la hoja CONFIG si es nuevo." type="list" errorStyle="warning">
      <formula1>=LISTA_PRESENTACIONES</formula1>
    </dataValidation>
    <dataValidation sqref="F7:F66" showDropDown="0" showInputMessage="0" showErrorMessage="0" allowBlank="1" errorTitle="Valor fuera de la lista" error="Ese valor no está en la lista. Agréguelo en la hoja CONFIG si es nuevo." type="list" errorStyle="warning">
      <formula1>=LISTA_UNIDADES</formula1>
    </dataValidation>
    <dataValidation sqref="I7:I66" showDropDown="0" showInputMessage="0" showErrorMessage="0" allowBlank="1" errorTitle="Valor fuera de la lista" error="Ese valor no está en la lista. Agréguelo en la hoja CONFIG si es nuevo." type="list" errorStyle="warning">
      <formula1>=LISTA_PROVEEDORES</formula1>
    </dataValidation>
    <dataValidation sqref="AA7:AA66" showDropDown="0" showInputMessage="0" showErrorMessage="0" allowBlank="1" errorTitle="Valor fuera de la lista" error="Ese valor no está en la lista. Agréguelo en la hoja CONFIG si es nuevo." type="list" errorStyle="warning">
      <formula1>=LISTA_ESTADO_PRODUCTO</formula1>
    </dataValidation>
    <dataValidation sqref="K7:K66" showDropDown="0" showInputMessage="1" showErrorMessage="0" allowBlank="1" errorTitle="Número inválido" error="Escriba un número mayor o igual a 0." promptTitle="Dato" prompt="Precio de venta REAL con el que vende hoy. Este es el único precio que usa el sistema." type="decimal" errorStyle="stop" operator="greaterThanOrEqual">
      <formula1>0</formula1>
    </dataValidation>
    <dataValidation sqref="Y7:Z66" showDropDown="0" showInputMessage="0" showErrorMessage="0" allowBlank="1" errorTitle="Número inválido" error="Escriba un número mayor o igual a 0." type="decimal" errorStyle="stop" operator="greaterThanOrEqual">
      <formula1>0</formula1>
    </dataValidation>
    <dataValidation sqref="AC7:AC66" showDropDown="0" showInputMessage="0" showErrorMessage="0" allowBlank="1" errorTitle="Fecha inválida" error="Escriba una fecha válida (dd/mm/aaaa)." type="date" errorStyle="stop" operator="greaterThan">
      <formula1>DATE(2000,1,1)</formula1>
    </dataValidation>
  </dataValidations>
  <printOptions horizontalCentered="1"/>
  <pageMargins left="0.4" right="0.4" top="0.5" bottom="0.5" header="0.5" footer="0.5"/>
  <pageSetup orientation="landscape" fitToHeight="0" fitToWidth="1"/>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tabColor rgb="002E5C8A"/>
    <outlinePr summaryBelow="1" summaryRight="1"/>
    <pageSetUpPr fitToPage="1"/>
  </sheetPr>
  <dimension ref="A1:X67"/>
  <sheetViews>
    <sheetView showGridLines="0" workbookViewId="0">
      <pane xSplit="3" ySplit="7" topLeftCell="D8"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3" customWidth="1" min="4" max="4"/>
    <col width="12" customWidth="1" min="5" max="5"/>
    <col width="12" customWidth="1" min="6" max="6"/>
    <col width="12"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5" customWidth="1" min="15" max="15"/>
    <col width="11" customWidth="1" min="16" max="16"/>
    <col width="12" customWidth="1" min="17" max="17"/>
    <col width="12" customWidth="1" min="18" max="18"/>
    <col width="12" customWidth="1" min="19" max="19"/>
    <col width="12" customWidth="1" min="20" max="20"/>
    <col width="14" customWidth="1" min="21" max="21"/>
    <col width="15" customWidth="1" min="22" max="22"/>
    <col width="13" customWidth="1" min="23" max="23"/>
    <col width="30" customWidth="1" min="24" max="24"/>
  </cols>
  <sheetData>
    <row r="1">
      <c r="A1" s="1" t="inlineStr">
        <is>
          <t>COSTOS — Estructura de costo por producto</t>
        </is>
      </c>
    </row>
    <row r="2">
      <c r="A2" s="2" t="inlineStr">
        <is>
          <t>Aquí se capturan TODOS los costos. Nunca mezcle costos fijos (hoja GASTOS) con costos variables unitarios (esta hoja). Deje vacío lo que aún no conozca: el sistema mostrará PENDIENTE.</t>
        </is>
      </c>
    </row>
    <row r="3" ht="28" customHeight="1">
      <c r="A3" s="16" t="inlineStr">
        <is>
          <t>COSTO REAL UNITARIO = costo de compra + materia prima + empaque + transporte + importación + impuestos/aranceles + otros logísticos + otros variables.   ·   COSTO VARIABLE TOTAL = costo real unitario + costos variables de venta (comisiones, delivery, publicidad atribuible). El costo variable total es el que se usa para el margen de contribución y el punto de equilibrio.</t>
        </is>
      </c>
    </row>
    <row r="4"/>
    <row r="6">
      <c r="D6" s="42" t="inlineStr">
        <is>
          <t>COSTOS DE PRODUCTO (directos, logísticos y otros variables)</t>
        </is>
      </c>
      <c r="E6" s="43" t="n"/>
      <c r="F6" s="43" t="n"/>
      <c r="G6" s="43" t="n"/>
      <c r="H6" s="43" t="n"/>
      <c r="I6" s="43" t="n"/>
      <c r="J6" s="43" t="n"/>
      <c r="K6" s="43" t="n"/>
      <c r="L6" s="44" t="inlineStr">
        <is>
          <t>CONSOLIDADO DE COSTO REAL</t>
        </is>
      </c>
      <c r="M6" s="45" t="n"/>
      <c r="N6" s="45" t="n"/>
      <c r="O6" s="45" t="n"/>
      <c r="P6" s="46" t="inlineStr">
        <is>
          <t>COSTOS VARIABLES DE VENTA</t>
        </is>
      </c>
      <c r="Q6" s="47" t="n"/>
      <c r="R6" s="47" t="n"/>
      <c r="S6" s="47" t="n"/>
      <c r="T6" s="47" t="n"/>
      <c r="U6" s="47" t="n"/>
      <c r="V6" s="47" t="n"/>
    </row>
    <row r="7" ht="50" customHeight="1">
      <c r="A7" s="11" t="inlineStr">
        <is>
          <t>SKU</t>
        </is>
      </c>
      <c r="B7" s="11" t="inlineStr">
        <is>
          <t>Producto</t>
        </is>
      </c>
      <c r="C7" s="11" t="inlineStr">
        <is>
          <t>Categoría</t>
        </is>
      </c>
      <c r="D7" s="11" t="inlineStr">
        <is>
          <t>Costo de compra unitario</t>
        </is>
      </c>
      <c r="E7" s="11" t="inlineStr">
        <is>
          <t>Materia prima unitaria</t>
        </is>
      </c>
      <c r="F7" s="11" t="inlineStr">
        <is>
          <t>Empaque unitario</t>
        </is>
      </c>
      <c r="G7" s="11" t="inlineStr">
        <is>
          <t>Transporte unitario</t>
        </is>
      </c>
      <c r="H7" s="11" t="inlineStr">
        <is>
          <t>Importación / flete internacional unitario</t>
        </is>
      </c>
      <c r="I7" s="11" t="inlineStr">
        <is>
          <t>Impuestos / aranceles unitarios</t>
        </is>
      </c>
      <c r="J7" s="11" t="inlineStr">
        <is>
          <t>Otros costos logísticos unitarios</t>
        </is>
      </c>
      <c r="K7" s="11" t="inlineStr">
        <is>
          <t>Otros costos variables no listados</t>
        </is>
      </c>
      <c r="L7" s="11" t="inlineStr">
        <is>
          <t>Subtotal costos directos</t>
        </is>
      </c>
      <c r="M7" s="11" t="inlineStr">
        <is>
          <t>Subtotal costos logísticos</t>
        </is>
      </c>
      <c r="N7" s="11" t="inlineStr">
        <is>
          <t>Otros costos variables unitarios</t>
        </is>
      </c>
      <c r="O7" s="11" t="inlineStr">
        <is>
          <t>COSTO REAL UNITARIO</t>
        </is>
      </c>
      <c r="P7" s="11" t="inlineStr">
        <is>
          <t>Comisión de venta %</t>
        </is>
      </c>
      <c r="Q7" s="11" t="inlineStr">
        <is>
          <t>Comisión bancaria / plataforma %</t>
        </is>
      </c>
      <c r="R7" s="11" t="inlineStr">
        <is>
          <t>Delivery asumido por unidad</t>
        </is>
      </c>
      <c r="S7" s="11" t="inlineStr">
        <is>
          <t>Publicidad atribuible por unidad</t>
        </is>
      </c>
      <c r="T7" s="11" t="inlineStr">
        <is>
          <t>Otros costos variables de venta</t>
        </is>
      </c>
      <c r="U7" s="11" t="inlineStr">
        <is>
          <t>Costo variable de venta unitario</t>
        </is>
      </c>
      <c r="V7" s="11" t="inlineStr">
        <is>
          <t>COSTO VARIABLE TOTAL UNITARIO</t>
        </is>
      </c>
      <c r="W7" s="11" t="inlineStr">
        <is>
          <t>Fecha de actualización</t>
        </is>
      </c>
      <c r="X7" s="11" t="inlineStr">
        <is>
          <t>Observaciones</t>
        </is>
      </c>
    </row>
    <row r="8">
      <c r="A8" s="33" t="inlineStr">
        <is>
          <t>GEL-250</t>
        </is>
      </c>
      <c r="B8" s="48">
        <f>IF($A8="","",IFERROR(IF(INDEX(tblProductos[Nombre del producto],MATCH($A8,tblProductos[SKU],0))="","",INDEX(tblProductos[Nombre del producto],MATCH($A8,tblProductos[SKU],0))),""))</f>
        <v/>
      </c>
      <c r="C8" s="48">
        <f>IF($A8="","",IFERROR(IF(INDEX(tblProductos[Categoría],MATCH($A8,tblProductos[SKU],0))="","",INDEX(tblProductos[Categoría],MATCH($A8,tblProductos[SKU],0))),""))</f>
        <v/>
      </c>
      <c r="D8" s="36" t="n"/>
      <c r="E8" s="36" t="n"/>
      <c r="F8" s="36" t="n"/>
      <c r="G8" s="36" t="n"/>
      <c r="H8" s="36" t="n"/>
      <c r="I8" s="36" t="n"/>
      <c r="J8" s="36" t="n"/>
      <c r="K8" s="36" t="n"/>
      <c r="L8" s="37">
        <f>IF(OR($A8="",COUNT($D8:$F8)=0),"",SUM($D8:$F8))</f>
        <v/>
      </c>
      <c r="M8" s="37">
        <f>IF(OR($A8="",COUNT($G8:$J8)=0),"",SUM($G8:$J8))</f>
        <v/>
      </c>
      <c r="N8" s="37">
        <f>IF(OR($A8="",COUNT($E8,$H8,$J8,$K8)=0),"",SUM($E8,$H8,$J8,$K8))</f>
        <v/>
      </c>
      <c r="O8" s="49">
        <f>IF($A8="","",IF($D8="","PENDIENTE",SUM($D8:$K8)))</f>
        <v/>
      </c>
      <c r="P8" s="50" t="n"/>
      <c r="Q8" s="50" t="n"/>
      <c r="R8" s="36" t="n"/>
      <c r="S8" s="36" t="n"/>
      <c r="T8" s="36" t="n"/>
      <c r="U8" s="37">
        <f>IF($A8="","",IF(COUNT($P8:$T8)=0,0,IF(AND(SUM($P8:$Q8)&gt;0,NOT(ISNUMBER(IFERROR(IF(INDEX(tblProductos[Precio de venta actual],MATCH($A8,tblProductos[SKU],0))="","",INDEX(tblProductos[Precio de venta actual],MATCH($A8,tblProductos[SKU],0))),"")))),"PENDIENTE",IF(ISNUMBER(IFERROR(IF(INDEX(tblProductos[Precio de venta actual],MATCH($A8,tblProductos[SKU],0))="","",INDEX(tblProductos[Precio de venta actual],MATCH($A8,tblProductos[SKU],0))),"")),IFERROR(IF(INDEX(tblProductos[Precio de venta actual],MATCH($A8,tblProductos[SKU],0))="","",INDEX(tblProductos[Precio de venta actual],MATCH($A8,tblProductos[SKU],0))),""),0)*SUM($P8:$Q8)+SUM($R8:$T8))))</f>
        <v/>
      </c>
      <c r="V8" s="49">
        <f>IF($A8="","",IF(OR(NOT(ISNUMBER($O8)),NOT(ISNUMBER($U8))),"PENDIENTE",$O8+$U8))</f>
        <v/>
      </c>
      <c r="W8" s="41" t="n"/>
      <c r="X8" s="33" t="n"/>
    </row>
    <row r="9">
      <c r="A9" s="33" t="inlineStr">
        <is>
          <t>GEL-500</t>
        </is>
      </c>
      <c r="B9" s="48">
        <f>IF($A9="","",IFERROR(IF(INDEX(tblProductos[Nombre del producto],MATCH($A9,tblProductos[SKU],0))="","",INDEX(tblProductos[Nombre del producto],MATCH($A9,tblProductos[SKU],0))),""))</f>
        <v/>
      </c>
      <c r="C9" s="48">
        <f>IF($A9="","",IFERROR(IF(INDEX(tblProductos[Categoría],MATCH($A9,tblProductos[SKU],0))="","",INDEX(tblProductos[Categoría],MATCH($A9,tblProductos[SKU],0))),""))</f>
        <v/>
      </c>
      <c r="D9" s="36" t="n"/>
      <c r="E9" s="36" t="n"/>
      <c r="F9" s="36" t="n"/>
      <c r="G9" s="36" t="n"/>
      <c r="H9" s="36" t="n"/>
      <c r="I9" s="36" t="n"/>
      <c r="J9" s="36" t="n"/>
      <c r="K9" s="36" t="n"/>
      <c r="L9" s="37">
        <f>IF(OR($A9="",COUNT($D9:$F9)=0),"",SUM($D9:$F9))</f>
        <v/>
      </c>
      <c r="M9" s="37">
        <f>IF(OR($A9="",COUNT($G9:$J9)=0),"",SUM($G9:$J9))</f>
        <v/>
      </c>
      <c r="N9" s="37">
        <f>IF(OR($A9="",COUNT($E9,$H9,$J9,$K9)=0),"",SUM($E9,$H9,$J9,$K9))</f>
        <v/>
      </c>
      <c r="O9" s="49">
        <f>IF($A9="","",IF($D9="","PENDIENTE",SUM($D9:$K9)))</f>
        <v/>
      </c>
      <c r="P9" s="50" t="n"/>
      <c r="Q9" s="50" t="n"/>
      <c r="R9" s="36" t="n"/>
      <c r="S9" s="36" t="n"/>
      <c r="T9" s="36" t="n"/>
      <c r="U9" s="37">
        <f>IF($A9="","",IF(COUNT($P9:$T9)=0,0,IF(AND(SUM($P9:$Q9)&gt;0,NOT(ISNUMBER(IFERROR(IF(INDEX(tblProductos[Precio de venta actual],MATCH($A9,tblProductos[SKU],0))="","",INDEX(tblProductos[Precio de venta actual],MATCH($A9,tblProductos[SKU],0))),"")))),"PENDIENTE",IF(ISNUMBER(IFERROR(IF(INDEX(tblProductos[Precio de venta actual],MATCH($A9,tblProductos[SKU],0))="","",INDEX(tblProductos[Precio de venta actual],MATCH($A9,tblProductos[SKU],0))),"")),IFERROR(IF(INDEX(tblProductos[Precio de venta actual],MATCH($A9,tblProductos[SKU],0))="","",INDEX(tblProductos[Precio de venta actual],MATCH($A9,tblProductos[SKU],0))),""),0)*SUM($P9:$Q9)+SUM($R9:$T9))))</f>
        <v/>
      </c>
      <c r="V9" s="49">
        <f>IF($A9="","",IF(OR(NOT(ISNUMBER($O9)),NOT(ISNUMBER($U9))),"PENDIENTE",$O9+$U9))</f>
        <v/>
      </c>
      <c r="W9" s="41" t="n"/>
      <c r="X9" s="33" t="n"/>
    </row>
    <row r="10">
      <c r="A10" s="33" t="inlineStr">
        <is>
          <t>GEL-2L</t>
        </is>
      </c>
      <c r="B10" s="48">
        <f>IF($A10="","",IFERROR(IF(INDEX(tblProductos[Nombre del producto],MATCH($A10,tblProductos[SKU],0))="","",INDEX(tblProductos[Nombre del producto],MATCH($A10,tblProductos[SKU],0))),""))</f>
        <v/>
      </c>
      <c r="C10" s="48">
        <f>IF($A10="","",IFERROR(IF(INDEX(tblProductos[Categoría],MATCH($A10,tblProductos[SKU],0))="","",INDEX(tblProductos[Categoría],MATCH($A10,tblProductos[SKU],0))),""))</f>
        <v/>
      </c>
      <c r="D10" s="36" t="n"/>
      <c r="E10" s="36" t="n"/>
      <c r="F10" s="36" t="n"/>
      <c r="G10" s="36" t="n"/>
      <c r="H10" s="36" t="n"/>
      <c r="I10" s="36" t="n"/>
      <c r="J10" s="36" t="n"/>
      <c r="K10" s="36" t="n"/>
      <c r="L10" s="37">
        <f>IF(OR($A10="",COUNT($D10:$F10)=0),"",SUM($D10:$F10))</f>
        <v/>
      </c>
      <c r="M10" s="37">
        <f>IF(OR($A10="",COUNT($G10:$J10)=0),"",SUM($G10:$J10))</f>
        <v/>
      </c>
      <c r="N10" s="37">
        <f>IF(OR($A10="",COUNT($E10,$H10,$J10,$K10)=0),"",SUM($E10,$H10,$J10,$K10))</f>
        <v/>
      </c>
      <c r="O10" s="49">
        <f>IF($A10="","",IF($D10="","PENDIENTE",SUM($D10:$K10)))</f>
        <v/>
      </c>
      <c r="P10" s="50" t="n"/>
      <c r="Q10" s="50" t="n"/>
      <c r="R10" s="36" t="n"/>
      <c r="S10" s="36" t="n"/>
      <c r="T10" s="36" t="n"/>
      <c r="U10" s="37">
        <f>IF($A10="","",IF(COUNT($P10:$T10)=0,0,IF(AND(SUM($P10:$Q10)&gt;0,NOT(ISNUMBER(IFERROR(IF(INDEX(tblProductos[Precio de venta actual],MATCH($A10,tblProductos[SKU],0))="","",INDEX(tblProductos[Precio de venta actual],MATCH($A10,tblProductos[SKU],0))),"")))),"PENDIENTE",IF(ISNUMBER(IFERROR(IF(INDEX(tblProductos[Precio de venta actual],MATCH($A10,tblProductos[SKU],0))="","",INDEX(tblProductos[Precio de venta actual],MATCH($A10,tblProductos[SKU],0))),"")),IFERROR(IF(INDEX(tblProductos[Precio de venta actual],MATCH($A10,tblProductos[SKU],0))="","",INDEX(tblProductos[Precio de venta actual],MATCH($A10,tblProductos[SKU],0))),""),0)*SUM($P10:$Q10)+SUM($R10:$T10))))</f>
        <v/>
      </c>
      <c r="V10" s="49">
        <f>IF($A10="","",IF(OR(NOT(ISNUMBER($O10)),NOT(ISNUMBER($U10))),"PENDIENTE",$O10+$U10))</f>
        <v/>
      </c>
      <c r="W10" s="41" t="n"/>
      <c r="X10" s="33" t="n"/>
    </row>
    <row r="11">
      <c r="A11" s="33" t="inlineStr">
        <is>
          <t>GEL-GAL</t>
        </is>
      </c>
      <c r="B11" s="48">
        <f>IF($A11="","",IFERROR(IF(INDEX(tblProductos[Nombre del producto],MATCH($A11,tblProductos[SKU],0))="","",INDEX(tblProductos[Nombre del producto],MATCH($A11,tblProductos[SKU],0))),""))</f>
        <v/>
      </c>
      <c r="C11" s="48">
        <f>IF($A11="","",IFERROR(IF(INDEX(tblProductos[Categoría],MATCH($A11,tblProductos[SKU],0))="","",INDEX(tblProductos[Categoría],MATCH($A11,tblProductos[SKU],0))),""))</f>
        <v/>
      </c>
      <c r="D11" s="36" t="n"/>
      <c r="E11" s="36" t="n"/>
      <c r="F11" s="36" t="n"/>
      <c r="G11" s="36" t="n"/>
      <c r="H11" s="36" t="n"/>
      <c r="I11" s="36" t="n"/>
      <c r="J11" s="36" t="n"/>
      <c r="K11" s="36" t="n"/>
      <c r="L11" s="37">
        <f>IF(OR($A11="",COUNT($D11:$F11)=0),"",SUM($D11:$F11))</f>
        <v/>
      </c>
      <c r="M11" s="37">
        <f>IF(OR($A11="",COUNT($G11:$J11)=0),"",SUM($G11:$J11))</f>
        <v/>
      </c>
      <c r="N11" s="37">
        <f>IF(OR($A11="",COUNT($E11,$H11,$J11,$K11)=0),"",SUM($E11,$H11,$J11,$K11))</f>
        <v/>
      </c>
      <c r="O11" s="49">
        <f>IF($A11="","",IF($D11="","PENDIENTE",SUM($D11:$K11)))</f>
        <v/>
      </c>
      <c r="P11" s="50" t="n"/>
      <c r="Q11" s="50" t="n"/>
      <c r="R11" s="36" t="n"/>
      <c r="S11" s="36" t="n"/>
      <c r="T11" s="36" t="n"/>
      <c r="U11" s="37">
        <f>IF($A11="","",IF(COUNT($P11:$T11)=0,0,IF(AND(SUM($P11:$Q11)&gt;0,NOT(ISNUMBER(IFERROR(IF(INDEX(tblProductos[Precio de venta actual],MATCH($A11,tblProductos[SKU],0))="","",INDEX(tblProductos[Precio de venta actual],MATCH($A11,tblProductos[SKU],0))),"")))),"PENDIENTE",IF(ISNUMBER(IFERROR(IF(INDEX(tblProductos[Precio de venta actual],MATCH($A11,tblProductos[SKU],0))="","",INDEX(tblProductos[Precio de venta actual],MATCH($A11,tblProductos[SKU],0))),"")),IFERROR(IF(INDEX(tblProductos[Precio de venta actual],MATCH($A11,tblProductos[SKU],0))="","",INDEX(tblProductos[Precio de venta actual],MATCH($A11,tblProductos[SKU],0))),""),0)*SUM($P11:$Q11)+SUM($R11:$T11))))</f>
        <v/>
      </c>
      <c r="V11" s="49">
        <f>IF($A11="","",IF(OR(NOT(ISNUMBER($O11)),NOT(ISNUMBER($U11))),"PENDIENTE",$O11+$U11))</f>
        <v/>
      </c>
      <c r="W11" s="41" t="n"/>
      <c r="X11" s="33" t="n"/>
    </row>
    <row r="12">
      <c r="A12" s="33" t="inlineStr">
        <is>
          <t>JAB-500</t>
        </is>
      </c>
      <c r="B12" s="48">
        <f>IF($A12="","",IFERROR(IF(INDEX(tblProductos[Nombre del producto],MATCH($A12,tblProductos[SKU],0))="","",INDEX(tblProductos[Nombre del producto],MATCH($A12,tblProductos[SKU],0))),""))</f>
        <v/>
      </c>
      <c r="C12" s="48">
        <f>IF($A12="","",IFERROR(IF(INDEX(tblProductos[Categoría],MATCH($A12,tblProductos[SKU],0))="","",INDEX(tblProductos[Categoría],MATCH($A12,tblProductos[SKU],0))),""))</f>
        <v/>
      </c>
      <c r="D12" s="36" t="n"/>
      <c r="E12" s="36" t="n"/>
      <c r="F12" s="36" t="n"/>
      <c r="G12" s="36" t="n"/>
      <c r="H12" s="36" t="n"/>
      <c r="I12" s="36" t="n"/>
      <c r="J12" s="36" t="n"/>
      <c r="K12" s="36" t="n"/>
      <c r="L12" s="37">
        <f>IF(OR($A12="",COUNT($D12:$F12)=0),"",SUM($D12:$F12))</f>
        <v/>
      </c>
      <c r="M12" s="37">
        <f>IF(OR($A12="",COUNT($G12:$J12)=0),"",SUM($G12:$J12))</f>
        <v/>
      </c>
      <c r="N12" s="37">
        <f>IF(OR($A12="",COUNT($E12,$H12,$J12,$K12)=0),"",SUM($E12,$H12,$J12,$K12))</f>
        <v/>
      </c>
      <c r="O12" s="49">
        <f>IF($A12="","",IF($D12="","PENDIENTE",SUM($D12:$K12)))</f>
        <v/>
      </c>
      <c r="P12" s="50" t="n"/>
      <c r="Q12" s="50" t="n"/>
      <c r="R12" s="36" t="n"/>
      <c r="S12" s="36" t="n"/>
      <c r="T12" s="36" t="n"/>
      <c r="U12" s="37">
        <f>IF($A12="","",IF(COUNT($P12:$T12)=0,0,IF(AND(SUM($P12:$Q12)&gt;0,NOT(ISNUMBER(IFERROR(IF(INDEX(tblProductos[Precio de venta actual],MATCH($A12,tblProductos[SKU],0))="","",INDEX(tblProductos[Precio de venta actual],MATCH($A12,tblProductos[SKU],0))),"")))),"PENDIENTE",IF(ISNUMBER(IFERROR(IF(INDEX(tblProductos[Precio de venta actual],MATCH($A12,tblProductos[SKU],0))="","",INDEX(tblProductos[Precio de venta actual],MATCH($A12,tblProductos[SKU],0))),"")),IFERROR(IF(INDEX(tblProductos[Precio de venta actual],MATCH($A12,tblProductos[SKU],0))="","",INDEX(tblProductos[Precio de venta actual],MATCH($A12,tblProductos[SKU],0))),""),0)*SUM($P12:$Q12)+SUM($R12:$T12))))</f>
        <v/>
      </c>
      <c r="V12" s="49">
        <f>IF($A12="","",IF(OR(NOT(ISNUMBER($O12)),NOT(ISNUMBER($U12))),"PENDIENTE",$O12+$U12))</f>
        <v/>
      </c>
      <c r="W12" s="41" t="n"/>
      <c r="X12" s="33" t="n"/>
    </row>
    <row r="13">
      <c r="A13" s="33" t="inlineStr">
        <is>
          <t>JAB-2L</t>
        </is>
      </c>
      <c r="B13" s="48">
        <f>IF($A13="","",IFERROR(IF(INDEX(tblProductos[Nombre del producto],MATCH($A13,tblProductos[SKU],0))="","",INDEX(tblProductos[Nombre del producto],MATCH($A13,tblProductos[SKU],0))),""))</f>
        <v/>
      </c>
      <c r="C13" s="48">
        <f>IF($A13="","",IFERROR(IF(INDEX(tblProductos[Categoría],MATCH($A13,tblProductos[SKU],0))="","",INDEX(tblProductos[Categoría],MATCH($A13,tblProductos[SKU],0))),""))</f>
        <v/>
      </c>
      <c r="D13" s="36" t="n"/>
      <c r="E13" s="36" t="n"/>
      <c r="F13" s="36" t="n"/>
      <c r="G13" s="36" t="n"/>
      <c r="H13" s="36" t="n"/>
      <c r="I13" s="36" t="n"/>
      <c r="J13" s="36" t="n"/>
      <c r="K13" s="36" t="n"/>
      <c r="L13" s="37">
        <f>IF(OR($A13="",COUNT($D13:$F13)=0),"",SUM($D13:$F13))</f>
        <v/>
      </c>
      <c r="M13" s="37">
        <f>IF(OR($A13="",COUNT($G13:$J13)=0),"",SUM($G13:$J13))</f>
        <v/>
      </c>
      <c r="N13" s="37">
        <f>IF(OR($A13="",COUNT($E13,$H13,$J13,$K13)=0),"",SUM($E13,$H13,$J13,$K13))</f>
        <v/>
      </c>
      <c r="O13" s="49">
        <f>IF($A13="","",IF($D13="","PENDIENTE",SUM($D13:$K13)))</f>
        <v/>
      </c>
      <c r="P13" s="50" t="n"/>
      <c r="Q13" s="50" t="n"/>
      <c r="R13" s="36" t="n"/>
      <c r="S13" s="36" t="n"/>
      <c r="T13" s="36" t="n"/>
      <c r="U13" s="37">
        <f>IF($A13="","",IF(COUNT($P13:$T13)=0,0,IF(AND(SUM($P13:$Q13)&gt;0,NOT(ISNUMBER(IFERROR(IF(INDEX(tblProductos[Precio de venta actual],MATCH($A13,tblProductos[SKU],0))="","",INDEX(tblProductos[Precio de venta actual],MATCH($A13,tblProductos[SKU],0))),"")))),"PENDIENTE",IF(ISNUMBER(IFERROR(IF(INDEX(tblProductos[Precio de venta actual],MATCH($A13,tblProductos[SKU],0))="","",INDEX(tblProductos[Precio de venta actual],MATCH($A13,tblProductos[SKU],0))),"")),IFERROR(IF(INDEX(tblProductos[Precio de venta actual],MATCH($A13,tblProductos[SKU],0))="","",INDEX(tblProductos[Precio de venta actual],MATCH($A13,tblProductos[SKU],0))),""),0)*SUM($P13:$Q13)+SUM($R13:$T13))))</f>
        <v/>
      </c>
      <c r="V13" s="49">
        <f>IF($A13="","",IF(OR(NOT(ISNUMBER($O13)),NOT(ISNUMBER($U13))),"PENDIENTE",$O13+$U13))</f>
        <v/>
      </c>
      <c r="W13" s="41" t="n"/>
      <c r="X13" s="33" t="n"/>
    </row>
    <row r="14">
      <c r="A14" s="33" t="inlineStr">
        <is>
          <t>JAB-GAL</t>
        </is>
      </c>
      <c r="B14" s="48">
        <f>IF($A14="","",IFERROR(IF(INDEX(tblProductos[Nombre del producto],MATCH($A14,tblProductos[SKU],0))="","",INDEX(tblProductos[Nombre del producto],MATCH($A14,tblProductos[SKU],0))),""))</f>
        <v/>
      </c>
      <c r="C14" s="48">
        <f>IF($A14="","",IFERROR(IF(INDEX(tblProductos[Categoría],MATCH($A14,tblProductos[SKU],0))="","",INDEX(tblProductos[Categoría],MATCH($A14,tblProductos[SKU],0))),""))</f>
        <v/>
      </c>
      <c r="D14" s="36" t="n"/>
      <c r="E14" s="36" t="n"/>
      <c r="F14" s="36" t="n"/>
      <c r="G14" s="36" t="n"/>
      <c r="H14" s="36" t="n"/>
      <c r="I14" s="36" t="n"/>
      <c r="J14" s="36" t="n"/>
      <c r="K14" s="36" t="n"/>
      <c r="L14" s="37">
        <f>IF(OR($A14="",COUNT($D14:$F14)=0),"",SUM($D14:$F14))</f>
        <v/>
      </c>
      <c r="M14" s="37">
        <f>IF(OR($A14="",COUNT($G14:$J14)=0),"",SUM($G14:$J14))</f>
        <v/>
      </c>
      <c r="N14" s="37">
        <f>IF(OR($A14="",COUNT($E14,$H14,$J14,$K14)=0),"",SUM($E14,$H14,$J14,$K14))</f>
        <v/>
      </c>
      <c r="O14" s="49">
        <f>IF($A14="","",IF($D14="","PENDIENTE",SUM($D14:$K14)))</f>
        <v/>
      </c>
      <c r="P14" s="50" t="n"/>
      <c r="Q14" s="50" t="n"/>
      <c r="R14" s="36" t="n"/>
      <c r="S14" s="36" t="n"/>
      <c r="T14" s="36" t="n"/>
      <c r="U14" s="37">
        <f>IF($A14="","",IF(COUNT($P14:$T14)=0,0,IF(AND(SUM($P14:$Q14)&gt;0,NOT(ISNUMBER(IFERROR(IF(INDEX(tblProductos[Precio de venta actual],MATCH($A14,tblProductos[SKU],0))="","",INDEX(tblProductos[Precio de venta actual],MATCH($A14,tblProductos[SKU],0))),"")))),"PENDIENTE",IF(ISNUMBER(IFERROR(IF(INDEX(tblProductos[Precio de venta actual],MATCH($A14,tblProductos[SKU],0))="","",INDEX(tblProductos[Precio de venta actual],MATCH($A14,tblProductos[SKU],0))),"")),IFERROR(IF(INDEX(tblProductos[Precio de venta actual],MATCH($A14,tblProductos[SKU],0))="","",INDEX(tblProductos[Precio de venta actual],MATCH($A14,tblProductos[SKU],0))),""),0)*SUM($P14:$Q14)+SUM($R14:$T14))))</f>
        <v/>
      </c>
      <c r="V14" s="49">
        <f>IF($A14="","",IF(OR(NOT(ISNUMBER($O14)),NOT(ISNUMBER($U14))),"PENDIENTE",$O14+$U14))</f>
        <v/>
      </c>
      <c r="W14" s="41" t="n"/>
      <c r="X14" s="33" t="n"/>
    </row>
    <row r="15">
      <c r="A15" s="33" t="inlineStr">
        <is>
          <t>SUA-GAL</t>
        </is>
      </c>
      <c r="B15" s="48">
        <f>IF($A15="","",IFERROR(IF(INDEX(tblProductos[Nombre del producto],MATCH($A15,tblProductos[SKU],0))="","",INDEX(tblProductos[Nombre del producto],MATCH($A15,tblProductos[SKU],0))),""))</f>
        <v/>
      </c>
      <c r="C15" s="48">
        <f>IF($A15="","",IFERROR(IF(INDEX(tblProductos[Categoría],MATCH($A15,tblProductos[SKU],0))="","",INDEX(tblProductos[Categoría],MATCH($A15,tblProductos[SKU],0))),""))</f>
        <v/>
      </c>
      <c r="D15" s="36" t="n"/>
      <c r="E15" s="36" t="n"/>
      <c r="F15" s="36" t="n"/>
      <c r="G15" s="36" t="n"/>
      <c r="H15" s="36" t="n"/>
      <c r="I15" s="36" t="n"/>
      <c r="J15" s="36" t="n"/>
      <c r="K15" s="36" t="n"/>
      <c r="L15" s="37">
        <f>IF(OR($A15="",COUNT($D15:$F15)=0),"",SUM($D15:$F15))</f>
        <v/>
      </c>
      <c r="M15" s="37">
        <f>IF(OR($A15="",COUNT($G15:$J15)=0),"",SUM($G15:$J15))</f>
        <v/>
      </c>
      <c r="N15" s="37">
        <f>IF(OR($A15="",COUNT($E15,$H15,$J15,$K15)=0),"",SUM($E15,$H15,$J15,$K15))</f>
        <v/>
      </c>
      <c r="O15" s="49">
        <f>IF($A15="","",IF($D15="","PENDIENTE",SUM($D15:$K15)))</f>
        <v/>
      </c>
      <c r="P15" s="50" t="n"/>
      <c r="Q15" s="50" t="n"/>
      <c r="R15" s="36" t="n"/>
      <c r="S15" s="36" t="n"/>
      <c r="T15" s="36" t="n"/>
      <c r="U15" s="37">
        <f>IF($A15="","",IF(COUNT($P15:$T15)=0,0,IF(AND(SUM($P15:$Q15)&gt;0,NOT(ISNUMBER(IFERROR(IF(INDEX(tblProductos[Precio de venta actual],MATCH($A15,tblProductos[SKU],0))="","",INDEX(tblProductos[Precio de venta actual],MATCH($A15,tblProductos[SKU],0))),"")))),"PENDIENTE",IF(ISNUMBER(IFERROR(IF(INDEX(tblProductos[Precio de venta actual],MATCH($A15,tblProductos[SKU],0))="","",INDEX(tblProductos[Precio de venta actual],MATCH($A15,tblProductos[SKU],0))),"")),IFERROR(IF(INDEX(tblProductos[Precio de venta actual],MATCH($A15,tblProductos[SKU],0))="","",INDEX(tblProductos[Precio de venta actual],MATCH($A15,tblProductos[SKU],0))),""),0)*SUM($P15:$Q15)+SUM($R15:$T15))))</f>
        <v/>
      </c>
      <c r="V15" s="49">
        <f>IF($A15="","",IF(OR(NOT(ISNUMBER($O15)),NOT(ISNUMBER($U15))),"PENDIENTE",$O15+$U15))</f>
        <v/>
      </c>
      <c r="W15" s="41" t="n"/>
      <c r="X15" s="33" t="n"/>
    </row>
    <row r="16">
      <c r="A16" s="33" t="inlineStr">
        <is>
          <t>DET-GAL</t>
        </is>
      </c>
      <c r="B16" s="48">
        <f>IF($A16="","",IFERROR(IF(INDEX(tblProductos[Nombre del producto],MATCH($A16,tblProductos[SKU],0))="","",INDEX(tblProductos[Nombre del producto],MATCH($A16,tblProductos[SKU],0))),""))</f>
        <v/>
      </c>
      <c r="C16" s="48">
        <f>IF($A16="","",IFERROR(IF(INDEX(tblProductos[Categoría],MATCH($A16,tblProductos[SKU],0))="","",INDEX(tblProductos[Categoría],MATCH($A16,tblProductos[SKU],0))),""))</f>
        <v/>
      </c>
      <c r="D16" s="36" t="n"/>
      <c r="E16" s="36" t="n"/>
      <c r="F16" s="36" t="n"/>
      <c r="G16" s="36" t="n"/>
      <c r="H16" s="36" t="n"/>
      <c r="I16" s="36" t="n"/>
      <c r="J16" s="36" t="n"/>
      <c r="K16" s="36" t="n"/>
      <c r="L16" s="37">
        <f>IF(OR($A16="",COUNT($D16:$F16)=0),"",SUM($D16:$F16))</f>
        <v/>
      </c>
      <c r="M16" s="37">
        <f>IF(OR($A16="",COUNT($G16:$J16)=0),"",SUM($G16:$J16))</f>
        <v/>
      </c>
      <c r="N16" s="37">
        <f>IF(OR($A16="",COUNT($E16,$H16,$J16,$K16)=0),"",SUM($E16,$H16,$J16,$K16))</f>
        <v/>
      </c>
      <c r="O16" s="49">
        <f>IF($A16="","",IF($D16="","PENDIENTE",SUM($D16:$K16)))</f>
        <v/>
      </c>
      <c r="P16" s="50" t="n"/>
      <c r="Q16" s="50" t="n"/>
      <c r="R16" s="36" t="n"/>
      <c r="S16" s="36" t="n"/>
      <c r="T16" s="36" t="n"/>
      <c r="U16" s="37">
        <f>IF($A16="","",IF(COUNT($P16:$T16)=0,0,IF(AND(SUM($P16:$Q16)&gt;0,NOT(ISNUMBER(IFERROR(IF(INDEX(tblProductos[Precio de venta actual],MATCH($A16,tblProductos[SKU],0))="","",INDEX(tblProductos[Precio de venta actual],MATCH($A16,tblProductos[SKU],0))),"")))),"PENDIENTE",IF(ISNUMBER(IFERROR(IF(INDEX(tblProductos[Precio de venta actual],MATCH($A16,tblProductos[SKU],0))="","",INDEX(tblProductos[Precio de venta actual],MATCH($A16,tblProductos[SKU],0))),"")),IFERROR(IF(INDEX(tblProductos[Precio de venta actual],MATCH($A16,tblProductos[SKU],0))="","",INDEX(tblProductos[Precio de venta actual],MATCH($A16,tblProductos[SKU],0))),""),0)*SUM($P16:$Q16)+SUM($R16:$T16))))</f>
        <v/>
      </c>
      <c r="V16" s="49">
        <f>IF($A16="","",IF(OR(NOT(ISNUMBER($O16)),NOT(ISNUMBER($U16))),"PENDIENTE",$O16+$U16))</f>
        <v/>
      </c>
      <c r="W16" s="41" t="n"/>
      <c r="X16" s="33" t="n"/>
    </row>
    <row r="17">
      <c r="A17" s="33" t="inlineStr">
        <is>
          <t>VID-750</t>
        </is>
      </c>
      <c r="B17" s="48">
        <f>IF($A17="","",IFERROR(IF(INDEX(tblProductos[Nombre del producto],MATCH($A17,tblProductos[SKU],0))="","",INDEX(tblProductos[Nombre del producto],MATCH($A17,tblProductos[SKU],0))),""))</f>
        <v/>
      </c>
      <c r="C17" s="48">
        <f>IF($A17="","",IFERROR(IF(INDEX(tblProductos[Categoría],MATCH($A17,tblProductos[SKU],0))="","",INDEX(tblProductos[Categoría],MATCH($A17,tblProductos[SKU],0))),""))</f>
        <v/>
      </c>
      <c r="D17" s="36" t="n"/>
      <c r="E17" s="36" t="n"/>
      <c r="F17" s="36" t="n"/>
      <c r="G17" s="36" t="n"/>
      <c r="H17" s="36" t="n"/>
      <c r="I17" s="36" t="n"/>
      <c r="J17" s="36" t="n"/>
      <c r="K17" s="36" t="n"/>
      <c r="L17" s="37">
        <f>IF(OR($A17="",COUNT($D17:$F17)=0),"",SUM($D17:$F17))</f>
        <v/>
      </c>
      <c r="M17" s="37">
        <f>IF(OR($A17="",COUNT($G17:$J17)=0),"",SUM($G17:$J17))</f>
        <v/>
      </c>
      <c r="N17" s="37">
        <f>IF(OR($A17="",COUNT($E17,$H17,$J17,$K17)=0),"",SUM($E17,$H17,$J17,$K17))</f>
        <v/>
      </c>
      <c r="O17" s="49">
        <f>IF($A17="","",IF($D17="","PENDIENTE",SUM($D17:$K17)))</f>
        <v/>
      </c>
      <c r="P17" s="50" t="n"/>
      <c r="Q17" s="50" t="n"/>
      <c r="R17" s="36" t="n"/>
      <c r="S17" s="36" t="n"/>
      <c r="T17" s="36" t="n"/>
      <c r="U17" s="37">
        <f>IF($A17="","",IF(COUNT($P17:$T17)=0,0,IF(AND(SUM($P17:$Q17)&gt;0,NOT(ISNUMBER(IFERROR(IF(INDEX(tblProductos[Precio de venta actual],MATCH($A17,tblProductos[SKU],0))="","",INDEX(tblProductos[Precio de venta actual],MATCH($A17,tblProductos[SKU],0))),"")))),"PENDIENTE",IF(ISNUMBER(IFERROR(IF(INDEX(tblProductos[Precio de venta actual],MATCH($A17,tblProductos[SKU],0))="","",INDEX(tblProductos[Precio de venta actual],MATCH($A17,tblProductos[SKU],0))),"")),IFERROR(IF(INDEX(tblProductos[Precio de venta actual],MATCH($A17,tblProductos[SKU],0))="","",INDEX(tblProductos[Precio de venta actual],MATCH($A17,tblProductos[SKU],0))),""),0)*SUM($P17:$Q17)+SUM($R17:$T17))))</f>
        <v/>
      </c>
      <c r="V17" s="49">
        <f>IF($A17="","",IF(OR(NOT(ISNUMBER($O17)),NOT(ISNUMBER($U17))),"PENDIENTE",$O17+$U17))</f>
        <v/>
      </c>
      <c r="W17" s="41" t="n"/>
      <c r="X17" s="33" t="n"/>
    </row>
    <row r="18">
      <c r="A18" s="33" t="inlineStr">
        <is>
          <t>VID-GAL</t>
        </is>
      </c>
      <c r="B18" s="48">
        <f>IF($A18="","",IFERROR(IF(INDEX(tblProductos[Nombre del producto],MATCH($A18,tblProductos[SKU],0))="","",INDEX(tblProductos[Nombre del producto],MATCH($A18,tblProductos[SKU],0))),""))</f>
        <v/>
      </c>
      <c r="C18" s="48">
        <f>IF($A18="","",IFERROR(IF(INDEX(tblProductos[Categoría],MATCH($A18,tblProductos[SKU],0))="","",INDEX(tblProductos[Categoría],MATCH($A18,tblProductos[SKU],0))),""))</f>
        <v/>
      </c>
      <c r="D18" s="36" t="n"/>
      <c r="E18" s="36" t="n"/>
      <c r="F18" s="36" t="n"/>
      <c r="G18" s="36" t="n"/>
      <c r="H18" s="36" t="n"/>
      <c r="I18" s="36" t="n"/>
      <c r="J18" s="36" t="n"/>
      <c r="K18" s="36" t="n"/>
      <c r="L18" s="37">
        <f>IF(OR($A18="",COUNT($D18:$F18)=0),"",SUM($D18:$F18))</f>
        <v/>
      </c>
      <c r="M18" s="37">
        <f>IF(OR($A18="",COUNT($G18:$J18)=0),"",SUM($G18:$J18))</f>
        <v/>
      </c>
      <c r="N18" s="37">
        <f>IF(OR($A18="",COUNT($E18,$H18,$J18,$K18)=0),"",SUM($E18,$H18,$J18,$K18))</f>
        <v/>
      </c>
      <c r="O18" s="49">
        <f>IF($A18="","",IF($D18="","PENDIENTE",SUM($D18:$K18)))</f>
        <v/>
      </c>
      <c r="P18" s="50" t="n"/>
      <c r="Q18" s="50" t="n"/>
      <c r="R18" s="36" t="n"/>
      <c r="S18" s="36" t="n"/>
      <c r="T18" s="36" t="n"/>
      <c r="U18" s="37">
        <f>IF($A18="","",IF(COUNT($P18:$T18)=0,0,IF(AND(SUM($P18:$Q18)&gt;0,NOT(ISNUMBER(IFERROR(IF(INDEX(tblProductos[Precio de venta actual],MATCH($A18,tblProductos[SKU],0))="","",INDEX(tblProductos[Precio de venta actual],MATCH($A18,tblProductos[SKU],0))),"")))),"PENDIENTE",IF(ISNUMBER(IFERROR(IF(INDEX(tblProductos[Precio de venta actual],MATCH($A18,tblProductos[SKU],0))="","",INDEX(tblProductos[Precio de venta actual],MATCH($A18,tblProductos[SKU],0))),"")),IFERROR(IF(INDEX(tblProductos[Precio de venta actual],MATCH($A18,tblProductos[SKU],0))="","",INDEX(tblProductos[Precio de venta actual],MATCH($A18,tblProductos[SKU],0))),""),0)*SUM($P18:$Q18)+SUM($R18:$T18))))</f>
        <v/>
      </c>
      <c r="V18" s="49">
        <f>IF($A18="","",IF(OR(NOT(ISNUMBER($O18)),NOT(ISNUMBER($U18))),"PENDIENTE",$O18+$U18))</f>
        <v/>
      </c>
      <c r="W18" s="41" t="n"/>
      <c r="X18" s="33" t="n"/>
    </row>
    <row r="19">
      <c r="A19" s="33" t="inlineStr">
        <is>
          <t>LAV-500</t>
        </is>
      </c>
      <c r="B19" s="48">
        <f>IF($A19="","",IFERROR(IF(INDEX(tblProductos[Nombre del producto],MATCH($A19,tblProductos[SKU],0))="","",INDEX(tblProductos[Nombre del producto],MATCH($A19,tblProductos[SKU],0))),""))</f>
        <v/>
      </c>
      <c r="C19" s="48">
        <f>IF($A19="","",IFERROR(IF(INDEX(tblProductos[Categoría],MATCH($A19,tblProductos[SKU],0))="","",INDEX(tblProductos[Categoría],MATCH($A19,tblProductos[SKU],0))),""))</f>
        <v/>
      </c>
      <c r="D19" s="36" t="n"/>
      <c r="E19" s="36" t="n"/>
      <c r="F19" s="36" t="n"/>
      <c r="G19" s="36" t="n"/>
      <c r="H19" s="36" t="n"/>
      <c r="I19" s="36" t="n"/>
      <c r="J19" s="36" t="n"/>
      <c r="K19" s="36" t="n"/>
      <c r="L19" s="37">
        <f>IF(OR($A19="",COUNT($D19:$F19)=0),"",SUM($D19:$F19))</f>
        <v/>
      </c>
      <c r="M19" s="37">
        <f>IF(OR($A19="",COUNT($G19:$J19)=0),"",SUM($G19:$J19))</f>
        <v/>
      </c>
      <c r="N19" s="37">
        <f>IF(OR($A19="",COUNT($E19,$H19,$J19,$K19)=0),"",SUM($E19,$H19,$J19,$K19))</f>
        <v/>
      </c>
      <c r="O19" s="49">
        <f>IF($A19="","",IF($D19="","PENDIENTE",SUM($D19:$K19)))</f>
        <v/>
      </c>
      <c r="P19" s="50" t="n"/>
      <c r="Q19" s="50" t="n"/>
      <c r="R19" s="36" t="n"/>
      <c r="S19" s="36" t="n"/>
      <c r="T19" s="36" t="n"/>
      <c r="U19" s="37">
        <f>IF($A19="","",IF(COUNT($P19:$T19)=0,0,IF(AND(SUM($P19:$Q19)&gt;0,NOT(ISNUMBER(IFERROR(IF(INDEX(tblProductos[Precio de venta actual],MATCH($A19,tblProductos[SKU],0))="","",INDEX(tblProductos[Precio de venta actual],MATCH($A19,tblProductos[SKU],0))),"")))),"PENDIENTE",IF(ISNUMBER(IFERROR(IF(INDEX(tblProductos[Precio de venta actual],MATCH($A19,tblProductos[SKU],0))="","",INDEX(tblProductos[Precio de venta actual],MATCH($A19,tblProductos[SKU],0))),"")),IFERROR(IF(INDEX(tblProductos[Precio de venta actual],MATCH($A19,tblProductos[SKU],0))="","",INDEX(tblProductos[Precio de venta actual],MATCH($A19,tblProductos[SKU],0))),""),0)*SUM($P19:$Q19)+SUM($R19:$T19))))</f>
        <v/>
      </c>
      <c r="V19" s="49">
        <f>IF($A19="","",IF(OR(NOT(ISNUMBER($O19)),NOT(ISNUMBER($U19))),"PENDIENTE",$O19+$U19))</f>
        <v/>
      </c>
      <c r="W19" s="41" t="n"/>
      <c r="X19" s="33" t="n"/>
    </row>
    <row r="20">
      <c r="A20" s="33" t="inlineStr">
        <is>
          <t>LAV-GAL</t>
        </is>
      </c>
      <c r="B20" s="48">
        <f>IF($A20="","",IFERROR(IF(INDEX(tblProductos[Nombre del producto],MATCH($A20,tblProductos[SKU],0))="","",INDEX(tblProductos[Nombre del producto],MATCH($A20,tblProductos[SKU],0))),""))</f>
        <v/>
      </c>
      <c r="C20" s="48">
        <f>IF($A20="","",IFERROR(IF(INDEX(tblProductos[Categoría],MATCH($A20,tblProductos[SKU],0))="","",INDEX(tblProductos[Categoría],MATCH($A20,tblProductos[SKU],0))),""))</f>
        <v/>
      </c>
      <c r="D20" s="36" t="n"/>
      <c r="E20" s="36" t="n"/>
      <c r="F20" s="36" t="n"/>
      <c r="G20" s="36" t="n"/>
      <c r="H20" s="36" t="n"/>
      <c r="I20" s="36" t="n"/>
      <c r="J20" s="36" t="n"/>
      <c r="K20" s="36" t="n"/>
      <c r="L20" s="37">
        <f>IF(OR($A20="",COUNT($D20:$F20)=0),"",SUM($D20:$F20))</f>
        <v/>
      </c>
      <c r="M20" s="37">
        <f>IF(OR($A20="",COUNT($G20:$J20)=0),"",SUM($G20:$J20))</f>
        <v/>
      </c>
      <c r="N20" s="37">
        <f>IF(OR($A20="",COUNT($E20,$H20,$J20,$K20)=0),"",SUM($E20,$H20,$J20,$K20))</f>
        <v/>
      </c>
      <c r="O20" s="49">
        <f>IF($A20="","",IF($D20="","PENDIENTE",SUM($D20:$K20)))</f>
        <v/>
      </c>
      <c r="P20" s="50" t="n"/>
      <c r="Q20" s="50" t="n"/>
      <c r="R20" s="36" t="n"/>
      <c r="S20" s="36" t="n"/>
      <c r="T20" s="36" t="n"/>
      <c r="U20" s="37">
        <f>IF($A20="","",IF(COUNT($P20:$T20)=0,0,IF(AND(SUM($P20:$Q20)&gt;0,NOT(ISNUMBER(IFERROR(IF(INDEX(tblProductos[Precio de venta actual],MATCH($A20,tblProductos[SKU],0))="","",INDEX(tblProductos[Precio de venta actual],MATCH($A20,tblProductos[SKU],0))),"")))),"PENDIENTE",IF(ISNUMBER(IFERROR(IF(INDEX(tblProductos[Precio de venta actual],MATCH($A20,tblProductos[SKU],0))="","",INDEX(tblProductos[Precio de venta actual],MATCH($A20,tblProductos[SKU],0))),"")),IFERROR(IF(INDEX(tblProductos[Precio de venta actual],MATCH($A20,tblProductos[SKU],0))="","",INDEX(tblProductos[Precio de venta actual],MATCH($A20,tblProductos[SKU],0))),""),0)*SUM($P20:$Q20)+SUM($R20:$T20))))</f>
        <v/>
      </c>
      <c r="V20" s="49">
        <f>IF($A20="","",IF(OR(NOT(ISNUMBER($O20)),NOT(ISNUMBER($U20))),"PENDIENTE",$O20+$U20))</f>
        <v/>
      </c>
      <c r="W20" s="41" t="n"/>
      <c r="X20" s="33" t="n"/>
    </row>
    <row r="21">
      <c r="A21" s="33" t="inlineStr">
        <is>
          <t>DES-750</t>
        </is>
      </c>
      <c r="B21" s="48">
        <f>IF($A21="","",IFERROR(IF(INDEX(tblProductos[Nombre del producto],MATCH($A21,tblProductos[SKU],0))="","",INDEX(tblProductos[Nombre del producto],MATCH($A21,tblProductos[SKU],0))),""))</f>
        <v/>
      </c>
      <c r="C21" s="48">
        <f>IF($A21="","",IFERROR(IF(INDEX(tblProductos[Categoría],MATCH($A21,tblProductos[SKU],0))="","",INDEX(tblProductos[Categoría],MATCH($A21,tblProductos[SKU],0))),""))</f>
        <v/>
      </c>
      <c r="D21" s="36" t="n"/>
      <c r="E21" s="36" t="n"/>
      <c r="F21" s="36" t="n"/>
      <c r="G21" s="36" t="n"/>
      <c r="H21" s="36" t="n"/>
      <c r="I21" s="36" t="n"/>
      <c r="J21" s="36" t="n"/>
      <c r="K21" s="36" t="n"/>
      <c r="L21" s="37">
        <f>IF(OR($A21="",COUNT($D21:$F21)=0),"",SUM($D21:$F21))</f>
        <v/>
      </c>
      <c r="M21" s="37">
        <f>IF(OR($A21="",COUNT($G21:$J21)=0),"",SUM($G21:$J21))</f>
        <v/>
      </c>
      <c r="N21" s="37">
        <f>IF(OR($A21="",COUNT($E21,$H21,$J21,$K21)=0),"",SUM($E21,$H21,$J21,$K21))</f>
        <v/>
      </c>
      <c r="O21" s="49">
        <f>IF($A21="","",IF($D21="","PENDIENTE",SUM($D21:$K21)))</f>
        <v/>
      </c>
      <c r="P21" s="50" t="n"/>
      <c r="Q21" s="50" t="n"/>
      <c r="R21" s="36" t="n"/>
      <c r="S21" s="36" t="n"/>
      <c r="T21" s="36" t="n"/>
      <c r="U21" s="37">
        <f>IF($A21="","",IF(COUNT($P21:$T21)=0,0,IF(AND(SUM($P21:$Q21)&gt;0,NOT(ISNUMBER(IFERROR(IF(INDEX(tblProductos[Precio de venta actual],MATCH($A21,tblProductos[SKU],0))="","",INDEX(tblProductos[Precio de venta actual],MATCH($A21,tblProductos[SKU],0))),"")))),"PENDIENTE",IF(ISNUMBER(IFERROR(IF(INDEX(tblProductos[Precio de venta actual],MATCH($A21,tblProductos[SKU],0))="","",INDEX(tblProductos[Precio de venta actual],MATCH($A21,tblProductos[SKU],0))),"")),IFERROR(IF(INDEX(tblProductos[Precio de venta actual],MATCH($A21,tblProductos[SKU],0))="","",INDEX(tblProductos[Precio de venta actual],MATCH($A21,tblProductos[SKU],0))),""),0)*SUM($P21:$Q21)+SUM($R21:$T21))))</f>
        <v/>
      </c>
      <c r="V21" s="49">
        <f>IF($A21="","",IF(OR(NOT(ISNUMBER($O21)),NOT(ISNUMBER($U21))),"PENDIENTE",$O21+$U21))</f>
        <v/>
      </c>
      <c r="W21" s="41" t="n"/>
      <c r="X21" s="33" t="n"/>
    </row>
    <row r="22">
      <c r="A22" s="33" t="inlineStr">
        <is>
          <t>DES-GAL</t>
        </is>
      </c>
      <c r="B22" s="48">
        <f>IF($A22="","",IFERROR(IF(INDEX(tblProductos[Nombre del producto],MATCH($A22,tblProductos[SKU],0))="","",INDEX(tblProductos[Nombre del producto],MATCH($A22,tblProductos[SKU],0))),""))</f>
        <v/>
      </c>
      <c r="C22" s="48">
        <f>IF($A22="","",IFERROR(IF(INDEX(tblProductos[Categoría],MATCH($A22,tblProductos[SKU],0))="","",INDEX(tblProductos[Categoría],MATCH($A22,tblProductos[SKU],0))),""))</f>
        <v/>
      </c>
      <c r="D22" s="36" t="n"/>
      <c r="E22" s="36" t="n"/>
      <c r="F22" s="36" t="n"/>
      <c r="G22" s="36" t="n"/>
      <c r="H22" s="36" t="n"/>
      <c r="I22" s="36" t="n"/>
      <c r="J22" s="36" t="n"/>
      <c r="K22" s="36" t="n"/>
      <c r="L22" s="37">
        <f>IF(OR($A22="",COUNT($D22:$F22)=0),"",SUM($D22:$F22))</f>
        <v/>
      </c>
      <c r="M22" s="37">
        <f>IF(OR($A22="",COUNT($G22:$J22)=0),"",SUM($G22:$J22))</f>
        <v/>
      </c>
      <c r="N22" s="37">
        <f>IF(OR($A22="",COUNT($E22,$H22,$J22,$K22)=0),"",SUM($E22,$H22,$J22,$K22))</f>
        <v/>
      </c>
      <c r="O22" s="49">
        <f>IF($A22="","",IF($D22="","PENDIENTE",SUM($D22:$K22)))</f>
        <v/>
      </c>
      <c r="P22" s="50" t="n"/>
      <c r="Q22" s="50" t="n"/>
      <c r="R22" s="36" t="n"/>
      <c r="S22" s="36" t="n"/>
      <c r="T22" s="36" t="n"/>
      <c r="U22" s="37">
        <f>IF($A22="","",IF(COUNT($P22:$T22)=0,0,IF(AND(SUM($P22:$Q22)&gt;0,NOT(ISNUMBER(IFERROR(IF(INDEX(tblProductos[Precio de venta actual],MATCH($A22,tblProductos[SKU],0))="","",INDEX(tblProductos[Precio de venta actual],MATCH($A22,tblProductos[SKU],0))),"")))),"PENDIENTE",IF(ISNUMBER(IFERROR(IF(INDEX(tblProductos[Precio de venta actual],MATCH($A22,tblProductos[SKU],0))="","",INDEX(tblProductos[Precio de venta actual],MATCH($A22,tblProductos[SKU],0))),"")),IFERROR(IF(INDEX(tblProductos[Precio de venta actual],MATCH($A22,tblProductos[SKU],0))="","",INDEX(tblProductos[Precio de venta actual],MATCH($A22,tblProductos[SKU],0))),""),0)*SUM($P22:$Q22)+SUM($R22:$T22))))</f>
        <v/>
      </c>
      <c r="V22" s="49">
        <f>IF($A22="","",IF(OR(NOT(ISNUMBER($O22)),NOT(ISNUMBER($U22))),"PENDIENTE",$O22+$U22))</f>
        <v/>
      </c>
      <c r="W22" s="41" t="n"/>
      <c r="X22" s="33" t="n"/>
    </row>
    <row r="23">
      <c r="A23" s="33" t="inlineStr">
        <is>
          <t>ACE-250</t>
        </is>
      </c>
      <c r="B23" s="48">
        <f>IF($A23="","",IFERROR(IF(INDEX(tblProductos[Nombre del producto],MATCH($A23,tblProductos[SKU],0))="","",INDEX(tblProductos[Nombre del producto],MATCH($A23,tblProductos[SKU],0))),""))</f>
        <v/>
      </c>
      <c r="C23" s="48">
        <f>IF($A23="","",IFERROR(IF(INDEX(tblProductos[Categoría],MATCH($A23,tblProductos[SKU],0))="","",INDEX(tblProductos[Categoría],MATCH($A23,tblProductos[SKU],0))),""))</f>
        <v/>
      </c>
      <c r="D23" s="36" t="n"/>
      <c r="E23" s="36" t="n"/>
      <c r="F23" s="36" t="n"/>
      <c r="G23" s="36" t="n"/>
      <c r="H23" s="36" t="n"/>
      <c r="I23" s="36" t="n"/>
      <c r="J23" s="36" t="n"/>
      <c r="K23" s="36" t="n"/>
      <c r="L23" s="37">
        <f>IF(OR($A23="",COUNT($D23:$F23)=0),"",SUM($D23:$F23))</f>
        <v/>
      </c>
      <c r="M23" s="37">
        <f>IF(OR($A23="",COUNT($G23:$J23)=0),"",SUM($G23:$J23))</f>
        <v/>
      </c>
      <c r="N23" s="37">
        <f>IF(OR($A23="",COUNT($E23,$H23,$J23,$K23)=0),"",SUM($E23,$H23,$J23,$K23))</f>
        <v/>
      </c>
      <c r="O23" s="49">
        <f>IF($A23="","",IF($D23="","PENDIENTE",SUM($D23:$K23)))</f>
        <v/>
      </c>
      <c r="P23" s="50" t="n"/>
      <c r="Q23" s="50" t="n"/>
      <c r="R23" s="36" t="n"/>
      <c r="S23" s="36" t="n"/>
      <c r="T23" s="36" t="n"/>
      <c r="U23" s="37">
        <f>IF($A23="","",IF(COUNT($P23:$T23)=0,0,IF(AND(SUM($P23:$Q23)&gt;0,NOT(ISNUMBER(IFERROR(IF(INDEX(tblProductos[Precio de venta actual],MATCH($A23,tblProductos[SKU],0))="","",INDEX(tblProductos[Precio de venta actual],MATCH($A23,tblProductos[SKU],0))),"")))),"PENDIENTE",IF(ISNUMBER(IFERROR(IF(INDEX(tblProductos[Precio de venta actual],MATCH($A23,tblProductos[SKU],0))="","",INDEX(tblProductos[Precio de venta actual],MATCH($A23,tblProductos[SKU],0))),"")),IFERROR(IF(INDEX(tblProductos[Precio de venta actual],MATCH($A23,tblProductos[SKU],0))="","",INDEX(tblProductos[Precio de venta actual],MATCH($A23,tblProductos[SKU],0))),""),0)*SUM($P23:$Q23)+SUM($R23:$T23))))</f>
        <v/>
      </c>
      <c r="V23" s="49">
        <f>IF($A23="","",IF(OR(NOT(ISNUMBER($O23)),NOT(ISNUMBER($U23))),"PENDIENTE",$O23+$U23))</f>
        <v/>
      </c>
      <c r="W23" s="41" t="n"/>
      <c r="X23" s="33" t="n"/>
    </row>
    <row r="24">
      <c r="A24" s="33" t="inlineStr">
        <is>
          <t>ACE-GAL</t>
        </is>
      </c>
      <c r="B24" s="48">
        <f>IF($A24="","",IFERROR(IF(INDEX(tblProductos[Nombre del producto],MATCH($A24,tblProductos[SKU],0))="","",INDEX(tblProductos[Nombre del producto],MATCH($A24,tblProductos[SKU],0))),""))</f>
        <v/>
      </c>
      <c r="C24" s="48">
        <f>IF($A24="","",IFERROR(IF(INDEX(tblProductos[Categoría],MATCH($A24,tblProductos[SKU],0))="","",INDEX(tblProductos[Categoría],MATCH($A24,tblProductos[SKU],0))),""))</f>
        <v/>
      </c>
      <c r="D24" s="36" t="n"/>
      <c r="E24" s="36" t="n"/>
      <c r="F24" s="36" t="n"/>
      <c r="G24" s="36" t="n"/>
      <c r="H24" s="36" t="n"/>
      <c r="I24" s="36" t="n"/>
      <c r="J24" s="36" t="n"/>
      <c r="K24" s="36" t="n"/>
      <c r="L24" s="37">
        <f>IF(OR($A24="",COUNT($D24:$F24)=0),"",SUM($D24:$F24))</f>
        <v/>
      </c>
      <c r="M24" s="37">
        <f>IF(OR($A24="",COUNT($G24:$J24)=0),"",SUM($G24:$J24))</f>
        <v/>
      </c>
      <c r="N24" s="37">
        <f>IF(OR($A24="",COUNT($E24,$H24,$J24,$K24)=0),"",SUM($E24,$H24,$J24,$K24))</f>
        <v/>
      </c>
      <c r="O24" s="49">
        <f>IF($A24="","",IF($D24="","PENDIENTE",SUM($D24:$K24)))</f>
        <v/>
      </c>
      <c r="P24" s="50" t="n"/>
      <c r="Q24" s="50" t="n"/>
      <c r="R24" s="36" t="n"/>
      <c r="S24" s="36" t="n"/>
      <c r="T24" s="36" t="n"/>
      <c r="U24" s="37">
        <f>IF($A24="","",IF(COUNT($P24:$T24)=0,0,IF(AND(SUM($P24:$Q24)&gt;0,NOT(ISNUMBER(IFERROR(IF(INDEX(tblProductos[Precio de venta actual],MATCH($A24,tblProductos[SKU],0))="","",INDEX(tblProductos[Precio de venta actual],MATCH($A24,tblProductos[SKU],0))),"")))),"PENDIENTE",IF(ISNUMBER(IFERROR(IF(INDEX(tblProductos[Precio de venta actual],MATCH($A24,tblProductos[SKU],0))="","",INDEX(tblProductos[Precio de venta actual],MATCH($A24,tblProductos[SKU],0))),"")),IFERROR(IF(INDEX(tblProductos[Precio de venta actual],MATCH($A24,tblProductos[SKU],0))="","",INDEX(tblProductos[Precio de venta actual],MATCH($A24,tblProductos[SKU],0))),""),0)*SUM($P24:$Q24)+SUM($R24:$T24))))</f>
        <v/>
      </c>
      <c r="V24" s="49">
        <f>IF($A24="","",IF(OR(NOT(ISNUMBER($O24)),NOT(ISNUMBER($U24))),"PENDIENTE",$O24+$U24))</f>
        <v/>
      </c>
      <c r="W24" s="41" t="n"/>
      <c r="X24" s="33" t="n"/>
    </row>
    <row r="25">
      <c r="A25" s="33" t="inlineStr">
        <is>
          <t>MUL-900</t>
        </is>
      </c>
      <c r="B25" s="48">
        <f>IF($A25="","",IFERROR(IF(INDEX(tblProductos[Nombre del producto],MATCH($A25,tblProductos[SKU],0))="","",INDEX(tblProductos[Nombre del producto],MATCH($A25,tblProductos[SKU],0))),""))</f>
        <v/>
      </c>
      <c r="C25" s="48">
        <f>IF($A25="","",IFERROR(IF(INDEX(tblProductos[Categoría],MATCH($A25,tblProductos[SKU],0))="","",INDEX(tblProductos[Categoría],MATCH($A25,tblProductos[SKU],0))),""))</f>
        <v/>
      </c>
      <c r="D25" s="36" t="n"/>
      <c r="E25" s="36" t="n"/>
      <c r="F25" s="36" t="n"/>
      <c r="G25" s="36" t="n"/>
      <c r="H25" s="36" t="n"/>
      <c r="I25" s="36" t="n"/>
      <c r="J25" s="36" t="n"/>
      <c r="K25" s="36" t="n"/>
      <c r="L25" s="37">
        <f>IF(OR($A25="",COUNT($D25:$F25)=0),"",SUM($D25:$F25))</f>
        <v/>
      </c>
      <c r="M25" s="37">
        <f>IF(OR($A25="",COUNT($G25:$J25)=0),"",SUM($G25:$J25))</f>
        <v/>
      </c>
      <c r="N25" s="37">
        <f>IF(OR($A25="",COUNT($E25,$H25,$J25,$K25)=0),"",SUM($E25,$H25,$J25,$K25))</f>
        <v/>
      </c>
      <c r="O25" s="49">
        <f>IF($A25="","",IF($D25="","PENDIENTE",SUM($D25:$K25)))</f>
        <v/>
      </c>
      <c r="P25" s="50" t="n"/>
      <c r="Q25" s="50" t="n"/>
      <c r="R25" s="36" t="n"/>
      <c r="S25" s="36" t="n"/>
      <c r="T25" s="36" t="n"/>
      <c r="U25" s="37">
        <f>IF($A25="","",IF(COUNT($P25:$T25)=0,0,IF(AND(SUM($P25:$Q25)&gt;0,NOT(ISNUMBER(IFERROR(IF(INDEX(tblProductos[Precio de venta actual],MATCH($A25,tblProductos[SKU],0))="","",INDEX(tblProductos[Precio de venta actual],MATCH($A25,tblProductos[SKU],0))),"")))),"PENDIENTE",IF(ISNUMBER(IFERROR(IF(INDEX(tblProductos[Precio de venta actual],MATCH($A25,tblProductos[SKU],0))="","",INDEX(tblProductos[Precio de venta actual],MATCH($A25,tblProductos[SKU],0))),"")),IFERROR(IF(INDEX(tblProductos[Precio de venta actual],MATCH($A25,tblProductos[SKU],0))="","",INDEX(tblProductos[Precio de venta actual],MATCH($A25,tblProductos[SKU],0))),""),0)*SUM($P25:$Q25)+SUM($R25:$T25))))</f>
        <v/>
      </c>
      <c r="V25" s="49">
        <f>IF($A25="","",IF(OR(NOT(ISNUMBER($O25)),NOT(ISNUMBER($U25))),"PENDIENTE",$O25+$U25))</f>
        <v/>
      </c>
      <c r="W25" s="41" t="n"/>
      <c r="X25" s="33" t="n"/>
    </row>
    <row r="26">
      <c r="A26" s="33" t="inlineStr">
        <is>
          <t>MUL-GAL</t>
        </is>
      </c>
      <c r="B26" s="48">
        <f>IF($A26="","",IFERROR(IF(INDEX(tblProductos[Nombre del producto],MATCH($A26,tblProductos[SKU],0))="","",INDEX(tblProductos[Nombre del producto],MATCH($A26,tblProductos[SKU],0))),""))</f>
        <v/>
      </c>
      <c r="C26" s="48">
        <f>IF($A26="","",IFERROR(IF(INDEX(tblProductos[Categoría],MATCH($A26,tblProductos[SKU],0))="","",INDEX(tblProductos[Categoría],MATCH($A26,tblProductos[SKU],0))),""))</f>
        <v/>
      </c>
      <c r="D26" s="36" t="n"/>
      <c r="E26" s="36" t="n"/>
      <c r="F26" s="36" t="n"/>
      <c r="G26" s="36" t="n"/>
      <c r="H26" s="36" t="n"/>
      <c r="I26" s="36" t="n"/>
      <c r="J26" s="36" t="n"/>
      <c r="K26" s="36" t="n"/>
      <c r="L26" s="37">
        <f>IF(OR($A26="",COUNT($D26:$F26)=0),"",SUM($D26:$F26))</f>
        <v/>
      </c>
      <c r="M26" s="37">
        <f>IF(OR($A26="",COUNT($G26:$J26)=0),"",SUM($G26:$J26))</f>
        <v/>
      </c>
      <c r="N26" s="37">
        <f>IF(OR($A26="",COUNT($E26,$H26,$J26,$K26)=0),"",SUM($E26,$H26,$J26,$K26))</f>
        <v/>
      </c>
      <c r="O26" s="49">
        <f>IF($A26="","",IF($D26="","PENDIENTE",SUM($D26:$K26)))</f>
        <v/>
      </c>
      <c r="P26" s="50" t="n"/>
      <c r="Q26" s="50" t="n"/>
      <c r="R26" s="36" t="n"/>
      <c r="S26" s="36" t="n"/>
      <c r="T26" s="36" t="n"/>
      <c r="U26" s="37">
        <f>IF($A26="","",IF(COUNT($P26:$T26)=0,0,IF(AND(SUM($P26:$Q26)&gt;0,NOT(ISNUMBER(IFERROR(IF(INDEX(tblProductos[Precio de venta actual],MATCH($A26,tblProductos[SKU],0))="","",INDEX(tblProductos[Precio de venta actual],MATCH($A26,tblProductos[SKU],0))),"")))),"PENDIENTE",IF(ISNUMBER(IFERROR(IF(INDEX(tblProductos[Precio de venta actual],MATCH($A26,tblProductos[SKU],0))="","",INDEX(tblProductos[Precio de venta actual],MATCH($A26,tblProductos[SKU],0))),"")),IFERROR(IF(INDEX(tblProductos[Precio de venta actual],MATCH($A26,tblProductos[SKU],0))="","",INDEX(tblProductos[Precio de venta actual],MATCH($A26,tblProductos[SKU],0))),""),0)*SUM($P26:$Q26)+SUM($R26:$T26))))</f>
        <v/>
      </c>
      <c r="V26" s="49">
        <f>IF($A26="","",IF(OR(NOT(ISNUMBER($O26)),NOT(ISNUMBER($U26))),"PENDIENTE",$O26+$U26))</f>
        <v/>
      </c>
      <c r="W26" s="41" t="n"/>
      <c r="X26" s="33" t="n"/>
    </row>
    <row r="27">
      <c r="A27" s="33" t="inlineStr">
        <is>
          <t>MUL-5L</t>
        </is>
      </c>
      <c r="B27" s="48">
        <f>IF($A27="","",IFERROR(IF(INDEX(tblProductos[Nombre del producto],MATCH($A27,tblProductos[SKU],0))="","",INDEX(tblProductos[Nombre del producto],MATCH($A27,tblProductos[SKU],0))),""))</f>
        <v/>
      </c>
      <c r="C27" s="48">
        <f>IF($A27="","",IFERROR(IF(INDEX(tblProductos[Categoría],MATCH($A27,tblProductos[SKU],0))="","",INDEX(tblProductos[Categoría],MATCH($A27,tblProductos[SKU],0))),""))</f>
        <v/>
      </c>
      <c r="D27" s="36" t="n"/>
      <c r="E27" s="36" t="n"/>
      <c r="F27" s="36" t="n"/>
      <c r="G27" s="36" t="n"/>
      <c r="H27" s="36" t="n"/>
      <c r="I27" s="36" t="n"/>
      <c r="J27" s="36" t="n"/>
      <c r="K27" s="36" t="n"/>
      <c r="L27" s="37">
        <f>IF(OR($A27="",COUNT($D27:$F27)=0),"",SUM($D27:$F27))</f>
        <v/>
      </c>
      <c r="M27" s="37">
        <f>IF(OR($A27="",COUNT($G27:$J27)=0),"",SUM($G27:$J27))</f>
        <v/>
      </c>
      <c r="N27" s="37">
        <f>IF(OR($A27="",COUNT($E27,$H27,$J27,$K27)=0),"",SUM($E27,$H27,$J27,$K27))</f>
        <v/>
      </c>
      <c r="O27" s="49">
        <f>IF($A27="","",IF($D27="","PENDIENTE",SUM($D27:$K27)))</f>
        <v/>
      </c>
      <c r="P27" s="50" t="n"/>
      <c r="Q27" s="50" t="n"/>
      <c r="R27" s="36" t="n"/>
      <c r="S27" s="36" t="n"/>
      <c r="T27" s="36" t="n"/>
      <c r="U27" s="37">
        <f>IF($A27="","",IF(COUNT($P27:$T27)=0,0,IF(AND(SUM($P27:$Q27)&gt;0,NOT(ISNUMBER(IFERROR(IF(INDEX(tblProductos[Precio de venta actual],MATCH($A27,tblProductos[SKU],0))="","",INDEX(tblProductos[Precio de venta actual],MATCH($A27,tblProductos[SKU],0))),"")))),"PENDIENTE",IF(ISNUMBER(IFERROR(IF(INDEX(tblProductos[Precio de venta actual],MATCH($A27,tblProductos[SKU],0))="","",INDEX(tblProductos[Precio de venta actual],MATCH($A27,tblProductos[SKU],0))),"")),IFERROR(IF(INDEX(tblProductos[Precio de venta actual],MATCH($A27,tblProductos[SKU],0))="","",INDEX(tblProductos[Precio de venta actual],MATCH($A27,tblProductos[SKU],0))),""),0)*SUM($P27:$Q27)+SUM($R27:$T27))))</f>
        <v/>
      </c>
      <c r="V27" s="49">
        <f>IF($A27="","",IF(OR(NOT(ISNUMBER($O27)),NOT(ISNUMBER($U27))),"PENDIENTE",$O27+$U27))</f>
        <v/>
      </c>
      <c r="W27" s="41" t="n"/>
      <c r="X27" s="33" t="n"/>
    </row>
    <row r="28">
      <c r="A28" s="33" t="inlineStr">
        <is>
          <t>ODO-250</t>
        </is>
      </c>
      <c r="B28" s="48">
        <f>IF($A28="","",IFERROR(IF(INDEX(tblProductos[Nombre del producto],MATCH($A28,tblProductos[SKU],0))="","",INDEX(tblProductos[Nombre del producto],MATCH($A28,tblProductos[SKU],0))),""))</f>
        <v/>
      </c>
      <c r="C28" s="48">
        <f>IF($A28="","",IFERROR(IF(INDEX(tblProductos[Categoría],MATCH($A28,tblProductos[SKU],0))="","",INDEX(tblProductos[Categoría],MATCH($A28,tblProductos[SKU],0))),""))</f>
        <v/>
      </c>
      <c r="D28" s="36" t="n"/>
      <c r="E28" s="36" t="n"/>
      <c r="F28" s="36" t="n"/>
      <c r="G28" s="36" t="n"/>
      <c r="H28" s="36" t="n"/>
      <c r="I28" s="36" t="n"/>
      <c r="J28" s="36" t="n"/>
      <c r="K28" s="36" t="n"/>
      <c r="L28" s="37">
        <f>IF(OR($A28="",COUNT($D28:$F28)=0),"",SUM($D28:$F28))</f>
        <v/>
      </c>
      <c r="M28" s="37">
        <f>IF(OR($A28="",COUNT($G28:$J28)=0),"",SUM($G28:$J28))</f>
        <v/>
      </c>
      <c r="N28" s="37">
        <f>IF(OR($A28="",COUNT($E28,$H28,$J28,$K28)=0),"",SUM($E28,$H28,$J28,$K28))</f>
        <v/>
      </c>
      <c r="O28" s="49">
        <f>IF($A28="","",IF($D28="","PENDIENTE",SUM($D28:$K28)))</f>
        <v/>
      </c>
      <c r="P28" s="50" t="n"/>
      <c r="Q28" s="50" t="n"/>
      <c r="R28" s="36" t="n"/>
      <c r="S28" s="36" t="n"/>
      <c r="T28" s="36" t="n"/>
      <c r="U28" s="37">
        <f>IF($A28="","",IF(COUNT($P28:$T28)=0,0,IF(AND(SUM($P28:$Q28)&gt;0,NOT(ISNUMBER(IFERROR(IF(INDEX(tblProductos[Precio de venta actual],MATCH($A28,tblProductos[SKU],0))="","",INDEX(tblProductos[Precio de venta actual],MATCH($A28,tblProductos[SKU],0))),"")))),"PENDIENTE",IF(ISNUMBER(IFERROR(IF(INDEX(tblProductos[Precio de venta actual],MATCH($A28,tblProductos[SKU],0))="","",INDEX(tblProductos[Precio de venta actual],MATCH($A28,tblProductos[SKU],0))),"")),IFERROR(IF(INDEX(tblProductos[Precio de venta actual],MATCH($A28,tblProductos[SKU],0))="","",INDEX(tblProductos[Precio de venta actual],MATCH($A28,tblProductos[SKU],0))),""),0)*SUM($P28:$Q28)+SUM($R28:$T28))))</f>
        <v/>
      </c>
      <c r="V28" s="49">
        <f>IF($A28="","",IF(OR(NOT(ISNUMBER($O28)),NOT(ISNUMBER($U28))),"PENDIENTE",$O28+$U28))</f>
        <v/>
      </c>
      <c r="W28" s="41" t="n"/>
      <c r="X28" s="33" t="n"/>
    </row>
    <row r="29">
      <c r="A29" s="33" t="inlineStr">
        <is>
          <t>BAN-750</t>
        </is>
      </c>
      <c r="B29" s="48">
        <f>IF($A29="","",IFERROR(IF(INDEX(tblProductos[Nombre del producto],MATCH($A29,tblProductos[SKU],0))="","",INDEX(tblProductos[Nombre del producto],MATCH($A29,tblProductos[SKU],0))),""))</f>
        <v/>
      </c>
      <c r="C29" s="48">
        <f>IF($A29="","",IFERROR(IF(INDEX(tblProductos[Categoría],MATCH($A29,tblProductos[SKU],0))="","",INDEX(tblProductos[Categoría],MATCH($A29,tblProductos[SKU],0))),""))</f>
        <v/>
      </c>
      <c r="D29" s="36" t="n"/>
      <c r="E29" s="36" t="n"/>
      <c r="F29" s="36" t="n"/>
      <c r="G29" s="36" t="n"/>
      <c r="H29" s="36" t="n"/>
      <c r="I29" s="36" t="n"/>
      <c r="J29" s="36" t="n"/>
      <c r="K29" s="36" t="n"/>
      <c r="L29" s="37">
        <f>IF(OR($A29="",COUNT($D29:$F29)=0),"",SUM($D29:$F29))</f>
        <v/>
      </c>
      <c r="M29" s="37">
        <f>IF(OR($A29="",COUNT($G29:$J29)=0),"",SUM($G29:$J29))</f>
        <v/>
      </c>
      <c r="N29" s="37">
        <f>IF(OR($A29="",COUNT($E29,$H29,$J29,$K29)=0),"",SUM($E29,$H29,$J29,$K29))</f>
        <v/>
      </c>
      <c r="O29" s="49">
        <f>IF($A29="","",IF($D29="","PENDIENTE",SUM($D29:$K29)))</f>
        <v/>
      </c>
      <c r="P29" s="50" t="n"/>
      <c r="Q29" s="50" t="n"/>
      <c r="R29" s="36" t="n"/>
      <c r="S29" s="36" t="n"/>
      <c r="T29" s="36" t="n"/>
      <c r="U29" s="37">
        <f>IF($A29="","",IF(COUNT($P29:$T29)=0,0,IF(AND(SUM($P29:$Q29)&gt;0,NOT(ISNUMBER(IFERROR(IF(INDEX(tblProductos[Precio de venta actual],MATCH($A29,tblProductos[SKU],0))="","",INDEX(tblProductos[Precio de venta actual],MATCH($A29,tblProductos[SKU],0))),"")))),"PENDIENTE",IF(ISNUMBER(IFERROR(IF(INDEX(tblProductos[Precio de venta actual],MATCH($A29,tblProductos[SKU],0))="","",INDEX(tblProductos[Precio de venta actual],MATCH($A29,tblProductos[SKU],0))),"")),IFERROR(IF(INDEX(tblProductos[Precio de venta actual],MATCH($A29,tblProductos[SKU],0))="","",INDEX(tblProductos[Precio de venta actual],MATCH($A29,tblProductos[SKU],0))),""),0)*SUM($P29:$Q29)+SUM($R29:$T29))))</f>
        <v/>
      </c>
      <c r="V29" s="49">
        <f>IF($A29="","",IF(OR(NOT(ISNUMBER($O29)),NOT(ISNUMBER($U29))),"PENDIENTE",$O29+$U29))</f>
        <v/>
      </c>
      <c r="W29" s="41" t="n"/>
      <c r="X29" s="33" t="n"/>
    </row>
    <row r="30">
      <c r="A30" s="33" t="inlineStr">
        <is>
          <t>BAN-GAL</t>
        </is>
      </c>
      <c r="B30" s="48">
        <f>IF($A30="","",IFERROR(IF(INDEX(tblProductos[Nombre del producto],MATCH($A30,tblProductos[SKU],0))="","",INDEX(tblProductos[Nombre del producto],MATCH($A30,tblProductos[SKU],0))),""))</f>
        <v/>
      </c>
      <c r="C30" s="48">
        <f>IF($A30="","",IFERROR(IF(INDEX(tblProductos[Categoría],MATCH($A30,tblProductos[SKU],0))="","",INDEX(tblProductos[Categoría],MATCH($A30,tblProductos[SKU],0))),""))</f>
        <v/>
      </c>
      <c r="D30" s="36" t="n"/>
      <c r="E30" s="36" t="n"/>
      <c r="F30" s="36" t="n"/>
      <c r="G30" s="36" t="n"/>
      <c r="H30" s="36" t="n"/>
      <c r="I30" s="36" t="n"/>
      <c r="J30" s="36" t="n"/>
      <c r="K30" s="36" t="n"/>
      <c r="L30" s="37">
        <f>IF(OR($A30="",COUNT($D30:$F30)=0),"",SUM($D30:$F30))</f>
        <v/>
      </c>
      <c r="M30" s="37">
        <f>IF(OR($A30="",COUNT($G30:$J30)=0),"",SUM($G30:$J30))</f>
        <v/>
      </c>
      <c r="N30" s="37">
        <f>IF(OR($A30="",COUNT($E30,$H30,$J30,$K30)=0),"",SUM($E30,$H30,$J30,$K30))</f>
        <v/>
      </c>
      <c r="O30" s="49">
        <f>IF($A30="","",IF($D30="","PENDIENTE",SUM($D30:$K30)))</f>
        <v/>
      </c>
      <c r="P30" s="50" t="n"/>
      <c r="Q30" s="50" t="n"/>
      <c r="R30" s="36" t="n"/>
      <c r="S30" s="36" t="n"/>
      <c r="T30" s="36" t="n"/>
      <c r="U30" s="37">
        <f>IF($A30="","",IF(COUNT($P30:$T30)=0,0,IF(AND(SUM($P30:$Q30)&gt;0,NOT(ISNUMBER(IFERROR(IF(INDEX(tblProductos[Precio de venta actual],MATCH($A30,tblProductos[SKU],0))="","",INDEX(tblProductos[Precio de venta actual],MATCH($A30,tblProductos[SKU],0))),"")))),"PENDIENTE",IF(ISNUMBER(IFERROR(IF(INDEX(tblProductos[Precio de venta actual],MATCH($A30,tblProductos[SKU],0))="","",INDEX(tblProductos[Precio de venta actual],MATCH($A30,tblProductos[SKU],0))),"")),IFERROR(IF(INDEX(tblProductos[Precio de venta actual],MATCH($A30,tblProductos[SKU],0))="","",INDEX(tblProductos[Precio de venta actual],MATCH($A30,tblProductos[SKU],0))),""),0)*SUM($P30:$Q30)+SUM($R30:$T30))))</f>
        <v/>
      </c>
      <c r="V30" s="49">
        <f>IF($A30="","",IF(OR(NOT(ISNUMBER($O30)),NOT(ISNUMBER($U30))),"PENDIENTE",$O30+$U30))</f>
        <v/>
      </c>
      <c r="W30" s="41" t="n"/>
      <c r="X30" s="33" t="n"/>
    </row>
    <row r="31">
      <c r="A31" s="33" t="inlineStr">
        <is>
          <t>CAN-1L</t>
        </is>
      </c>
      <c r="B31" s="48">
        <f>IF($A31="","",IFERROR(IF(INDEX(tblProductos[Nombre del producto],MATCH($A31,tblProductos[SKU],0))="","",INDEX(tblProductos[Nombre del producto],MATCH($A31,tblProductos[SKU],0))),""))</f>
        <v/>
      </c>
      <c r="C31" s="48">
        <f>IF($A31="","",IFERROR(IF(INDEX(tblProductos[Categoría],MATCH($A31,tblProductos[SKU],0))="","",INDEX(tblProductos[Categoría],MATCH($A31,tblProductos[SKU],0))),""))</f>
        <v/>
      </c>
      <c r="D31" s="36" t="n"/>
      <c r="E31" s="36" t="n"/>
      <c r="F31" s="36" t="n"/>
      <c r="G31" s="36" t="n"/>
      <c r="H31" s="36" t="n"/>
      <c r="I31" s="36" t="n"/>
      <c r="J31" s="36" t="n"/>
      <c r="K31" s="36" t="n"/>
      <c r="L31" s="37">
        <f>IF(OR($A31="",COUNT($D31:$F31)=0),"",SUM($D31:$F31))</f>
        <v/>
      </c>
      <c r="M31" s="37">
        <f>IF(OR($A31="",COUNT($G31:$J31)=0),"",SUM($G31:$J31))</f>
        <v/>
      </c>
      <c r="N31" s="37">
        <f>IF(OR($A31="",COUNT($E31,$H31,$J31,$K31)=0),"",SUM($E31,$H31,$J31,$K31))</f>
        <v/>
      </c>
      <c r="O31" s="49">
        <f>IF($A31="","",IF($D31="","PENDIENTE",SUM($D31:$K31)))</f>
        <v/>
      </c>
      <c r="P31" s="50" t="n"/>
      <c r="Q31" s="50" t="n"/>
      <c r="R31" s="36" t="n"/>
      <c r="S31" s="36" t="n"/>
      <c r="T31" s="36" t="n"/>
      <c r="U31" s="37">
        <f>IF($A31="","",IF(COUNT($P31:$T31)=0,0,IF(AND(SUM($P31:$Q31)&gt;0,NOT(ISNUMBER(IFERROR(IF(INDEX(tblProductos[Precio de venta actual],MATCH($A31,tblProductos[SKU],0))="","",INDEX(tblProductos[Precio de venta actual],MATCH($A31,tblProductos[SKU],0))),"")))),"PENDIENTE",IF(ISNUMBER(IFERROR(IF(INDEX(tblProductos[Precio de venta actual],MATCH($A31,tblProductos[SKU],0))="","",INDEX(tblProductos[Precio de venta actual],MATCH($A31,tblProductos[SKU],0))),"")),IFERROR(IF(INDEX(tblProductos[Precio de venta actual],MATCH($A31,tblProductos[SKU],0))="","",INDEX(tblProductos[Precio de venta actual],MATCH($A31,tblProductos[SKU],0))),""),0)*SUM($P31:$Q31)+SUM($R31:$T31))))</f>
        <v/>
      </c>
      <c r="V31" s="49">
        <f>IF($A31="","",IF(OR(NOT(ISNUMBER($O31)),NOT(ISNUMBER($U31))),"PENDIENTE",$O31+$U31))</f>
        <v/>
      </c>
      <c r="W31" s="41" t="n"/>
      <c r="X31" s="33" t="n"/>
    </row>
    <row r="32">
      <c r="A32" s="33" t="inlineStr">
        <is>
          <t>CAN-GAL</t>
        </is>
      </c>
      <c r="B32" s="48">
        <f>IF($A32="","",IFERROR(IF(INDEX(tblProductos[Nombre del producto],MATCH($A32,tblProductos[SKU],0))="","",INDEX(tblProductos[Nombre del producto],MATCH($A32,tblProductos[SKU],0))),""))</f>
        <v/>
      </c>
      <c r="C32" s="48">
        <f>IF($A32="","",IFERROR(IF(INDEX(tblProductos[Categoría],MATCH($A32,tblProductos[SKU],0))="","",INDEX(tblProductos[Categoría],MATCH($A32,tblProductos[SKU],0))),""))</f>
        <v/>
      </c>
      <c r="D32" s="36" t="n"/>
      <c r="E32" s="36" t="n"/>
      <c r="F32" s="36" t="n"/>
      <c r="G32" s="36" t="n"/>
      <c r="H32" s="36" t="n"/>
      <c r="I32" s="36" t="n"/>
      <c r="J32" s="36" t="n"/>
      <c r="K32" s="36" t="n"/>
      <c r="L32" s="37">
        <f>IF(OR($A32="",COUNT($D32:$F32)=0),"",SUM($D32:$F32))</f>
        <v/>
      </c>
      <c r="M32" s="37">
        <f>IF(OR($A32="",COUNT($G32:$J32)=0),"",SUM($G32:$J32))</f>
        <v/>
      </c>
      <c r="N32" s="37">
        <f>IF(OR($A32="",COUNT($E32,$H32,$J32,$K32)=0),"",SUM($E32,$H32,$J32,$K32))</f>
        <v/>
      </c>
      <c r="O32" s="49">
        <f>IF($A32="","",IF($D32="","PENDIENTE",SUM($D32:$K32)))</f>
        <v/>
      </c>
      <c r="P32" s="50" t="n"/>
      <c r="Q32" s="50" t="n"/>
      <c r="R32" s="36" t="n"/>
      <c r="S32" s="36" t="n"/>
      <c r="T32" s="36" t="n"/>
      <c r="U32" s="37">
        <f>IF($A32="","",IF(COUNT($P32:$T32)=0,0,IF(AND(SUM($P32:$Q32)&gt;0,NOT(ISNUMBER(IFERROR(IF(INDEX(tblProductos[Precio de venta actual],MATCH($A32,tblProductos[SKU],0))="","",INDEX(tblProductos[Precio de venta actual],MATCH($A32,tblProductos[SKU],0))),"")))),"PENDIENTE",IF(ISNUMBER(IFERROR(IF(INDEX(tblProductos[Precio de venta actual],MATCH($A32,tblProductos[SKU],0))="","",INDEX(tblProductos[Precio de venta actual],MATCH($A32,tblProductos[SKU],0))),"")),IFERROR(IF(INDEX(tblProductos[Precio de venta actual],MATCH($A32,tblProductos[SKU],0))="","",INDEX(tblProductos[Precio de venta actual],MATCH($A32,tblProductos[SKU],0))),""),0)*SUM($P32:$Q32)+SUM($R32:$T32))))</f>
        <v/>
      </c>
      <c r="V32" s="49">
        <f>IF($A32="","",IF(OR(NOT(ISNUMBER($O32)),NOT(ISNUMBER($U32))),"PENDIENTE",$O32+$U32))</f>
        <v/>
      </c>
      <c r="W32" s="41" t="n"/>
      <c r="X32" s="33" t="n"/>
    </row>
    <row r="33">
      <c r="A33" s="33" t="inlineStr">
        <is>
          <t>SHA-250</t>
        </is>
      </c>
      <c r="B33" s="48">
        <f>IF($A33="","",IFERROR(IF(INDEX(tblProductos[Nombre del producto],MATCH($A33,tblProductos[SKU],0))="","",INDEX(tblProductos[Nombre del producto],MATCH($A33,tblProductos[SKU],0))),""))</f>
        <v/>
      </c>
      <c r="C33" s="48">
        <f>IF($A33="","",IFERROR(IF(INDEX(tblProductos[Categoría],MATCH($A33,tblProductos[SKU],0))="","",INDEX(tblProductos[Categoría],MATCH($A33,tblProductos[SKU],0))),""))</f>
        <v/>
      </c>
      <c r="D33" s="36" t="n"/>
      <c r="E33" s="36" t="n"/>
      <c r="F33" s="36" t="n"/>
      <c r="G33" s="36" t="n"/>
      <c r="H33" s="36" t="n"/>
      <c r="I33" s="36" t="n"/>
      <c r="J33" s="36" t="n"/>
      <c r="K33" s="36" t="n"/>
      <c r="L33" s="37">
        <f>IF(OR($A33="",COUNT($D33:$F33)=0),"",SUM($D33:$F33))</f>
        <v/>
      </c>
      <c r="M33" s="37">
        <f>IF(OR($A33="",COUNT($G33:$J33)=0),"",SUM($G33:$J33))</f>
        <v/>
      </c>
      <c r="N33" s="37">
        <f>IF(OR($A33="",COUNT($E33,$H33,$J33,$K33)=0),"",SUM($E33,$H33,$J33,$K33))</f>
        <v/>
      </c>
      <c r="O33" s="49">
        <f>IF($A33="","",IF($D33="","PENDIENTE",SUM($D33:$K33)))</f>
        <v/>
      </c>
      <c r="P33" s="50" t="n"/>
      <c r="Q33" s="50" t="n"/>
      <c r="R33" s="36" t="n"/>
      <c r="S33" s="36" t="n"/>
      <c r="T33" s="36" t="n"/>
      <c r="U33" s="37">
        <f>IF($A33="","",IF(COUNT($P33:$T33)=0,0,IF(AND(SUM($P33:$Q33)&gt;0,NOT(ISNUMBER(IFERROR(IF(INDEX(tblProductos[Precio de venta actual],MATCH($A33,tblProductos[SKU],0))="","",INDEX(tblProductos[Precio de venta actual],MATCH($A33,tblProductos[SKU],0))),"")))),"PENDIENTE",IF(ISNUMBER(IFERROR(IF(INDEX(tblProductos[Precio de venta actual],MATCH($A33,tblProductos[SKU],0))="","",INDEX(tblProductos[Precio de venta actual],MATCH($A33,tblProductos[SKU],0))),"")),IFERROR(IF(INDEX(tblProductos[Precio de venta actual],MATCH($A33,tblProductos[SKU],0))="","",INDEX(tblProductos[Precio de venta actual],MATCH($A33,tblProductos[SKU],0))),""),0)*SUM($P33:$Q33)+SUM($R33:$T33))))</f>
        <v/>
      </c>
      <c r="V33" s="49">
        <f>IF($A33="","",IF(OR(NOT(ISNUMBER($O33)),NOT(ISNUMBER($U33))),"PENDIENTE",$O33+$U33))</f>
        <v/>
      </c>
      <c r="W33" s="41" t="n"/>
      <c r="X33" s="33" t="n"/>
    </row>
    <row r="34">
      <c r="A34" s="33" t="inlineStr">
        <is>
          <t>SHA-2L</t>
        </is>
      </c>
      <c r="B34" s="48">
        <f>IF($A34="","",IFERROR(IF(INDEX(tblProductos[Nombre del producto],MATCH($A34,tblProductos[SKU],0))="","",INDEX(tblProductos[Nombre del producto],MATCH($A34,tblProductos[SKU],0))),""))</f>
        <v/>
      </c>
      <c r="C34" s="48">
        <f>IF($A34="","",IFERROR(IF(INDEX(tblProductos[Categoría],MATCH($A34,tblProductos[SKU],0))="","",INDEX(tblProductos[Categoría],MATCH($A34,tblProductos[SKU],0))),""))</f>
        <v/>
      </c>
      <c r="D34" s="36" t="n"/>
      <c r="E34" s="36" t="n"/>
      <c r="F34" s="36" t="n"/>
      <c r="G34" s="36" t="n"/>
      <c r="H34" s="36" t="n"/>
      <c r="I34" s="36" t="n"/>
      <c r="J34" s="36" t="n"/>
      <c r="K34" s="36" t="n"/>
      <c r="L34" s="37">
        <f>IF(OR($A34="",COUNT($D34:$F34)=0),"",SUM($D34:$F34))</f>
        <v/>
      </c>
      <c r="M34" s="37">
        <f>IF(OR($A34="",COUNT($G34:$J34)=0),"",SUM($G34:$J34))</f>
        <v/>
      </c>
      <c r="N34" s="37">
        <f>IF(OR($A34="",COUNT($E34,$H34,$J34,$K34)=0),"",SUM($E34,$H34,$J34,$K34))</f>
        <v/>
      </c>
      <c r="O34" s="49">
        <f>IF($A34="","",IF($D34="","PENDIENTE",SUM($D34:$K34)))</f>
        <v/>
      </c>
      <c r="P34" s="50" t="n"/>
      <c r="Q34" s="50" t="n"/>
      <c r="R34" s="36" t="n"/>
      <c r="S34" s="36" t="n"/>
      <c r="T34" s="36" t="n"/>
      <c r="U34" s="37">
        <f>IF($A34="","",IF(COUNT($P34:$T34)=0,0,IF(AND(SUM($P34:$Q34)&gt;0,NOT(ISNUMBER(IFERROR(IF(INDEX(tblProductos[Precio de venta actual],MATCH($A34,tblProductos[SKU],0))="","",INDEX(tblProductos[Precio de venta actual],MATCH($A34,tblProductos[SKU],0))),"")))),"PENDIENTE",IF(ISNUMBER(IFERROR(IF(INDEX(tblProductos[Precio de venta actual],MATCH($A34,tblProductos[SKU],0))="","",INDEX(tblProductos[Precio de venta actual],MATCH($A34,tblProductos[SKU],0))),"")),IFERROR(IF(INDEX(tblProductos[Precio de venta actual],MATCH($A34,tblProductos[SKU],0))="","",INDEX(tblProductos[Precio de venta actual],MATCH($A34,tblProductos[SKU],0))),""),0)*SUM($P34:$Q34)+SUM($R34:$T34))))</f>
        <v/>
      </c>
      <c r="V34" s="49">
        <f>IF($A34="","",IF(OR(NOT(ISNUMBER($O34)),NOT(ISNUMBER($U34))),"PENDIENTE",$O34+$U34))</f>
        <v/>
      </c>
      <c r="W34" s="41" t="n"/>
      <c r="X34" s="33" t="n"/>
    </row>
    <row r="35">
      <c r="A35" s="33" t="inlineStr">
        <is>
          <t>SHA-GAL</t>
        </is>
      </c>
      <c r="B35" s="48">
        <f>IF($A35="","",IFERROR(IF(INDEX(tblProductos[Nombre del producto],MATCH($A35,tblProductos[SKU],0))="","",INDEX(tblProductos[Nombre del producto],MATCH($A35,tblProductos[SKU],0))),""))</f>
        <v/>
      </c>
      <c r="C35" s="48">
        <f>IF($A35="","",IFERROR(IF(INDEX(tblProductos[Categoría],MATCH($A35,tblProductos[SKU],0))="","",INDEX(tblProductos[Categoría],MATCH($A35,tblProductos[SKU],0))),""))</f>
        <v/>
      </c>
      <c r="D35" s="36" t="n"/>
      <c r="E35" s="36" t="n"/>
      <c r="F35" s="36" t="n"/>
      <c r="G35" s="36" t="n"/>
      <c r="H35" s="36" t="n"/>
      <c r="I35" s="36" t="n"/>
      <c r="J35" s="36" t="n"/>
      <c r="K35" s="36" t="n"/>
      <c r="L35" s="37">
        <f>IF(OR($A35="",COUNT($D35:$F35)=0),"",SUM($D35:$F35))</f>
        <v/>
      </c>
      <c r="M35" s="37">
        <f>IF(OR($A35="",COUNT($G35:$J35)=0),"",SUM($G35:$J35))</f>
        <v/>
      </c>
      <c r="N35" s="37">
        <f>IF(OR($A35="",COUNT($E35,$H35,$J35,$K35)=0),"",SUM($E35,$H35,$J35,$K35))</f>
        <v/>
      </c>
      <c r="O35" s="49">
        <f>IF($A35="","",IF($D35="","PENDIENTE",SUM($D35:$K35)))</f>
        <v/>
      </c>
      <c r="P35" s="50" t="n"/>
      <c r="Q35" s="50" t="n"/>
      <c r="R35" s="36" t="n"/>
      <c r="S35" s="36" t="n"/>
      <c r="T35" s="36" t="n"/>
      <c r="U35" s="37">
        <f>IF($A35="","",IF(COUNT($P35:$T35)=0,0,IF(AND(SUM($P35:$Q35)&gt;0,NOT(ISNUMBER(IFERROR(IF(INDEX(tblProductos[Precio de venta actual],MATCH($A35,tblProductos[SKU],0))="","",INDEX(tblProductos[Precio de venta actual],MATCH($A35,tblProductos[SKU],0))),"")))),"PENDIENTE",IF(ISNUMBER(IFERROR(IF(INDEX(tblProductos[Precio de venta actual],MATCH($A35,tblProductos[SKU],0))="","",INDEX(tblProductos[Precio de venta actual],MATCH($A35,tblProductos[SKU],0))),"")),IFERROR(IF(INDEX(tblProductos[Precio de venta actual],MATCH($A35,tblProductos[SKU],0))="","",INDEX(tblProductos[Precio de venta actual],MATCH($A35,tblProductos[SKU],0))),""),0)*SUM($P35:$Q35)+SUM($R35:$T35))))</f>
        <v/>
      </c>
      <c r="V35" s="49">
        <f>IF($A35="","",IF(OR(NOT(ISNUMBER($O35)),NOT(ISNUMBER($U35))),"PENDIENTE",$O35+$U35))</f>
        <v/>
      </c>
      <c r="W35" s="41" t="n"/>
      <c r="X35" s="33" t="n"/>
    </row>
    <row r="36">
      <c r="A36" s="33" t="inlineStr">
        <is>
          <t>ARO-100</t>
        </is>
      </c>
      <c r="B36" s="48">
        <f>IF($A36="","",IFERROR(IF(INDEX(tblProductos[Nombre del producto],MATCH($A36,tblProductos[SKU],0))="","",INDEX(tblProductos[Nombre del producto],MATCH($A36,tblProductos[SKU],0))),""))</f>
        <v/>
      </c>
      <c r="C36" s="48">
        <f>IF($A36="","",IFERROR(IF(INDEX(tblProductos[Categoría],MATCH($A36,tblProductos[SKU],0))="","",INDEX(tblProductos[Categoría],MATCH($A36,tblProductos[SKU],0))),""))</f>
        <v/>
      </c>
      <c r="D36" s="36" t="n"/>
      <c r="E36" s="36" t="n"/>
      <c r="F36" s="36" t="n"/>
      <c r="G36" s="36" t="n"/>
      <c r="H36" s="36" t="n"/>
      <c r="I36" s="36" t="n"/>
      <c r="J36" s="36" t="n"/>
      <c r="K36" s="36" t="n"/>
      <c r="L36" s="37">
        <f>IF(OR($A36="",COUNT($D36:$F36)=0),"",SUM($D36:$F36))</f>
        <v/>
      </c>
      <c r="M36" s="37">
        <f>IF(OR($A36="",COUNT($G36:$J36)=0),"",SUM($G36:$J36))</f>
        <v/>
      </c>
      <c r="N36" s="37">
        <f>IF(OR($A36="",COUNT($E36,$H36,$J36,$K36)=0),"",SUM($E36,$H36,$J36,$K36))</f>
        <v/>
      </c>
      <c r="O36" s="49">
        <f>IF($A36="","",IF($D36="","PENDIENTE",SUM($D36:$K36)))</f>
        <v/>
      </c>
      <c r="P36" s="50" t="n"/>
      <c r="Q36" s="50" t="n"/>
      <c r="R36" s="36" t="n"/>
      <c r="S36" s="36" t="n"/>
      <c r="T36" s="36" t="n"/>
      <c r="U36" s="37">
        <f>IF($A36="","",IF(COUNT($P36:$T36)=0,0,IF(AND(SUM($P36:$Q36)&gt;0,NOT(ISNUMBER(IFERROR(IF(INDEX(tblProductos[Precio de venta actual],MATCH($A36,tblProductos[SKU],0))="","",INDEX(tblProductos[Precio de venta actual],MATCH($A36,tblProductos[SKU],0))),"")))),"PENDIENTE",IF(ISNUMBER(IFERROR(IF(INDEX(tblProductos[Precio de venta actual],MATCH($A36,tblProductos[SKU],0))="","",INDEX(tblProductos[Precio de venta actual],MATCH($A36,tblProductos[SKU],0))),"")),IFERROR(IF(INDEX(tblProductos[Precio de venta actual],MATCH($A36,tblProductos[SKU],0))="","",INDEX(tblProductos[Precio de venta actual],MATCH($A36,tblProductos[SKU],0))),""),0)*SUM($P36:$Q36)+SUM($R36:$T36))))</f>
        <v/>
      </c>
      <c r="V36" s="49">
        <f>IF($A36="","",IF(OR(NOT(ISNUMBER($O36)),NOT(ISNUMBER($U36))),"PENDIENTE",$O36+$U36))</f>
        <v/>
      </c>
      <c r="W36" s="41" t="n"/>
      <c r="X36" s="33" t="n"/>
    </row>
    <row r="37">
      <c r="A37" s="33" t="inlineStr">
        <is>
          <t>ARO-250</t>
        </is>
      </c>
      <c r="B37" s="48">
        <f>IF($A37="","",IFERROR(IF(INDEX(tblProductos[Nombre del producto],MATCH($A37,tblProductos[SKU],0))="","",INDEX(tblProductos[Nombre del producto],MATCH($A37,tblProductos[SKU],0))),""))</f>
        <v/>
      </c>
      <c r="C37" s="48">
        <f>IF($A37="","",IFERROR(IF(INDEX(tblProductos[Categoría],MATCH($A37,tblProductos[SKU],0))="","",INDEX(tblProductos[Categoría],MATCH($A37,tblProductos[SKU],0))),""))</f>
        <v/>
      </c>
      <c r="D37" s="36" t="n"/>
      <c r="E37" s="36" t="n"/>
      <c r="F37" s="36" t="n"/>
      <c r="G37" s="36" t="n"/>
      <c r="H37" s="36" t="n"/>
      <c r="I37" s="36" t="n"/>
      <c r="J37" s="36" t="n"/>
      <c r="K37" s="36" t="n"/>
      <c r="L37" s="37">
        <f>IF(OR($A37="",COUNT($D37:$F37)=0),"",SUM($D37:$F37))</f>
        <v/>
      </c>
      <c r="M37" s="37">
        <f>IF(OR($A37="",COUNT($G37:$J37)=0),"",SUM($G37:$J37))</f>
        <v/>
      </c>
      <c r="N37" s="37">
        <f>IF(OR($A37="",COUNT($E37,$H37,$J37,$K37)=0),"",SUM($E37,$H37,$J37,$K37))</f>
        <v/>
      </c>
      <c r="O37" s="49">
        <f>IF($A37="","",IF($D37="","PENDIENTE",SUM($D37:$K37)))</f>
        <v/>
      </c>
      <c r="P37" s="50" t="n"/>
      <c r="Q37" s="50" t="n"/>
      <c r="R37" s="36" t="n"/>
      <c r="S37" s="36" t="n"/>
      <c r="T37" s="36" t="n"/>
      <c r="U37" s="37">
        <f>IF($A37="","",IF(COUNT($P37:$T37)=0,0,IF(AND(SUM($P37:$Q37)&gt;0,NOT(ISNUMBER(IFERROR(IF(INDEX(tblProductos[Precio de venta actual],MATCH($A37,tblProductos[SKU],0))="","",INDEX(tblProductos[Precio de venta actual],MATCH($A37,tblProductos[SKU],0))),"")))),"PENDIENTE",IF(ISNUMBER(IFERROR(IF(INDEX(tblProductos[Precio de venta actual],MATCH($A37,tblProductos[SKU],0))="","",INDEX(tblProductos[Precio de venta actual],MATCH($A37,tblProductos[SKU],0))),"")),IFERROR(IF(INDEX(tblProductos[Precio de venta actual],MATCH($A37,tblProductos[SKU],0))="","",INDEX(tblProductos[Precio de venta actual],MATCH($A37,tblProductos[SKU],0))),""),0)*SUM($P37:$Q37)+SUM($R37:$T37))))</f>
        <v/>
      </c>
      <c r="V37" s="49">
        <f>IF($A37="","",IF(OR(NOT(ISNUMBER($O37)),NOT(ISNUMBER($U37))),"PENDIENTE",$O37+$U37))</f>
        <v/>
      </c>
      <c r="W37" s="41" t="n"/>
      <c r="X37" s="33" t="n"/>
    </row>
    <row r="38">
      <c r="A38" s="33" t="inlineStr">
        <is>
          <t>PAU-250</t>
        </is>
      </c>
      <c r="B38" s="48">
        <f>IF($A38="","",IFERROR(IF(INDEX(tblProductos[Nombre del producto],MATCH($A38,tblProductos[SKU],0))="","",INDEX(tblProductos[Nombre del producto],MATCH($A38,tblProductos[SKU],0))),""))</f>
        <v/>
      </c>
      <c r="C38" s="48">
        <f>IF($A38="","",IFERROR(IF(INDEX(tblProductos[Categoría],MATCH($A38,tblProductos[SKU],0))="","",INDEX(tblProductos[Categoría],MATCH($A38,tblProductos[SKU],0))),""))</f>
        <v/>
      </c>
      <c r="D38" s="36" t="n"/>
      <c r="E38" s="36" t="n"/>
      <c r="F38" s="36" t="n"/>
      <c r="G38" s="36" t="n"/>
      <c r="H38" s="36" t="n"/>
      <c r="I38" s="36" t="n"/>
      <c r="J38" s="36" t="n"/>
      <c r="K38" s="36" t="n"/>
      <c r="L38" s="37">
        <f>IF(OR($A38="",COUNT($D38:$F38)=0),"",SUM($D38:$F38))</f>
        <v/>
      </c>
      <c r="M38" s="37">
        <f>IF(OR($A38="",COUNT($G38:$J38)=0),"",SUM($G38:$J38))</f>
        <v/>
      </c>
      <c r="N38" s="37">
        <f>IF(OR($A38="",COUNT($E38,$H38,$J38,$K38)=0),"",SUM($E38,$H38,$J38,$K38))</f>
        <v/>
      </c>
      <c r="O38" s="49">
        <f>IF($A38="","",IF($D38="","PENDIENTE",SUM($D38:$K38)))</f>
        <v/>
      </c>
      <c r="P38" s="50" t="n"/>
      <c r="Q38" s="50" t="n"/>
      <c r="R38" s="36" t="n"/>
      <c r="S38" s="36" t="n"/>
      <c r="T38" s="36" t="n"/>
      <c r="U38" s="37">
        <f>IF($A38="","",IF(COUNT($P38:$T38)=0,0,IF(AND(SUM($P38:$Q38)&gt;0,NOT(ISNUMBER(IFERROR(IF(INDEX(tblProductos[Precio de venta actual],MATCH($A38,tblProductos[SKU],0))="","",INDEX(tblProductos[Precio de venta actual],MATCH($A38,tblProductos[SKU],0))),"")))),"PENDIENTE",IF(ISNUMBER(IFERROR(IF(INDEX(tblProductos[Precio de venta actual],MATCH($A38,tblProductos[SKU],0))="","",INDEX(tblProductos[Precio de venta actual],MATCH($A38,tblProductos[SKU],0))),"")),IFERROR(IF(INDEX(tblProductos[Precio de venta actual],MATCH($A38,tblProductos[SKU],0))="","",INDEX(tblProductos[Precio de venta actual],MATCH($A38,tblProductos[SKU],0))),""),0)*SUM($P38:$Q38)+SUM($R38:$T38))))</f>
        <v/>
      </c>
      <c r="V38" s="49">
        <f>IF($A38="","",IF(OR(NOT(ISNUMBER($O38)),NOT(ISNUMBER($U38))),"PENDIENTE",$O38+$U38))</f>
        <v/>
      </c>
      <c r="W38" s="41" t="n"/>
      <c r="X38" s="33" t="n"/>
    </row>
    <row r="39">
      <c r="A39" s="33" t="inlineStr">
        <is>
          <t>PAU-GAL</t>
        </is>
      </c>
      <c r="B39" s="48">
        <f>IF($A39="","",IFERROR(IF(INDEX(tblProductos[Nombre del producto],MATCH($A39,tblProductos[SKU],0))="","",INDEX(tblProductos[Nombre del producto],MATCH($A39,tblProductos[SKU],0))),""))</f>
        <v/>
      </c>
      <c r="C39" s="48">
        <f>IF($A39="","",IFERROR(IF(INDEX(tblProductos[Categoría],MATCH($A39,tblProductos[SKU],0))="","",INDEX(tblProductos[Categoría],MATCH($A39,tblProductos[SKU],0))),""))</f>
        <v/>
      </c>
      <c r="D39" s="36" t="n"/>
      <c r="E39" s="36" t="n"/>
      <c r="F39" s="36" t="n"/>
      <c r="G39" s="36" t="n"/>
      <c r="H39" s="36" t="n"/>
      <c r="I39" s="36" t="n"/>
      <c r="J39" s="36" t="n"/>
      <c r="K39" s="36" t="n"/>
      <c r="L39" s="37">
        <f>IF(OR($A39="",COUNT($D39:$F39)=0),"",SUM($D39:$F39))</f>
        <v/>
      </c>
      <c r="M39" s="37">
        <f>IF(OR($A39="",COUNT($G39:$J39)=0),"",SUM($G39:$J39))</f>
        <v/>
      </c>
      <c r="N39" s="37">
        <f>IF(OR($A39="",COUNT($E39,$H39,$J39,$K39)=0),"",SUM($E39,$H39,$J39,$K39))</f>
        <v/>
      </c>
      <c r="O39" s="49">
        <f>IF($A39="","",IF($D39="","PENDIENTE",SUM($D39:$K39)))</f>
        <v/>
      </c>
      <c r="P39" s="50" t="n"/>
      <c r="Q39" s="50" t="n"/>
      <c r="R39" s="36" t="n"/>
      <c r="S39" s="36" t="n"/>
      <c r="T39" s="36" t="n"/>
      <c r="U39" s="37">
        <f>IF($A39="","",IF(COUNT($P39:$T39)=0,0,IF(AND(SUM($P39:$Q39)&gt;0,NOT(ISNUMBER(IFERROR(IF(INDEX(tblProductos[Precio de venta actual],MATCH($A39,tblProductos[SKU],0))="","",INDEX(tblProductos[Precio de venta actual],MATCH($A39,tblProductos[SKU],0))),"")))),"PENDIENTE",IF(ISNUMBER(IFERROR(IF(INDEX(tblProductos[Precio de venta actual],MATCH($A39,tblProductos[SKU],0))="","",INDEX(tblProductos[Precio de venta actual],MATCH($A39,tblProductos[SKU],0))),"")),IFERROR(IF(INDEX(tblProductos[Precio de venta actual],MATCH($A39,tblProductos[SKU],0))="","",INDEX(tblProductos[Precio de venta actual],MATCH($A39,tblProductos[SKU],0))),""),0)*SUM($P39:$Q39)+SUM($R39:$T39))))</f>
        <v/>
      </c>
      <c r="V39" s="49">
        <f>IF($A39="","",IF(OR(NOT(ISNUMBER($O39)),NOT(ISNUMBER($U39))),"PENDIENTE",$O39+$U39))</f>
        <v/>
      </c>
      <c r="W39" s="41" t="n"/>
      <c r="X39" s="33" t="n"/>
    </row>
    <row r="40">
      <c r="A40" s="33" t="inlineStr">
        <is>
          <t>PLL-710</t>
        </is>
      </c>
      <c r="B40" s="48">
        <f>IF($A40="","",IFERROR(IF(INDEX(tblProductos[Nombre del producto],MATCH($A40,tblProductos[SKU],0))="","",INDEX(tblProductos[Nombre del producto],MATCH($A40,tblProductos[SKU],0))),""))</f>
        <v/>
      </c>
      <c r="C40" s="48">
        <f>IF($A40="","",IFERROR(IF(INDEX(tblProductos[Categoría],MATCH($A40,tblProductos[SKU],0))="","",INDEX(tblProductos[Categoría],MATCH($A40,tblProductos[SKU],0))),""))</f>
        <v/>
      </c>
      <c r="D40" s="36" t="n"/>
      <c r="E40" s="36" t="n"/>
      <c r="F40" s="36" t="n"/>
      <c r="G40" s="36" t="n"/>
      <c r="H40" s="36" t="n"/>
      <c r="I40" s="36" t="n"/>
      <c r="J40" s="36" t="n"/>
      <c r="K40" s="36" t="n"/>
      <c r="L40" s="37">
        <f>IF(OR($A40="",COUNT($D40:$F40)=0),"",SUM($D40:$F40))</f>
        <v/>
      </c>
      <c r="M40" s="37">
        <f>IF(OR($A40="",COUNT($G40:$J40)=0),"",SUM($G40:$J40))</f>
        <v/>
      </c>
      <c r="N40" s="37">
        <f>IF(OR($A40="",COUNT($E40,$H40,$J40,$K40)=0),"",SUM($E40,$H40,$J40,$K40))</f>
        <v/>
      </c>
      <c r="O40" s="49">
        <f>IF($A40="","",IF($D40="","PENDIENTE",SUM($D40:$K40)))</f>
        <v/>
      </c>
      <c r="P40" s="50" t="n"/>
      <c r="Q40" s="50" t="n"/>
      <c r="R40" s="36" t="n"/>
      <c r="S40" s="36" t="n"/>
      <c r="T40" s="36" t="n"/>
      <c r="U40" s="37">
        <f>IF($A40="","",IF(COUNT($P40:$T40)=0,0,IF(AND(SUM($P40:$Q40)&gt;0,NOT(ISNUMBER(IFERROR(IF(INDEX(tblProductos[Precio de venta actual],MATCH($A40,tblProductos[SKU],0))="","",INDEX(tblProductos[Precio de venta actual],MATCH($A40,tblProductos[SKU],0))),"")))),"PENDIENTE",IF(ISNUMBER(IFERROR(IF(INDEX(tblProductos[Precio de venta actual],MATCH($A40,tblProductos[SKU],0))="","",INDEX(tblProductos[Precio de venta actual],MATCH($A40,tblProductos[SKU],0))),"")),IFERROR(IF(INDEX(tblProductos[Precio de venta actual],MATCH($A40,tblProductos[SKU],0))="","",INDEX(tblProductos[Precio de venta actual],MATCH($A40,tblProductos[SKU],0))),""),0)*SUM($P40:$Q40)+SUM($R40:$T40))))</f>
        <v/>
      </c>
      <c r="V40" s="49">
        <f>IF($A40="","",IF(OR(NOT(ISNUMBER($O40)),NOT(ISNUMBER($U40))),"PENDIENTE",$O40+$U40))</f>
        <v/>
      </c>
      <c r="W40" s="41" t="n"/>
      <c r="X40" s="33" t="n"/>
    </row>
    <row r="41">
      <c r="A41" s="33" t="inlineStr">
        <is>
          <t>PLL-TAR</t>
        </is>
      </c>
      <c r="B41" s="48">
        <f>IF($A41="","",IFERROR(IF(INDEX(tblProductos[Nombre del producto],MATCH($A41,tblProductos[SKU],0))="","",INDEX(tblProductos[Nombre del producto],MATCH($A41,tblProductos[SKU],0))),""))</f>
        <v/>
      </c>
      <c r="C41" s="48">
        <f>IF($A41="","",IFERROR(IF(INDEX(tblProductos[Categoría],MATCH($A41,tblProductos[SKU],0))="","",INDEX(tblProductos[Categoría],MATCH($A41,tblProductos[SKU],0))),""))</f>
        <v/>
      </c>
      <c r="D41" s="36" t="n"/>
      <c r="E41" s="36" t="n"/>
      <c r="F41" s="36" t="n"/>
      <c r="G41" s="36" t="n"/>
      <c r="H41" s="36" t="n"/>
      <c r="I41" s="36" t="n"/>
      <c r="J41" s="36" t="n"/>
      <c r="K41" s="36" t="n"/>
      <c r="L41" s="37">
        <f>IF(OR($A41="",COUNT($D41:$F41)=0),"",SUM($D41:$F41))</f>
        <v/>
      </c>
      <c r="M41" s="37">
        <f>IF(OR($A41="",COUNT($G41:$J41)=0),"",SUM($G41:$J41))</f>
        <v/>
      </c>
      <c r="N41" s="37">
        <f>IF(OR($A41="",COUNT($E41,$H41,$J41,$K41)=0),"",SUM($E41,$H41,$J41,$K41))</f>
        <v/>
      </c>
      <c r="O41" s="49">
        <f>IF($A41="","",IF($D41="","PENDIENTE",SUM($D41:$K41)))</f>
        <v/>
      </c>
      <c r="P41" s="50" t="n"/>
      <c r="Q41" s="50" t="n"/>
      <c r="R41" s="36" t="n"/>
      <c r="S41" s="36" t="n"/>
      <c r="T41" s="36" t="n"/>
      <c r="U41" s="37">
        <f>IF($A41="","",IF(COUNT($P41:$T41)=0,0,IF(AND(SUM($P41:$Q41)&gt;0,NOT(ISNUMBER(IFERROR(IF(INDEX(tblProductos[Precio de venta actual],MATCH($A41,tblProductos[SKU],0))="","",INDEX(tblProductos[Precio de venta actual],MATCH($A41,tblProductos[SKU],0))),"")))),"PENDIENTE",IF(ISNUMBER(IFERROR(IF(INDEX(tblProductos[Precio de venta actual],MATCH($A41,tblProductos[SKU],0))="","",INDEX(tblProductos[Precio de venta actual],MATCH($A41,tblProductos[SKU],0))),"")),IFERROR(IF(INDEX(tblProductos[Precio de venta actual],MATCH($A41,tblProductos[SKU],0))="","",INDEX(tblProductos[Precio de venta actual],MATCH($A41,tblProductos[SKU],0))),""),0)*SUM($P41:$Q41)+SUM($R41:$T41))))</f>
        <v/>
      </c>
      <c r="V41" s="49">
        <f>IF($A41="","",IF(OR(NOT(ISNUMBER($O41)),NOT(ISNUMBER($U41))),"PENDIENTE",$O41+$U41))</f>
        <v/>
      </c>
      <c r="W41" s="41" t="n"/>
      <c r="X41" s="33" t="n"/>
    </row>
    <row r="42">
      <c r="A42" s="33" t="inlineStr">
        <is>
          <t>PLL-GAL</t>
        </is>
      </c>
      <c r="B42" s="48">
        <f>IF($A42="","",IFERROR(IF(INDEX(tblProductos[Nombre del producto],MATCH($A42,tblProductos[SKU],0))="","",INDEX(tblProductos[Nombre del producto],MATCH($A42,tblProductos[SKU],0))),""))</f>
        <v/>
      </c>
      <c r="C42" s="48">
        <f>IF($A42="","",IFERROR(IF(INDEX(tblProductos[Categoría],MATCH($A42,tblProductos[SKU],0))="","",INDEX(tblProductos[Categoría],MATCH($A42,tblProductos[SKU],0))),""))</f>
        <v/>
      </c>
      <c r="D42" s="36" t="n"/>
      <c r="E42" s="36" t="n"/>
      <c r="F42" s="36" t="n"/>
      <c r="G42" s="36" t="n"/>
      <c r="H42" s="36" t="n"/>
      <c r="I42" s="36" t="n"/>
      <c r="J42" s="36" t="n"/>
      <c r="K42" s="36" t="n"/>
      <c r="L42" s="37">
        <f>IF(OR($A42="",COUNT($D42:$F42)=0),"",SUM($D42:$F42))</f>
        <v/>
      </c>
      <c r="M42" s="37">
        <f>IF(OR($A42="",COUNT($G42:$J42)=0),"",SUM($G42:$J42))</f>
        <v/>
      </c>
      <c r="N42" s="37">
        <f>IF(OR($A42="",COUNT($E42,$H42,$J42,$K42)=0),"",SUM($E42,$H42,$J42,$K42))</f>
        <v/>
      </c>
      <c r="O42" s="49">
        <f>IF($A42="","",IF($D42="","PENDIENTE",SUM($D42:$K42)))</f>
        <v/>
      </c>
      <c r="P42" s="50" t="n"/>
      <c r="Q42" s="50" t="n"/>
      <c r="R42" s="36" t="n"/>
      <c r="S42" s="36" t="n"/>
      <c r="T42" s="36" t="n"/>
      <c r="U42" s="37">
        <f>IF($A42="","",IF(COUNT($P42:$T42)=0,0,IF(AND(SUM($P42:$Q42)&gt;0,NOT(ISNUMBER(IFERROR(IF(INDEX(tblProductos[Precio de venta actual],MATCH($A42,tblProductos[SKU],0))="","",INDEX(tblProductos[Precio de venta actual],MATCH($A42,tblProductos[SKU],0))),"")))),"PENDIENTE",IF(ISNUMBER(IFERROR(IF(INDEX(tblProductos[Precio de venta actual],MATCH($A42,tblProductos[SKU],0))="","",INDEX(tblProductos[Precio de venta actual],MATCH($A42,tblProductos[SKU],0))),"")),IFERROR(IF(INDEX(tblProductos[Precio de venta actual],MATCH($A42,tblProductos[SKU],0))="","",INDEX(tblProductos[Precio de venta actual],MATCH($A42,tblProductos[SKU],0))),""),0)*SUM($P42:$Q42)+SUM($R42:$T42))))</f>
        <v/>
      </c>
      <c r="V42" s="49">
        <f>IF($A42="","",IF(OR(NOT(ISNUMBER($O42)),NOT(ISNUMBER($U42))),"PENDIENTE",$O42+$U42))</f>
        <v/>
      </c>
      <c r="W42" s="41" t="n"/>
      <c r="X42" s="33" t="n"/>
    </row>
    <row r="43">
      <c r="A43" s="33" t="inlineStr">
        <is>
          <t>PMA-8OZ</t>
        </is>
      </c>
      <c r="B43" s="48">
        <f>IF($A43="","",IFERROR(IF(INDEX(tblProductos[Nombre del producto],MATCH($A43,tblProductos[SKU],0))="","",INDEX(tblProductos[Nombre del producto],MATCH($A43,tblProductos[SKU],0))),""))</f>
        <v/>
      </c>
      <c r="C43" s="48">
        <f>IF($A43="","",IFERROR(IF(INDEX(tblProductos[Categoría],MATCH($A43,tblProductos[SKU],0))="","",INDEX(tblProductos[Categoría],MATCH($A43,tblProductos[SKU],0))),""))</f>
        <v/>
      </c>
      <c r="D43" s="36" t="n"/>
      <c r="E43" s="36" t="n"/>
      <c r="F43" s="36" t="n"/>
      <c r="G43" s="36" t="n"/>
      <c r="H43" s="36" t="n"/>
      <c r="I43" s="36" t="n"/>
      <c r="J43" s="36" t="n"/>
      <c r="K43" s="36" t="n"/>
      <c r="L43" s="37">
        <f>IF(OR($A43="",COUNT($D43:$F43)=0),"",SUM($D43:$F43))</f>
        <v/>
      </c>
      <c r="M43" s="37">
        <f>IF(OR($A43="",COUNT($G43:$J43)=0),"",SUM($G43:$J43))</f>
        <v/>
      </c>
      <c r="N43" s="37">
        <f>IF(OR($A43="",COUNT($E43,$H43,$J43,$K43)=0),"",SUM($E43,$H43,$J43,$K43))</f>
        <v/>
      </c>
      <c r="O43" s="49">
        <f>IF($A43="","",IF($D43="","PENDIENTE",SUM($D43:$K43)))</f>
        <v/>
      </c>
      <c r="P43" s="50" t="n"/>
      <c r="Q43" s="50" t="n"/>
      <c r="R43" s="36" t="n"/>
      <c r="S43" s="36" t="n"/>
      <c r="T43" s="36" t="n"/>
      <c r="U43" s="37">
        <f>IF($A43="","",IF(COUNT($P43:$T43)=0,0,IF(AND(SUM($P43:$Q43)&gt;0,NOT(ISNUMBER(IFERROR(IF(INDEX(tblProductos[Precio de venta actual],MATCH($A43,tblProductos[SKU],0))="","",INDEX(tblProductos[Precio de venta actual],MATCH($A43,tblProductos[SKU],0))),"")))),"PENDIENTE",IF(ISNUMBER(IFERROR(IF(INDEX(tblProductos[Precio de venta actual],MATCH($A43,tblProductos[SKU],0))="","",INDEX(tblProductos[Precio de venta actual],MATCH($A43,tblProductos[SKU],0))),"")),IFERROR(IF(INDEX(tblProductos[Precio de venta actual],MATCH($A43,tblProductos[SKU],0))="","",INDEX(tblProductos[Precio de venta actual],MATCH($A43,tblProductos[SKU],0))),""),0)*SUM($P43:$Q43)+SUM($R43:$T43))))</f>
        <v/>
      </c>
      <c r="V43" s="49">
        <f>IF($A43="","",IF(OR(NOT(ISNUMBER($O43)),NOT(ISNUMBER($U43))),"PENDIENTE",$O43+$U43))</f>
        <v/>
      </c>
      <c r="W43" s="41" t="n"/>
      <c r="X43" s="33" t="n"/>
    </row>
    <row r="44">
      <c r="A44" s="33" t="inlineStr">
        <is>
          <t>PMA-1L</t>
        </is>
      </c>
      <c r="B44" s="48">
        <f>IF($A44="","",IFERROR(IF(INDEX(tblProductos[Nombre del producto],MATCH($A44,tblProductos[SKU],0))="","",INDEX(tblProductos[Nombre del producto],MATCH($A44,tblProductos[SKU],0))),""))</f>
        <v/>
      </c>
      <c r="C44" s="48">
        <f>IF($A44="","",IFERROR(IF(INDEX(tblProductos[Categoría],MATCH($A44,tblProductos[SKU],0))="","",INDEX(tblProductos[Categoría],MATCH($A44,tblProductos[SKU],0))),""))</f>
        <v/>
      </c>
      <c r="D44" s="36" t="n"/>
      <c r="E44" s="36" t="n"/>
      <c r="F44" s="36" t="n"/>
      <c r="G44" s="36" t="n"/>
      <c r="H44" s="36" t="n"/>
      <c r="I44" s="36" t="n"/>
      <c r="J44" s="36" t="n"/>
      <c r="K44" s="36" t="n"/>
      <c r="L44" s="37">
        <f>IF(OR($A44="",COUNT($D44:$F44)=0),"",SUM($D44:$F44))</f>
        <v/>
      </c>
      <c r="M44" s="37">
        <f>IF(OR($A44="",COUNT($G44:$J44)=0),"",SUM($G44:$J44))</f>
        <v/>
      </c>
      <c r="N44" s="37">
        <f>IF(OR($A44="",COUNT($E44,$H44,$J44,$K44)=0),"",SUM($E44,$H44,$J44,$K44))</f>
        <v/>
      </c>
      <c r="O44" s="49">
        <f>IF($A44="","",IF($D44="","PENDIENTE",SUM($D44:$K44)))</f>
        <v/>
      </c>
      <c r="P44" s="50" t="n"/>
      <c r="Q44" s="50" t="n"/>
      <c r="R44" s="36" t="n"/>
      <c r="S44" s="36" t="n"/>
      <c r="T44" s="36" t="n"/>
      <c r="U44" s="37">
        <f>IF($A44="","",IF(COUNT($P44:$T44)=0,0,IF(AND(SUM($P44:$Q44)&gt;0,NOT(ISNUMBER(IFERROR(IF(INDEX(tblProductos[Precio de venta actual],MATCH($A44,tblProductos[SKU],0))="","",INDEX(tblProductos[Precio de venta actual],MATCH($A44,tblProductos[SKU],0))),"")))),"PENDIENTE",IF(ISNUMBER(IFERROR(IF(INDEX(tblProductos[Precio de venta actual],MATCH($A44,tblProductos[SKU],0))="","",INDEX(tblProductos[Precio de venta actual],MATCH($A44,tblProductos[SKU],0))),"")),IFERROR(IF(INDEX(tblProductos[Precio de venta actual],MATCH($A44,tblProductos[SKU],0))="","",INDEX(tblProductos[Precio de venta actual],MATCH($A44,tblProductos[SKU],0))),""),0)*SUM($P44:$Q44)+SUM($R44:$T44))))</f>
        <v/>
      </c>
      <c r="V44" s="49">
        <f>IF($A44="","",IF(OR(NOT(ISNUMBER($O44)),NOT(ISNUMBER($U44))),"PENDIENTE",$O44+$U44))</f>
        <v/>
      </c>
      <c r="W44" s="41" t="n"/>
      <c r="X44" s="33" t="n"/>
    </row>
    <row r="45">
      <c r="A45" s="33" t="inlineStr">
        <is>
          <t>PMA-GAL</t>
        </is>
      </c>
      <c r="B45" s="48">
        <f>IF($A45="","",IFERROR(IF(INDEX(tblProductos[Nombre del producto],MATCH($A45,tblProductos[SKU],0))="","",INDEX(tblProductos[Nombre del producto],MATCH($A45,tblProductos[SKU],0))),""))</f>
        <v/>
      </c>
      <c r="C45" s="48">
        <f>IF($A45="","",IFERROR(IF(INDEX(tblProductos[Categoría],MATCH($A45,tblProductos[SKU],0))="","",INDEX(tblProductos[Categoría],MATCH($A45,tblProductos[SKU],0))),""))</f>
        <v/>
      </c>
      <c r="D45" s="36" t="n"/>
      <c r="E45" s="36" t="n"/>
      <c r="F45" s="36" t="n"/>
      <c r="G45" s="36" t="n"/>
      <c r="H45" s="36" t="n"/>
      <c r="I45" s="36" t="n"/>
      <c r="J45" s="36" t="n"/>
      <c r="K45" s="36" t="n"/>
      <c r="L45" s="37">
        <f>IF(OR($A45="",COUNT($D45:$F45)=0),"",SUM($D45:$F45))</f>
        <v/>
      </c>
      <c r="M45" s="37">
        <f>IF(OR($A45="",COUNT($G45:$J45)=0),"",SUM($G45:$J45))</f>
        <v/>
      </c>
      <c r="N45" s="37">
        <f>IF(OR($A45="",COUNT($E45,$H45,$J45,$K45)=0),"",SUM($E45,$H45,$J45,$K45))</f>
        <v/>
      </c>
      <c r="O45" s="49">
        <f>IF($A45="","",IF($D45="","PENDIENTE",SUM($D45:$K45)))</f>
        <v/>
      </c>
      <c r="P45" s="50" t="n"/>
      <c r="Q45" s="50" t="n"/>
      <c r="R45" s="36" t="n"/>
      <c r="S45" s="36" t="n"/>
      <c r="T45" s="36" t="n"/>
      <c r="U45" s="37">
        <f>IF($A45="","",IF(COUNT($P45:$T45)=0,0,IF(AND(SUM($P45:$Q45)&gt;0,NOT(ISNUMBER(IFERROR(IF(INDEX(tblProductos[Precio de venta actual],MATCH($A45,tblProductos[SKU],0))="","",INDEX(tblProductos[Precio de venta actual],MATCH($A45,tblProductos[SKU],0))),"")))),"PENDIENTE",IF(ISNUMBER(IFERROR(IF(INDEX(tblProductos[Precio de venta actual],MATCH($A45,tblProductos[SKU],0))="","",INDEX(tblProductos[Precio de venta actual],MATCH($A45,tblProductos[SKU],0))),"")),IFERROR(IF(INDEX(tblProductos[Precio de venta actual],MATCH($A45,tblProductos[SKU],0))="","",INDEX(tblProductos[Precio de venta actual],MATCH($A45,tblProductos[SKU],0))),""),0)*SUM($P45:$Q45)+SUM($R45:$T45))))</f>
        <v/>
      </c>
      <c r="V45" s="49">
        <f>IF($A45="","",IF(OR(NOT(ISNUMBER($O45)),NOT(ISNUMBER($U45))),"PENDIENTE",$O45+$U45))</f>
        <v/>
      </c>
      <c r="W45" s="41" t="n"/>
      <c r="X45" s="33" t="n"/>
    </row>
    <row r="46">
      <c r="A46" s="33" t="inlineStr">
        <is>
          <t>DEI-1L</t>
        </is>
      </c>
      <c r="B46" s="48">
        <f>IF($A46="","",IFERROR(IF(INDEX(tblProductos[Nombre del producto],MATCH($A46,tblProductos[SKU],0))="","",INDEX(tblProductos[Nombre del producto],MATCH($A46,tblProductos[SKU],0))),""))</f>
        <v/>
      </c>
      <c r="C46" s="48">
        <f>IF($A46="","",IFERROR(IF(INDEX(tblProductos[Categoría],MATCH($A46,tblProductos[SKU],0))="","",INDEX(tblProductos[Categoría],MATCH($A46,tblProductos[SKU],0))),""))</f>
        <v/>
      </c>
      <c r="D46" s="36" t="n"/>
      <c r="E46" s="36" t="n"/>
      <c r="F46" s="36" t="n"/>
      <c r="G46" s="36" t="n"/>
      <c r="H46" s="36" t="n"/>
      <c r="I46" s="36" t="n"/>
      <c r="J46" s="36" t="n"/>
      <c r="K46" s="36" t="n"/>
      <c r="L46" s="37">
        <f>IF(OR($A46="",COUNT($D46:$F46)=0),"",SUM($D46:$F46))</f>
        <v/>
      </c>
      <c r="M46" s="37">
        <f>IF(OR($A46="",COUNT($G46:$J46)=0),"",SUM($G46:$J46))</f>
        <v/>
      </c>
      <c r="N46" s="37">
        <f>IF(OR($A46="",COUNT($E46,$H46,$J46,$K46)=0),"",SUM($E46,$H46,$J46,$K46))</f>
        <v/>
      </c>
      <c r="O46" s="49">
        <f>IF($A46="","",IF($D46="","PENDIENTE",SUM($D46:$K46)))</f>
        <v/>
      </c>
      <c r="P46" s="50" t="n"/>
      <c r="Q46" s="50" t="n"/>
      <c r="R46" s="36" t="n"/>
      <c r="S46" s="36" t="n"/>
      <c r="T46" s="36" t="n"/>
      <c r="U46" s="37">
        <f>IF($A46="","",IF(COUNT($P46:$T46)=0,0,IF(AND(SUM($P46:$Q46)&gt;0,NOT(ISNUMBER(IFERROR(IF(INDEX(tblProductos[Precio de venta actual],MATCH($A46,tblProductos[SKU],0))="","",INDEX(tblProductos[Precio de venta actual],MATCH($A46,tblProductos[SKU],0))),"")))),"PENDIENTE",IF(ISNUMBER(IFERROR(IF(INDEX(tblProductos[Precio de venta actual],MATCH($A46,tblProductos[SKU],0))="","",INDEX(tblProductos[Precio de venta actual],MATCH($A46,tblProductos[SKU],0))),"")),IFERROR(IF(INDEX(tblProductos[Precio de venta actual],MATCH($A46,tblProductos[SKU],0))="","",INDEX(tblProductos[Precio de venta actual],MATCH($A46,tblProductos[SKU],0))),""),0)*SUM($P46:$Q46)+SUM($R46:$T46))))</f>
        <v/>
      </c>
      <c r="V46" s="49">
        <f>IF($A46="","",IF(OR(NOT(ISNUMBER($O46)),NOT(ISNUMBER($U46))),"PENDIENTE",$O46+$U46))</f>
        <v/>
      </c>
      <c r="W46" s="41" t="n"/>
      <c r="X46" s="33" t="n"/>
    </row>
    <row r="47">
      <c r="A47" s="33" t="inlineStr">
        <is>
          <t>DEI-GAL</t>
        </is>
      </c>
      <c r="B47" s="48">
        <f>IF($A47="","",IFERROR(IF(INDEX(tblProductos[Nombre del producto],MATCH($A47,tblProductos[SKU],0))="","",INDEX(tblProductos[Nombre del producto],MATCH($A47,tblProductos[SKU],0))),""))</f>
        <v/>
      </c>
      <c r="C47" s="48">
        <f>IF($A47="","",IFERROR(IF(INDEX(tblProductos[Categoría],MATCH($A47,tblProductos[SKU],0))="","",INDEX(tblProductos[Categoría],MATCH($A47,tblProductos[SKU],0))),""))</f>
        <v/>
      </c>
      <c r="D47" s="36" t="n"/>
      <c r="E47" s="36" t="n"/>
      <c r="F47" s="36" t="n"/>
      <c r="G47" s="36" t="n"/>
      <c r="H47" s="36" t="n"/>
      <c r="I47" s="36" t="n"/>
      <c r="J47" s="36" t="n"/>
      <c r="K47" s="36" t="n"/>
      <c r="L47" s="37">
        <f>IF(OR($A47="",COUNT($D47:$F47)=0),"",SUM($D47:$F47))</f>
        <v/>
      </c>
      <c r="M47" s="37">
        <f>IF(OR($A47="",COUNT($G47:$J47)=0),"",SUM($G47:$J47))</f>
        <v/>
      </c>
      <c r="N47" s="37">
        <f>IF(OR($A47="",COUNT($E47,$H47,$J47,$K47)=0),"",SUM($E47,$H47,$J47,$K47))</f>
        <v/>
      </c>
      <c r="O47" s="49">
        <f>IF($A47="","",IF($D47="","PENDIENTE",SUM($D47:$K47)))</f>
        <v/>
      </c>
      <c r="P47" s="50" t="n"/>
      <c r="Q47" s="50" t="n"/>
      <c r="R47" s="36" t="n"/>
      <c r="S47" s="36" t="n"/>
      <c r="T47" s="36" t="n"/>
      <c r="U47" s="37">
        <f>IF($A47="","",IF(COUNT($P47:$T47)=0,0,IF(AND(SUM($P47:$Q47)&gt;0,NOT(ISNUMBER(IFERROR(IF(INDEX(tblProductos[Precio de venta actual],MATCH($A47,tblProductos[SKU],0))="","",INDEX(tblProductos[Precio de venta actual],MATCH($A47,tblProductos[SKU],0))),"")))),"PENDIENTE",IF(ISNUMBER(IFERROR(IF(INDEX(tblProductos[Precio de venta actual],MATCH($A47,tblProductos[SKU],0))="","",INDEX(tblProductos[Precio de venta actual],MATCH($A47,tblProductos[SKU],0))),"")),IFERROR(IF(INDEX(tblProductos[Precio de venta actual],MATCH($A47,tblProductos[SKU],0))="","",INDEX(tblProductos[Precio de venta actual],MATCH($A47,tblProductos[SKU],0))),""),0)*SUM($P47:$Q47)+SUM($R47:$T47))))</f>
        <v/>
      </c>
      <c r="V47" s="49">
        <f>IF($A47="","",IF(OR(NOT(ISNUMBER($O47)),NOT(ISNUMBER($U47))),"PENDIENTE",$O47+$U47))</f>
        <v/>
      </c>
      <c r="W47" s="41" t="n"/>
      <c r="X47" s="33" t="n"/>
    </row>
    <row r="48">
      <c r="A48" s="33" t="n"/>
      <c r="B48" s="48">
        <f>IF($A48="","",IFERROR(IF(INDEX(tblProductos[Nombre del producto],MATCH($A48,tblProductos[SKU],0))="","",INDEX(tblProductos[Nombre del producto],MATCH($A48,tblProductos[SKU],0))),""))</f>
        <v/>
      </c>
      <c r="C48" s="48">
        <f>IF($A48="","",IFERROR(IF(INDEX(tblProductos[Categoría],MATCH($A48,tblProductos[SKU],0))="","",INDEX(tblProductos[Categoría],MATCH($A48,tblProductos[SKU],0))),""))</f>
        <v/>
      </c>
      <c r="D48" s="36" t="n"/>
      <c r="E48" s="36" t="n"/>
      <c r="F48" s="36" t="n"/>
      <c r="G48" s="36" t="n"/>
      <c r="H48" s="36" t="n"/>
      <c r="I48" s="36" t="n"/>
      <c r="J48" s="36" t="n"/>
      <c r="K48" s="36" t="n"/>
      <c r="L48" s="37">
        <f>IF(OR($A48="",COUNT($D48:$F48)=0),"",SUM($D48:$F48))</f>
        <v/>
      </c>
      <c r="M48" s="37">
        <f>IF(OR($A48="",COUNT($G48:$J48)=0),"",SUM($G48:$J48))</f>
        <v/>
      </c>
      <c r="N48" s="37">
        <f>IF(OR($A48="",COUNT($E48,$H48,$J48,$K48)=0),"",SUM($E48,$H48,$J48,$K48))</f>
        <v/>
      </c>
      <c r="O48" s="49">
        <f>IF($A48="","",IF($D48="","PENDIENTE",SUM($D48:$K48)))</f>
        <v/>
      </c>
      <c r="P48" s="50" t="n"/>
      <c r="Q48" s="50" t="n"/>
      <c r="R48" s="36" t="n"/>
      <c r="S48" s="36" t="n"/>
      <c r="T48" s="36" t="n"/>
      <c r="U48" s="37">
        <f>IF($A48="","",IF(COUNT($P48:$T48)=0,0,IF(AND(SUM($P48:$Q48)&gt;0,NOT(ISNUMBER(IFERROR(IF(INDEX(tblProductos[Precio de venta actual],MATCH($A48,tblProductos[SKU],0))="","",INDEX(tblProductos[Precio de venta actual],MATCH($A48,tblProductos[SKU],0))),"")))),"PENDIENTE",IF(ISNUMBER(IFERROR(IF(INDEX(tblProductos[Precio de venta actual],MATCH($A48,tblProductos[SKU],0))="","",INDEX(tblProductos[Precio de venta actual],MATCH($A48,tblProductos[SKU],0))),"")),IFERROR(IF(INDEX(tblProductos[Precio de venta actual],MATCH($A48,tblProductos[SKU],0))="","",INDEX(tblProductos[Precio de venta actual],MATCH($A48,tblProductos[SKU],0))),""),0)*SUM($P48:$Q48)+SUM($R48:$T48))))</f>
        <v/>
      </c>
      <c r="V48" s="49">
        <f>IF($A48="","",IF(OR(NOT(ISNUMBER($O48)),NOT(ISNUMBER($U48))),"PENDIENTE",$O48+$U48))</f>
        <v/>
      </c>
      <c r="W48" s="41" t="n"/>
      <c r="X48" s="33" t="n"/>
    </row>
    <row r="49">
      <c r="A49" s="33" t="n"/>
      <c r="B49" s="48">
        <f>IF($A49="","",IFERROR(IF(INDEX(tblProductos[Nombre del producto],MATCH($A49,tblProductos[SKU],0))="","",INDEX(tblProductos[Nombre del producto],MATCH($A49,tblProductos[SKU],0))),""))</f>
        <v/>
      </c>
      <c r="C49" s="48">
        <f>IF($A49="","",IFERROR(IF(INDEX(tblProductos[Categoría],MATCH($A49,tblProductos[SKU],0))="","",INDEX(tblProductos[Categoría],MATCH($A49,tblProductos[SKU],0))),""))</f>
        <v/>
      </c>
      <c r="D49" s="36" t="n"/>
      <c r="E49" s="36" t="n"/>
      <c r="F49" s="36" t="n"/>
      <c r="G49" s="36" t="n"/>
      <c r="H49" s="36" t="n"/>
      <c r="I49" s="36" t="n"/>
      <c r="J49" s="36" t="n"/>
      <c r="K49" s="36" t="n"/>
      <c r="L49" s="37">
        <f>IF(OR($A49="",COUNT($D49:$F49)=0),"",SUM($D49:$F49))</f>
        <v/>
      </c>
      <c r="M49" s="37">
        <f>IF(OR($A49="",COUNT($G49:$J49)=0),"",SUM($G49:$J49))</f>
        <v/>
      </c>
      <c r="N49" s="37">
        <f>IF(OR($A49="",COUNT($E49,$H49,$J49,$K49)=0),"",SUM($E49,$H49,$J49,$K49))</f>
        <v/>
      </c>
      <c r="O49" s="49">
        <f>IF($A49="","",IF($D49="","PENDIENTE",SUM($D49:$K49)))</f>
        <v/>
      </c>
      <c r="P49" s="50" t="n"/>
      <c r="Q49" s="50" t="n"/>
      <c r="R49" s="36" t="n"/>
      <c r="S49" s="36" t="n"/>
      <c r="T49" s="36" t="n"/>
      <c r="U49" s="37">
        <f>IF($A49="","",IF(COUNT($P49:$T49)=0,0,IF(AND(SUM($P49:$Q49)&gt;0,NOT(ISNUMBER(IFERROR(IF(INDEX(tblProductos[Precio de venta actual],MATCH($A49,tblProductos[SKU],0))="","",INDEX(tblProductos[Precio de venta actual],MATCH($A49,tblProductos[SKU],0))),"")))),"PENDIENTE",IF(ISNUMBER(IFERROR(IF(INDEX(tblProductos[Precio de venta actual],MATCH($A49,tblProductos[SKU],0))="","",INDEX(tblProductos[Precio de venta actual],MATCH($A49,tblProductos[SKU],0))),"")),IFERROR(IF(INDEX(tblProductos[Precio de venta actual],MATCH($A49,tblProductos[SKU],0))="","",INDEX(tblProductos[Precio de venta actual],MATCH($A49,tblProductos[SKU],0))),""),0)*SUM($P49:$Q49)+SUM($R49:$T49))))</f>
        <v/>
      </c>
      <c r="V49" s="49">
        <f>IF($A49="","",IF(OR(NOT(ISNUMBER($O49)),NOT(ISNUMBER($U49))),"PENDIENTE",$O49+$U49))</f>
        <v/>
      </c>
      <c r="W49" s="41" t="n"/>
      <c r="X49" s="33" t="n"/>
    </row>
    <row r="50">
      <c r="A50" s="33" t="n"/>
      <c r="B50" s="48">
        <f>IF($A50="","",IFERROR(IF(INDEX(tblProductos[Nombre del producto],MATCH($A50,tblProductos[SKU],0))="","",INDEX(tblProductos[Nombre del producto],MATCH($A50,tblProductos[SKU],0))),""))</f>
        <v/>
      </c>
      <c r="C50" s="48">
        <f>IF($A50="","",IFERROR(IF(INDEX(tblProductos[Categoría],MATCH($A50,tblProductos[SKU],0))="","",INDEX(tblProductos[Categoría],MATCH($A50,tblProductos[SKU],0))),""))</f>
        <v/>
      </c>
      <c r="D50" s="36" t="n"/>
      <c r="E50" s="36" t="n"/>
      <c r="F50" s="36" t="n"/>
      <c r="G50" s="36" t="n"/>
      <c r="H50" s="36" t="n"/>
      <c r="I50" s="36" t="n"/>
      <c r="J50" s="36" t="n"/>
      <c r="K50" s="36" t="n"/>
      <c r="L50" s="37">
        <f>IF(OR($A50="",COUNT($D50:$F50)=0),"",SUM($D50:$F50))</f>
        <v/>
      </c>
      <c r="M50" s="37">
        <f>IF(OR($A50="",COUNT($G50:$J50)=0),"",SUM($G50:$J50))</f>
        <v/>
      </c>
      <c r="N50" s="37">
        <f>IF(OR($A50="",COUNT($E50,$H50,$J50,$K50)=0),"",SUM($E50,$H50,$J50,$K50))</f>
        <v/>
      </c>
      <c r="O50" s="49">
        <f>IF($A50="","",IF($D50="","PENDIENTE",SUM($D50:$K50)))</f>
        <v/>
      </c>
      <c r="P50" s="50" t="n"/>
      <c r="Q50" s="50" t="n"/>
      <c r="R50" s="36" t="n"/>
      <c r="S50" s="36" t="n"/>
      <c r="T50" s="36" t="n"/>
      <c r="U50" s="37">
        <f>IF($A50="","",IF(COUNT($P50:$T50)=0,0,IF(AND(SUM($P50:$Q50)&gt;0,NOT(ISNUMBER(IFERROR(IF(INDEX(tblProductos[Precio de venta actual],MATCH($A50,tblProductos[SKU],0))="","",INDEX(tblProductos[Precio de venta actual],MATCH($A50,tblProductos[SKU],0))),"")))),"PENDIENTE",IF(ISNUMBER(IFERROR(IF(INDEX(tblProductos[Precio de venta actual],MATCH($A50,tblProductos[SKU],0))="","",INDEX(tblProductos[Precio de venta actual],MATCH($A50,tblProductos[SKU],0))),"")),IFERROR(IF(INDEX(tblProductos[Precio de venta actual],MATCH($A50,tblProductos[SKU],0))="","",INDEX(tblProductos[Precio de venta actual],MATCH($A50,tblProductos[SKU],0))),""),0)*SUM($P50:$Q50)+SUM($R50:$T50))))</f>
        <v/>
      </c>
      <c r="V50" s="49">
        <f>IF($A50="","",IF(OR(NOT(ISNUMBER($O50)),NOT(ISNUMBER($U50))),"PENDIENTE",$O50+$U50))</f>
        <v/>
      </c>
      <c r="W50" s="41" t="n"/>
      <c r="X50" s="33" t="n"/>
    </row>
    <row r="51">
      <c r="A51" s="33" t="n"/>
      <c r="B51" s="48">
        <f>IF($A51="","",IFERROR(IF(INDEX(tblProductos[Nombre del producto],MATCH($A51,tblProductos[SKU],0))="","",INDEX(tblProductos[Nombre del producto],MATCH($A51,tblProductos[SKU],0))),""))</f>
        <v/>
      </c>
      <c r="C51" s="48">
        <f>IF($A51="","",IFERROR(IF(INDEX(tblProductos[Categoría],MATCH($A51,tblProductos[SKU],0))="","",INDEX(tblProductos[Categoría],MATCH($A51,tblProductos[SKU],0))),""))</f>
        <v/>
      </c>
      <c r="D51" s="36" t="n"/>
      <c r="E51" s="36" t="n"/>
      <c r="F51" s="36" t="n"/>
      <c r="G51" s="36" t="n"/>
      <c r="H51" s="36" t="n"/>
      <c r="I51" s="36" t="n"/>
      <c r="J51" s="36" t="n"/>
      <c r="K51" s="36" t="n"/>
      <c r="L51" s="37">
        <f>IF(OR($A51="",COUNT($D51:$F51)=0),"",SUM($D51:$F51))</f>
        <v/>
      </c>
      <c r="M51" s="37">
        <f>IF(OR($A51="",COUNT($G51:$J51)=0),"",SUM($G51:$J51))</f>
        <v/>
      </c>
      <c r="N51" s="37">
        <f>IF(OR($A51="",COUNT($E51,$H51,$J51,$K51)=0),"",SUM($E51,$H51,$J51,$K51))</f>
        <v/>
      </c>
      <c r="O51" s="49">
        <f>IF($A51="","",IF($D51="","PENDIENTE",SUM($D51:$K51)))</f>
        <v/>
      </c>
      <c r="P51" s="50" t="n"/>
      <c r="Q51" s="50" t="n"/>
      <c r="R51" s="36" t="n"/>
      <c r="S51" s="36" t="n"/>
      <c r="T51" s="36" t="n"/>
      <c r="U51" s="37">
        <f>IF($A51="","",IF(COUNT($P51:$T51)=0,0,IF(AND(SUM($P51:$Q51)&gt;0,NOT(ISNUMBER(IFERROR(IF(INDEX(tblProductos[Precio de venta actual],MATCH($A51,tblProductos[SKU],0))="","",INDEX(tblProductos[Precio de venta actual],MATCH($A51,tblProductos[SKU],0))),"")))),"PENDIENTE",IF(ISNUMBER(IFERROR(IF(INDEX(tblProductos[Precio de venta actual],MATCH($A51,tblProductos[SKU],0))="","",INDEX(tblProductos[Precio de venta actual],MATCH($A51,tblProductos[SKU],0))),"")),IFERROR(IF(INDEX(tblProductos[Precio de venta actual],MATCH($A51,tblProductos[SKU],0))="","",INDEX(tblProductos[Precio de venta actual],MATCH($A51,tblProductos[SKU],0))),""),0)*SUM($P51:$Q51)+SUM($R51:$T51))))</f>
        <v/>
      </c>
      <c r="V51" s="49">
        <f>IF($A51="","",IF(OR(NOT(ISNUMBER($O51)),NOT(ISNUMBER($U51))),"PENDIENTE",$O51+$U51))</f>
        <v/>
      </c>
      <c r="W51" s="41" t="n"/>
      <c r="X51" s="33" t="n"/>
    </row>
    <row r="52">
      <c r="A52" s="33" t="n"/>
      <c r="B52" s="48">
        <f>IF($A52="","",IFERROR(IF(INDEX(tblProductos[Nombre del producto],MATCH($A52,tblProductos[SKU],0))="","",INDEX(tblProductos[Nombre del producto],MATCH($A52,tblProductos[SKU],0))),""))</f>
        <v/>
      </c>
      <c r="C52" s="48">
        <f>IF($A52="","",IFERROR(IF(INDEX(tblProductos[Categoría],MATCH($A52,tblProductos[SKU],0))="","",INDEX(tblProductos[Categoría],MATCH($A52,tblProductos[SKU],0))),""))</f>
        <v/>
      </c>
      <c r="D52" s="36" t="n"/>
      <c r="E52" s="36" t="n"/>
      <c r="F52" s="36" t="n"/>
      <c r="G52" s="36" t="n"/>
      <c r="H52" s="36" t="n"/>
      <c r="I52" s="36" t="n"/>
      <c r="J52" s="36" t="n"/>
      <c r="K52" s="36" t="n"/>
      <c r="L52" s="37">
        <f>IF(OR($A52="",COUNT($D52:$F52)=0),"",SUM($D52:$F52))</f>
        <v/>
      </c>
      <c r="M52" s="37">
        <f>IF(OR($A52="",COUNT($G52:$J52)=0),"",SUM($G52:$J52))</f>
        <v/>
      </c>
      <c r="N52" s="37">
        <f>IF(OR($A52="",COUNT($E52,$H52,$J52,$K52)=0),"",SUM($E52,$H52,$J52,$K52))</f>
        <v/>
      </c>
      <c r="O52" s="49">
        <f>IF($A52="","",IF($D52="","PENDIENTE",SUM($D52:$K52)))</f>
        <v/>
      </c>
      <c r="P52" s="50" t="n"/>
      <c r="Q52" s="50" t="n"/>
      <c r="R52" s="36" t="n"/>
      <c r="S52" s="36" t="n"/>
      <c r="T52" s="36" t="n"/>
      <c r="U52" s="37">
        <f>IF($A52="","",IF(COUNT($P52:$T52)=0,0,IF(AND(SUM($P52:$Q52)&gt;0,NOT(ISNUMBER(IFERROR(IF(INDEX(tblProductos[Precio de venta actual],MATCH($A52,tblProductos[SKU],0))="","",INDEX(tblProductos[Precio de venta actual],MATCH($A52,tblProductos[SKU],0))),"")))),"PENDIENTE",IF(ISNUMBER(IFERROR(IF(INDEX(tblProductos[Precio de venta actual],MATCH($A52,tblProductos[SKU],0))="","",INDEX(tblProductos[Precio de venta actual],MATCH($A52,tblProductos[SKU],0))),"")),IFERROR(IF(INDEX(tblProductos[Precio de venta actual],MATCH($A52,tblProductos[SKU],0))="","",INDEX(tblProductos[Precio de venta actual],MATCH($A52,tblProductos[SKU],0))),""),0)*SUM($P52:$Q52)+SUM($R52:$T52))))</f>
        <v/>
      </c>
      <c r="V52" s="49">
        <f>IF($A52="","",IF(OR(NOT(ISNUMBER($O52)),NOT(ISNUMBER($U52))),"PENDIENTE",$O52+$U52))</f>
        <v/>
      </c>
      <c r="W52" s="41" t="n"/>
      <c r="X52" s="33" t="n"/>
    </row>
    <row r="53">
      <c r="A53" s="33" t="n"/>
      <c r="B53" s="48">
        <f>IF($A53="","",IFERROR(IF(INDEX(tblProductos[Nombre del producto],MATCH($A53,tblProductos[SKU],0))="","",INDEX(tblProductos[Nombre del producto],MATCH($A53,tblProductos[SKU],0))),""))</f>
        <v/>
      </c>
      <c r="C53" s="48">
        <f>IF($A53="","",IFERROR(IF(INDEX(tblProductos[Categoría],MATCH($A53,tblProductos[SKU],0))="","",INDEX(tblProductos[Categoría],MATCH($A53,tblProductos[SKU],0))),""))</f>
        <v/>
      </c>
      <c r="D53" s="36" t="n"/>
      <c r="E53" s="36" t="n"/>
      <c r="F53" s="36" t="n"/>
      <c r="G53" s="36" t="n"/>
      <c r="H53" s="36" t="n"/>
      <c r="I53" s="36" t="n"/>
      <c r="J53" s="36" t="n"/>
      <c r="K53" s="36" t="n"/>
      <c r="L53" s="37">
        <f>IF(OR($A53="",COUNT($D53:$F53)=0),"",SUM($D53:$F53))</f>
        <v/>
      </c>
      <c r="M53" s="37">
        <f>IF(OR($A53="",COUNT($G53:$J53)=0),"",SUM($G53:$J53))</f>
        <v/>
      </c>
      <c r="N53" s="37">
        <f>IF(OR($A53="",COUNT($E53,$H53,$J53,$K53)=0),"",SUM($E53,$H53,$J53,$K53))</f>
        <v/>
      </c>
      <c r="O53" s="49">
        <f>IF($A53="","",IF($D53="","PENDIENTE",SUM($D53:$K53)))</f>
        <v/>
      </c>
      <c r="P53" s="50" t="n"/>
      <c r="Q53" s="50" t="n"/>
      <c r="R53" s="36" t="n"/>
      <c r="S53" s="36" t="n"/>
      <c r="T53" s="36" t="n"/>
      <c r="U53" s="37">
        <f>IF($A53="","",IF(COUNT($P53:$T53)=0,0,IF(AND(SUM($P53:$Q53)&gt;0,NOT(ISNUMBER(IFERROR(IF(INDEX(tblProductos[Precio de venta actual],MATCH($A53,tblProductos[SKU],0))="","",INDEX(tblProductos[Precio de venta actual],MATCH($A53,tblProductos[SKU],0))),"")))),"PENDIENTE",IF(ISNUMBER(IFERROR(IF(INDEX(tblProductos[Precio de venta actual],MATCH($A53,tblProductos[SKU],0))="","",INDEX(tblProductos[Precio de venta actual],MATCH($A53,tblProductos[SKU],0))),"")),IFERROR(IF(INDEX(tblProductos[Precio de venta actual],MATCH($A53,tblProductos[SKU],0))="","",INDEX(tblProductos[Precio de venta actual],MATCH($A53,tblProductos[SKU],0))),""),0)*SUM($P53:$Q53)+SUM($R53:$T53))))</f>
        <v/>
      </c>
      <c r="V53" s="49">
        <f>IF($A53="","",IF(OR(NOT(ISNUMBER($O53)),NOT(ISNUMBER($U53))),"PENDIENTE",$O53+$U53))</f>
        <v/>
      </c>
      <c r="W53" s="41" t="n"/>
      <c r="X53" s="33" t="n"/>
    </row>
    <row r="54">
      <c r="A54" s="33" t="n"/>
      <c r="B54" s="48">
        <f>IF($A54="","",IFERROR(IF(INDEX(tblProductos[Nombre del producto],MATCH($A54,tblProductos[SKU],0))="","",INDEX(tblProductos[Nombre del producto],MATCH($A54,tblProductos[SKU],0))),""))</f>
        <v/>
      </c>
      <c r="C54" s="48">
        <f>IF($A54="","",IFERROR(IF(INDEX(tblProductos[Categoría],MATCH($A54,tblProductos[SKU],0))="","",INDEX(tblProductos[Categoría],MATCH($A54,tblProductos[SKU],0))),""))</f>
        <v/>
      </c>
      <c r="D54" s="36" t="n"/>
      <c r="E54" s="36" t="n"/>
      <c r="F54" s="36" t="n"/>
      <c r="G54" s="36" t="n"/>
      <c r="H54" s="36" t="n"/>
      <c r="I54" s="36" t="n"/>
      <c r="J54" s="36" t="n"/>
      <c r="K54" s="36" t="n"/>
      <c r="L54" s="37">
        <f>IF(OR($A54="",COUNT($D54:$F54)=0),"",SUM($D54:$F54))</f>
        <v/>
      </c>
      <c r="M54" s="37">
        <f>IF(OR($A54="",COUNT($G54:$J54)=0),"",SUM($G54:$J54))</f>
        <v/>
      </c>
      <c r="N54" s="37">
        <f>IF(OR($A54="",COUNT($E54,$H54,$J54,$K54)=0),"",SUM($E54,$H54,$J54,$K54))</f>
        <v/>
      </c>
      <c r="O54" s="49">
        <f>IF($A54="","",IF($D54="","PENDIENTE",SUM($D54:$K54)))</f>
        <v/>
      </c>
      <c r="P54" s="50" t="n"/>
      <c r="Q54" s="50" t="n"/>
      <c r="R54" s="36" t="n"/>
      <c r="S54" s="36" t="n"/>
      <c r="T54" s="36" t="n"/>
      <c r="U54" s="37">
        <f>IF($A54="","",IF(COUNT($P54:$T54)=0,0,IF(AND(SUM($P54:$Q54)&gt;0,NOT(ISNUMBER(IFERROR(IF(INDEX(tblProductos[Precio de venta actual],MATCH($A54,tblProductos[SKU],0))="","",INDEX(tblProductos[Precio de venta actual],MATCH($A54,tblProductos[SKU],0))),"")))),"PENDIENTE",IF(ISNUMBER(IFERROR(IF(INDEX(tblProductos[Precio de venta actual],MATCH($A54,tblProductos[SKU],0))="","",INDEX(tblProductos[Precio de venta actual],MATCH($A54,tblProductos[SKU],0))),"")),IFERROR(IF(INDEX(tblProductos[Precio de venta actual],MATCH($A54,tblProductos[SKU],0))="","",INDEX(tblProductos[Precio de venta actual],MATCH($A54,tblProductos[SKU],0))),""),0)*SUM($P54:$Q54)+SUM($R54:$T54))))</f>
        <v/>
      </c>
      <c r="V54" s="49">
        <f>IF($A54="","",IF(OR(NOT(ISNUMBER($O54)),NOT(ISNUMBER($U54))),"PENDIENTE",$O54+$U54))</f>
        <v/>
      </c>
      <c r="W54" s="41" t="n"/>
      <c r="X54" s="33" t="n"/>
    </row>
    <row r="55">
      <c r="A55" s="33" t="n"/>
      <c r="B55" s="48">
        <f>IF($A55="","",IFERROR(IF(INDEX(tblProductos[Nombre del producto],MATCH($A55,tblProductos[SKU],0))="","",INDEX(tblProductos[Nombre del producto],MATCH($A55,tblProductos[SKU],0))),""))</f>
        <v/>
      </c>
      <c r="C55" s="48">
        <f>IF($A55="","",IFERROR(IF(INDEX(tblProductos[Categoría],MATCH($A55,tblProductos[SKU],0))="","",INDEX(tblProductos[Categoría],MATCH($A55,tblProductos[SKU],0))),""))</f>
        <v/>
      </c>
      <c r="D55" s="36" t="n"/>
      <c r="E55" s="36" t="n"/>
      <c r="F55" s="36" t="n"/>
      <c r="G55" s="36" t="n"/>
      <c r="H55" s="36" t="n"/>
      <c r="I55" s="36" t="n"/>
      <c r="J55" s="36" t="n"/>
      <c r="K55" s="36" t="n"/>
      <c r="L55" s="37">
        <f>IF(OR($A55="",COUNT($D55:$F55)=0),"",SUM($D55:$F55))</f>
        <v/>
      </c>
      <c r="M55" s="37">
        <f>IF(OR($A55="",COUNT($G55:$J55)=0),"",SUM($G55:$J55))</f>
        <v/>
      </c>
      <c r="N55" s="37">
        <f>IF(OR($A55="",COUNT($E55,$H55,$J55,$K55)=0),"",SUM($E55,$H55,$J55,$K55))</f>
        <v/>
      </c>
      <c r="O55" s="49">
        <f>IF($A55="","",IF($D55="","PENDIENTE",SUM($D55:$K55)))</f>
        <v/>
      </c>
      <c r="P55" s="50" t="n"/>
      <c r="Q55" s="50" t="n"/>
      <c r="R55" s="36" t="n"/>
      <c r="S55" s="36" t="n"/>
      <c r="T55" s="36" t="n"/>
      <c r="U55" s="37">
        <f>IF($A55="","",IF(COUNT($P55:$T55)=0,0,IF(AND(SUM($P55:$Q55)&gt;0,NOT(ISNUMBER(IFERROR(IF(INDEX(tblProductos[Precio de venta actual],MATCH($A55,tblProductos[SKU],0))="","",INDEX(tblProductos[Precio de venta actual],MATCH($A55,tblProductos[SKU],0))),"")))),"PENDIENTE",IF(ISNUMBER(IFERROR(IF(INDEX(tblProductos[Precio de venta actual],MATCH($A55,tblProductos[SKU],0))="","",INDEX(tblProductos[Precio de venta actual],MATCH($A55,tblProductos[SKU],0))),"")),IFERROR(IF(INDEX(tblProductos[Precio de venta actual],MATCH($A55,tblProductos[SKU],0))="","",INDEX(tblProductos[Precio de venta actual],MATCH($A55,tblProductos[SKU],0))),""),0)*SUM($P55:$Q55)+SUM($R55:$T55))))</f>
        <v/>
      </c>
      <c r="V55" s="49">
        <f>IF($A55="","",IF(OR(NOT(ISNUMBER($O55)),NOT(ISNUMBER($U55))),"PENDIENTE",$O55+$U55))</f>
        <v/>
      </c>
      <c r="W55" s="41" t="n"/>
      <c r="X55" s="33" t="n"/>
    </row>
    <row r="56">
      <c r="A56" s="33" t="n"/>
      <c r="B56" s="48">
        <f>IF($A56="","",IFERROR(IF(INDEX(tblProductos[Nombre del producto],MATCH($A56,tblProductos[SKU],0))="","",INDEX(tblProductos[Nombre del producto],MATCH($A56,tblProductos[SKU],0))),""))</f>
        <v/>
      </c>
      <c r="C56" s="48">
        <f>IF($A56="","",IFERROR(IF(INDEX(tblProductos[Categoría],MATCH($A56,tblProductos[SKU],0))="","",INDEX(tblProductos[Categoría],MATCH($A56,tblProductos[SKU],0))),""))</f>
        <v/>
      </c>
      <c r="D56" s="36" t="n"/>
      <c r="E56" s="36" t="n"/>
      <c r="F56" s="36" t="n"/>
      <c r="G56" s="36" t="n"/>
      <c r="H56" s="36" t="n"/>
      <c r="I56" s="36" t="n"/>
      <c r="J56" s="36" t="n"/>
      <c r="K56" s="36" t="n"/>
      <c r="L56" s="37">
        <f>IF(OR($A56="",COUNT($D56:$F56)=0),"",SUM($D56:$F56))</f>
        <v/>
      </c>
      <c r="M56" s="37">
        <f>IF(OR($A56="",COUNT($G56:$J56)=0),"",SUM($G56:$J56))</f>
        <v/>
      </c>
      <c r="N56" s="37">
        <f>IF(OR($A56="",COUNT($E56,$H56,$J56,$K56)=0),"",SUM($E56,$H56,$J56,$K56))</f>
        <v/>
      </c>
      <c r="O56" s="49">
        <f>IF($A56="","",IF($D56="","PENDIENTE",SUM($D56:$K56)))</f>
        <v/>
      </c>
      <c r="P56" s="50" t="n"/>
      <c r="Q56" s="50" t="n"/>
      <c r="R56" s="36" t="n"/>
      <c r="S56" s="36" t="n"/>
      <c r="T56" s="36" t="n"/>
      <c r="U56" s="37">
        <f>IF($A56="","",IF(COUNT($P56:$T56)=0,0,IF(AND(SUM($P56:$Q56)&gt;0,NOT(ISNUMBER(IFERROR(IF(INDEX(tblProductos[Precio de venta actual],MATCH($A56,tblProductos[SKU],0))="","",INDEX(tblProductos[Precio de venta actual],MATCH($A56,tblProductos[SKU],0))),"")))),"PENDIENTE",IF(ISNUMBER(IFERROR(IF(INDEX(tblProductos[Precio de venta actual],MATCH($A56,tblProductos[SKU],0))="","",INDEX(tblProductos[Precio de venta actual],MATCH($A56,tblProductos[SKU],0))),"")),IFERROR(IF(INDEX(tblProductos[Precio de venta actual],MATCH($A56,tblProductos[SKU],0))="","",INDEX(tblProductos[Precio de venta actual],MATCH($A56,tblProductos[SKU],0))),""),0)*SUM($P56:$Q56)+SUM($R56:$T56))))</f>
        <v/>
      </c>
      <c r="V56" s="49">
        <f>IF($A56="","",IF(OR(NOT(ISNUMBER($O56)),NOT(ISNUMBER($U56))),"PENDIENTE",$O56+$U56))</f>
        <v/>
      </c>
      <c r="W56" s="41" t="n"/>
      <c r="X56" s="33" t="n"/>
    </row>
    <row r="57">
      <c r="A57" s="33" t="n"/>
      <c r="B57" s="48">
        <f>IF($A57="","",IFERROR(IF(INDEX(tblProductos[Nombre del producto],MATCH($A57,tblProductos[SKU],0))="","",INDEX(tblProductos[Nombre del producto],MATCH($A57,tblProductos[SKU],0))),""))</f>
        <v/>
      </c>
      <c r="C57" s="48">
        <f>IF($A57="","",IFERROR(IF(INDEX(tblProductos[Categoría],MATCH($A57,tblProductos[SKU],0))="","",INDEX(tblProductos[Categoría],MATCH($A57,tblProductos[SKU],0))),""))</f>
        <v/>
      </c>
      <c r="D57" s="36" t="n"/>
      <c r="E57" s="36" t="n"/>
      <c r="F57" s="36" t="n"/>
      <c r="G57" s="36" t="n"/>
      <c r="H57" s="36" t="n"/>
      <c r="I57" s="36" t="n"/>
      <c r="J57" s="36" t="n"/>
      <c r="K57" s="36" t="n"/>
      <c r="L57" s="37">
        <f>IF(OR($A57="",COUNT($D57:$F57)=0),"",SUM($D57:$F57))</f>
        <v/>
      </c>
      <c r="M57" s="37">
        <f>IF(OR($A57="",COUNT($G57:$J57)=0),"",SUM($G57:$J57))</f>
        <v/>
      </c>
      <c r="N57" s="37">
        <f>IF(OR($A57="",COUNT($E57,$H57,$J57,$K57)=0),"",SUM($E57,$H57,$J57,$K57))</f>
        <v/>
      </c>
      <c r="O57" s="49">
        <f>IF($A57="","",IF($D57="","PENDIENTE",SUM($D57:$K57)))</f>
        <v/>
      </c>
      <c r="P57" s="50" t="n"/>
      <c r="Q57" s="50" t="n"/>
      <c r="R57" s="36" t="n"/>
      <c r="S57" s="36" t="n"/>
      <c r="T57" s="36" t="n"/>
      <c r="U57" s="37">
        <f>IF($A57="","",IF(COUNT($P57:$T57)=0,0,IF(AND(SUM($P57:$Q57)&gt;0,NOT(ISNUMBER(IFERROR(IF(INDEX(tblProductos[Precio de venta actual],MATCH($A57,tblProductos[SKU],0))="","",INDEX(tblProductos[Precio de venta actual],MATCH($A57,tblProductos[SKU],0))),"")))),"PENDIENTE",IF(ISNUMBER(IFERROR(IF(INDEX(tblProductos[Precio de venta actual],MATCH($A57,tblProductos[SKU],0))="","",INDEX(tblProductos[Precio de venta actual],MATCH($A57,tblProductos[SKU],0))),"")),IFERROR(IF(INDEX(tblProductos[Precio de venta actual],MATCH($A57,tblProductos[SKU],0))="","",INDEX(tblProductos[Precio de venta actual],MATCH($A57,tblProductos[SKU],0))),""),0)*SUM($P57:$Q57)+SUM($R57:$T57))))</f>
        <v/>
      </c>
      <c r="V57" s="49">
        <f>IF($A57="","",IF(OR(NOT(ISNUMBER($O57)),NOT(ISNUMBER($U57))),"PENDIENTE",$O57+$U57))</f>
        <v/>
      </c>
      <c r="W57" s="41" t="n"/>
      <c r="X57" s="33" t="n"/>
    </row>
    <row r="58">
      <c r="A58" s="33" t="n"/>
      <c r="B58" s="48">
        <f>IF($A58="","",IFERROR(IF(INDEX(tblProductos[Nombre del producto],MATCH($A58,tblProductos[SKU],0))="","",INDEX(tblProductos[Nombre del producto],MATCH($A58,tblProductos[SKU],0))),""))</f>
        <v/>
      </c>
      <c r="C58" s="48">
        <f>IF($A58="","",IFERROR(IF(INDEX(tblProductos[Categoría],MATCH($A58,tblProductos[SKU],0))="","",INDEX(tblProductos[Categoría],MATCH($A58,tblProductos[SKU],0))),""))</f>
        <v/>
      </c>
      <c r="D58" s="36" t="n"/>
      <c r="E58" s="36" t="n"/>
      <c r="F58" s="36" t="n"/>
      <c r="G58" s="36" t="n"/>
      <c r="H58" s="36" t="n"/>
      <c r="I58" s="36" t="n"/>
      <c r="J58" s="36" t="n"/>
      <c r="K58" s="36" t="n"/>
      <c r="L58" s="37">
        <f>IF(OR($A58="",COUNT($D58:$F58)=0),"",SUM($D58:$F58))</f>
        <v/>
      </c>
      <c r="M58" s="37">
        <f>IF(OR($A58="",COUNT($G58:$J58)=0),"",SUM($G58:$J58))</f>
        <v/>
      </c>
      <c r="N58" s="37">
        <f>IF(OR($A58="",COUNT($E58,$H58,$J58,$K58)=0),"",SUM($E58,$H58,$J58,$K58))</f>
        <v/>
      </c>
      <c r="O58" s="49">
        <f>IF($A58="","",IF($D58="","PENDIENTE",SUM($D58:$K58)))</f>
        <v/>
      </c>
      <c r="P58" s="50" t="n"/>
      <c r="Q58" s="50" t="n"/>
      <c r="R58" s="36" t="n"/>
      <c r="S58" s="36" t="n"/>
      <c r="T58" s="36" t="n"/>
      <c r="U58" s="37">
        <f>IF($A58="","",IF(COUNT($P58:$T58)=0,0,IF(AND(SUM($P58:$Q58)&gt;0,NOT(ISNUMBER(IFERROR(IF(INDEX(tblProductos[Precio de venta actual],MATCH($A58,tblProductos[SKU],0))="","",INDEX(tblProductos[Precio de venta actual],MATCH($A58,tblProductos[SKU],0))),"")))),"PENDIENTE",IF(ISNUMBER(IFERROR(IF(INDEX(tblProductos[Precio de venta actual],MATCH($A58,tblProductos[SKU],0))="","",INDEX(tblProductos[Precio de venta actual],MATCH($A58,tblProductos[SKU],0))),"")),IFERROR(IF(INDEX(tblProductos[Precio de venta actual],MATCH($A58,tblProductos[SKU],0))="","",INDEX(tblProductos[Precio de venta actual],MATCH($A58,tblProductos[SKU],0))),""),0)*SUM($P58:$Q58)+SUM($R58:$T58))))</f>
        <v/>
      </c>
      <c r="V58" s="49">
        <f>IF($A58="","",IF(OR(NOT(ISNUMBER($O58)),NOT(ISNUMBER($U58))),"PENDIENTE",$O58+$U58))</f>
        <v/>
      </c>
      <c r="W58" s="41" t="n"/>
      <c r="X58" s="33" t="n"/>
    </row>
    <row r="59">
      <c r="A59" s="33" t="n"/>
      <c r="B59" s="48">
        <f>IF($A59="","",IFERROR(IF(INDEX(tblProductos[Nombre del producto],MATCH($A59,tblProductos[SKU],0))="","",INDEX(tblProductos[Nombre del producto],MATCH($A59,tblProductos[SKU],0))),""))</f>
        <v/>
      </c>
      <c r="C59" s="48">
        <f>IF($A59="","",IFERROR(IF(INDEX(tblProductos[Categoría],MATCH($A59,tblProductos[SKU],0))="","",INDEX(tblProductos[Categoría],MATCH($A59,tblProductos[SKU],0))),""))</f>
        <v/>
      </c>
      <c r="D59" s="36" t="n"/>
      <c r="E59" s="36" t="n"/>
      <c r="F59" s="36" t="n"/>
      <c r="G59" s="36" t="n"/>
      <c r="H59" s="36" t="n"/>
      <c r="I59" s="36" t="n"/>
      <c r="J59" s="36" t="n"/>
      <c r="K59" s="36" t="n"/>
      <c r="L59" s="37">
        <f>IF(OR($A59="",COUNT($D59:$F59)=0),"",SUM($D59:$F59))</f>
        <v/>
      </c>
      <c r="M59" s="37">
        <f>IF(OR($A59="",COUNT($G59:$J59)=0),"",SUM($G59:$J59))</f>
        <v/>
      </c>
      <c r="N59" s="37">
        <f>IF(OR($A59="",COUNT($E59,$H59,$J59,$K59)=0),"",SUM($E59,$H59,$J59,$K59))</f>
        <v/>
      </c>
      <c r="O59" s="49">
        <f>IF($A59="","",IF($D59="","PENDIENTE",SUM($D59:$K59)))</f>
        <v/>
      </c>
      <c r="P59" s="50" t="n"/>
      <c r="Q59" s="50" t="n"/>
      <c r="R59" s="36" t="n"/>
      <c r="S59" s="36" t="n"/>
      <c r="T59" s="36" t="n"/>
      <c r="U59" s="37">
        <f>IF($A59="","",IF(COUNT($P59:$T59)=0,0,IF(AND(SUM($P59:$Q59)&gt;0,NOT(ISNUMBER(IFERROR(IF(INDEX(tblProductos[Precio de venta actual],MATCH($A59,tblProductos[SKU],0))="","",INDEX(tblProductos[Precio de venta actual],MATCH($A59,tblProductos[SKU],0))),"")))),"PENDIENTE",IF(ISNUMBER(IFERROR(IF(INDEX(tblProductos[Precio de venta actual],MATCH($A59,tblProductos[SKU],0))="","",INDEX(tblProductos[Precio de venta actual],MATCH($A59,tblProductos[SKU],0))),"")),IFERROR(IF(INDEX(tblProductos[Precio de venta actual],MATCH($A59,tblProductos[SKU],0))="","",INDEX(tblProductos[Precio de venta actual],MATCH($A59,tblProductos[SKU],0))),""),0)*SUM($P59:$Q59)+SUM($R59:$T59))))</f>
        <v/>
      </c>
      <c r="V59" s="49">
        <f>IF($A59="","",IF(OR(NOT(ISNUMBER($O59)),NOT(ISNUMBER($U59))),"PENDIENTE",$O59+$U59))</f>
        <v/>
      </c>
      <c r="W59" s="41" t="n"/>
      <c r="X59" s="33" t="n"/>
    </row>
    <row r="60">
      <c r="A60" s="33" t="n"/>
      <c r="B60" s="48">
        <f>IF($A60="","",IFERROR(IF(INDEX(tblProductos[Nombre del producto],MATCH($A60,tblProductos[SKU],0))="","",INDEX(tblProductos[Nombre del producto],MATCH($A60,tblProductos[SKU],0))),""))</f>
        <v/>
      </c>
      <c r="C60" s="48">
        <f>IF($A60="","",IFERROR(IF(INDEX(tblProductos[Categoría],MATCH($A60,tblProductos[SKU],0))="","",INDEX(tblProductos[Categoría],MATCH($A60,tblProductos[SKU],0))),""))</f>
        <v/>
      </c>
      <c r="D60" s="36" t="n"/>
      <c r="E60" s="36" t="n"/>
      <c r="F60" s="36" t="n"/>
      <c r="G60" s="36" t="n"/>
      <c r="H60" s="36" t="n"/>
      <c r="I60" s="36" t="n"/>
      <c r="J60" s="36" t="n"/>
      <c r="K60" s="36" t="n"/>
      <c r="L60" s="37">
        <f>IF(OR($A60="",COUNT($D60:$F60)=0),"",SUM($D60:$F60))</f>
        <v/>
      </c>
      <c r="M60" s="37">
        <f>IF(OR($A60="",COUNT($G60:$J60)=0),"",SUM($G60:$J60))</f>
        <v/>
      </c>
      <c r="N60" s="37">
        <f>IF(OR($A60="",COUNT($E60,$H60,$J60,$K60)=0),"",SUM($E60,$H60,$J60,$K60))</f>
        <v/>
      </c>
      <c r="O60" s="49">
        <f>IF($A60="","",IF($D60="","PENDIENTE",SUM($D60:$K60)))</f>
        <v/>
      </c>
      <c r="P60" s="50" t="n"/>
      <c r="Q60" s="50" t="n"/>
      <c r="R60" s="36" t="n"/>
      <c r="S60" s="36" t="n"/>
      <c r="T60" s="36" t="n"/>
      <c r="U60" s="37">
        <f>IF($A60="","",IF(COUNT($P60:$T60)=0,0,IF(AND(SUM($P60:$Q60)&gt;0,NOT(ISNUMBER(IFERROR(IF(INDEX(tblProductos[Precio de venta actual],MATCH($A60,tblProductos[SKU],0))="","",INDEX(tblProductos[Precio de venta actual],MATCH($A60,tblProductos[SKU],0))),"")))),"PENDIENTE",IF(ISNUMBER(IFERROR(IF(INDEX(tblProductos[Precio de venta actual],MATCH($A60,tblProductos[SKU],0))="","",INDEX(tblProductos[Precio de venta actual],MATCH($A60,tblProductos[SKU],0))),"")),IFERROR(IF(INDEX(tblProductos[Precio de venta actual],MATCH($A60,tblProductos[SKU],0))="","",INDEX(tblProductos[Precio de venta actual],MATCH($A60,tblProductos[SKU],0))),""),0)*SUM($P60:$Q60)+SUM($R60:$T60))))</f>
        <v/>
      </c>
      <c r="V60" s="49">
        <f>IF($A60="","",IF(OR(NOT(ISNUMBER($O60)),NOT(ISNUMBER($U60))),"PENDIENTE",$O60+$U60))</f>
        <v/>
      </c>
      <c r="W60" s="41" t="n"/>
      <c r="X60" s="33" t="n"/>
    </row>
    <row r="61">
      <c r="A61" s="33" t="n"/>
      <c r="B61" s="48">
        <f>IF($A61="","",IFERROR(IF(INDEX(tblProductos[Nombre del producto],MATCH($A61,tblProductos[SKU],0))="","",INDEX(tblProductos[Nombre del producto],MATCH($A61,tblProductos[SKU],0))),""))</f>
        <v/>
      </c>
      <c r="C61" s="48">
        <f>IF($A61="","",IFERROR(IF(INDEX(tblProductos[Categoría],MATCH($A61,tblProductos[SKU],0))="","",INDEX(tblProductos[Categoría],MATCH($A61,tblProductos[SKU],0))),""))</f>
        <v/>
      </c>
      <c r="D61" s="36" t="n"/>
      <c r="E61" s="36" t="n"/>
      <c r="F61" s="36" t="n"/>
      <c r="G61" s="36" t="n"/>
      <c r="H61" s="36" t="n"/>
      <c r="I61" s="36" t="n"/>
      <c r="J61" s="36" t="n"/>
      <c r="K61" s="36" t="n"/>
      <c r="L61" s="37">
        <f>IF(OR($A61="",COUNT($D61:$F61)=0),"",SUM($D61:$F61))</f>
        <v/>
      </c>
      <c r="M61" s="37">
        <f>IF(OR($A61="",COUNT($G61:$J61)=0),"",SUM($G61:$J61))</f>
        <v/>
      </c>
      <c r="N61" s="37">
        <f>IF(OR($A61="",COUNT($E61,$H61,$J61,$K61)=0),"",SUM($E61,$H61,$J61,$K61))</f>
        <v/>
      </c>
      <c r="O61" s="49">
        <f>IF($A61="","",IF($D61="","PENDIENTE",SUM($D61:$K61)))</f>
        <v/>
      </c>
      <c r="P61" s="50" t="n"/>
      <c r="Q61" s="50" t="n"/>
      <c r="R61" s="36" t="n"/>
      <c r="S61" s="36" t="n"/>
      <c r="T61" s="36" t="n"/>
      <c r="U61" s="37">
        <f>IF($A61="","",IF(COUNT($P61:$T61)=0,0,IF(AND(SUM($P61:$Q61)&gt;0,NOT(ISNUMBER(IFERROR(IF(INDEX(tblProductos[Precio de venta actual],MATCH($A61,tblProductos[SKU],0))="","",INDEX(tblProductos[Precio de venta actual],MATCH($A61,tblProductos[SKU],0))),"")))),"PENDIENTE",IF(ISNUMBER(IFERROR(IF(INDEX(tblProductos[Precio de venta actual],MATCH($A61,tblProductos[SKU],0))="","",INDEX(tblProductos[Precio de venta actual],MATCH($A61,tblProductos[SKU],0))),"")),IFERROR(IF(INDEX(tblProductos[Precio de venta actual],MATCH($A61,tblProductos[SKU],0))="","",INDEX(tblProductos[Precio de venta actual],MATCH($A61,tblProductos[SKU],0))),""),0)*SUM($P61:$Q61)+SUM($R61:$T61))))</f>
        <v/>
      </c>
      <c r="V61" s="49">
        <f>IF($A61="","",IF(OR(NOT(ISNUMBER($O61)),NOT(ISNUMBER($U61))),"PENDIENTE",$O61+$U61))</f>
        <v/>
      </c>
      <c r="W61" s="41" t="n"/>
      <c r="X61" s="33" t="n"/>
    </row>
    <row r="62">
      <c r="A62" s="33" t="n"/>
      <c r="B62" s="48">
        <f>IF($A62="","",IFERROR(IF(INDEX(tblProductos[Nombre del producto],MATCH($A62,tblProductos[SKU],0))="","",INDEX(tblProductos[Nombre del producto],MATCH($A62,tblProductos[SKU],0))),""))</f>
        <v/>
      </c>
      <c r="C62" s="48">
        <f>IF($A62="","",IFERROR(IF(INDEX(tblProductos[Categoría],MATCH($A62,tblProductos[SKU],0))="","",INDEX(tblProductos[Categoría],MATCH($A62,tblProductos[SKU],0))),""))</f>
        <v/>
      </c>
      <c r="D62" s="36" t="n"/>
      <c r="E62" s="36" t="n"/>
      <c r="F62" s="36" t="n"/>
      <c r="G62" s="36" t="n"/>
      <c r="H62" s="36" t="n"/>
      <c r="I62" s="36" t="n"/>
      <c r="J62" s="36" t="n"/>
      <c r="K62" s="36" t="n"/>
      <c r="L62" s="37">
        <f>IF(OR($A62="",COUNT($D62:$F62)=0),"",SUM($D62:$F62))</f>
        <v/>
      </c>
      <c r="M62" s="37">
        <f>IF(OR($A62="",COUNT($G62:$J62)=0),"",SUM($G62:$J62))</f>
        <v/>
      </c>
      <c r="N62" s="37">
        <f>IF(OR($A62="",COUNT($E62,$H62,$J62,$K62)=0),"",SUM($E62,$H62,$J62,$K62))</f>
        <v/>
      </c>
      <c r="O62" s="49">
        <f>IF($A62="","",IF($D62="","PENDIENTE",SUM($D62:$K62)))</f>
        <v/>
      </c>
      <c r="P62" s="50" t="n"/>
      <c r="Q62" s="50" t="n"/>
      <c r="R62" s="36" t="n"/>
      <c r="S62" s="36" t="n"/>
      <c r="T62" s="36" t="n"/>
      <c r="U62" s="37">
        <f>IF($A62="","",IF(COUNT($P62:$T62)=0,0,IF(AND(SUM($P62:$Q62)&gt;0,NOT(ISNUMBER(IFERROR(IF(INDEX(tblProductos[Precio de venta actual],MATCH($A62,tblProductos[SKU],0))="","",INDEX(tblProductos[Precio de venta actual],MATCH($A62,tblProductos[SKU],0))),"")))),"PENDIENTE",IF(ISNUMBER(IFERROR(IF(INDEX(tblProductos[Precio de venta actual],MATCH($A62,tblProductos[SKU],0))="","",INDEX(tblProductos[Precio de venta actual],MATCH($A62,tblProductos[SKU],0))),"")),IFERROR(IF(INDEX(tblProductos[Precio de venta actual],MATCH($A62,tblProductos[SKU],0))="","",INDEX(tblProductos[Precio de venta actual],MATCH($A62,tblProductos[SKU],0))),""),0)*SUM($P62:$Q62)+SUM($R62:$T62))))</f>
        <v/>
      </c>
      <c r="V62" s="49">
        <f>IF($A62="","",IF(OR(NOT(ISNUMBER($O62)),NOT(ISNUMBER($U62))),"PENDIENTE",$O62+$U62))</f>
        <v/>
      </c>
      <c r="W62" s="41" t="n"/>
      <c r="X62" s="33" t="n"/>
    </row>
    <row r="63">
      <c r="A63" s="33" t="n"/>
      <c r="B63" s="48">
        <f>IF($A63="","",IFERROR(IF(INDEX(tblProductos[Nombre del producto],MATCH($A63,tblProductos[SKU],0))="","",INDEX(tblProductos[Nombre del producto],MATCH($A63,tblProductos[SKU],0))),""))</f>
        <v/>
      </c>
      <c r="C63" s="48">
        <f>IF($A63="","",IFERROR(IF(INDEX(tblProductos[Categoría],MATCH($A63,tblProductos[SKU],0))="","",INDEX(tblProductos[Categoría],MATCH($A63,tblProductos[SKU],0))),""))</f>
        <v/>
      </c>
      <c r="D63" s="36" t="n"/>
      <c r="E63" s="36" t="n"/>
      <c r="F63" s="36" t="n"/>
      <c r="G63" s="36" t="n"/>
      <c r="H63" s="36" t="n"/>
      <c r="I63" s="36" t="n"/>
      <c r="J63" s="36" t="n"/>
      <c r="K63" s="36" t="n"/>
      <c r="L63" s="37">
        <f>IF(OR($A63="",COUNT($D63:$F63)=0),"",SUM($D63:$F63))</f>
        <v/>
      </c>
      <c r="M63" s="37">
        <f>IF(OR($A63="",COUNT($G63:$J63)=0),"",SUM($G63:$J63))</f>
        <v/>
      </c>
      <c r="N63" s="37">
        <f>IF(OR($A63="",COUNT($E63,$H63,$J63,$K63)=0),"",SUM($E63,$H63,$J63,$K63))</f>
        <v/>
      </c>
      <c r="O63" s="49">
        <f>IF($A63="","",IF($D63="","PENDIENTE",SUM($D63:$K63)))</f>
        <v/>
      </c>
      <c r="P63" s="50" t="n"/>
      <c r="Q63" s="50" t="n"/>
      <c r="R63" s="36" t="n"/>
      <c r="S63" s="36" t="n"/>
      <c r="T63" s="36" t="n"/>
      <c r="U63" s="37">
        <f>IF($A63="","",IF(COUNT($P63:$T63)=0,0,IF(AND(SUM($P63:$Q63)&gt;0,NOT(ISNUMBER(IFERROR(IF(INDEX(tblProductos[Precio de venta actual],MATCH($A63,tblProductos[SKU],0))="","",INDEX(tblProductos[Precio de venta actual],MATCH($A63,tblProductos[SKU],0))),"")))),"PENDIENTE",IF(ISNUMBER(IFERROR(IF(INDEX(tblProductos[Precio de venta actual],MATCH($A63,tblProductos[SKU],0))="","",INDEX(tblProductos[Precio de venta actual],MATCH($A63,tblProductos[SKU],0))),"")),IFERROR(IF(INDEX(tblProductos[Precio de venta actual],MATCH($A63,tblProductos[SKU],0))="","",INDEX(tblProductos[Precio de venta actual],MATCH($A63,tblProductos[SKU],0))),""),0)*SUM($P63:$Q63)+SUM($R63:$T63))))</f>
        <v/>
      </c>
      <c r="V63" s="49">
        <f>IF($A63="","",IF(OR(NOT(ISNUMBER($O63)),NOT(ISNUMBER($U63))),"PENDIENTE",$O63+$U63))</f>
        <v/>
      </c>
      <c r="W63" s="41" t="n"/>
      <c r="X63" s="33" t="n"/>
    </row>
    <row r="64">
      <c r="A64" s="33" t="n"/>
      <c r="B64" s="48">
        <f>IF($A64="","",IFERROR(IF(INDEX(tblProductos[Nombre del producto],MATCH($A64,tblProductos[SKU],0))="","",INDEX(tblProductos[Nombre del producto],MATCH($A64,tblProductos[SKU],0))),""))</f>
        <v/>
      </c>
      <c r="C64" s="48">
        <f>IF($A64="","",IFERROR(IF(INDEX(tblProductos[Categoría],MATCH($A64,tblProductos[SKU],0))="","",INDEX(tblProductos[Categoría],MATCH($A64,tblProductos[SKU],0))),""))</f>
        <v/>
      </c>
      <c r="D64" s="36" t="n"/>
      <c r="E64" s="36" t="n"/>
      <c r="F64" s="36" t="n"/>
      <c r="G64" s="36" t="n"/>
      <c r="H64" s="36" t="n"/>
      <c r="I64" s="36" t="n"/>
      <c r="J64" s="36" t="n"/>
      <c r="K64" s="36" t="n"/>
      <c r="L64" s="37">
        <f>IF(OR($A64="",COUNT($D64:$F64)=0),"",SUM($D64:$F64))</f>
        <v/>
      </c>
      <c r="M64" s="37">
        <f>IF(OR($A64="",COUNT($G64:$J64)=0),"",SUM($G64:$J64))</f>
        <v/>
      </c>
      <c r="N64" s="37">
        <f>IF(OR($A64="",COUNT($E64,$H64,$J64,$K64)=0),"",SUM($E64,$H64,$J64,$K64))</f>
        <v/>
      </c>
      <c r="O64" s="49">
        <f>IF($A64="","",IF($D64="","PENDIENTE",SUM($D64:$K64)))</f>
        <v/>
      </c>
      <c r="P64" s="50" t="n"/>
      <c r="Q64" s="50" t="n"/>
      <c r="R64" s="36" t="n"/>
      <c r="S64" s="36" t="n"/>
      <c r="T64" s="36" t="n"/>
      <c r="U64" s="37">
        <f>IF($A64="","",IF(COUNT($P64:$T64)=0,0,IF(AND(SUM($P64:$Q64)&gt;0,NOT(ISNUMBER(IFERROR(IF(INDEX(tblProductos[Precio de venta actual],MATCH($A64,tblProductos[SKU],0))="","",INDEX(tblProductos[Precio de venta actual],MATCH($A64,tblProductos[SKU],0))),"")))),"PENDIENTE",IF(ISNUMBER(IFERROR(IF(INDEX(tblProductos[Precio de venta actual],MATCH($A64,tblProductos[SKU],0))="","",INDEX(tblProductos[Precio de venta actual],MATCH($A64,tblProductos[SKU],0))),"")),IFERROR(IF(INDEX(tblProductos[Precio de venta actual],MATCH($A64,tblProductos[SKU],0))="","",INDEX(tblProductos[Precio de venta actual],MATCH($A64,tblProductos[SKU],0))),""),0)*SUM($P64:$Q64)+SUM($R64:$T64))))</f>
        <v/>
      </c>
      <c r="V64" s="49">
        <f>IF($A64="","",IF(OR(NOT(ISNUMBER($O64)),NOT(ISNUMBER($U64))),"PENDIENTE",$O64+$U64))</f>
        <v/>
      </c>
      <c r="W64" s="41" t="n"/>
      <c r="X64" s="33" t="n"/>
    </row>
    <row r="65">
      <c r="A65" s="33" t="n"/>
      <c r="B65" s="48">
        <f>IF($A65="","",IFERROR(IF(INDEX(tblProductos[Nombre del producto],MATCH($A65,tblProductos[SKU],0))="","",INDEX(tblProductos[Nombre del producto],MATCH($A65,tblProductos[SKU],0))),""))</f>
        <v/>
      </c>
      <c r="C65" s="48">
        <f>IF($A65="","",IFERROR(IF(INDEX(tblProductos[Categoría],MATCH($A65,tblProductos[SKU],0))="","",INDEX(tblProductos[Categoría],MATCH($A65,tblProductos[SKU],0))),""))</f>
        <v/>
      </c>
      <c r="D65" s="36" t="n"/>
      <c r="E65" s="36" t="n"/>
      <c r="F65" s="36" t="n"/>
      <c r="G65" s="36" t="n"/>
      <c r="H65" s="36" t="n"/>
      <c r="I65" s="36" t="n"/>
      <c r="J65" s="36" t="n"/>
      <c r="K65" s="36" t="n"/>
      <c r="L65" s="37">
        <f>IF(OR($A65="",COUNT($D65:$F65)=0),"",SUM($D65:$F65))</f>
        <v/>
      </c>
      <c r="M65" s="37">
        <f>IF(OR($A65="",COUNT($G65:$J65)=0),"",SUM($G65:$J65))</f>
        <v/>
      </c>
      <c r="N65" s="37">
        <f>IF(OR($A65="",COUNT($E65,$H65,$J65,$K65)=0),"",SUM($E65,$H65,$J65,$K65))</f>
        <v/>
      </c>
      <c r="O65" s="49">
        <f>IF($A65="","",IF($D65="","PENDIENTE",SUM($D65:$K65)))</f>
        <v/>
      </c>
      <c r="P65" s="50" t="n"/>
      <c r="Q65" s="50" t="n"/>
      <c r="R65" s="36" t="n"/>
      <c r="S65" s="36" t="n"/>
      <c r="T65" s="36" t="n"/>
      <c r="U65" s="37">
        <f>IF($A65="","",IF(COUNT($P65:$T65)=0,0,IF(AND(SUM($P65:$Q65)&gt;0,NOT(ISNUMBER(IFERROR(IF(INDEX(tblProductos[Precio de venta actual],MATCH($A65,tblProductos[SKU],0))="","",INDEX(tblProductos[Precio de venta actual],MATCH($A65,tblProductos[SKU],0))),"")))),"PENDIENTE",IF(ISNUMBER(IFERROR(IF(INDEX(tblProductos[Precio de venta actual],MATCH($A65,tblProductos[SKU],0))="","",INDEX(tblProductos[Precio de venta actual],MATCH($A65,tblProductos[SKU],0))),"")),IFERROR(IF(INDEX(tblProductos[Precio de venta actual],MATCH($A65,tblProductos[SKU],0))="","",INDEX(tblProductos[Precio de venta actual],MATCH($A65,tblProductos[SKU],0))),""),0)*SUM($P65:$Q65)+SUM($R65:$T65))))</f>
        <v/>
      </c>
      <c r="V65" s="49">
        <f>IF($A65="","",IF(OR(NOT(ISNUMBER($O65)),NOT(ISNUMBER($U65))),"PENDIENTE",$O65+$U65))</f>
        <v/>
      </c>
      <c r="W65" s="41" t="n"/>
      <c r="X65" s="33" t="n"/>
    </row>
    <row r="66">
      <c r="A66" s="33" t="n"/>
      <c r="B66" s="48">
        <f>IF($A66="","",IFERROR(IF(INDEX(tblProductos[Nombre del producto],MATCH($A66,tblProductos[SKU],0))="","",INDEX(tblProductos[Nombre del producto],MATCH($A66,tblProductos[SKU],0))),""))</f>
        <v/>
      </c>
      <c r="C66" s="48">
        <f>IF($A66="","",IFERROR(IF(INDEX(tblProductos[Categoría],MATCH($A66,tblProductos[SKU],0))="","",INDEX(tblProductos[Categoría],MATCH($A66,tblProductos[SKU],0))),""))</f>
        <v/>
      </c>
      <c r="D66" s="36" t="n"/>
      <c r="E66" s="36" t="n"/>
      <c r="F66" s="36" t="n"/>
      <c r="G66" s="36" t="n"/>
      <c r="H66" s="36" t="n"/>
      <c r="I66" s="36" t="n"/>
      <c r="J66" s="36" t="n"/>
      <c r="K66" s="36" t="n"/>
      <c r="L66" s="37">
        <f>IF(OR($A66="",COUNT($D66:$F66)=0),"",SUM($D66:$F66))</f>
        <v/>
      </c>
      <c r="M66" s="37">
        <f>IF(OR($A66="",COUNT($G66:$J66)=0),"",SUM($G66:$J66))</f>
        <v/>
      </c>
      <c r="N66" s="37">
        <f>IF(OR($A66="",COUNT($E66,$H66,$J66,$K66)=0),"",SUM($E66,$H66,$J66,$K66))</f>
        <v/>
      </c>
      <c r="O66" s="49">
        <f>IF($A66="","",IF($D66="","PENDIENTE",SUM($D66:$K66)))</f>
        <v/>
      </c>
      <c r="P66" s="50" t="n"/>
      <c r="Q66" s="50" t="n"/>
      <c r="R66" s="36" t="n"/>
      <c r="S66" s="36" t="n"/>
      <c r="T66" s="36" t="n"/>
      <c r="U66" s="37">
        <f>IF($A66="","",IF(COUNT($P66:$T66)=0,0,IF(AND(SUM($P66:$Q66)&gt;0,NOT(ISNUMBER(IFERROR(IF(INDEX(tblProductos[Precio de venta actual],MATCH($A66,tblProductos[SKU],0))="","",INDEX(tblProductos[Precio de venta actual],MATCH($A66,tblProductos[SKU],0))),"")))),"PENDIENTE",IF(ISNUMBER(IFERROR(IF(INDEX(tblProductos[Precio de venta actual],MATCH($A66,tblProductos[SKU],0))="","",INDEX(tblProductos[Precio de venta actual],MATCH($A66,tblProductos[SKU],0))),"")),IFERROR(IF(INDEX(tblProductos[Precio de venta actual],MATCH($A66,tblProductos[SKU],0))="","",INDEX(tblProductos[Precio de venta actual],MATCH($A66,tblProductos[SKU],0))),""),0)*SUM($P66:$Q66)+SUM($R66:$T66))))</f>
        <v/>
      </c>
      <c r="V66" s="49">
        <f>IF($A66="","",IF(OR(NOT(ISNUMBER($O66)),NOT(ISNUMBER($U66))),"PENDIENTE",$O66+$U66))</f>
        <v/>
      </c>
      <c r="W66" s="41" t="n"/>
      <c r="X66" s="33" t="n"/>
    </row>
    <row r="67">
      <c r="A67" s="33" t="n"/>
      <c r="B67" s="48">
        <f>IF($A67="","",IFERROR(IF(INDEX(tblProductos[Nombre del producto],MATCH($A67,tblProductos[SKU],0))="","",INDEX(tblProductos[Nombre del producto],MATCH($A67,tblProductos[SKU],0))),""))</f>
        <v/>
      </c>
      <c r="C67" s="48">
        <f>IF($A67="","",IFERROR(IF(INDEX(tblProductos[Categoría],MATCH($A67,tblProductos[SKU],0))="","",INDEX(tblProductos[Categoría],MATCH($A67,tblProductos[SKU],0))),""))</f>
        <v/>
      </c>
      <c r="D67" s="36" t="n"/>
      <c r="E67" s="36" t="n"/>
      <c r="F67" s="36" t="n"/>
      <c r="G67" s="36" t="n"/>
      <c r="H67" s="36" t="n"/>
      <c r="I67" s="36" t="n"/>
      <c r="J67" s="36" t="n"/>
      <c r="K67" s="36" t="n"/>
      <c r="L67" s="37">
        <f>IF(OR($A67="",COUNT($D67:$F67)=0),"",SUM($D67:$F67))</f>
        <v/>
      </c>
      <c r="M67" s="37">
        <f>IF(OR($A67="",COUNT($G67:$J67)=0),"",SUM($G67:$J67))</f>
        <v/>
      </c>
      <c r="N67" s="37">
        <f>IF(OR($A67="",COUNT($E67,$H67,$J67,$K67)=0),"",SUM($E67,$H67,$J67,$K67))</f>
        <v/>
      </c>
      <c r="O67" s="49">
        <f>IF($A67="","",IF($D67="","PENDIENTE",SUM($D67:$K67)))</f>
        <v/>
      </c>
      <c r="P67" s="50" t="n"/>
      <c r="Q67" s="50" t="n"/>
      <c r="R67" s="36" t="n"/>
      <c r="S67" s="36" t="n"/>
      <c r="T67" s="36" t="n"/>
      <c r="U67" s="37">
        <f>IF($A67="","",IF(COUNT($P67:$T67)=0,0,IF(AND(SUM($P67:$Q67)&gt;0,NOT(ISNUMBER(IFERROR(IF(INDEX(tblProductos[Precio de venta actual],MATCH($A67,tblProductos[SKU],0))="","",INDEX(tblProductos[Precio de venta actual],MATCH($A67,tblProductos[SKU],0))),"")))),"PENDIENTE",IF(ISNUMBER(IFERROR(IF(INDEX(tblProductos[Precio de venta actual],MATCH($A67,tblProductos[SKU],0))="","",INDEX(tblProductos[Precio de venta actual],MATCH($A67,tblProductos[SKU],0))),"")),IFERROR(IF(INDEX(tblProductos[Precio de venta actual],MATCH($A67,tblProductos[SKU],0))="","",INDEX(tblProductos[Precio de venta actual],MATCH($A67,tblProductos[SKU],0))),""),0)*SUM($P67:$Q67)+SUM($R67:$T67))))</f>
        <v/>
      </c>
      <c r="V67" s="49">
        <f>IF($A67="","",IF(OR(NOT(ISNUMBER($O67)),NOT(ISNUMBER($U67))),"PENDIENTE",$O67+$U67))</f>
        <v/>
      </c>
      <c r="W67" s="41" t="n"/>
      <c r="X67" s="33" t="n"/>
    </row>
  </sheetData>
  <mergeCells count="4">
    <mergeCell ref="D6:K6"/>
    <mergeCell ref="L6:O6"/>
    <mergeCell ref="P6:V6"/>
    <mergeCell ref="A3:X4"/>
  </mergeCells>
  <conditionalFormatting sqref="O8:O67">
    <cfRule type="expression" priority="1" dxfId="6">
      <formula>$O8="PENDIENTE"</formula>
    </cfRule>
  </conditionalFormatting>
  <conditionalFormatting sqref="V8:V67">
    <cfRule type="expression" priority="2" dxfId="6">
      <formula>$V8="PENDIENTE"</formula>
    </cfRule>
  </conditionalFormatting>
  <dataValidations count="4">
    <dataValidation sqref="A8:A67" showDropDown="0" showInputMessage="0" showErrorMessage="0" allowBlank="1" errorTitle="Valor fuera de la lista" error="Ese valor no está en la lista. Agréguelo en la hoja CONFIG si es nuevo." type="list" errorStyle="stop">
      <formula1>=LISTA_SKU</formula1>
    </dataValidation>
    <dataValidation sqref="D8:K67" showDropDown="0" showInputMessage="0" showErrorMessage="0" allowBlank="1" errorTitle="Número inválido" error="Escriba un número mayor o igual a 0." type="decimal" errorStyle="stop" operator="greaterThanOrEqual">
      <formula1>0</formula1>
    </dataValidation>
    <dataValidation sqref="R8:T67" showDropDown="0" showInputMessage="0" showErrorMessage="0" allowBlank="1" errorTitle="Número inválido" error="Escriba un número mayor o igual a 0." type="decimal" errorStyle="stop" operator="greaterThanOrEqual">
      <formula1>0</formula1>
    </dataValidation>
    <dataValidation sqref="W8:W67" showDropDown="0" showInputMessage="0" showErrorMessage="0" allowBlank="1" errorTitle="Fecha inválida" error="Escriba una fecha válida (dd/mm/aaaa)." type="date" errorStyle="stop" operator="greaterThan">
      <formula1>DATE(2000,1,1)</formula1>
    </dataValidation>
  </dataValidations>
  <printOptions horizontalCentered="1"/>
  <pageMargins left="0.4" right="0.4" top="0.5" bottom="0.5" header="0.5" footer="0.5"/>
  <pageSetup orientation="landscape"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tabColor rgb="002E5C8A"/>
    <outlinePr summaryBelow="1" summaryRight="1"/>
    <pageSetUpPr fitToPage="1"/>
  </sheetPr>
  <dimension ref="A1:U306"/>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13" customWidth="1" min="1" max="1"/>
    <col width="12" customWidth="1" min="2" max="2"/>
    <col width="24" customWidth="1" min="3" max="3"/>
    <col width="13" customWidth="1" min="4" max="4"/>
    <col width="32" customWidth="1" min="5" max="5"/>
    <col width="16" customWidth="1" min="6" max="6"/>
    <col width="10" customWidth="1" min="7" max="7"/>
    <col width="13" customWidth="1" min="8" max="8"/>
    <col width="14" customWidth="1" min="9" max="9"/>
    <col width="12" customWidth="1" min="10" max="10"/>
    <col width="12" customWidth="1" min="11" max="11"/>
    <col width="12" customWidth="1" min="12" max="12"/>
    <col width="15" customWidth="1" min="13" max="13"/>
    <col width="14" customWidth="1" min="14" max="14"/>
    <col width="15" customWidth="1" min="15" max="15"/>
    <col width="14" customWidth="1" min="16" max="16"/>
    <col width="12" customWidth="1" min="17" max="17"/>
    <col width="13" customWidth="1" min="18" max="18"/>
    <col width="13" customWidth="1" min="19" max="19"/>
    <col width="26" customWidth="1" min="20" max="20"/>
    <col width="30" customWidth="1" min="21" max="21"/>
  </cols>
  <sheetData>
    <row r="1">
      <c r="A1" s="1" t="inlineStr">
        <is>
          <t>COMPRAS — Registro de adquisiciones</t>
        </is>
      </c>
    </row>
    <row r="2">
      <c r="A2" s="2" t="inlineStr">
        <is>
          <t>Cada fila es una línea de compra. Alimenta automáticamente el INVENTARIO (entradas), el costo promedio ponderado y la CAJA (salidas de efectivo por lo efectivamente pagado).</t>
        </is>
      </c>
    </row>
    <row r="3">
      <c r="A3" s="16" t="inlineStr">
        <is>
          <t>Costo total de adquisición = (cantidad × costo unitario) + transporte + impuestos + otros costos. Ese total —no solo el precio de factura— es el costo real que entra al inventario. La CAJA registra únicamente el «Monto pagado» en su «Fecha de pago»: comprar a crédito NO saca efectivo.</t>
        </is>
      </c>
    </row>
    <row r="4"/>
    <row r="6" ht="44" customHeight="1">
      <c r="A6" s="11" t="inlineStr">
        <is>
          <t>ID de compra</t>
        </is>
      </c>
      <c r="B6" s="11" t="inlineStr">
        <is>
          <t>Fecha</t>
        </is>
      </c>
      <c r="C6" s="11" t="inlineStr">
        <is>
          <t>Proveedor</t>
        </is>
      </c>
      <c r="D6" s="11" t="inlineStr">
        <is>
          <t>SKU</t>
        </is>
      </c>
      <c r="E6" s="11" t="inlineStr">
        <is>
          <t>Producto</t>
        </is>
      </c>
      <c r="F6" s="11" t="inlineStr">
        <is>
          <t>Categoría</t>
        </is>
      </c>
      <c r="G6" s="11" t="inlineStr">
        <is>
          <t>Cantidad</t>
        </is>
      </c>
      <c r="H6" s="11" t="inlineStr">
        <is>
          <t>Costo unitario</t>
        </is>
      </c>
      <c r="I6" s="11" t="inlineStr">
        <is>
          <t>Costo total</t>
        </is>
      </c>
      <c r="J6" s="11" t="inlineStr">
        <is>
          <t>Transporte</t>
        </is>
      </c>
      <c r="K6" s="11" t="inlineStr">
        <is>
          <t>Impuestos / aranceles</t>
        </is>
      </c>
      <c r="L6" s="11" t="inlineStr">
        <is>
          <t>Otros costos</t>
        </is>
      </c>
      <c r="M6" s="11" t="inlineStr">
        <is>
          <t>Costo total de adquisición</t>
        </is>
      </c>
      <c r="N6" s="11" t="inlineStr">
        <is>
          <t>Costo unitario de adquisición</t>
        </is>
      </c>
      <c r="O6" s="11" t="inlineStr">
        <is>
          <t>Método de pago</t>
        </is>
      </c>
      <c r="P6" s="11" t="inlineStr">
        <is>
          <t>Estado de pago</t>
        </is>
      </c>
      <c r="Q6" s="11" t="inlineStr">
        <is>
          <t>Fecha de pago</t>
        </is>
      </c>
      <c r="R6" s="11" t="inlineStr">
        <is>
          <t>Monto pagado</t>
        </is>
      </c>
      <c r="S6" s="11" t="inlineStr">
        <is>
          <t>Saldo por pagar</t>
        </is>
      </c>
      <c r="T6" s="11" t="inlineStr">
        <is>
          <t>Observaciones</t>
        </is>
      </c>
      <c r="U6" s="11" t="inlineStr">
        <is>
          <t>ALERTA</t>
        </is>
      </c>
    </row>
    <row r="7">
      <c r="A7" s="51">
        <f>IF(COUNTA($B7,$C7,$D7,$G7,$H7)=0,"","C-"&amp;TEXT(ROW()-6,"0000"))</f>
        <v/>
      </c>
      <c r="B7" s="41" t="n"/>
      <c r="C7" s="33" t="n"/>
      <c r="D7" s="33" t="n"/>
      <c r="E7" s="51">
        <f>IF($D7="","",IFERROR(IF(INDEX(tblProductos[Nombre del producto],MATCH($D7,tblProductos[SKU],0))="","",INDEX(tblProductos[Nombre del producto],MATCH($D7,tblProductos[SKU],0))),""))</f>
        <v/>
      </c>
      <c r="F7" s="51">
        <f>IF($D7="","",IFERROR(IF(INDEX(tblProductos[Categoría],MATCH($D7,tblProductos[SKU],0))="","",INDEX(tblProductos[Categoría],MATCH($D7,tblProductos[SKU],0))),""))</f>
        <v/>
      </c>
      <c r="G7" s="34" t="n"/>
      <c r="H7" s="36" t="n"/>
      <c r="I7" s="37">
        <f>IF(OR($G7="",$H7=""),"",$G7*$H7)</f>
        <v/>
      </c>
      <c r="J7" s="36" t="n"/>
      <c r="K7" s="36" t="n"/>
      <c r="L7" s="36" t="n"/>
      <c r="M7" s="37">
        <f>IF(NOT(ISNUMBER($I7)),"",$I7+SUM($J7:$L7))</f>
        <v/>
      </c>
      <c r="N7" s="37">
        <f>IF(OR(NOT(ISNUMBER($M7)),NOT(ISNUMBER($G7)),$G7&lt;=0),"",$M7/$G7)</f>
        <v/>
      </c>
      <c r="O7" s="33" t="n"/>
      <c r="P7" s="33" t="n"/>
      <c r="Q7" s="41" t="n"/>
      <c r="R7" s="36" t="n"/>
      <c r="S7" s="37">
        <f>IF(NOT(ISNUMBER($M7)),"",$M7-IF(ISNUMBER($R7),$R7,0))</f>
        <v/>
      </c>
      <c r="T7" s="33" t="n"/>
      <c r="U7" s="51">
        <f>IF(COUNTA($B7,$C7,$D7,$G7,$H7)=0,"",IF(IF($B7=""," · Falta fecha","")&amp;IF($C7=""," · Falta proveedor","")&amp;IF(AND($D7&lt;&gt;"",COUNTIF(tblProductos[SKU],$D7)=0)," · SKU no existe","")&amp;IF($D7=""," · Falta SKU","")&amp;IF(OR($G7="",NOT(ISNUMBER($G7)),$G7&lt;=0)," · Cantidad inválida","")&amp;IF($H7=""," · Falta costo unitario","")&amp;IF(AND($P7="Pagado",$Q7="")," · Pago sin fecha","")&amp;IF(AND(ISNUMBER($R7),ISNUMBER($M7),$R7&gt;N($M7)+0.01)," · Pagado &gt; total","")&amp;IF(AND(ISNUMBER($R7),$R7&gt;0,$Q7="")," · Monto pagado sin fecha","")="","OK",MID(IF($B7=""," · Falta fecha","")&amp;IF($C7=""," · Falta proveedor","")&amp;IF(AND($D7&lt;&gt;"",COUNTIF(tblProductos[SKU],$D7)=0)," · SKU no existe","")&amp;IF($D7=""," · Falta SKU","")&amp;IF(OR($G7="",NOT(ISNUMBER($G7)),$G7&lt;=0)," · Cantidad inválida","")&amp;IF($H7=""," · Falta costo unitario","")&amp;IF(AND($P7="Pagado",$Q7="")," · Pago sin fecha","")&amp;IF(AND(ISNUMBER($R7),ISNUMBER($M7),$R7&gt;N($M7)+0.01)," · Pagado &gt; total","")&amp;IF(AND(ISNUMBER($R7),$R7&gt;0,$Q7="")," · Monto pagado sin fecha",""),4,900)))</f>
        <v/>
      </c>
    </row>
    <row r="8">
      <c r="A8" s="51">
        <f>IF(COUNTA($B8,$C8,$D8,$G8,$H8)=0,"","C-"&amp;TEXT(ROW()-6,"0000"))</f>
        <v/>
      </c>
      <c r="B8" s="41" t="n"/>
      <c r="C8" s="33" t="n"/>
      <c r="D8" s="33" t="n"/>
      <c r="E8" s="51">
        <f>IF($D8="","",IFERROR(IF(INDEX(tblProductos[Nombre del producto],MATCH($D8,tblProductos[SKU],0))="","",INDEX(tblProductos[Nombre del producto],MATCH($D8,tblProductos[SKU],0))),""))</f>
        <v/>
      </c>
      <c r="F8" s="51">
        <f>IF($D8="","",IFERROR(IF(INDEX(tblProductos[Categoría],MATCH($D8,tblProductos[SKU],0))="","",INDEX(tblProductos[Categoría],MATCH($D8,tblProductos[SKU],0))),""))</f>
        <v/>
      </c>
      <c r="G8" s="34" t="n"/>
      <c r="H8" s="36" t="n"/>
      <c r="I8" s="37">
        <f>IF(OR($G8="",$H8=""),"",$G8*$H8)</f>
        <v/>
      </c>
      <c r="J8" s="36" t="n"/>
      <c r="K8" s="36" t="n"/>
      <c r="L8" s="36" t="n"/>
      <c r="M8" s="37">
        <f>IF(NOT(ISNUMBER($I8)),"",$I8+SUM($J8:$L8))</f>
        <v/>
      </c>
      <c r="N8" s="37">
        <f>IF(OR(NOT(ISNUMBER($M8)),NOT(ISNUMBER($G8)),$G8&lt;=0),"",$M8/$G8)</f>
        <v/>
      </c>
      <c r="O8" s="33" t="n"/>
      <c r="P8" s="33" t="n"/>
      <c r="Q8" s="41" t="n"/>
      <c r="R8" s="36" t="n"/>
      <c r="S8" s="37">
        <f>IF(NOT(ISNUMBER($M8)),"",$M8-IF(ISNUMBER($R8),$R8,0))</f>
        <v/>
      </c>
      <c r="T8" s="33" t="n"/>
      <c r="U8" s="51">
        <f>IF(COUNTA($B8,$C8,$D8,$G8,$H8)=0,"",IF(IF($B8=""," · Falta fecha","")&amp;IF($C8=""," · Falta proveedor","")&amp;IF(AND($D8&lt;&gt;"",COUNTIF(tblProductos[SKU],$D8)=0)," · SKU no existe","")&amp;IF($D8=""," · Falta SKU","")&amp;IF(OR($G8="",NOT(ISNUMBER($G8)),$G8&lt;=0)," · Cantidad inválida","")&amp;IF($H8=""," · Falta costo unitario","")&amp;IF(AND($P8="Pagado",$Q8="")," · Pago sin fecha","")&amp;IF(AND(ISNUMBER($R8),ISNUMBER($M8),$R8&gt;N($M8)+0.01)," · Pagado &gt; total","")&amp;IF(AND(ISNUMBER($R8),$R8&gt;0,$Q8="")," · Monto pagado sin fecha","")="","OK",MID(IF($B8=""," · Falta fecha","")&amp;IF($C8=""," · Falta proveedor","")&amp;IF(AND($D8&lt;&gt;"",COUNTIF(tblProductos[SKU],$D8)=0)," · SKU no existe","")&amp;IF($D8=""," · Falta SKU","")&amp;IF(OR($G8="",NOT(ISNUMBER($G8)),$G8&lt;=0)," · Cantidad inválida","")&amp;IF($H8=""," · Falta costo unitario","")&amp;IF(AND($P8="Pagado",$Q8="")," · Pago sin fecha","")&amp;IF(AND(ISNUMBER($R8),ISNUMBER($M8),$R8&gt;N($M8)+0.01)," · Pagado &gt; total","")&amp;IF(AND(ISNUMBER($R8),$R8&gt;0,$Q8="")," · Monto pagado sin fecha",""),4,900)))</f>
        <v/>
      </c>
    </row>
    <row r="9">
      <c r="A9" s="51">
        <f>IF(COUNTA($B9,$C9,$D9,$G9,$H9)=0,"","C-"&amp;TEXT(ROW()-6,"0000"))</f>
        <v/>
      </c>
      <c r="B9" s="41" t="n"/>
      <c r="C9" s="33" t="n"/>
      <c r="D9" s="33" t="n"/>
      <c r="E9" s="51">
        <f>IF($D9="","",IFERROR(IF(INDEX(tblProductos[Nombre del producto],MATCH($D9,tblProductos[SKU],0))="","",INDEX(tblProductos[Nombre del producto],MATCH($D9,tblProductos[SKU],0))),""))</f>
        <v/>
      </c>
      <c r="F9" s="51">
        <f>IF($D9="","",IFERROR(IF(INDEX(tblProductos[Categoría],MATCH($D9,tblProductos[SKU],0))="","",INDEX(tblProductos[Categoría],MATCH($D9,tblProductos[SKU],0))),""))</f>
        <v/>
      </c>
      <c r="G9" s="34" t="n"/>
      <c r="H9" s="36" t="n"/>
      <c r="I9" s="37">
        <f>IF(OR($G9="",$H9=""),"",$G9*$H9)</f>
        <v/>
      </c>
      <c r="J9" s="36" t="n"/>
      <c r="K9" s="36" t="n"/>
      <c r="L9" s="36" t="n"/>
      <c r="M9" s="37">
        <f>IF(NOT(ISNUMBER($I9)),"",$I9+SUM($J9:$L9))</f>
        <v/>
      </c>
      <c r="N9" s="37">
        <f>IF(OR(NOT(ISNUMBER($M9)),NOT(ISNUMBER($G9)),$G9&lt;=0),"",$M9/$G9)</f>
        <v/>
      </c>
      <c r="O9" s="33" t="n"/>
      <c r="P9" s="33" t="n"/>
      <c r="Q9" s="41" t="n"/>
      <c r="R9" s="36" t="n"/>
      <c r="S9" s="37">
        <f>IF(NOT(ISNUMBER($M9)),"",$M9-IF(ISNUMBER($R9),$R9,0))</f>
        <v/>
      </c>
      <c r="T9" s="33" t="n"/>
      <c r="U9" s="51">
        <f>IF(COUNTA($B9,$C9,$D9,$G9,$H9)=0,"",IF(IF($B9=""," · Falta fecha","")&amp;IF($C9=""," · Falta proveedor","")&amp;IF(AND($D9&lt;&gt;"",COUNTIF(tblProductos[SKU],$D9)=0)," · SKU no existe","")&amp;IF($D9=""," · Falta SKU","")&amp;IF(OR($G9="",NOT(ISNUMBER($G9)),$G9&lt;=0)," · Cantidad inválida","")&amp;IF($H9=""," · Falta costo unitario","")&amp;IF(AND($P9="Pagado",$Q9="")," · Pago sin fecha","")&amp;IF(AND(ISNUMBER($R9),ISNUMBER($M9),$R9&gt;N($M9)+0.01)," · Pagado &gt; total","")&amp;IF(AND(ISNUMBER($R9),$R9&gt;0,$Q9="")," · Monto pagado sin fecha","")="","OK",MID(IF($B9=""," · Falta fecha","")&amp;IF($C9=""," · Falta proveedor","")&amp;IF(AND($D9&lt;&gt;"",COUNTIF(tblProductos[SKU],$D9)=0)," · SKU no existe","")&amp;IF($D9=""," · Falta SKU","")&amp;IF(OR($G9="",NOT(ISNUMBER($G9)),$G9&lt;=0)," · Cantidad inválida","")&amp;IF($H9=""," · Falta costo unitario","")&amp;IF(AND($P9="Pagado",$Q9="")," · Pago sin fecha","")&amp;IF(AND(ISNUMBER($R9),ISNUMBER($M9),$R9&gt;N($M9)+0.01)," · Pagado &gt; total","")&amp;IF(AND(ISNUMBER($R9),$R9&gt;0,$Q9="")," · Monto pagado sin fecha",""),4,900)))</f>
        <v/>
      </c>
    </row>
    <row r="10">
      <c r="A10" s="51">
        <f>IF(COUNTA($B10,$C10,$D10,$G10,$H10)=0,"","C-"&amp;TEXT(ROW()-6,"0000"))</f>
        <v/>
      </c>
      <c r="B10" s="41" t="n"/>
      <c r="C10" s="33" t="n"/>
      <c r="D10" s="33" t="n"/>
      <c r="E10" s="51">
        <f>IF($D10="","",IFERROR(IF(INDEX(tblProductos[Nombre del producto],MATCH($D10,tblProductos[SKU],0))="","",INDEX(tblProductos[Nombre del producto],MATCH($D10,tblProductos[SKU],0))),""))</f>
        <v/>
      </c>
      <c r="F10" s="51">
        <f>IF($D10="","",IFERROR(IF(INDEX(tblProductos[Categoría],MATCH($D10,tblProductos[SKU],0))="","",INDEX(tblProductos[Categoría],MATCH($D10,tblProductos[SKU],0))),""))</f>
        <v/>
      </c>
      <c r="G10" s="34" t="n"/>
      <c r="H10" s="36" t="n"/>
      <c r="I10" s="37">
        <f>IF(OR($G10="",$H10=""),"",$G10*$H10)</f>
        <v/>
      </c>
      <c r="J10" s="36" t="n"/>
      <c r="K10" s="36" t="n"/>
      <c r="L10" s="36" t="n"/>
      <c r="M10" s="37">
        <f>IF(NOT(ISNUMBER($I10)),"",$I10+SUM($J10:$L10))</f>
        <v/>
      </c>
      <c r="N10" s="37">
        <f>IF(OR(NOT(ISNUMBER($M10)),NOT(ISNUMBER($G10)),$G10&lt;=0),"",$M10/$G10)</f>
        <v/>
      </c>
      <c r="O10" s="33" t="n"/>
      <c r="P10" s="33" t="n"/>
      <c r="Q10" s="41" t="n"/>
      <c r="R10" s="36" t="n"/>
      <c r="S10" s="37">
        <f>IF(NOT(ISNUMBER($M10)),"",$M10-IF(ISNUMBER($R10),$R10,0))</f>
        <v/>
      </c>
      <c r="T10" s="33" t="n"/>
      <c r="U10" s="51">
        <f>IF(COUNTA($B10,$C10,$D10,$G10,$H10)=0,"",IF(IF($B10=""," · Falta fecha","")&amp;IF($C10=""," · Falta proveedor","")&amp;IF(AND($D10&lt;&gt;"",COUNTIF(tblProductos[SKU],$D10)=0)," · SKU no existe","")&amp;IF($D10=""," · Falta SKU","")&amp;IF(OR($G10="",NOT(ISNUMBER($G10)),$G10&lt;=0)," · Cantidad inválida","")&amp;IF($H10=""," · Falta costo unitario","")&amp;IF(AND($P10="Pagado",$Q10="")," · Pago sin fecha","")&amp;IF(AND(ISNUMBER($R10),ISNUMBER($M10),$R10&gt;N($M10)+0.01)," · Pagado &gt; total","")&amp;IF(AND(ISNUMBER($R10),$R10&gt;0,$Q10="")," · Monto pagado sin fecha","")="","OK",MID(IF($B10=""," · Falta fecha","")&amp;IF($C10=""," · Falta proveedor","")&amp;IF(AND($D10&lt;&gt;"",COUNTIF(tblProductos[SKU],$D10)=0)," · SKU no existe","")&amp;IF($D10=""," · Falta SKU","")&amp;IF(OR($G10="",NOT(ISNUMBER($G10)),$G10&lt;=0)," · Cantidad inválida","")&amp;IF($H10=""," · Falta costo unitario","")&amp;IF(AND($P10="Pagado",$Q10="")," · Pago sin fecha","")&amp;IF(AND(ISNUMBER($R10),ISNUMBER($M10),$R10&gt;N($M10)+0.01)," · Pagado &gt; total","")&amp;IF(AND(ISNUMBER($R10),$R10&gt;0,$Q10="")," · Monto pagado sin fecha",""),4,900)))</f>
        <v/>
      </c>
    </row>
    <row r="11">
      <c r="A11" s="51">
        <f>IF(COUNTA($B11,$C11,$D11,$G11,$H11)=0,"","C-"&amp;TEXT(ROW()-6,"0000"))</f>
        <v/>
      </c>
      <c r="B11" s="41" t="n"/>
      <c r="C11" s="33" t="n"/>
      <c r="D11" s="33" t="n"/>
      <c r="E11" s="51">
        <f>IF($D11="","",IFERROR(IF(INDEX(tblProductos[Nombre del producto],MATCH($D11,tblProductos[SKU],0))="","",INDEX(tblProductos[Nombre del producto],MATCH($D11,tblProductos[SKU],0))),""))</f>
        <v/>
      </c>
      <c r="F11" s="51">
        <f>IF($D11="","",IFERROR(IF(INDEX(tblProductos[Categoría],MATCH($D11,tblProductos[SKU],0))="","",INDEX(tblProductos[Categoría],MATCH($D11,tblProductos[SKU],0))),""))</f>
        <v/>
      </c>
      <c r="G11" s="34" t="n"/>
      <c r="H11" s="36" t="n"/>
      <c r="I11" s="37">
        <f>IF(OR($G11="",$H11=""),"",$G11*$H11)</f>
        <v/>
      </c>
      <c r="J11" s="36" t="n"/>
      <c r="K11" s="36" t="n"/>
      <c r="L11" s="36" t="n"/>
      <c r="M11" s="37">
        <f>IF(NOT(ISNUMBER($I11)),"",$I11+SUM($J11:$L11))</f>
        <v/>
      </c>
      <c r="N11" s="37">
        <f>IF(OR(NOT(ISNUMBER($M11)),NOT(ISNUMBER($G11)),$G11&lt;=0),"",$M11/$G11)</f>
        <v/>
      </c>
      <c r="O11" s="33" t="n"/>
      <c r="P11" s="33" t="n"/>
      <c r="Q11" s="41" t="n"/>
      <c r="R11" s="36" t="n"/>
      <c r="S11" s="37">
        <f>IF(NOT(ISNUMBER($M11)),"",$M11-IF(ISNUMBER($R11),$R11,0))</f>
        <v/>
      </c>
      <c r="T11" s="33" t="n"/>
      <c r="U11" s="51">
        <f>IF(COUNTA($B11,$C11,$D11,$G11,$H11)=0,"",IF(IF($B11=""," · Falta fecha","")&amp;IF($C11=""," · Falta proveedor","")&amp;IF(AND($D11&lt;&gt;"",COUNTIF(tblProductos[SKU],$D11)=0)," · SKU no existe","")&amp;IF($D11=""," · Falta SKU","")&amp;IF(OR($G11="",NOT(ISNUMBER($G11)),$G11&lt;=0)," · Cantidad inválida","")&amp;IF($H11=""," · Falta costo unitario","")&amp;IF(AND($P11="Pagado",$Q11="")," · Pago sin fecha","")&amp;IF(AND(ISNUMBER($R11),ISNUMBER($M11),$R11&gt;N($M11)+0.01)," · Pagado &gt; total","")&amp;IF(AND(ISNUMBER($R11),$R11&gt;0,$Q11="")," · Monto pagado sin fecha","")="","OK",MID(IF($B11=""," · Falta fecha","")&amp;IF($C11=""," · Falta proveedor","")&amp;IF(AND($D11&lt;&gt;"",COUNTIF(tblProductos[SKU],$D11)=0)," · SKU no existe","")&amp;IF($D11=""," · Falta SKU","")&amp;IF(OR($G11="",NOT(ISNUMBER($G11)),$G11&lt;=0)," · Cantidad inválida","")&amp;IF($H11=""," · Falta costo unitario","")&amp;IF(AND($P11="Pagado",$Q11="")," · Pago sin fecha","")&amp;IF(AND(ISNUMBER($R11),ISNUMBER($M11),$R11&gt;N($M11)+0.01)," · Pagado &gt; total","")&amp;IF(AND(ISNUMBER($R11),$R11&gt;0,$Q11="")," · Monto pagado sin fecha",""),4,900)))</f>
        <v/>
      </c>
    </row>
    <row r="12">
      <c r="A12" s="51">
        <f>IF(COUNTA($B12,$C12,$D12,$G12,$H12)=0,"","C-"&amp;TEXT(ROW()-6,"0000"))</f>
        <v/>
      </c>
      <c r="B12" s="41" t="n"/>
      <c r="C12" s="33" t="n"/>
      <c r="D12" s="33" t="n"/>
      <c r="E12" s="51">
        <f>IF($D12="","",IFERROR(IF(INDEX(tblProductos[Nombre del producto],MATCH($D12,tblProductos[SKU],0))="","",INDEX(tblProductos[Nombre del producto],MATCH($D12,tblProductos[SKU],0))),""))</f>
        <v/>
      </c>
      <c r="F12" s="51">
        <f>IF($D12="","",IFERROR(IF(INDEX(tblProductos[Categoría],MATCH($D12,tblProductos[SKU],0))="","",INDEX(tblProductos[Categoría],MATCH($D12,tblProductos[SKU],0))),""))</f>
        <v/>
      </c>
      <c r="G12" s="34" t="n"/>
      <c r="H12" s="36" t="n"/>
      <c r="I12" s="37">
        <f>IF(OR($G12="",$H12=""),"",$G12*$H12)</f>
        <v/>
      </c>
      <c r="J12" s="36" t="n"/>
      <c r="K12" s="36" t="n"/>
      <c r="L12" s="36" t="n"/>
      <c r="M12" s="37">
        <f>IF(NOT(ISNUMBER($I12)),"",$I12+SUM($J12:$L12))</f>
        <v/>
      </c>
      <c r="N12" s="37">
        <f>IF(OR(NOT(ISNUMBER($M12)),NOT(ISNUMBER($G12)),$G12&lt;=0),"",$M12/$G12)</f>
        <v/>
      </c>
      <c r="O12" s="33" t="n"/>
      <c r="P12" s="33" t="n"/>
      <c r="Q12" s="41" t="n"/>
      <c r="R12" s="36" t="n"/>
      <c r="S12" s="37">
        <f>IF(NOT(ISNUMBER($M12)),"",$M12-IF(ISNUMBER($R12),$R12,0))</f>
        <v/>
      </c>
      <c r="T12" s="33" t="n"/>
      <c r="U12" s="51">
        <f>IF(COUNTA($B12,$C12,$D12,$G12,$H12)=0,"",IF(IF($B12=""," · Falta fecha","")&amp;IF($C12=""," · Falta proveedor","")&amp;IF(AND($D12&lt;&gt;"",COUNTIF(tblProductos[SKU],$D12)=0)," · SKU no existe","")&amp;IF($D12=""," · Falta SKU","")&amp;IF(OR($G12="",NOT(ISNUMBER($G12)),$G12&lt;=0)," · Cantidad inválida","")&amp;IF($H12=""," · Falta costo unitario","")&amp;IF(AND($P12="Pagado",$Q12="")," · Pago sin fecha","")&amp;IF(AND(ISNUMBER($R12),ISNUMBER($M12),$R12&gt;N($M12)+0.01)," · Pagado &gt; total","")&amp;IF(AND(ISNUMBER($R12),$R12&gt;0,$Q12="")," · Monto pagado sin fecha","")="","OK",MID(IF($B12=""," · Falta fecha","")&amp;IF($C12=""," · Falta proveedor","")&amp;IF(AND($D12&lt;&gt;"",COUNTIF(tblProductos[SKU],$D12)=0)," · SKU no existe","")&amp;IF($D12=""," · Falta SKU","")&amp;IF(OR($G12="",NOT(ISNUMBER($G12)),$G12&lt;=0)," · Cantidad inválida","")&amp;IF($H12=""," · Falta costo unitario","")&amp;IF(AND($P12="Pagado",$Q12="")," · Pago sin fecha","")&amp;IF(AND(ISNUMBER($R12),ISNUMBER($M12),$R12&gt;N($M12)+0.01)," · Pagado &gt; total","")&amp;IF(AND(ISNUMBER($R12),$R12&gt;0,$Q12="")," · Monto pagado sin fecha",""),4,900)))</f>
        <v/>
      </c>
    </row>
    <row r="13">
      <c r="A13" s="51">
        <f>IF(COUNTA($B13,$C13,$D13,$G13,$H13)=0,"","C-"&amp;TEXT(ROW()-6,"0000"))</f>
        <v/>
      </c>
      <c r="B13" s="41" t="n"/>
      <c r="C13" s="33" t="n"/>
      <c r="D13" s="33" t="n"/>
      <c r="E13" s="51">
        <f>IF($D13="","",IFERROR(IF(INDEX(tblProductos[Nombre del producto],MATCH($D13,tblProductos[SKU],0))="","",INDEX(tblProductos[Nombre del producto],MATCH($D13,tblProductos[SKU],0))),""))</f>
        <v/>
      </c>
      <c r="F13" s="51">
        <f>IF($D13="","",IFERROR(IF(INDEX(tblProductos[Categoría],MATCH($D13,tblProductos[SKU],0))="","",INDEX(tblProductos[Categoría],MATCH($D13,tblProductos[SKU],0))),""))</f>
        <v/>
      </c>
      <c r="G13" s="34" t="n"/>
      <c r="H13" s="36" t="n"/>
      <c r="I13" s="37">
        <f>IF(OR($G13="",$H13=""),"",$G13*$H13)</f>
        <v/>
      </c>
      <c r="J13" s="36" t="n"/>
      <c r="K13" s="36" t="n"/>
      <c r="L13" s="36" t="n"/>
      <c r="M13" s="37">
        <f>IF(NOT(ISNUMBER($I13)),"",$I13+SUM($J13:$L13))</f>
        <v/>
      </c>
      <c r="N13" s="37">
        <f>IF(OR(NOT(ISNUMBER($M13)),NOT(ISNUMBER($G13)),$G13&lt;=0),"",$M13/$G13)</f>
        <v/>
      </c>
      <c r="O13" s="33" t="n"/>
      <c r="P13" s="33" t="n"/>
      <c r="Q13" s="41" t="n"/>
      <c r="R13" s="36" t="n"/>
      <c r="S13" s="37">
        <f>IF(NOT(ISNUMBER($M13)),"",$M13-IF(ISNUMBER($R13),$R13,0))</f>
        <v/>
      </c>
      <c r="T13" s="33" t="n"/>
      <c r="U13" s="51">
        <f>IF(COUNTA($B13,$C13,$D13,$G13,$H13)=0,"",IF(IF($B13=""," · Falta fecha","")&amp;IF($C13=""," · Falta proveedor","")&amp;IF(AND($D13&lt;&gt;"",COUNTIF(tblProductos[SKU],$D13)=0)," · SKU no existe","")&amp;IF($D13=""," · Falta SKU","")&amp;IF(OR($G13="",NOT(ISNUMBER($G13)),$G13&lt;=0)," · Cantidad inválida","")&amp;IF($H13=""," · Falta costo unitario","")&amp;IF(AND($P13="Pagado",$Q13="")," · Pago sin fecha","")&amp;IF(AND(ISNUMBER($R13),ISNUMBER($M13),$R13&gt;N($M13)+0.01)," · Pagado &gt; total","")&amp;IF(AND(ISNUMBER($R13),$R13&gt;0,$Q13="")," · Monto pagado sin fecha","")="","OK",MID(IF($B13=""," · Falta fecha","")&amp;IF($C13=""," · Falta proveedor","")&amp;IF(AND($D13&lt;&gt;"",COUNTIF(tblProductos[SKU],$D13)=0)," · SKU no existe","")&amp;IF($D13=""," · Falta SKU","")&amp;IF(OR($G13="",NOT(ISNUMBER($G13)),$G13&lt;=0)," · Cantidad inválida","")&amp;IF($H13=""," · Falta costo unitario","")&amp;IF(AND($P13="Pagado",$Q13="")," · Pago sin fecha","")&amp;IF(AND(ISNUMBER($R13),ISNUMBER($M13),$R13&gt;N($M13)+0.01)," · Pagado &gt; total","")&amp;IF(AND(ISNUMBER($R13),$R13&gt;0,$Q13="")," · Monto pagado sin fecha",""),4,900)))</f>
        <v/>
      </c>
    </row>
    <row r="14">
      <c r="A14" s="51">
        <f>IF(COUNTA($B14,$C14,$D14,$G14,$H14)=0,"","C-"&amp;TEXT(ROW()-6,"0000"))</f>
        <v/>
      </c>
      <c r="B14" s="41" t="n"/>
      <c r="C14" s="33" t="n"/>
      <c r="D14" s="33" t="n"/>
      <c r="E14" s="51">
        <f>IF($D14="","",IFERROR(IF(INDEX(tblProductos[Nombre del producto],MATCH($D14,tblProductos[SKU],0))="","",INDEX(tblProductos[Nombre del producto],MATCH($D14,tblProductos[SKU],0))),""))</f>
        <v/>
      </c>
      <c r="F14" s="51">
        <f>IF($D14="","",IFERROR(IF(INDEX(tblProductos[Categoría],MATCH($D14,tblProductos[SKU],0))="","",INDEX(tblProductos[Categoría],MATCH($D14,tblProductos[SKU],0))),""))</f>
        <v/>
      </c>
      <c r="G14" s="34" t="n"/>
      <c r="H14" s="36" t="n"/>
      <c r="I14" s="37">
        <f>IF(OR($G14="",$H14=""),"",$G14*$H14)</f>
        <v/>
      </c>
      <c r="J14" s="36" t="n"/>
      <c r="K14" s="36" t="n"/>
      <c r="L14" s="36" t="n"/>
      <c r="M14" s="37">
        <f>IF(NOT(ISNUMBER($I14)),"",$I14+SUM($J14:$L14))</f>
        <v/>
      </c>
      <c r="N14" s="37">
        <f>IF(OR(NOT(ISNUMBER($M14)),NOT(ISNUMBER($G14)),$G14&lt;=0),"",$M14/$G14)</f>
        <v/>
      </c>
      <c r="O14" s="33" t="n"/>
      <c r="P14" s="33" t="n"/>
      <c r="Q14" s="41" t="n"/>
      <c r="R14" s="36" t="n"/>
      <c r="S14" s="37">
        <f>IF(NOT(ISNUMBER($M14)),"",$M14-IF(ISNUMBER($R14),$R14,0))</f>
        <v/>
      </c>
      <c r="T14" s="33" t="n"/>
      <c r="U14" s="51">
        <f>IF(COUNTA($B14,$C14,$D14,$G14,$H14)=0,"",IF(IF($B14=""," · Falta fecha","")&amp;IF($C14=""," · Falta proveedor","")&amp;IF(AND($D14&lt;&gt;"",COUNTIF(tblProductos[SKU],$D14)=0)," · SKU no existe","")&amp;IF($D14=""," · Falta SKU","")&amp;IF(OR($G14="",NOT(ISNUMBER($G14)),$G14&lt;=0)," · Cantidad inválida","")&amp;IF($H14=""," · Falta costo unitario","")&amp;IF(AND($P14="Pagado",$Q14="")," · Pago sin fecha","")&amp;IF(AND(ISNUMBER($R14),ISNUMBER($M14),$R14&gt;N($M14)+0.01)," · Pagado &gt; total","")&amp;IF(AND(ISNUMBER($R14),$R14&gt;0,$Q14="")," · Monto pagado sin fecha","")="","OK",MID(IF($B14=""," · Falta fecha","")&amp;IF($C14=""," · Falta proveedor","")&amp;IF(AND($D14&lt;&gt;"",COUNTIF(tblProductos[SKU],$D14)=0)," · SKU no existe","")&amp;IF($D14=""," · Falta SKU","")&amp;IF(OR($G14="",NOT(ISNUMBER($G14)),$G14&lt;=0)," · Cantidad inválida","")&amp;IF($H14=""," · Falta costo unitario","")&amp;IF(AND($P14="Pagado",$Q14="")," · Pago sin fecha","")&amp;IF(AND(ISNUMBER($R14),ISNUMBER($M14),$R14&gt;N($M14)+0.01)," · Pagado &gt; total","")&amp;IF(AND(ISNUMBER($R14),$R14&gt;0,$Q14="")," · Monto pagado sin fecha",""),4,900)))</f>
        <v/>
      </c>
    </row>
    <row r="15">
      <c r="A15" s="51">
        <f>IF(COUNTA($B15,$C15,$D15,$G15,$H15)=0,"","C-"&amp;TEXT(ROW()-6,"0000"))</f>
        <v/>
      </c>
      <c r="B15" s="41" t="n"/>
      <c r="C15" s="33" t="n"/>
      <c r="D15" s="33" t="n"/>
      <c r="E15" s="51">
        <f>IF($D15="","",IFERROR(IF(INDEX(tblProductos[Nombre del producto],MATCH($D15,tblProductos[SKU],0))="","",INDEX(tblProductos[Nombre del producto],MATCH($D15,tblProductos[SKU],0))),""))</f>
        <v/>
      </c>
      <c r="F15" s="51">
        <f>IF($D15="","",IFERROR(IF(INDEX(tblProductos[Categoría],MATCH($D15,tblProductos[SKU],0))="","",INDEX(tblProductos[Categoría],MATCH($D15,tblProductos[SKU],0))),""))</f>
        <v/>
      </c>
      <c r="G15" s="34" t="n"/>
      <c r="H15" s="36" t="n"/>
      <c r="I15" s="37">
        <f>IF(OR($G15="",$H15=""),"",$G15*$H15)</f>
        <v/>
      </c>
      <c r="J15" s="36" t="n"/>
      <c r="K15" s="36" t="n"/>
      <c r="L15" s="36" t="n"/>
      <c r="M15" s="37">
        <f>IF(NOT(ISNUMBER($I15)),"",$I15+SUM($J15:$L15))</f>
        <v/>
      </c>
      <c r="N15" s="37">
        <f>IF(OR(NOT(ISNUMBER($M15)),NOT(ISNUMBER($G15)),$G15&lt;=0),"",$M15/$G15)</f>
        <v/>
      </c>
      <c r="O15" s="33" t="n"/>
      <c r="P15" s="33" t="n"/>
      <c r="Q15" s="41" t="n"/>
      <c r="R15" s="36" t="n"/>
      <c r="S15" s="37">
        <f>IF(NOT(ISNUMBER($M15)),"",$M15-IF(ISNUMBER($R15),$R15,0))</f>
        <v/>
      </c>
      <c r="T15" s="33" t="n"/>
      <c r="U15" s="51">
        <f>IF(COUNTA($B15,$C15,$D15,$G15,$H15)=0,"",IF(IF($B15=""," · Falta fecha","")&amp;IF($C15=""," · Falta proveedor","")&amp;IF(AND($D15&lt;&gt;"",COUNTIF(tblProductos[SKU],$D15)=0)," · SKU no existe","")&amp;IF($D15=""," · Falta SKU","")&amp;IF(OR($G15="",NOT(ISNUMBER($G15)),$G15&lt;=0)," · Cantidad inválida","")&amp;IF($H15=""," · Falta costo unitario","")&amp;IF(AND($P15="Pagado",$Q15="")," · Pago sin fecha","")&amp;IF(AND(ISNUMBER($R15),ISNUMBER($M15),$R15&gt;N($M15)+0.01)," · Pagado &gt; total","")&amp;IF(AND(ISNUMBER($R15),$R15&gt;0,$Q15="")," · Monto pagado sin fecha","")="","OK",MID(IF($B15=""," · Falta fecha","")&amp;IF($C15=""," · Falta proveedor","")&amp;IF(AND($D15&lt;&gt;"",COUNTIF(tblProductos[SKU],$D15)=0)," · SKU no existe","")&amp;IF($D15=""," · Falta SKU","")&amp;IF(OR($G15="",NOT(ISNUMBER($G15)),$G15&lt;=0)," · Cantidad inválida","")&amp;IF($H15=""," · Falta costo unitario","")&amp;IF(AND($P15="Pagado",$Q15="")," · Pago sin fecha","")&amp;IF(AND(ISNUMBER($R15),ISNUMBER($M15),$R15&gt;N($M15)+0.01)," · Pagado &gt; total","")&amp;IF(AND(ISNUMBER($R15),$R15&gt;0,$Q15="")," · Monto pagado sin fecha",""),4,900)))</f>
        <v/>
      </c>
    </row>
    <row r="16">
      <c r="A16" s="51">
        <f>IF(COUNTA($B16,$C16,$D16,$G16,$H16)=0,"","C-"&amp;TEXT(ROW()-6,"0000"))</f>
        <v/>
      </c>
      <c r="B16" s="41" t="n"/>
      <c r="C16" s="33" t="n"/>
      <c r="D16" s="33" t="n"/>
      <c r="E16" s="51">
        <f>IF($D16="","",IFERROR(IF(INDEX(tblProductos[Nombre del producto],MATCH($D16,tblProductos[SKU],0))="","",INDEX(tblProductos[Nombre del producto],MATCH($D16,tblProductos[SKU],0))),""))</f>
        <v/>
      </c>
      <c r="F16" s="51">
        <f>IF($D16="","",IFERROR(IF(INDEX(tblProductos[Categoría],MATCH($D16,tblProductos[SKU],0))="","",INDEX(tblProductos[Categoría],MATCH($D16,tblProductos[SKU],0))),""))</f>
        <v/>
      </c>
      <c r="G16" s="34" t="n"/>
      <c r="H16" s="36" t="n"/>
      <c r="I16" s="37">
        <f>IF(OR($G16="",$H16=""),"",$G16*$H16)</f>
        <v/>
      </c>
      <c r="J16" s="36" t="n"/>
      <c r="K16" s="36" t="n"/>
      <c r="L16" s="36" t="n"/>
      <c r="M16" s="37">
        <f>IF(NOT(ISNUMBER($I16)),"",$I16+SUM($J16:$L16))</f>
        <v/>
      </c>
      <c r="N16" s="37">
        <f>IF(OR(NOT(ISNUMBER($M16)),NOT(ISNUMBER($G16)),$G16&lt;=0),"",$M16/$G16)</f>
        <v/>
      </c>
      <c r="O16" s="33" t="n"/>
      <c r="P16" s="33" t="n"/>
      <c r="Q16" s="41" t="n"/>
      <c r="R16" s="36" t="n"/>
      <c r="S16" s="37">
        <f>IF(NOT(ISNUMBER($M16)),"",$M16-IF(ISNUMBER($R16),$R16,0))</f>
        <v/>
      </c>
      <c r="T16" s="33" t="n"/>
      <c r="U16" s="51">
        <f>IF(COUNTA($B16,$C16,$D16,$G16,$H16)=0,"",IF(IF($B16=""," · Falta fecha","")&amp;IF($C16=""," · Falta proveedor","")&amp;IF(AND($D16&lt;&gt;"",COUNTIF(tblProductos[SKU],$D16)=0)," · SKU no existe","")&amp;IF($D16=""," · Falta SKU","")&amp;IF(OR($G16="",NOT(ISNUMBER($G16)),$G16&lt;=0)," · Cantidad inválida","")&amp;IF($H16=""," · Falta costo unitario","")&amp;IF(AND($P16="Pagado",$Q16="")," · Pago sin fecha","")&amp;IF(AND(ISNUMBER($R16),ISNUMBER($M16),$R16&gt;N($M16)+0.01)," · Pagado &gt; total","")&amp;IF(AND(ISNUMBER($R16),$R16&gt;0,$Q16="")," · Monto pagado sin fecha","")="","OK",MID(IF($B16=""," · Falta fecha","")&amp;IF($C16=""," · Falta proveedor","")&amp;IF(AND($D16&lt;&gt;"",COUNTIF(tblProductos[SKU],$D16)=0)," · SKU no existe","")&amp;IF($D16=""," · Falta SKU","")&amp;IF(OR($G16="",NOT(ISNUMBER($G16)),$G16&lt;=0)," · Cantidad inválida","")&amp;IF($H16=""," · Falta costo unitario","")&amp;IF(AND($P16="Pagado",$Q16="")," · Pago sin fecha","")&amp;IF(AND(ISNUMBER($R16),ISNUMBER($M16),$R16&gt;N($M16)+0.01)," · Pagado &gt; total","")&amp;IF(AND(ISNUMBER($R16),$R16&gt;0,$Q16="")," · Monto pagado sin fecha",""),4,900)))</f>
        <v/>
      </c>
    </row>
    <row r="17">
      <c r="A17" s="51">
        <f>IF(COUNTA($B17,$C17,$D17,$G17,$H17)=0,"","C-"&amp;TEXT(ROW()-6,"0000"))</f>
        <v/>
      </c>
      <c r="B17" s="41" t="n"/>
      <c r="C17" s="33" t="n"/>
      <c r="D17" s="33" t="n"/>
      <c r="E17" s="51">
        <f>IF($D17="","",IFERROR(IF(INDEX(tblProductos[Nombre del producto],MATCH($D17,tblProductos[SKU],0))="","",INDEX(tblProductos[Nombre del producto],MATCH($D17,tblProductos[SKU],0))),""))</f>
        <v/>
      </c>
      <c r="F17" s="51">
        <f>IF($D17="","",IFERROR(IF(INDEX(tblProductos[Categoría],MATCH($D17,tblProductos[SKU],0))="","",INDEX(tblProductos[Categoría],MATCH($D17,tblProductos[SKU],0))),""))</f>
        <v/>
      </c>
      <c r="G17" s="34" t="n"/>
      <c r="H17" s="36" t="n"/>
      <c r="I17" s="37">
        <f>IF(OR($G17="",$H17=""),"",$G17*$H17)</f>
        <v/>
      </c>
      <c r="J17" s="36" t="n"/>
      <c r="K17" s="36" t="n"/>
      <c r="L17" s="36" t="n"/>
      <c r="M17" s="37">
        <f>IF(NOT(ISNUMBER($I17)),"",$I17+SUM($J17:$L17))</f>
        <v/>
      </c>
      <c r="N17" s="37">
        <f>IF(OR(NOT(ISNUMBER($M17)),NOT(ISNUMBER($G17)),$G17&lt;=0),"",$M17/$G17)</f>
        <v/>
      </c>
      <c r="O17" s="33" t="n"/>
      <c r="P17" s="33" t="n"/>
      <c r="Q17" s="41" t="n"/>
      <c r="R17" s="36" t="n"/>
      <c r="S17" s="37">
        <f>IF(NOT(ISNUMBER($M17)),"",$M17-IF(ISNUMBER($R17),$R17,0))</f>
        <v/>
      </c>
      <c r="T17" s="33" t="n"/>
      <c r="U17" s="51">
        <f>IF(COUNTA($B17,$C17,$D17,$G17,$H17)=0,"",IF(IF($B17=""," · Falta fecha","")&amp;IF($C17=""," · Falta proveedor","")&amp;IF(AND($D17&lt;&gt;"",COUNTIF(tblProductos[SKU],$D17)=0)," · SKU no existe","")&amp;IF($D17=""," · Falta SKU","")&amp;IF(OR($G17="",NOT(ISNUMBER($G17)),$G17&lt;=0)," · Cantidad inválida","")&amp;IF($H17=""," · Falta costo unitario","")&amp;IF(AND($P17="Pagado",$Q17="")," · Pago sin fecha","")&amp;IF(AND(ISNUMBER($R17),ISNUMBER($M17),$R17&gt;N($M17)+0.01)," · Pagado &gt; total","")&amp;IF(AND(ISNUMBER($R17),$R17&gt;0,$Q17="")," · Monto pagado sin fecha","")="","OK",MID(IF($B17=""," · Falta fecha","")&amp;IF($C17=""," · Falta proveedor","")&amp;IF(AND($D17&lt;&gt;"",COUNTIF(tblProductos[SKU],$D17)=0)," · SKU no existe","")&amp;IF($D17=""," · Falta SKU","")&amp;IF(OR($G17="",NOT(ISNUMBER($G17)),$G17&lt;=0)," · Cantidad inválida","")&amp;IF($H17=""," · Falta costo unitario","")&amp;IF(AND($P17="Pagado",$Q17="")," · Pago sin fecha","")&amp;IF(AND(ISNUMBER($R17),ISNUMBER($M17),$R17&gt;N($M17)+0.01)," · Pagado &gt; total","")&amp;IF(AND(ISNUMBER($R17),$R17&gt;0,$Q17="")," · Monto pagado sin fecha",""),4,900)))</f>
        <v/>
      </c>
    </row>
    <row r="18">
      <c r="A18" s="51">
        <f>IF(COUNTA($B18,$C18,$D18,$G18,$H18)=0,"","C-"&amp;TEXT(ROW()-6,"0000"))</f>
        <v/>
      </c>
      <c r="B18" s="41" t="n"/>
      <c r="C18" s="33" t="n"/>
      <c r="D18" s="33" t="n"/>
      <c r="E18" s="51">
        <f>IF($D18="","",IFERROR(IF(INDEX(tblProductos[Nombre del producto],MATCH($D18,tblProductos[SKU],0))="","",INDEX(tblProductos[Nombre del producto],MATCH($D18,tblProductos[SKU],0))),""))</f>
        <v/>
      </c>
      <c r="F18" s="51">
        <f>IF($D18="","",IFERROR(IF(INDEX(tblProductos[Categoría],MATCH($D18,tblProductos[SKU],0))="","",INDEX(tblProductos[Categoría],MATCH($D18,tblProductos[SKU],0))),""))</f>
        <v/>
      </c>
      <c r="G18" s="34" t="n"/>
      <c r="H18" s="36" t="n"/>
      <c r="I18" s="37">
        <f>IF(OR($G18="",$H18=""),"",$G18*$H18)</f>
        <v/>
      </c>
      <c r="J18" s="36" t="n"/>
      <c r="K18" s="36" t="n"/>
      <c r="L18" s="36" t="n"/>
      <c r="M18" s="37">
        <f>IF(NOT(ISNUMBER($I18)),"",$I18+SUM($J18:$L18))</f>
        <v/>
      </c>
      <c r="N18" s="37">
        <f>IF(OR(NOT(ISNUMBER($M18)),NOT(ISNUMBER($G18)),$G18&lt;=0),"",$M18/$G18)</f>
        <v/>
      </c>
      <c r="O18" s="33" t="n"/>
      <c r="P18" s="33" t="n"/>
      <c r="Q18" s="41" t="n"/>
      <c r="R18" s="36" t="n"/>
      <c r="S18" s="37">
        <f>IF(NOT(ISNUMBER($M18)),"",$M18-IF(ISNUMBER($R18),$R18,0))</f>
        <v/>
      </c>
      <c r="T18" s="33" t="n"/>
      <c r="U18" s="51">
        <f>IF(COUNTA($B18,$C18,$D18,$G18,$H18)=0,"",IF(IF($B18=""," · Falta fecha","")&amp;IF($C18=""," · Falta proveedor","")&amp;IF(AND($D18&lt;&gt;"",COUNTIF(tblProductos[SKU],$D18)=0)," · SKU no existe","")&amp;IF($D18=""," · Falta SKU","")&amp;IF(OR($G18="",NOT(ISNUMBER($G18)),$G18&lt;=0)," · Cantidad inválida","")&amp;IF($H18=""," · Falta costo unitario","")&amp;IF(AND($P18="Pagado",$Q18="")," · Pago sin fecha","")&amp;IF(AND(ISNUMBER($R18),ISNUMBER($M18),$R18&gt;N($M18)+0.01)," · Pagado &gt; total","")&amp;IF(AND(ISNUMBER($R18),$R18&gt;0,$Q18="")," · Monto pagado sin fecha","")="","OK",MID(IF($B18=""," · Falta fecha","")&amp;IF($C18=""," · Falta proveedor","")&amp;IF(AND($D18&lt;&gt;"",COUNTIF(tblProductos[SKU],$D18)=0)," · SKU no existe","")&amp;IF($D18=""," · Falta SKU","")&amp;IF(OR($G18="",NOT(ISNUMBER($G18)),$G18&lt;=0)," · Cantidad inválida","")&amp;IF($H18=""," · Falta costo unitario","")&amp;IF(AND($P18="Pagado",$Q18="")," · Pago sin fecha","")&amp;IF(AND(ISNUMBER($R18),ISNUMBER($M18),$R18&gt;N($M18)+0.01)," · Pagado &gt; total","")&amp;IF(AND(ISNUMBER($R18),$R18&gt;0,$Q18="")," · Monto pagado sin fecha",""),4,900)))</f>
        <v/>
      </c>
    </row>
    <row r="19">
      <c r="A19" s="51">
        <f>IF(COUNTA($B19,$C19,$D19,$G19,$H19)=0,"","C-"&amp;TEXT(ROW()-6,"0000"))</f>
        <v/>
      </c>
      <c r="B19" s="41" t="n"/>
      <c r="C19" s="33" t="n"/>
      <c r="D19" s="33" t="n"/>
      <c r="E19" s="51">
        <f>IF($D19="","",IFERROR(IF(INDEX(tblProductos[Nombre del producto],MATCH($D19,tblProductos[SKU],0))="","",INDEX(tblProductos[Nombre del producto],MATCH($D19,tblProductos[SKU],0))),""))</f>
        <v/>
      </c>
      <c r="F19" s="51">
        <f>IF($D19="","",IFERROR(IF(INDEX(tblProductos[Categoría],MATCH($D19,tblProductos[SKU],0))="","",INDEX(tblProductos[Categoría],MATCH($D19,tblProductos[SKU],0))),""))</f>
        <v/>
      </c>
      <c r="G19" s="34" t="n"/>
      <c r="H19" s="36" t="n"/>
      <c r="I19" s="37">
        <f>IF(OR($G19="",$H19=""),"",$G19*$H19)</f>
        <v/>
      </c>
      <c r="J19" s="36" t="n"/>
      <c r="K19" s="36" t="n"/>
      <c r="L19" s="36" t="n"/>
      <c r="M19" s="37">
        <f>IF(NOT(ISNUMBER($I19)),"",$I19+SUM($J19:$L19))</f>
        <v/>
      </c>
      <c r="N19" s="37">
        <f>IF(OR(NOT(ISNUMBER($M19)),NOT(ISNUMBER($G19)),$G19&lt;=0),"",$M19/$G19)</f>
        <v/>
      </c>
      <c r="O19" s="33" t="n"/>
      <c r="P19" s="33" t="n"/>
      <c r="Q19" s="41" t="n"/>
      <c r="R19" s="36" t="n"/>
      <c r="S19" s="37">
        <f>IF(NOT(ISNUMBER($M19)),"",$M19-IF(ISNUMBER($R19),$R19,0))</f>
        <v/>
      </c>
      <c r="T19" s="33" t="n"/>
      <c r="U19" s="51">
        <f>IF(COUNTA($B19,$C19,$D19,$G19,$H19)=0,"",IF(IF($B19=""," · Falta fecha","")&amp;IF($C19=""," · Falta proveedor","")&amp;IF(AND($D19&lt;&gt;"",COUNTIF(tblProductos[SKU],$D19)=0)," · SKU no existe","")&amp;IF($D19=""," · Falta SKU","")&amp;IF(OR($G19="",NOT(ISNUMBER($G19)),$G19&lt;=0)," · Cantidad inválida","")&amp;IF($H19=""," · Falta costo unitario","")&amp;IF(AND($P19="Pagado",$Q19="")," · Pago sin fecha","")&amp;IF(AND(ISNUMBER($R19),ISNUMBER($M19),$R19&gt;N($M19)+0.01)," · Pagado &gt; total","")&amp;IF(AND(ISNUMBER($R19),$R19&gt;0,$Q19="")," · Monto pagado sin fecha","")="","OK",MID(IF($B19=""," · Falta fecha","")&amp;IF($C19=""," · Falta proveedor","")&amp;IF(AND($D19&lt;&gt;"",COUNTIF(tblProductos[SKU],$D19)=0)," · SKU no existe","")&amp;IF($D19=""," · Falta SKU","")&amp;IF(OR($G19="",NOT(ISNUMBER($G19)),$G19&lt;=0)," · Cantidad inválida","")&amp;IF($H19=""," · Falta costo unitario","")&amp;IF(AND($P19="Pagado",$Q19="")," · Pago sin fecha","")&amp;IF(AND(ISNUMBER($R19),ISNUMBER($M19),$R19&gt;N($M19)+0.01)," · Pagado &gt; total","")&amp;IF(AND(ISNUMBER($R19),$R19&gt;0,$Q19="")," · Monto pagado sin fecha",""),4,900)))</f>
        <v/>
      </c>
    </row>
    <row r="20">
      <c r="A20" s="51">
        <f>IF(COUNTA($B20,$C20,$D20,$G20,$H20)=0,"","C-"&amp;TEXT(ROW()-6,"0000"))</f>
        <v/>
      </c>
      <c r="B20" s="41" t="n"/>
      <c r="C20" s="33" t="n"/>
      <c r="D20" s="33" t="n"/>
      <c r="E20" s="51">
        <f>IF($D20="","",IFERROR(IF(INDEX(tblProductos[Nombre del producto],MATCH($D20,tblProductos[SKU],0))="","",INDEX(tblProductos[Nombre del producto],MATCH($D20,tblProductos[SKU],0))),""))</f>
        <v/>
      </c>
      <c r="F20" s="51">
        <f>IF($D20="","",IFERROR(IF(INDEX(tblProductos[Categoría],MATCH($D20,tblProductos[SKU],0))="","",INDEX(tblProductos[Categoría],MATCH($D20,tblProductos[SKU],0))),""))</f>
        <v/>
      </c>
      <c r="G20" s="34" t="n"/>
      <c r="H20" s="36" t="n"/>
      <c r="I20" s="37">
        <f>IF(OR($G20="",$H20=""),"",$G20*$H20)</f>
        <v/>
      </c>
      <c r="J20" s="36" t="n"/>
      <c r="K20" s="36" t="n"/>
      <c r="L20" s="36" t="n"/>
      <c r="M20" s="37">
        <f>IF(NOT(ISNUMBER($I20)),"",$I20+SUM($J20:$L20))</f>
        <v/>
      </c>
      <c r="N20" s="37">
        <f>IF(OR(NOT(ISNUMBER($M20)),NOT(ISNUMBER($G20)),$G20&lt;=0),"",$M20/$G20)</f>
        <v/>
      </c>
      <c r="O20" s="33" t="n"/>
      <c r="P20" s="33" t="n"/>
      <c r="Q20" s="41" t="n"/>
      <c r="R20" s="36" t="n"/>
      <c r="S20" s="37">
        <f>IF(NOT(ISNUMBER($M20)),"",$M20-IF(ISNUMBER($R20),$R20,0))</f>
        <v/>
      </c>
      <c r="T20" s="33" t="n"/>
      <c r="U20" s="51">
        <f>IF(COUNTA($B20,$C20,$D20,$G20,$H20)=0,"",IF(IF($B20=""," · Falta fecha","")&amp;IF($C20=""," · Falta proveedor","")&amp;IF(AND($D20&lt;&gt;"",COUNTIF(tblProductos[SKU],$D20)=0)," · SKU no existe","")&amp;IF($D20=""," · Falta SKU","")&amp;IF(OR($G20="",NOT(ISNUMBER($G20)),$G20&lt;=0)," · Cantidad inválida","")&amp;IF($H20=""," · Falta costo unitario","")&amp;IF(AND($P20="Pagado",$Q20="")," · Pago sin fecha","")&amp;IF(AND(ISNUMBER($R20),ISNUMBER($M20),$R20&gt;N($M20)+0.01)," · Pagado &gt; total","")&amp;IF(AND(ISNUMBER($R20),$R20&gt;0,$Q20="")," · Monto pagado sin fecha","")="","OK",MID(IF($B20=""," · Falta fecha","")&amp;IF($C20=""," · Falta proveedor","")&amp;IF(AND($D20&lt;&gt;"",COUNTIF(tblProductos[SKU],$D20)=0)," · SKU no existe","")&amp;IF($D20=""," · Falta SKU","")&amp;IF(OR($G20="",NOT(ISNUMBER($G20)),$G20&lt;=0)," · Cantidad inválida","")&amp;IF($H20=""," · Falta costo unitario","")&amp;IF(AND($P20="Pagado",$Q20="")," · Pago sin fecha","")&amp;IF(AND(ISNUMBER($R20),ISNUMBER($M20),$R20&gt;N($M20)+0.01)," · Pagado &gt; total","")&amp;IF(AND(ISNUMBER($R20),$R20&gt;0,$Q20="")," · Monto pagado sin fecha",""),4,900)))</f>
        <v/>
      </c>
    </row>
    <row r="21">
      <c r="A21" s="51">
        <f>IF(COUNTA($B21,$C21,$D21,$G21,$H21)=0,"","C-"&amp;TEXT(ROW()-6,"0000"))</f>
        <v/>
      </c>
      <c r="B21" s="41" t="n"/>
      <c r="C21" s="33" t="n"/>
      <c r="D21" s="33" t="n"/>
      <c r="E21" s="51">
        <f>IF($D21="","",IFERROR(IF(INDEX(tblProductos[Nombre del producto],MATCH($D21,tblProductos[SKU],0))="","",INDEX(tblProductos[Nombre del producto],MATCH($D21,tblProductos[SKU],0))),""))</f>
        <v/>
      </c>
      <c r="F21" s="51">
        <f>IF($D21="","",IFERROR(IF(INDEX(tblProductos[Categoría],MATCH($D21,tblProductos[SKU],0))="","",INDEX(tblProductos[Categoría],MATCH($D21,tblProductos[SKU],0))),""))</f>
        <v/>
      </c>
      <c r="G21" s="34" t="n"/>
      <c r="H21" s="36" t="n"/>
      <c r="I21" s="37">
        <f>IF(OR($G21="",$H21=""),"",$G21*$H21)</f>
        <v/>
      </c>
      <c r="J21" s="36" t="n"/>
      <c r="K21" s="36" t="n"/>
      <c r="L21" s="36" t="n"/>
      <c r="M21" s="37">
        <f>IF(NOT(ISNUMBER($I21)),"",$I21+SUM($J21:$L21))</f>
        <v/>
      </c>
      <c r="N21" s="37">
        <f>IF(OR(NOT(ISNUMBER($M21)),NOT(ISNUMBER($G21)),$G21&lt;=0),"",$M21/$G21)</f>
        <v/>
      </c>
      <c r="O21" s="33" t="n"/>
      <c r="P21" s="33" t="n"/>
      <c r="Q21" s="41" t="n"/>
      <c r="R21" s="36" t="n"/>
      <c r="S21" s="37">
        <f>IF(NOT(ISNUMBER($M21)),"",$M21-IF(ISNUMBER($R21),$R21,0))</f>
        <v/>
      </c>
      <c r="T21" s="33" t="n"/>
      <c r="U21" s="51">
        <f>IF(COUNTA($B21,$C21,$D21,$G21,$H21)=0,"",IF(IF($B21=""," · Falta fecha","")&amp;IF($C21=""," · Falta proveedor","")&amp;IF(AND($D21&lt;&gt;"",COUNTIF(tblProductos[SKU],$D21)=0)," · SKU no existe","")&amp;IF($D21=""," · Falta SKU","")&amp;IF(OR($G21="",NOT(ISNUMBER($G21)),$G21&lt;=0)," · Cantidad inválida","")&amp;IF($H21=""," · Falta costo unitario","")&amp;IF(AND($P21="Pagado",$Q21="")," · Pago sin fecha","")&amp;IF(AND(ISNUMBER($R21),ISNUMBER($M21),$R21&gt;N($M21)+0.01)," · Pagado &gt; total","")&amp;IF(AND(ISNUMBER($R21),$R21&gt;0,$Q21="")," · Monto pagado sin fecha","")="","OK",MID(IF($B21=""," · Falta fecha","")&amp;IF($C21=""," · Falta proveedor","")&amp;IF(AND($D21&lt;&gt;"",COUNTIF(tblProductos[SKU],$D21)=0)," · SKU no existe","")&amp;IF($D21=""," · Falta SKU","")&amp;IF(OR($G21="",NOT(ISNUMBER($G21)),$G21&lt;=0)," · Cantidad inválida","")&amp;IF($H21=""," · Falta costo unitario","")&amp;IF(AND($P21="Pagado",$Q21="")," · Pago sin fecha","")&amp;IF(AND(ISNUMBER($R21),ISNUMBER($M21),$R21&gt;N($M21)+0.01)," · Pagado &gt; total","")&amp;IF(AND(ISNUMBER($R21),$R21&gt;0,$Q21="")," · Monto pagado sin fecha",""),4,900)))</f>
        <v/>
      </c>
    </row>
    <row r="22">
      <c r="A22" s="51">
        <f>IF(COUNTA($B22,$C22,$D22,$G22,$H22)=0,"","C-"&amp;TEXT(ROW()-6,"0000"))</f>
        <v/>
      </c>
      <c r="B22" s="41" t="n"/>
      <c r="C22" s="33" t="n"/>
      <c r="D22" s="33" t="n"/>
      <c r="E22" s="51">
        <f>IF($D22="","",IFERROR(IF(INDEX(tblProductos[Nombre del producto],MATCH($D22,tblProductos[SKU],0))="","",INDEX(tblProductos[Nombre del producto],MATCH($D22,tblProductos[SKU],0))),""))</f>
        <v/>
      </c>
      <c r="F22" s="51">
        <f>IF($D22="","",IFERROR(IF(INDEX(tblProductos[Categoría],MATCH($D22,tblProductos[SKU],0))="","",INDEX(tblProductos[Categoría],MATCH($D22,tblProductos[SKU],0))),""))</f>
        <v/>
      </c>
      <c r="G22" s="34" t="n"/>
      <c r="H22" s="36" t="n"/>
      <c r="I22" s="37">
        <f>IF(OR($G22="",$H22=""),"",$G22*$H22)</f>
        <v/>
      </c>
      <c r="J22" s="36" t="n"/>
      <c r="K22" s="36" t="n"/>
      <c r="L22" s="36" t="n"/>
      <c r="M22" s="37">
        <f>IF(NOT(ISNUMBER($I22)),"",$I22+SUM($J22:$L22))</f>
        <v/>
      </c>
      <c r="N22" s="37">
        <f>IF(OR(NOT(ISNUMBER($M22)),NOT(ISNUMBER($G22)),$G22&lt;=0),"",$M22/$G22)</f>
        <v/>
      </c>
      <c r="O22" s="33" t="n"/>
      <c r="P22" s="33" t="n"/>
      <c r="Q22" s="41" t="n"/>
      <c r="R22" s="36" t="n"/>
      <c r="S22" s="37">
        <f>IF(NOT(ISNUMBER($M22)),"",$M22-IF(ISNUMBER($R22),$R22,0))</f>
        <v/>
      </c>
      <c r="T22" s="33" t="n"/>
      <c r="U22" s="51">
        <f>IF(COUNTA($B22,$C22,$D22,$G22,$H22)=0,"",IF(IF($B22=""," · Falta fecha","")&amp;IF($C22=""," · Falta proveedor","")&amp;IF(AND($D22&lt;&gt;"",COUNTIF(tblProductos[SKU],$D22)=0)," · SKU no existe","")&amp;IF($D22=""," · Falta SKU","")&amp;IF(OR($G22="",NOT(ISNUMBER($G22)),$G22&lt;=0)," · Cantidad inválida","")&amp;IF($H22=""," · Falta costo unitario","")&amp;IF(AND($P22="Pagado",$Q22="")," · Pago sin fecha","")&amp;IF(AND(ISNUMBER($R22),ISNUMBER($M22),$R22&gt;N($M22)+0.01)," · Pagado &gt; total","")&amp;IF(AND(ISNUMBER($R22),$R22&gt;0,$Q22="")," · Monto pagado sin fecha","")="","OK",MID(IF($B22=""," · Falta fecha","")&amp;IF($C22=""," · Falta proveedor","")&amp;IF(AND($D22&lt;&gt;"",COUNTIF(tblProductos[SKU],$D22)=0)," · SKU no existe","")&amp;IF($D22=""," · Falta SKU","")&amp;IF(OR($G22="",NOT(ISNUMBER($G22)),$G22&lt;=0)," · Cantidad inválida","")&amp;IF($H22=""," · Falta costo unitario","")&amp;IF(AND($P22="Pagado",$Q22="")," · Pago sin fecha","")&amp;IF(AND(ISNUMBER($R22),ISNUMBER($M22),$R22&gt;N($M22)+0.01)," · Pagado &gt; total","")&amp;IF(AND(ISNUMBER($R22),$R22&gt;0,$Q22="")," · Monto pagado sin fecha",""),4,900)))</f>
        <v/>
      </c>
    </row>
    <row r="23">
      <c r="A23" s="51">
        <f>IF(COUNTA($B23,$C23,$D23,$G23,$H23)=0,"","C-"&amp;TEXT(ROW()-6,"0000"))</f>
        <v/>
      </c>
      <c r="B23" s="41" t="n"/>
      <c r="C23" s="33" t="n"/>
      <c r="D23" s="33" t="n"/>
      <c r="E23" s="51">
        <f>IF($D23="","",IFERROR(IF(INDEX(tblProductos[Nombre del producto],MATCH($D23,tblProductos[SKU],0))="","",INDEX(tblProductos[Nombre del producto],MATCH($D23,tblProductos[SKU],0))),""))</f>
        <v/>
      </c>
      <c r="F23" s="51">
        <f>IF($D23="","",IFERROR(IF(INDEX(tblProductos[Categoría],MATCH($D23,tblProductos[SKU],0))="","",INDEX(tblProductos[Categoría],MATCH($D23,tblProductos[SKU],0))),""))</f>
        <v/>
      </c>
      <c r="G23" s="34" t="n"/>
      <c r="H23" s="36" t="n"/>
      <c r="I23" s="37">
        <f>IF(OR($G23="",$H23=""),"",$G23*$H23)</f>
        <v/>
      </c>
      <c r="J23" s="36" t="n"/>
      <c r="K23" s="36" t="n"/>
      <c r="L23" s="36" t="n"/>
      <c r="M23" s="37">
        <f>IF(NOT(ISNUMBER($I23)),"",$I23+SUM($J23:$L23))</f>
        <v/>
      </c>
      <c r="N23" s="37">
        <f>IF(OR(NOT(ISNUMBER($M23)),NOT(ISNUMBER($G23)),$G23&lt;=0),"",$M23/$G23)</f>
        <v/>
      </c>
      <c r="O23" s="33" t="n"/>
      <c r="P23" s="33" t="n"/>
      <c r="Q23" s="41" t="n"/>
      <c r="R23" s="36" t="n"/>
      <c r="S23" s="37">
        <f>IF(NOT(ISNUMBER($M23)),"",$M23-IF(ISNUMBER($R23),$R23,0))</f>
        <v/>
      </c>
      <c r="T23" s="33" t="n"/>
      <c r="U23" s="51">
        <f>IF(COUNTA($B23,$C23,$D23,$G23,$H23)=0,"",IF(IF($B23=""," · Falta fecha","")&amp;IF($C23=""," · Falta proveedor","")&amp;IF(AND($D23&lt;&gt;"",COUNTIF(tblProductos[SKU],$D23)=0)," · SKU no existe","")&amp;IF($D23=""," · Falta SKU","")&amp;IF(OR($G23="",NOT(ISNUMBER($G23)),$G23&lt;=0)," · Cantidad inválida","")&amp;IF($H23=""," · Falta costo unitario","")&amp;IF(AND($P23="Pagado",$Q23="")," · Pago sin fecha","")&amp;IF(AND(ISNUMBER($R23),ISNUMBER($M23),$R23&gt;N($M23)+0.01)," · Pagado &gt; total","")&amp;IF(AND(ISNUMBER($R23),$R23&gt;0,$Q23="")," · Monto pagado sin fecha","")="","OK",MID(IF($B23=""," · Falta fecha","")&amp;IF($C23=""," · Falta proveedor","")&amp;IF(AND($D23&lt;&gt;"",COUNTIF(tblProductos[SKU],$D23)=0)," · SKU no existe","")&amp;IF($D23=""," · Falta SKU","")&amp;IF(OR($G23="",NOT(ISNUMBER($G23)),$G23&lt;=0)," · Cantidad inválida","")&amp;IF($H23=""," · Falta costo unitario","")&amp;IF(AND($P23="Pagado",$Q23="")," · Pago sin fecha","")&amp;IF(AND(ISNUMBER($R23),ISNUMBER($M23),$R23&gt;N($M23)+0.01)," · Pagado &gt; total","")&amp;IF(AND(ISNUMBER($R23),$R23&gt;0,$Q23="")," · Monto pagado sin fecha",""),4,900)))</f>
        <v/>
      </c>
    </row>
    <row r="24">
      <c r="A24" s="51">
        <f>IF(COUNTA($B24,$C24,$D24,$G24,$H24)=0,"","C-"&amp;TEXT(ROW()-6,"0000"))</f>
        <v/>
      </c>
      <c r="B24" s="41" t="n"/>
      <c r="C24" s="33" t="n"/>
      <c r="D24" s="33" t="n"/>
      <c r="E24" s="51">
        <f>IF($D24="","",IFERROR(IF(INDEX(tblProductos[Nombre del producto],MATCH($D24,tblProductos[SKU],0))="","",INDEX(tblProductos[Nombre del producto],MATCH($D24,tblProductos[SKU],0))),""))</f>
        <v/>
      </c>
      <c r="F24" s="51">
        <f>IF($D24="","",IFERROR(IF(INDEX(tblProductos[Categoría],MATCH($D24,tblProductos[SKU],0))="","",INDEX(tblProductos[Categoría],MATCH($D24,tblProductos[SKU],0))),""))</f>
        <v/>
      </c>
      <c r="G24" s="34" t="n"/>
      <c r="H24" s="36" t="n"/>
      <c r="I24" s="37">
        <f>IF(OR($G24="",$H24=""),"",$G24*$H24)</f>
        <v/>
      </c>
      <c r="J24" s="36" t="n"/>
      <c r="K24" s="36" t="n"/>
      <c r="L24" s="36" t="n"/>
      <c r="M24" s="37">
        <f>IF(NOT(ISNUMBER($I24)),"",$I24+SUM($J24:$L24))</f>
        <v/>
      </c>
      <c r="N24" s="37">
        <f>IF(OR(NOT(ISNUMBER($M24)),NOT(ISNUMBER($G24)),$G24&lt;=0),"",$M24/$G24)</f>
        <v/>
      </c>
      <c r="O24" s="33" t="n"/>
      <c r="P24" s="33" t="n"/>
      <c r="Q24" s="41" t="n"/>
      <c r="R24" s="36" t="n"/>
      <c r="S24" s="37">
        <f>IF(NOT(ISNUMBER($M24)),"",$M24-IF(ISNUMBER($R24),$R24,0))</f>
        <v/>
      </c>
      <c r="T24" s="33" t="n"/>
      <c r="U24" s="51">
        <f>IF(COUNTA($B24,$C24,$D24,$G24,$H24)=0,"",IF(IF($B24=""," · Falta fecha","")&amp;IF($C24=""," · Falta proveedor","")&amp;IF(AND($D24&lt;&gt;"",COUNTIF(tblProductos[SKU],$D24)=0)," · SKU no existe","")&amp;IF($D24=""," · Falta SKU","")&amp;IF(OR($G24="",NOT(ISNUMBER($G24)),$G24&lt;=0)," · Cantidad inválida","")&amp;IF($H24=""," · Falta costo unitario","")&amp;IF(AND($P24="Pagado",$Q24="")," · Pago sin fecha","")&amp;IF(AND(ISNUMBER($R24),ISNUMBER($M24),$R24&gt;N($M24)+0.01)," · Pagado &gt; total","")&amp;IF(AND(ISNUMBER($R24),$R24&gt;0,$Q24="")," · Monto pagado sin fecha","")="","OK",MID(IF($B24=""," · Falta fecha","")&amp;IF($C24=""," · Falta proveedor","")&amp;IF(AND($D24&lt;&gt;"",COUNTIF(tblProductos[SKU],$D24)=0)," · SKU no existe","")&amp;IF($D24=""," · Falta SKU","")&amp;IF(OR($G24="",NOT(ISNUMBER($G24)),$G24&lt;=0)," · Cantidad inválida","")&amp;IF($H24=""," · Falta costo unitario","")&amp;IF(AND($P24="Pagado",$Q24="")," · Pago sin fecha","")&amp;IF(AND(ISNUMBER($R24),ISNUMBER($M24),$R24&gt;N($M24)+0.01)," · Pagado &gt; total","")&amp;IF(AND(ISNUMBER($R24),$R24&gt;0,$Q24="")," · Monto pagado sin fecha",""),4,900)))</f>
        <v/>
      </c>
    </row>
    <row r="25">
      <c r="A25" s="51">
        <f>IF(COUNTA($B25,$C25,$D25,$G25,$H25)=0,"","C-"&amp;TEXT(ROW()-6,"0000"))</f>
        <v/>
      </c>
      <c r="B25" s="41" t="n"/>
      <c r="C25" s="33" t="n"/>
      <c r="D25" s="33" t="n"/>
      <c r="E25" s="51">
        <f>IF($D25="","",IFERROR(IF(INDEX(tblProductos[Nombre del producto],MATCH($D25,tblProductos[SKU],0))="","",INDEX(tblProductos[Nombre del producto],MATCH($D25,tblProductos[SKU],0))),""))</f>
        <v/>
      </c>
      <c r="F25" s="51">
        <f>IF($D25="","",IFERROR(IF(INDEX(tblProductos[Categoría],MATCH($D25,tblProductos[SKU],0))="","",INDEX(tblProductos[Categoría],MATCH($D25,tblProductos[SKU],0))),""))</f>
        <v/>
      </c>
      <c r="G25" s="34" t="n"/>
      <c r="H25" s="36" t="n"/>
      <c r="I25" s="37">
        <f>IF(OR($G25="",$H25=""),"",$G25*$H25)</f>
        <v/>
      </c>
      <c r="J25" s="36" t="n"/>
      <c r="K25" s="36" t="n"/>
      <c r="L25" s="36" t="n"/>
      <c r="M25" s="37">
        <f>IF(NOT(ISNUMBER($I25)),"",$I25+SUM($J25:$L25))</f>
        <v/>
      </c>
      <c r="N25" s="37">
        <f>IF(OR(NOT(ISNUMBER($M25)),NOT(ISNUMBER($G25)),$G25&lt;=0),"",$M25/$G25)</f>
        <v/>
      </c>
      <c r="O25" s="33" t="n"/>
      <c r="P25" s="33" t="n"/>
      <c r="Q25" s="41" t="n"/>
      <c r="R25" s="36" t="n"/>
      <c r="S25" s="37">
        <f>IF(NOT(ISNUMBER($M25)),"",$M25-IF(ISNUMBER($R25),$R25,0))</f>
        <v/>
      </c>
      <c r="T25" s="33" t="n"/>
      <c r="U25" s="51">
        <f>IF(COUNTA($B25,$C25,$D25,$G25,$H25)=0,"",IF(IF($B25=""," · Falta fecha","")&amp;IF($C25=""," · Falta proveedor","")&amp;IF(AND($D25&lt;&gt;"",COUNTIF(tblProductos[SKU],$D25)=0)," · SKU no existe","")&amp;IF($D25=""," · Falta SKU","")&amp;IF(OR($G25="",NOT(ISNUMBER($G25)),$G25&lt;=0)," · Cantidad inválida","")&amp;IF($H25=""," · Falta costo unitario","")&amp;IF(AND($P25="Pagado",$Q25="")," · Pago sin fecha","")&amp;IF(AND(ISNUMBER($R25),ISNUMBER($M25),$R25&gt;N($M25)+0.01)," · Pagado &gt; total","")&amp;IF(AND(ISNUMBER($R25),$R25&gt;0,$Q25="")," · Monto pagado sin fecha","")="","OK",MID(IF($B25=""," · Falta fecha","")&amp;IF($C25=""," · Falta proveedor","")&amp;IF(AND($D25&lt;&gt;"",COUNTIF(tblProductos[SKU],$D25)=0)," · SKU no existe","")&amp;IF($D25=""," · Falta SKU","")&amp;IF(OR($G25="",NOT(ISNUMBER($G25)),$G25&lt;=0)," · Cantidad inválida","")&amp;IF($H25=""," · Falta costo unitario","")&amp;IF(AND($P25="Pagado",$Q25="")," · Pago sin fecha","")&amp;IF(AND(ISNUMBER($R25),ISNUMBER($M25),$R25&gt;N($M25)+0.01)," · Pagado &gt; total","")&amp;IF(AND(ISNUMBER($R25),$R25&gt;0,$Q25="")," · Monto pagado sin fecha",""),4,900)))</f>
        <v/>
      </c>
    </row>
    <row r="26">
      <c r="A26" s="51">
        <f>IF(COUNTA($B26,$C26,$D26,$G26,$H26)=0,"","C-"&amp;TEXT(ROW()-6,"0000"))</f>
        <v/>
      </c>
      <c r="B26" s="41" t="n"/>
      <c r="C26" s="33" t="n"/>
      <c r="D26" s="33" t="n"/>
      <c r="E26" s="51">
        <f>IF($D26="","",IFERROR(IF(INDEX(tblProductos[Nombre del producto],MATCH($D26,tblProductos[SKU],0))="","",INDEX(tblProductos[Nombre del producto],MATCH($D26,tblProductos[SKU],0))),""))</f>
        <v/>
      </c>
      <c r="F26" s="51">
        <f>IF($D26="","",IFERROR(IF(INDEX(tblProductos[Categoría],MATCH($D26,tblProductos[SKU],0))="","",INDEX(tblProductos[Categoría],MATCH($D26,tblProductos[SKU],0))),""))</f>
        <v/>
      </c>
      <c r="G26" s="34" t="n"/>
      <c r="H26" s="36" t="n"/>
      <c r="I26" s="37">
        <f>IF(OR($G26="",$H26=""),"",$G26*$H26)</f>
        <v/>
      </c>
      <c r="J26" s="36" t="n"/>
      <c r="K26" s="36" t="n"/>
      <c r="L26" s="36" t="n"/>
      <c r="M26" s="37">
        <f>IF(NOT(ISNUMBER($I26)),"",$I26+SUM($J26:$L26))</f>
        <v/>
      </c>
      <c r="N26" s="37">
        <f>IF(OR(NOT(ISNUMBER($M26)),NOT(ISNUMBER($G26)),$G26&lt;=0),"",$M26/$G26)</f>
        <v/>
      </c>
      <c r="O26" s="33" t="n"/>
      <c r="P26" s="33" t="n"/>
      <c r="Q26" s="41" t="n"/>
      <c r="R26" s="36" t="n"/>
      <c r="S26" s="37">
        <f>IF(NOT(ISNUMBER($M26)),"",$M26-IF(ISNUMBER($R26),$R26,0))</f>
        <v/>
      </c>
      <c r="T26" s="33" t="n"/>
      <c r="U26" s="51">
        <f>IF(COUNTA($B26,$C26,$D26,$G26,$H26)=0,"",IF(IF($B26=""," · Falta fecha","")&amp;IF($C26=""," · Falta proveedor","")&amp;IF(AND($D26&lt;&gt;"",COUNTIF(tblProductos[SKU],$D26)=0)," · SKU no existe","")&amp;IF($D26=""," · Falta SKU","")&amp;IF(OR($G26="",NOT(ISNUMBER($G26)),$G26&lt;=0)," · Cantidad inválida","")&amp;IF($H26=""," · Falta costo unitario","")&amp;IF(AND($P26="Pagado",$Q26="")," · Pago sin fecha","")&amp;IF(AND(ISNUMBER($R26),ISNUMBER($M26),$R26&gt;N($M26)+0.01)," · Pagado &gt; total","")&amp;IF(AND(ISNUMBER($R26),$R26&gt;0,$Q26="")," · Monto pagado sin fecha","")="","OK",MID(IF($B26=""," · Falta fecha","")&amp;IF($C26=""," · Falta proveedor","")&amp;IF(AND($D26&lt;&gt;"",COUNTIF(tblProductos[SKU],$D26)=0)," · SKU no existe","")&amp;IF($D26=""," · Falta SKU","")&amp;IF(OR($G26="",NOT(ISNUMBER($G26)),$G26&lt;=0)," · Cantidad inválida","")&amp;IF($H26=""," · Falta costo unitario","")&amp;IF(AND($P26="Pagado",$Q26="")," · Pago sin fecha","")&amp;IF(AND(ISNUMBER($R26),ISNUMBER($M26),$R26&gt;N($M26)+0.01)," · Pagado &gt; total","")&amp;IF(AND(ISNUMBER($R26),$R26&gt;0,$Q26="")," · Monto pagado sin fecha",""),4,900)))</f>
        <v/>
      </c>
    </row>
    <row r="27">
      <c r="A27" s="51">
        <f>IF(COUNTA($B27,$C27,$D27,$G27,$H27)=0,"","C-"&amp;TEXT(ROW()-6,"0000"))</f>
        <v/>
      </c>
      <c r="B27" s="41" t="n"/>
      <c r="C27" s="33" t="n"/>
      <c r="D27" s="33" t="n"/>
      <c r="E27" s="51">
        <f>IF($D27="","",IFERROR(IF(INDEX(tblProductos[Nombre del producto],MATCH($D27,tblProductos[SKU],0))="","",INDEX(tblProductos[Nombre del producto],MATCH($D27,tblProductos[SKU],0))),""))</f>
        <v/>
      </c>
      <c r="F27" s="51">
        <f>IF($D27="","",IFERROR(IF(INDEX(tblProductos[Categoría],MATCH($D27,tblProductos[SKU],0))="","",INDEX(tblProductos[Categoría],MATCH($D27,tblProductos[SKU],0))),""))</f>
        <v/>
      </c>
      <c r="G27" s="34" t="n"/>
      <c r="H27" s="36" t="n"/>
      <c r="I27" s="37">
        <f>IF(OR($G27="",$H27=""),"",$G27*$H27)</f>
        <v/>
      </c>
      <c r="J27" s="36" t="n"/>
      <c r="K27" s="36" t="n"/>
      <c r="L27" s="36" t="n"/>
      <c r="M27" s="37">
        <f>IF(NOT(ISNUMBER($I27)),"",$I27+SUM($J27:$L27))</f>
        <v/>
      </c>
      <c r="N27" s="37">
        <f>IF(OR(NOT(ISNUMBER($M27)),NOT(ISNUMBER($G27)),$G27&lt;=0),"",$M27/$G27)</f>
        <v/>
      </c>
      <c r="O27" s="33" t="n"/>
      <c r="P27" s="33" t="n"/>
      <c r="Q27" s="41" t="n"/>
      <c r="R27" s="36" t="n"/>
      <c r="S27" s="37">
        <f>IF(NOT(ISNUMBER($M27)),"",$M27-IF(ISNUMBER($R27),$R27,0))</f>
        <v/>
      </c>
      <c r="T27" s="33" t="n"/>
      <c r="U27" s="51">
        <f>IF(COUNTA($B27,$C27,$D27,$G27,$H27)=0,"",IF(IF($B27=""," · Falta fecha","")&amp;IF($C27=""," · Falta proveedor","")&amp;IF(AND($D27&lt;&gt;"",COUNTIF(tblProductos[SKU],$D27)=0)," · SKU no existe","")&amp;IF($D27=""," · Falta SKU","")&amp;IF(OR($G27="",NOT(ISNUMBER($G27)),$G27&lt;=0)," · Cantidad inválida","")&amp;IF($H27=""," · Falta costo unitario","")&amp;IF(AND($P27="Pagado",$Q27="")," · Pago sin fecha","")&amp;IF(AND(ISNUMBER($R27),ISNUMBER($M27),$R27&gt;N($M27)+0.01)," · Pagado &gt; total","")&amp;IF(AND(ISNUMBER($R27),$R27&gt;0,$Q27="")," · Monto pagado sin fecha","")="","OK",MID(IF($B27=""," · Falta fecha","")&amp;IF($C27=""," · Falta proveedor","")&amp;IF(AND($D27&lt;&gt;"",COUNTIF(tblProductos[SKU],$D27)=0)," · SKU no existe","")&amp;IF($D27=""," · Falta SKU","")&amp;IF(OR($G27="",NOT(ISNUMBER($G27)),$G27&lt;=0)," · Cantidad inválida","")&amp;IF($H27=""," · Falta costo unitario","")&amp;IF(AND($P27="Pagado",$Q27="")," · Pago sin fecha","")&amp;IF(AND(ISNUMBER($R27),ISNUMBER($M27),$R27&gt;N($M27)+0.01)," · Pagado &gt; total","")&amp;IF(AND(ISNUMBER($R27),$R27&gt;0,$Q27="")," · Monto pagado sin fecha",""),4,900)))</f>
        <v/>
      </c>
    </row>
    <row r="28">
      <c r="A28" s="51">
        <f>IF(COUNTA($B28,$C28,$D28,$G28,$H28)=0,"","C-"&amp;TEXT(ROW()-6,"0000"))</f>
        <v/>
      </c>
      <c r="B28" s="41" t="n"/>
      <c r="C28" s="33" t="n"/>
      <c r="D28" s="33" t="n"/>
      <c r="E28" s="51">
        <f>IF($D28="","",IFERROR(IF(INDEX(tblProductos[Nombre del producto],MATCH($D28,tblProductos[SKU],0))="","",INDEX(tblProductos[Nombre del producto],MATCH($D28,tblProductos[SKU],0))),""))</f>
        <v/>
      </c>
      <c r="F28" s="51">
        <f>IF($D28="","",IFERROR(IF(INDEX(tblProductos[Categoría],MATCH($D28,tblProductos[SKU],0))="","",INDEX(tblProductos[Categoría],MATCH($D28,tblProductos[SKU],0))),""))</f>
        <v/>
      </c>
      <c r="G28" s="34" t="n"/>
      <c r="H28" s="36" t="n"/>
      <c r="I28" s="37">
        <f>IF(OR($G28="",$H28=""),"",$G28*$H28)</f>
        <v/>
      </c>
      <c r="J28" s="36" t="n"/>
      <c r="K28" s="36" t="n"/>
      <c r="L28" s="36" t="n"/>
      <c r="M28" s="37">
        <f>IF(NOT(ISNUMBER($I28)),"",$I28+SUM($J28:$L28))</f>
        <v/>
      </c>
      <c r="N28" s="37">
        <f>IF(OR(NOT(ISNUMBER($M28)),NOT(ISNUMBER($G28)),$G28&lt;=0),"",$M28/$G28)</f>
        <v/>
      </c>
      <c r="O28" s="33" t="n"/>
      <c r="P28" s="33" t="n"/>
      <c r="Q28" s="41" t="n"/>
      <c r="R28" s="36" t="n"/>
      <c r="S28" s="37">
        <f>IF(NOT(ISNUMBER($M28)),"",$M28-IF(ISNUMBER($R28),$R28,0))</f>
        <v/>
      </c>
      <c r="T28" s="33" t="n"/>
      <c r="U28" s="51">
        <f>IF(COUNTA($B28,$C28,$D28,$G28,$H28)=0,"",IF(IF($B28=""," · Falta fecha","")&amp;IF($C28=""," · Falta proveedor","")&amp;IF(AND($D28&lt;&gt;"",COUNTIF(tblProductos[SKU],$D28)=0)," · SKU no existe","")&amp;IF($D28=""," · Falta SKU","")&amp;IF(OR($G28="",NOT(ISNUMBER($G28)),$G28&lt;=0)," · Cantidad inválida","")&amp;IF($H28=""," · Falta costo unitario","")&amp;IF(AND($P28="Pagado",$Q28="")," · Pago sin fecha","")&amp;IF(AND(ISNUMBER($R28),ISNUMBER($M28),$R28&gt;N($M28)+0.01)," · Pagado &gt; total","")&amp;IF(AND(ISNUMBER($R28),$R28&gt;0,$Q28="")," · Monto pagado sin fecha","")="","OK",MID(IF($B28=""," · Falta fecha","")&amp;IF($C28=""," · Falta proveedor","")&amp;IF(AND($D28&lt;&gt;"",COUNTIF(tblProductos[SKU],$D28)=0)," · SKU no existe","")&amp;IF($D28=""," · Falta SKU","")&amp;IF(OR($G28="",NOT(ISNUMBER($G28)),$G28&lt;=0)," · Cantidad inválida","")&amp;IF($H28=""," · Falta costo unitario","")&amp;IF(AND($P28="Pagado",$Q28="")," · Pago sin fecha","")&amp;IF(AND(ISNUMBER($R28),ISNUMBER($M28),$R28&gt;N($M28)+0.01)," · Pagado &gt; total","")&amp;IF(AND(ISNUMBER($R28),$R28&gt;0,$Q28="")," · Monto pagado sin fecha",""),4,900)))</f>
        <v/>
      </c>
    </row>
    <row r="29">
      <c r="A29" s="51">
        <f>IF(COUNTA($B29,$C29,$D29,$G29,$H29)=0,"","C-"&amp;TEXT(ROW()-6,"0000"))</f>
        <v/>
      </c>
      <c r="B29" s="41" t="n"/>
      <c r="C29" s="33" t="n"/>
      <c r="D29" s="33" t="n"/>
      <c r="E29" s="51">
        <f>IF($D29="","",IFERROR(IF(INDEX(tblProductos[Nombre del producto],MATCH($D29,tblProductos[SKU],0))="","",INDEX(tblProductos[Nombre del producto],MATCH($D29,tblProductos[SKU],0))),""))</f>
        <v/>
      </c>
      <c r="F29" s="51">
        <f>IF($D29="","",IFERROR(IF(INDEX(tblProductos[Categoría],MATCH($D29,tblProductos[SKU],0))="","",INDEX(tblProductos[Categoría],MATCH($D29,tblProductos[SKU],0))),""))</f>
        <v/>
      </c>
      <c r="G29" s="34" t="n"/>
      <c r="H29" s="36" t="n"/>
      <c r="I29" s="37">
        <f>IF(OR($G29="",$H29=""),"",$G29*$H29)</f>
        <v/>
      </c>
      <c r="J29" s="36" t="n"/>
      <c r="K29" s="36" t="n"/>
      <c r="L29" s="36" t="n"/>
      <c r="M29" s="37">
        <f>IF(NOT(ISNUMBER($I29)),"",$I29+SUM($J29:$L29))</f>
        <v/>
      </c>
      <c r="N29" s="37">
        <f>IF(OR(NOT(ISNUMBER($M29)),NOT(ISNUMBER($G29)),$G29&lt;=0),"",$M29/$G29)</f>
        <v/>
      </c>
      <c r="O29" s="33" t="n"/>
      <c r="P29" s="33" t="n"/>
      <c r="Q29" s="41" t="n"/>
      <c r="R29" s="36" t="n"/>
      <c r="S29" s="37">
        <f>IF(NOT(ISNUMBER($M29)),"",$M29-IF(ISNUMBER($R29),$R29,0))</f>
        <v/>
      </c>
      <c r="T29" s="33" t="n"/>
      <c r="U29" s="51">
        <f>IF(COUNTA($B29,$C29,$D29,$G29,$H29)=0,"",IF(IF($B29=""," · Falta fecha","")&amp;IF($C29=""," · Falta proveedor","")&amp;IF(AND($D29&lt;&gt;"",COUNTIF(tblProductos[SKU],$D29)=0)," · SKU no existe","")&amp;IF($D29=""," · Falta SKU","")&amp;IF(OR($G29="",NOT(ISNUMBER($G29)),$G29&lt;=0)," · Cantidad inválida","")&amp;IF($H29=""," · Falta costo unitario","")&amp;IF(AND($P29="Pagado",$Q29="")," · Pago sin fecha","")&amp;IF(AND(ISNUMBER($R29),ISNUMBER($M29),$R29&gt;N($M29)+0.01)," · Pagado &gt; total","")&amp;IF(AND(ISNUMBER($R29),$R29&gt;0,$Q29="")," · Monto pagado sin fecha","")="","OK",MID(IF($B29=""," · Falta fecha","")&amp;IF($C29=""," · Falta proveedor","")&amp;IF(AND($D29&lt;&gt;"",COUNTIF(tblProductos[SKU],$D29)=0)," · SKU no existe","")&amp;IF($D29=""," · Falta SKU","")&amp;IF(OR($G29="",NOT(ISNUMBER($G29)),$G29&lt;=0)," · Cantidad inválida","")&amp;IF($H29=""," · Falta costo unitario","")&amp;IF(AND($P29="Pagado",$Q29="")," · Pago sin fecha","")&amp;IF(AND(ISNUMBER($R29),ISNUMBER($M29),$R29&gt;N($M29)+0.01)," · Pagado &gt; total","")&amp;IF(AND(ISNUMBER($R29),$R29&gt;0,$Q29="")," · Monto pagado sin fecha",""),4,900)))</f>
        <v/>
      </c>
    </row>
    <row r="30">
      <c r="A30" s="51">
        <f>IF(COUNTA($B30,$C30,$D30,$G30,$H30)=0,"","C-"&amp;TEXT(ROW()-6,"0000"))</f>
        <v/>
      </c>
      <c r="B30" s="41" t="n"/>
      <c r="C30" s="33" t="n"/>
      <c r="D30" s="33" t="n"/>
      <c r="E30" s="51">
        <f>IF($D30="","",IFERROR(IF(INDEX(tblProductos[Nombre del producto],MATCH($D30,tblProductos[SKU],0))="","",INDEX(tblProductos[Nombre del producto],MATCH($D30,tblProductos[SKU],0))),""))</f>
        <v/>
      </c>
      <c r="F30" s="51">
        <f>IF($D30="","",IFERROR(IF(INDEX(tblProductos[Categoría],MATCH($D30,tblProductos[SKU],0))="","",INDEX(tblProductos[Categoría],MATCH($D30,tblProductos[SKU],0))),""))</f>
        <v/>
      </c>
      <c r="G30" s="34" t="n"/>
      <c r="H30" s="36" t="n"/>
      <c r="I30" s="37">
        <f>IF(OR($G30="",$H30=""),"",$G30*$H30)</f>
        <v/>
      </c>
      <c r="J30" s="36" t="n"/>
      <c r="K30" s="36" t="n"/>
      <c r="L30" s="36" t="n"/>
      <c r="M30" s="37">
        <f>IF(NOT(ISNUMBER($I30)),"",$I30+SUM($J30:$L30))</f>
        <v/>
      </c>
      <c r="N30" s="37">
        <f>IF(OR(NOT(ISNUMBER($M30)),NOT(ISNUMBER($G30)),$G30&lt;=0),"",$M30/$G30)</f>
        <v/>
      </c>
      <c r="O30" s="33" t="n"/>
      <c r="P30" s="33" t="n"/>
      <c r="Q30" s="41" t="n"/>
      <c r="R30" s="36" t="n"/>
      <c r="S30" s="37">
        <f>IF(NOT(ISNUMBER($M30)),"",$M30-IF(ISNUMBER($R30),$R30,0))</f>
        <v/>
      </c>
      <c r="T30" s="33" t="n"/>
      <c r="U30" s="51">
        <f>IF(COUNTA($B30,$C30,$D30,$G30,$H30)=0,"",IF(IF($B30=""," · Falta fecha","")&amp;IF($C30=""," · Falta proveedor","")&amp;IF(AND($D30&lt;&gt;"",COUNTIF(tblProductos[SKU],$D30)=0)," · SKU no existe","")&amp;IF($D30=""," · Falta SKU","")&amp;IF(OR($G30="",NOT(ISNUMBER($G30)),$G30&lt;=0)," · Cantidad inválida","")&amp;IF($H30=""," · Falta costo unitario","")&amp;IF(AND($P30="Pagado",$Q30="")," · Pago sin fecha","")&amp;IF(AND(ISNUMBER($R30),ISNUMBER($M30),$R30&gt;N($M30)+0.01)," · Pagado &gt; total","")&amp;IF(AND(ISNUMBER($R30),$R30&gt;0,$Q30="")," · Monto pagado sin fecha","")="","OK",MID(IF($B30=""," · Falta fecha","")&amp;IF($C30=""," · Falta proveedor","")&amp;IF(AND($D30&lt;&gt;"",COUNTIF(tblProductos[SKU],$D30)=0)," · SKU no existe","")&amp;IF($D30=""," · Falta SKU","")&amp;IF(OR($G30="",NOT(ISNUMBER($G30)),$G30&lt;=0)," · Cantidad inválida","")&amp;IF($H30=""," · Falta costo unitario","")&amp;IF(AND($P30="Pagado",$Q30="")," · Pago sin fecha","")&amp;IF(AND(ISNUMBER($R30),ISNUMBER($M30),$R30&gt;N($M30)+0.01)," · Pagado &gt; total","")&amp;IF(AND(ISNUMBER($R30),$R30&gt;0,$Q30="")," · Monto pagado sin fecha",""),4,900)))</f>
        <v/>
      </c>
    </row>
    <row r="31">
      <c r="A31" s="51">
        <f>IF(COUNTA($B31,$C31,$D31,$G31,$H31)=0,"","C-"&amp;TEXT(ROW()-6,"0000"))</f>
        <v/>
      </c>
      <c r="B31" s="41" t="n"/>
      <c r="C31" s="33" t="n"/>
      <c r="D31" s="33" t="n"/>
      <c r="E31" s="51">
        <f>IF($D31="","",IFERROR(IF(INDEX(tblProductos[Nombre del producto],MATCH($D31,tblProductos[SKU],0))="","",INDEX(tblProductos[Nombre del producto],MATCH($D31,tblProductos[SKU],0))),""))</f>
        <v/>
      </c>
      <c r="F31" s="51">
        <f>IF($D31="","",IFERROR(IF(INDEX(tblProductos[Categoría],MATCH($D31,tblProductos[SKU],0))="","",INDEX(tblProductos[Categoría],MATCH($D31,tblProductos[SKU],0))),""))</f>
        <v/>
      </c>
      <c r="G31" s="34" t="n"/>
      <c r="H31" s="36" t="n"/>
      <c r="I31" s="37">
        <f>IF(OR($G31="",$H31=""),"",$G31*$H31)</f>
        <v/>
      </c>
      <c r="J31" s="36" t="n"/>
      <c r="K31" s="36" t="n"/>
      <c r="L31" s="36" t="n"/>
      <c r="M31" s="37">
        <f>IF(NOT(ISNUMBER($I31)),"",$I31+SUM($J31:$L31))</f>
        <v/>
      </c>
      <c r="N31" s="37">
        <f>IF(OR(NOT(ISNUMBER($M31)),NOT(ISNUMBER($G31)),$G31&lt;=0),"",$M31/$G31)</f>
        <v/>
      </c>
      <c r="O31" s="33" t="n"/>
      <c r="P31" s="33" t="n"/>
      <c r="Q31" s="41" t="n"/>
      <c r="R31" s="36" t="n"/>
      <c r="S31" s="37">
        <f>IF(NOT(ISNUMBER($M31)),"",$M31-IF(ISNUMBER($R31),$R31,0))</f>
        <v/>
      </c>
      <c r="T31" s="33" t="n"/>
      <c r="U31" s="51">
        <f>IF(COUNTA($B31,$C31,$D31,$G31,$H31)=0,"",IF(IF($B31=""," · Falta fecha","")&amp;IF($C31=""," · Falta proveedor","")&amp;IF(AND($D31&lt;&gt;"",COUNTIF(tblProductos[SKU],$D31)=0)," · SKU no existe","")&amp;IF($D31=""," · Falta SKU","")&amp;IF(OR($G31="",NOT(ISNUMBER($G31)),$G31&lt;=0)," · Cantidad inválida","")&amp;IF($H31=""," · Falta costo unitario","")&amp;IF(AND($P31="Pagado",$Q31="")," · Pago sin fecha","")&amp;IF(AND(ISNUMBER($R31),ISNUMBER($M31),$R31&gt;N($M31)+0.01)," · Pagado &gt; total","")&amp;IF(AND(ISNUMBER($R31),$R31&gt;0,$Q31="")," · Monto pagado sin fecha","")="","OK",MID(IF($B31=""," · Falta fecha","")&amp;IF($C31=""," · Falta proveedor","")&amp;IF(AND($D31&lt;&gt;"",COUNTIF(tblProductos[SKU],$D31)=0)," · SKU no existe","")&amp;IF($D31=""," · Falta SKU","")&amp;IF(OR($G31="",NOT(ISNUMBER($G31)),$G31&lt;=0)," · Cantidad inválida","")&amp;IF($H31=""," · Falta costo unitario","")&amp;IF(AND($P31="Pagado",$Q31="")," · Pago sin fecha","")&amp;IF(AND(ISNUMBER($R31),ISNUMBER($M31),$R31&gt;N($M31)+0.01)," · Pagado &gt; total","")&amp;IF(AND(ISNUMBER($R31),$R31&gt;0,$Q31="")," · Monto pagado sin fecha",""),4,900)))</f>
        <v/>
      </c>
    </row>
    <row r="32">
      <c r="A32" s="51">
        <f>IF(COUNTA($B32,$C32,$D32,$G32,$H32)=0,"","C-"&amp;TEXT(ROW()-6,"0000"))</f>
        <v/>
      </c>
      <c r="B32" s="41" t="n"/>
      <c r="C32" s="33" t="n"/>
      <c r="D32" s="33" t="n"/>
      <c r="E32" s="51">
        <f>IF($D32="","",IFERROR(IF(INDEX(tblProductos[Nombre del producto],MATCH($D32,tblProductos[SKU],0))="","",INDEX(tblProductos[Nombre del producto],MATCH($D32,tblProductos[SKU],0))),""))</f>
        <v/>
      </c>
      <c r="F32" s="51">
        <f>IF($D32="","",IFERROR(IF(INDEX(tblProductos[Categoría],MATCH($D32,tblProductos[SKU],0))="","",INDEX(tblProductos[Categoría],MATCH($D32,tblProductos[SKU],0))),""))</f>
        <v/>
      </c>
      <c r="G32" s="34" t="n"/>
      <c r="H32" s="36" t="n"/>
      <c r="I32" s="37">
        <f>IF(OR($G32="",$H32=""),"",$G32*$H32)</f>
        <v/>
      </c>
      <c r="J32" s="36" t="n"/>
      <c r="K32" s="36" t="n"/>
      <c r="L32" s="36" t="n"/>
      <c r="M32" s="37">
        <f>IF(NOT(ISNUMBER($I32)),"",$I32+SUM($J32:$L32))</f>
        <v/>
      </c>
      <c r="N32" s="37">
        <f>IF(OR(NOT(ISNUMBER($M32)),NOT(ISNUMBER($G32)),$G32&lt;=0),"",$M32/$G32)</f>
        <v/>
      </c>
      <c r="O32" s="33" t="n"/>
      <c r="P32" s="33" t="n"/>
      <c r="Q32" s="41" t="n"/>
      <c r="R32" s="36" t="n"/>
      <c r="S32" s="37">
        <f>IF(NOT(ISNUMBER($M32)),"",$M32-IF(ISNUMBER($R32),$R32,0))</f>
        <v/>
      </c>
      <c r="T32" s="33" t="n"/>
      <c r="U32" s="51">
        <f>IF(COUNTA($B32,$C32,$D32,$G32,$H32)=0,"",IF(IF($B32=""," · Falta fecha","")&amp;IF($C32=""," · Falta proveedor","")&amp;IF(AND($D32&lt;&gt;"",COUNTIF(tblProductos[SKU],$D32)=0)," · SKU no existe","")&amp;IF($D32=""," · Falta SKU","")&amp;IF(OR($G32="",NOT(ISNUMBER($G32)),$G32&lt;=0)," · Cantidad inválida","")&amp;IF($H32=""," · Falta costo unitario","")&amp;IF(AND($P32="Pagado",$Q32="")," · Pago sin fecha","")&amp;IF(AND(ISNUMBER($R32),ISNUMBER($M32),$R32&gt;N($M32)+0.01)," · Pagado &gt; total","")&amp;IF(AND(ISNUMBER($R32),$R32&gt;0,$Q32="")," · Monto pagado sin fecha","")="","OK",MID(IF($B32=""," · Falta fecha","")&amp;IF($C32=""," · Falta proveedor","")&amp;IF(AND($D32&lt;&gt;"",COUNTIF(tblProductos[SKU],$D32)=0)," · SKU no existe","")&amp;IF($D32=""," · Falta SKU","")&amp;IF(OR($G32="",NOT(ISNUMBER($G32)),$G32&lt;=0)," · Cantidad inválida","")&amp;IF($H32=""," · Falta costo unitario","")&amp;IF(AND($P32="Pagado",$Q32="")," · Pago sin fecha","")&amp;IF(AND(ISNUMBER($R32),ISNUMBER($M32),$R32&gt;N($M32)+0.01)," · Pagado &gt; total","")&amp;IF(AND(ISNUMBER($R32),$R32&gt;0,$Q32="")," · Monto pagado sin fecha",""),4,900)))</f>
        <v/>
      </c>
    </row>
    <row r="33">
      <c r="A33" s="51">
        <f>IF(COUNTA($B33,$C33,$D33,$G33,$H33)=0,"","C-"&amp;TEXT(ROW()-6,"0000"))</f>
        <v/>
      </c>
      <c r="B33" s="41" t="n"/>
      <c r="C33" s="33" t="n"/>
      <c r="D33" s="33" t="n"/>
      <c r="E33" s="51">
        <f>IF($D33="","",IFERROR(IF(INDEX(tblProductos[Nombre del producto],MATCH($D33,tblProductos[SKU],0))="","",INDEX(tblProductos[Nombre del producto],MATCH($D33,tblProductos[SKU],0))),""))</f>
        <v/>
      </c>
      <c r="F33" s="51">
        <f>IF($D33="","",IFERROR(IF(INDEX(tblProductos[Categoría],MATCH($D33,tblProductos[SKU],0))="","",INDEX(tblProductos[Categoría],MATCH($D33,tblProductos[SKU],0))),""))</f>
        <v/>
      </c>
      <c r="G33" s="34" t="n"/>
      <c r="H33" s="36" t="n"/>
      <c r="I33" s="37">
        <f>IF(OR($G33="",$H33=""),"",$G33*$H33)</f>
        <v/>
      </c>
      <c r="J33" s="36" t="n"/>
      <c r="K33" s="36" t="n"/>
      <c r="L33" s="36" t="n"/>
      <c r="M33" s="37">
        <f>IF(NOT(ISNUMBER($I33)),"",$I33+SUM($J33:$L33))</f>
        <v/>
      </c>
      <c r="N33" s="37">
        <f>IF(OR(NOT(ISNUMBER($M33)),NOT(ISNUMBER($G33)),$G33&lt;=0),"",$M33/$G33)</f>
        <v/>
      </c>
      <c r="O33" s="33" t="n"/>
      <c r="P33" s="33" t="n"/>
      <c r="Q33" s="41" t="n"/>
      <c r="R33" s="36" t="n"/>
      <c r="S33" s="37">
        <f>IF(NOT(ISNUMBER($M33)),"",$M33-IF(ISNUMBER($R33),$R33,0))</f>
        <v/>
      </c>
      <c r="T33" s="33" t="n"/>
      <c r="U33" s="51">
        <f>IF(COUNTA($B33,$C33,$D33,$G33,$H33)=0,"",IF(IF($B33=""," · Falta fecha","")&amp;IF($C33=""," · Falta proveedor","")&amp;IF(AND($D33&lt;&gt;"",COUNTIF(tblProductos[SKU],$D33)=0)," · SKU no existe","")&amp;IF($D33=""," · Falta SKU","")&amp;IF(OR($G33="",NOT(ISNUMBER($G33)),$G33&lt;=0)," · Cantidad inválida","")&amp;IF($H33=""," · Falta costo unitario","")&amp;IF(AND($P33="Pagado",$Q33="")," · Pago sin fecha","")&amp;IF(AND(ISNUMBER($R33),ISNUMBER($M33),$R33&gt;N($M33)+0.01)," · Pagado &gt; total","")&amp;IF(AND(ISNUMBER($R33),$R33&gt;0,$Q33="")," · Monto pagado sin fecha","")="","OK",MID(IF($B33=""," · Falta fecha","")&amp;IF($C33=""," · Falta proveedor","")&amp;IF(AND($D33&lt;&gt;"",COUNTIF(tblProductos[SKU],$D33)=0)," · SKU no existe","")&amp;IF($D33=""," · Falta SKU","")&amp;IF(OR($G33="",NOT(ISNUMBER($G33)),$G33&lt;=0)," · Cantidad inválida","")&amp;IF($H33=""," · Falta costo unitario","")&amp;IF(AND($P33="Pagado",$Q33="")," · Pago sin fecha","")&amp;IF(AND(ISNUMBER($R33),ISNUMBER($M33),$R33&gt;N($M33)+0.01)," · Pagado &gt; total","")&amp;IF(AND(ISNUMBER($R33),$R33&gt;0,$Q33="")," · Monto pagado sin fecha",""),4,900)))</f>
        <v/>
      </c>
    </row>
    <row r="34">
      <c r="A34" s="51">
        <f>IF(COUNTA($B34,$C34,$D34,$G34,$H34)=0,"","C-"&amp;TEXT(ROW()-6,"0000"))</f>
        <v/>
      </c>
      <c r="B34" s="41" t="n"/>
      <c r="C34" s="33" t="n"/>
      <c r="D34" s="33" t="n"/>
      <c r="E34" s="51">
        <f>IF($D34="","",IFERROR(IF(INDEX(tblProductos[Nombre del producto],MATCH($D34,tblProductos[SKU],0))="","",INDEX(tblProductos[Nombre del producto],MATCH($D34,tblProductos[SKU],0))),""))</f>
        <v/>
      </c>
      <c r="F34" s="51">
        <f>IF($D34="","",IFERROR(IF(INDEX(tblProductos[Categoría],MATCH($D34,tblProductos[SKU],0))="","",INDEX(tblProductos[Categoría],MATCH($D34,tblProductos[SKU],0))),""))</f>
        <v/>
      </c>
      <c r="G34" s="34" t="n"/>
      <c r="H34" s="36" t="n"/>
      <c r="I34" s="37">
        <f>IF(OR($G34="",$H34=""),"",$G34*$H34)</f>
        <v/>
      </c>
      <c r="J34" s="36" t="n"/>
      <c r="K34" s="36" t="n"/>
      <c r="L34" s="36" t="n"/>
      <c r="M34" s="37">
        <f>IF(NOT(ISNUMBER($I34)),"",$I34+SUM($J34:$L34))</f>
        <v/>
      </c>
      <c r="N34" s="37">
        <f>IF(OR(NOT(ISNUMBER($M34)),NOT(ISNUMBER($G34)),$G34&lt;=0),"",$M34/$G34)</f>
        <v/>
      </c>
      <c r="O34" s="33" t="n"/>
      <c r="P34" s="33" t="n"/>
      <c r="Q34" s="41" t="n"/>
      <c r="R34" s="36" t="n"/>
      <c r="S34" s="37">
        <f>IF(NOT(ISNUMBER($M34)),"",$M34-IF(ISNUMBER($R34),$R34,0))</f>
        <v/>
      </c>
      <c r="T34" s="33" t="n"/>
      <c r="U34" s="51">
        <f>IF(COUNTA($B34,$C34,$D34,$G34,$H34)=0,"",IF(IF($B34=""," · Falta fecha","")&amp;IF($C34=""," · Falta proveedor","")&amp;IF(AND($D34&lt;&gt;"",COUNTIF(tblProductos[SKU],$D34)=0)," · SKU no existe","")&amp;IF($D34=""," · Falta SKU","")&amp;IF(OR($G34="",NOT(ISNUMBER($G34)),$G34&lt;=0)," · Cantidad inválida","")&amp;IF($H34=""," · Falta costo unitario","")&amp;IF(AND($P34="Pagado",$Q34="")," · Pago sin fecha","")&amp;IF(AND(ISNUMBER($R34),ISNUMBER($M34),$R34&gt;N($M34)+0.01)," · Pagado &gt; total","")&amp;IF(AND(ISNUMBER($R34),$R34&gt;0,$Q34="")," · Monto pagado sin fecha","")="","OK",MID(IF($B34=""," · Falta fecha","")&amp;IF($C34=""," · Falta proveedor","")&amp;IF(AND($D34&lt;&gt;"",COUNTIF(tblProductos[SKU],$D34)=0)," · SKU no existe","")&amp;IF($D34=""," · Falta SKU","")&amp;IF(OR($G34="",NOT(ISNUMBER($G34)),$G34&lt;=0)," · Cantidad inválida","")&amp;IF($H34=""," · Falta costo unitario","")&amp;IF(AND($P34="Pagado",$Q34="")," · Pago sin fecha","")&amp;IF(AND(ISNUMBER($R34),ISNUMBER($M34),$R34&gt;N($M34)+0.01)," · Pagado &gt; total","")&amp;IF(AND(ISNUMBER($R34),$R34&gt;0,$Q34="")," · Monto pagado sin fecha",""),4,900)))</f>
        <v/>
      </c>
    </row>
    <row r="35">
      <c r="A35" s="51">
        <f>IF(COUNTA($B35,$C35,$D35,$G35,$H35)=0,"","C-"&amp;TEXT(ROW()-6,"0000"))</f>
        <v/>
      </c>
      <c r="B35" s="41" t="n"/>
      <c r="C35" s="33" t="n"/>
      <c r="D35" s="33" t="n"/>
      <c r="E35" s="51">
        <f>IF($D35="","",IFERROR(IF(INDEX(tblProductos[Nombre del producto],MATCH($D35,tblProductos[SKU],0))="","",INDEX(tblProductos[Nombre del producto],MATCH($D35,tblProductos[SKU],0))),""))</f>
        <v/>
      </c>
      <c r="F35" s="51">
        <f>IF($D35="","",IFERROR(IF(INDEX(tblProductos[Categoría],MATCH($D35,tblProductos[SKU],0))="","",INDEX(tblProductos[Categoría],MATCH($D35,tblProductos[SKU],0))),""))</f>
        <v/>
      </c>
      <c r="G35" s="34" t="n"/>
      <c r="H35" s="36" t="n"/>
      <c r="I35" s="37">
        <f>IF(OR($G35="",$H35=""),"",$G35*$H35)</f>
        <v/>
      </c>
      <c r="J35" s="36" t="n"/>
      <c r="K35" s="36" t="n"/>
      <c r="L35" s="36" t="n"/>
      <c r="M35" s="37">
        <f>IF(NOT(ISNUMBER($I35)),"",$I35+SUM($J35:$L35))</f>
        <v/>
      </c>
      <c r="N35" s="37">
        <f>IF(OR(NOT(ISNUMBER($M35)),NOT(ISNUMBER($G35)),$G35&lt;=0),"",$M35/$G35)</f>
        <v/>
      </c>
      <c r="O35" s="33" t="n"/>
      <c r="P35" s="33" t="n"/>
      <c r="Q35" s="41" t="n"/>
      <c r="R35" s="36" t="n"/>
      <c r="S35" s="37">
        <f>IF(NOT(ISNUMBER($M35)),"",$M35-IF(ISNUMBER($R35),$R35,0))</f>
        <v/>
      </c>
      <c r="T35" s="33" t="n"/>
      <c r="U35" s="51">
        <f>IF(COUNTA($B35,$C35,$D35,$G35,$H35)=0,"",IF(IF($B35=""," · Falta fecha","")&amp;IF($C35=""," · Falta proveedor","")&amp;IF(AND($D35&lt;&gt;"",COUNTIF(tblProductos[SKU],$D35)=0)," · SKU no existe","")&amp;IF($D35=""," · Falta SKU","")&amp;IF(OR($G35="",NOT(ISNUMBER($G35)),$G35&lt;=0)," · Cantidad inválida","")&amp;IF($H35=""," · Falta costo unitario","")&amp;IF(AND($P35="Pagado",$Q35="")," · Pago sin fecha","")&amp;IF(AND(ISNUMBER($R35),ISNUMBER($M35),$R35&gt;N($M35)+0.01)," · Pagado &gt; total","")&amp;IF(AND(ISNUMBER($R35),$R35&gt;0,$Q35="")," · Monto pagado sin fecha","")="","OK",MID(IF($B35=""," · Falta fecha","")&amp;IF($C35=""," · Falta proveedor","")&amp;IF(AND($D35&lt;&gt;"",COUNTIF(tblProductos[SKU],$D35)=0)," · SKU no existe","")&amp;IF($D35=""," · Falta SKU","")&amp;IF(OR($G35="",NOT(ISNUMBER($G35)),$G35&lt;=0)," · Cantidad inválida","")&amp;IF($H35=""," · Falta costo unitario","")&amp;IF(AND($P35="Pagado",$Q35="")," · Pago sin fecha","")&amp;IF(AND(ISNUMBER($R35),ISNUMBER($M35),$R35&gt;N($M35)+0.01)," · Pagado &gt; total","")&amp;IF(AND(ISNUMBER($R35),$R35&gt;0,$Q35="")," · Monto pagado sin fecha",""),4,900)))</f>
        <v/>
      </c>
    </row>
    <row r="36">
      <c r="A36" s="51">
        <f>IF(COUNTA($B36,$C36,$D36,$G36,$H36)=0,"","C-"&amp;TEXT(ROW()-6,"0000"))</f>
        <v/>
      </c>
      <c r="B36" s="41" t="n"/>
      <c r="C36" s="33" t="n"/>
      <c r="D36" s="33" t="n"/>
      <c r="E36" s="51">
        <f>IF($D36="","",IFERROR(IF(INDEX(tblProductos[Nombre del producto],MATCH($D36,tblProductos[SKU],0))="","",INDEX(tblProductos[Nombre del producto],MATCH($D36,tblProductos[SKU],0))),""))</f>
        <v/>
      </c>
      <c r="F36" s="51">
        <f>IF($D36="","",IFERROR(IF(INDEX(tblProductos[Categoría],MATCH($D36,tblProductos[SKU],0))="","",INDEX(tblProductos[Categoría],MATCH($D36,tblProductos[SKU],0))),""))</f>
        <v/>
      </c>
      <c r="G36" s="34" t="n"/>
      <c r="H36" s="36" t="n"/>
      <c r="I36" s="37">
        <f>IF(OR($G36="",$H36=""),"",$G36*$H36)</f>
        <v/>
      </c>
      <c r="J36" s="36" t="n"/>
      <c r="K36" s="36" t="n"/>
      <c r="L36" s="36" t="n"/>
      <c r="M36" s="37">
        <f>IF(NOT(ISNUMBER($I36)),"",$I36+SUM($J36:$L36))</f>
        <v/>
      </c>
      <c r="N36" s="37">
        <f>IF(OR(NOT(ISNUMBER($M36)),NOT(ISNUMBER($G36)),$G36&lt;=0),"",$M36/$G36)</f>
        <v/>
      </c>
      <c r="O36" s="33" t="n"/>
      <c r="P36" s="33" t="n"/>
      <c r="Q36" s="41" t="n"/>
      <c r="R36" s="36" t="n"/>
      <c r="S36" s="37">
        <f>IF(NOT(ISNUMBER($M36)),"",$M36-IF(ISNUMBER($R36),$R36,0))</f>
        <v/>
      </c>
      <c r="T36" s="33" t="n"/>
      <c r="U36" s="51">
        <f>IF(COUNTA($B36,$C36,$D36,$G36,$H36)=0,"",IF(IF($B36=""," · Falta fecha","")&amp;IF($C36=""," · Falta proveedor","")&amp;IF(AND($D36&lt;&gt;"",COUNTIF(tblProductos[SKU],$D36)=0)," · SKU no existe","")&amp;IF($D36=""," · Falta SKU","")&amp;IF(OR($G36="",NOT(ISNUMBER($G36)),$G36&lt;=0)," · Cantidad inválida","")&amp;IF($H36=""," · Falta costo unitario","")&amp;IF(AND($P36="Pagado",$Q36="")," · Pago sin fecha","")&amp;IF(AND(ISNUMBER($R36),ISNUMBER($M36),$R36&gt;N($M36)+0.01)," · Pagado &gt; total","")&amp;IF(AND(ISNUMBER($R36),$R36&gt;0,$Q36="")," · Monto pagado sin fecha","")="","OK",MID(IF($B36=""," · Falta fecha","")&amp;IF($C36=""," · Falta proveedor","")&amp;IF(AND($D36&lt;&gt;"",COUNTIF(tblProductos[SKU],$D36)=0)," · SKU no existe","")&amp;IF($D36=""," · Falta SKU","")&amp;IF(OR($G36="",NOT(ISNUMBER($G36)),$G36&lt;=0)," · Cantidad inválida","")&amp;IF($H36=""," · Falta costo unitario","")&amp;IF(AND($P36="Pagado",$Q36="")," · Pago sin fecha","")&amp;IF(AND(ISNUMBER($R36),ISNUMBER($M36),$R36&gt;N($M36)+0.01)," · Pagado &gt; total","")&amp;IF(AND(ISNUMBER($R36),$R36&gt;0,$Q36="")," · Monto pagado sin fecha",""),4,900)))</f>
        <v/>
      </c>
    </row>
    <row r="37">
      <c r="A37" s="51">
        <f>IF(COUNTA($B37,$C37,$D37,$G37,$H37)=0,"","C-"&amp;TEXT(ROW()-6,"0000"))</f>
        <v/>
      </c>
      <c r="B37" s="41" t="n"/>
      <c r="C37" s="33" t="n"/>
      <c r="D37" s="33" t="n"/>
      <c r="E37" s="51">
        <f>IF($D37="","",IFERROR(IF(INDEX(tblProductos[Nombre del producto],MATCH($D37,tblProductos[SKU],0))="","",INDEX(tblProductos[Nombre del producto],MATCH($D37,tblProductos[SKU],0))),""))</f>
        <v/>
      </c>
      <c r="F37" s="51">
        <f>IF($D37="","",IFERROR(IF(INDEX(tblProductos[Categoría],MATCH($D37,tblProductos[SKU],0))="","",INDEX(tblProductos[Categoría],MATCH($D37,tblProductos[SKU],0))),""))</f>
        <v/>
      </c>
      <c r="G37" s="34" t="n"/>
      <c r="H37" s="36" t="n"/>
      <c r="I37" s="37">
        <f>IF(OR($G37="",$H37=""),"",$G37*$H37)</f>
        <v/>
      </c>
      <c r="J37" s="36" t="n"/>
      <c r="K37" s="36" t="n"/>
      <c r="L37" s="36" t="n"/>
      <c r="M37" s="37">
        <f>IF(NOT(ISNUMBER($I37)),"",$I37+SUM($J37:$L37))</f>
        <v/>
      </c>
      <c r="N37" s="37">
        <f>IF(OR(NOT(ISNUMBER($M37)),NOT(ISNUMBER($G37)),$G37&lt;=0),"",$M37/$G37)</f>
        <v/>
      </c>
      <c r="O37" s="33" t="n"/>
      <c r="P37" s="33" t="n"/>
      <c r="Q37" s="41" t="n"/>
      <c r="R37" s="36" t="n"/>
      <c r="S37" s="37">
        <f>IF(NOT(ISNUMBER($M37)),"",$M37-IF(ISNUMBER($R37),$R37,0))</f>
        <v/>
      </c>
      <c r="T37" s="33" t="n"/>
      <c r="U37" s="51">
        <f>IF(COUNTA($B37,$C37,$D37,$G37,$H37)=0,"",IF(IF($B37=""," · Falta fecha","")&amp;IF($C37=""," · Falta proveedor","")&amp;IF(AND($D37&lt;&gt;"",COUNTIF(tblProductos[SKU],$D37)=0)," · SKU no existe","")&amp;IF($D37=""," · Falta SKU","")&amp;IF(OR($G37="",NOT(ISNUMBER($G37)),$G37&lt;=0)," · Cantidad inválida","")&amp;IF($H37=""," · Falta costo unitario","")&amp;IF(AND($P37="Pagado",$Q37="")," · Pago sin fecha","")&amp;IF(AND(ISNUMBER($R37),ISNUMBER($M37),$R37&gt;N($M37)+0.01)," · Pagado &gt; total","")&amp;IF(AND(ISNUMBER($R37),$R37&gt;0,$Q37="")," · Monto pagado sin fecha","")="","OK",MID(IF($B37=""," · Falta fecha","")&amp;IF($C37=""," · Falta proveedor","")&amp;IF(AND($D37&lt;&gt;"",COUNTIF(tblProductos[SKU],$D37)=0)," · SKU no existe","")&amp;IF($D37=""," · Falta SKU","")&amp;IF(OR($G37="",NOT(ISNUMBER($G37)),$G37&lt;=0)," · Cantidad inválida","")&amp;IF($H37=""," · Falta costo unitario","")&amp;IF(AND($P37="Pagado",$Q37="")," · Pago sin fecha","")&amp;IF(AND(ISNUMBER($R37),ISNUMBER($M37),$R37&gt;N($M37)+0.01)," · Pagado &gt; total","")&amp;IF(AND(ISNUMBER($R37),$R37&gt;0,$Q37="")," · Monto pagado sin fecha",""),4,900)))</f>
        <v/>
      </c>
    </row>
    <row r="38">
      <c r="A38" s="51">
        <f>IF(COUNTA($B38,$C38,$D38,$G38,$H38)=0,"","C-"&amp;TEXT(ROW()-6,"0000"))</f>
        <v/>
      </c>
      <c r="B38" s="41" t="n"/>
      <c r="C38" s="33" t="n"/>
      <c r="D38" s="33" t="n"/>
      <c r="E38" s="51">
        <f>IF($D38="","",IFERROR(IF(INDEX(tblProductos[Nombre del producto],MATCH($D38,tblProductos[SKU],0))="","",INDEX(tblProductos[Nombre del producto],MATCH($D38,tblProductos[SKU],0))),""))</f>
        <v/>
      </c>
      <c r="F38" s="51">
        <f>IF($D38="","",IFERROR(IF(INDEX(tblProductos[Categoría],MATCH($D38,tblProductos[SKU],0))="","",INDEX(tblProductos[Categoría],MATCH($D38,tblProductos[SKU],0))),""))</f>
        <v/>
      </c>
      <c r="G38" s="34" t="n"/>
      <c r="H38" s="36" t="n"/>
      <c r="I38" s="37">
        <f>IF(OR($G38="",$H38=""),"",$G38*$H38)</f>
        <v/>
      </c>
      <c r="J38" s="36" t="n"/>
      <c r="K38" s="36" t="n"/>
      <c r="L38" s="36" t="n"/>
      <c r="M38" s="37">
        <f>IF(NOT(ISNUMBER($I38)),"",$I38+SUM($J38:$L38))</f>
        <v/>
      </c>
      <c r="N38" s="37">
        <f>IF(OR(NOT(ISNUMBER($M38)),NOT(ISNUMBER($G38)),$G38&lt;=0),"",$M38/$G38)</f>
        <v/>
      </c>
      <c r="O38" s="33" t="n"/>
      <c r="P38" s="33" t="n"/>
      <c r="Q38" s="41" t="n"/>
      <c r="R38" s="36" t="n"/>
      <c r="S38" s="37">
        <f>IF(NOT(ISNUMBER($M38)),"",$M38-IF(ISNUMBER($R38),$R38,0))</f>
        <v/>
      </c>
      <c r="T38" s="33" t="n"/>
      <c r="U38" s="51">
        <f>IF(COUNTA($B38,$C38,$D38,$G38,$H38)=0,"",IF(IF($B38=""," · Falta fecha","")&amp;IF($C38=""," · Falta proveedor","")&amp;IF(AND($D38&lt;&gt;"",COUNTIF(tblProductos[SKU],$D38)=0)," · SKU no existe","")&amp;IF($D38=""," · Falta SKU","")&amp;IF(OR($G38="",NOT(ISNUMBER($G38)),$G38&lt;=0)," · Cantidad inválida","")&amp;IF($H38=""," · Falta costo unitario","")&amp;IF(AND($P38="Pagado",$Q38="")," · Pago sin fecha","")&amp;IF(AND(ISNUMBER($R38),ISNUMBER($M38),$R38&gt;N($M38)+0.01)," · Pagado &gt; total","")&amp;IF(AND(ISNUMBER($R38),$R38&gt;0,$Q38="")," · Monto pagado sin fecha","")="","OK",MID(IF($B38=""," · Falta fecha","")&amp;IF($C38=""," · Falta proveedor","")&amp;IF(AND($D38&lt;&gt;"",COUNTIF(tblProductos[SKU],$D38)=0)," · SKU no existe","")&amp;IF($D38=""," · Falta SKU","")&amp;IF(OR($G38="",NOT(ISNUMBER($G38)),$G38&lt;=0)," · Cantidad inválida","")&amp;IF($H38=""," · Falta costo unitario","")&amp;IF(AND($P38="Pagado",$Q38="")," · Pago sin fecha","")&amp;IF(AND(ISNUMBER($R38),ISNUMBER($M38),$R38&gt;N($M38)+0.01)," · Pagado &gt; total","")&amp;IF(AND(ISNUMBER($R38),$R38&gt;0,$Q38="")," · Monto pagado sin fecha",""),4,900)))</f>
        <v/>
      </c>
    </row>
    <row r="39">
      <c r="A39" s="51">
        <f>IF(COUNTA($B39,$C39,$D39,$G39,$H39)=0,"","C-"&amp;TEXT(ROW()-6,"0000"))</f>
        <v/>
      </c>
      <c r="B39" s="41" t="n"/>
      <c r="C39" s="33" t="n"/>
      <c r="D39" s="33" t="n"/>
      <c r="E39" s="51">
        <f>IF($D39="","",IFERROR(IF(INDEX(tblProductos[Nombre del producto],MATCH($D39,tblProductos[SKU],0))="","",INDEX(tblProductos[Nombre del producto],MATCH($D39,tblProductos[SKU],0))),""))</f>
        <v/>
      </c>
      <c r="F39" s="51">
        <f>IF($D39="","",IFERROR(IF(INDEX(tblProductos[Categoría],MATCH($D39,tblProductos[SKU],0))="","",INDEX(tblProductos[Categoría],MATCH($D39,tblProductos[SKU],0))),""))</f>
        <v/>
      </c>
      <c r="G39" s="34" t="n"/>
      <c r="H39" s="36" t="n"/>
      <c r="I39" s="37">
        <f>IF(OR($G39="",$H39=""),"",$G39*$H39)</f>
        <v/>
      </c>
      <c r="J39" s="36" t="n"/>
      <c r="K39" s="36" t="n"/>
      <c r="L39" s="36" t="n"/>
      <c r="M39" s="37">
        <f>IF(NOT(ISNUMBER($I39)),"",$I39+SUM($J39:$L39))</f>
        <v/>
      </c>
      <c r="N39" s="37">
        <f>IF(OR(NOT(ISNUMBER($M39)),NOT(ISNUMBER($G39)),$G39&lt;=0),"",$M39/$G39)</f>
        <v/>
      </c>
      <c r="O39" s="33" t="n"/>
      <c r="P39" s="33" t="n"/>
      <c r="Q39" s="41" t="n"/>
      <c r="R39" s="36" t="n"/>
      <c r="S39" s="37">
        <f>IF(NOT(ISNUMBER($M39)),"",$M39-IF(ISNUMBER($R39),$R39,0))</f>
        <v/>
      </c>
      <c r="T39" s="33" t="n"/>
      <c r="U39" s="51">
        <f>IF(COUNTA($B39,$C39,$D39,$G39,$H39)=0,"",IF(IF($B39=""," · Falta fecha","")&amp;IF($C39=""," · Falta proveedor","")&amp;IF(AND($D39&lt;&gt;"",COUNTIF(tblProductos[SKU],$D39)=0)," · SKU no existe","")&amp;IF($D39=""," · Falta SKU","")&amp;IF(OR($G39="",NOT(ISNUMBER($G39)),$G39&lt;=0)," · Cantidad inválida","")&amp;IF($H39=""," · Falta costo unitario","")&amp;IF(AND($P39="Pagado",$Q39="")," · Pago sin fecha","")&amp;IF(AND(ISNUMBER($R39),ISNUMBER($M39),$R39&gt;N($M39)+0.01)," · Pagado &gt; total","")&amp;IF(AND(ISNUMBER($R39),$R39&gt;0,$Q39="")," · Monto pagado sin fecha","")="","OK",MID(IF($B39=""," · Falta fecha","")&amp;IF($C39=""," · Falta proveedor","")&amp;IF(AND($D39&lt;&gt;"",COUNTIF(tblProductos[SKU],$D39)=0)," · SKU no existe","")&amp;IF($D39=""," · Falta SKU","")&amp;IF(OR($G39="",NOT(ISNUMBER($G39)),$G39&lt;=0)," · Cantidad inválida","")&amp;IF($H39=""," · Falta costo unitario","")&amp;IF(AND($P39="Pagado",$Q39="")," · Pago sin fecha","")&amp;IF(AND(ISNUMBER($R39),ISNUMBER($M39),$R39&gt;N($M39)+0.01)," · Pagado &gt; total","")&amp;IF(AND(ISNUMBER($R39),$R39&gt;0,$Q39="")," · Monto pagado sin fecha",""),4,900)))</f>
        <v/>
      </c>
    </row>
    <row r="40">
      <c r="A40" s="51">
        <f>IF(COUNTA($B40,$C40,$D40,$G40,$H40)=0,"","C-"&amp;TEXT(ROW()-6,"0000"))</f>
        <v/>
      </c>
      <c r="B40" s="41" t="n"/>
      <c r="C40" s="33" t="n"/>
      <c r="D40" s="33" t="n"/>
      <c r="E40" s="51">
        <f>IF($D40="","",IFERROR(IF(INDEX(tblProductos[Nombre del producto],MATCH($D40,tblProductos[SKU],0))="","",INDEX(tblProductos[Nombre del producto],MATCH($D40,tblProductos[SKU],0))),""))</f>
        <v/>
      </c>
      <c r="F40" s="51">
        <f>IF($D40="","",IFERROR(IF(INDEX(tblProductos[Categoría],MATCH($D40,tblProductos[SKU],0))="","",INDEX(tblProductos[Categoría],MATCH($D40,tblProductos[SKU],0))),""))</f>
        <v/>
      </c>
      <c r="G40" s="34" t="n"/>
      <c r="H40" s="36" t="n"/>
      <c r="I40" s="37">
        <f>IF(OR($G40="",$H40=""),"",$G40*$H40)</f>
        <v/>
      </c>
      <c r="J40" s="36" t="n"/>
      <c r="K40" s="36" t="n"/>
      <c r="L40" s="36" t="n"/>
      <c r="M40" s="37">
        <f>IF(NOT(ISNUMBER($I40)),"",$I40+SUM($J40:$L40))</f>
        <v/>
      </c>
      <c r="N40" s="37">
        <f>IF(OR(NOT(ISNUMBER($M40)),NOT(ISNUMBER($G40)),$G40&lt;=0),"",$M40/$G40)</f>
        <v/>
      </c>
      <c r="O40" s="33" t="n"/>
      <c r="P40" s="33" t="n"/>
      <c r="Q40" s="41" t="n"/>
      <c r="R40" s="36" t="n"/>
      <c r="S40" s="37">
        <f>IF(NOT(ISNUMBER($M40)),"",$M40-IF(ISNUMBER($R40),$R40,0))</f>
        <v/>
      </c>
      <c r="T40" s="33" t="n"/>
      <c r="U40" s="51">
        <f>IF(COUNTA($B40,$C40,$D40,$G40,$H40)=0,"",IF(IF($B40=""," · Falta fecha","")&amp;IF($C40=""," · Falta proveedor","")&amp;IF(AND($D40&lt;&gt;"",COUNTIF(tblProductos[SKU],$D40)=0)," · SKU no existe","")&amp;IF($D40=""," · Falta SKU","")&amp;IF(OR($G40="",NOT(ISNUMBER($G40)),$G40&lt;=0)," · Cantidad inválida","")&amp;IF($H40=""," · Falta costo unitario","")&amp;IF(AND($P40="Pagado",$Q40="")," · Pago sin fecha","")&amp;IF(AND(ISNUMBER($R40),ISNUMBER($M40),$R40&gt;N($M40)+0.01)," · Pagado &gt; total","")&amp;IF(AND(ISNUMBER($R40),$R40&gt;0,$Q40="")," · Monto pagado sin fecha","")="","OK",MID(IF($B40=""," · Falta fecha","")&amp;IF($C40=""," · Falta proveedor","")&amp;IF(AND($D40&lt;&gt;"",COUNTIF(tblProductos[SKU],$D40)=0)," · SKU no existe","")&amp;IF($D40=""," · Falta SKU","")&amp;IF(OR($G40="",NOT(ISNUMBER($G40)),$G40&lt;=0)," · Cantidad inválida","")&amp;IF($H40=""," · Falta costo unitario","")&amp;IF(AND($P40="Pagado",$Q40="")," · Pago sin fecha","")&amp;IF(AND(ISNUMBER($R40),ISNUMBER($M40),$R40&gt;N($M40)+0.01)," · Pagado &gt; total","")&amp;IF(AND(ISNUMBER($R40),$R40&gt;0,$Q40="")," · Monto pagado sin fecha",""),4,900)))</f>
        <v/>
      </c>
    </row>
    <row r="41">
      <c r="A41" s="51">
        <f>IF(COUNTA($B41,$C41,$D41,$G41,$H41)=0,"","C-"&amp;TEXT(ROW()-6,"0000"))</f>
        <v/>
      </c>
      <c r="B41" s="41" t="n"/>
      <c r="C41" s="33" t="n"/>
      <c r="D41" s="33" t="n"/>
      <c r="E41" s="51">
        <f>IF($D41="","",IFERROR(IF(INDEX(tblProductos[Nombre del producto],MATCH($D41,tblProductos[SKU],0))="","",INDEX(tblProductos[Nombre del producto],MATCH($D41,tblProductos[SKU],0))),""))</f>
        <v/>
      </c>
      <c r="F41" s="51">
        <f>IF($D41="","",IFERROR(IF(INDEX(tblProductos[Categoría],MATCH($D41,tblProductos[SKU],0))="","",INDEX(tblProductos[Categoría],MATCH($D41,tblProductos[SKU],0))),""))</f>
        <v/>
      </c>
      <c r="G41" s="34" t="n"/>
      <c r="H41" s="36" t="n"/>
      <c r="I41" s="37">
        <f>IF(OR($G41="",$H41=""),"",$G41*$H41)</f>
        <v/>
      </c>
      <c r="J41" s="36" t="n"/>
      <c r="K41" s="36" t="n"/>
      <c r="L41" s="36" t="n"/>
      <c r="M41" s="37">
        <f>IF(NOT(ISNUMBER($I41)),"",$I41+SUM($J41:$L41))</f>
        <v/>
      </c>
      <c r="N41" s="37">
        <f>IF(OR(NOT(ISNUMBER($M41)),NOT(ISNUMBER($G41)),$G41&lt;=0),"",$M41/$G41)</f>
        <v/>
      </c>
      <c r="O41" s="33" t="n"/>
      <c r="P41" s="33" t="n"/>
      <c r="Q41" s="41" t="n"/>
      <c r="R41" s="36" t="n"/>
      <c r="S41" s="37">
        <f>IF(NOT(ISNUMBER($M41)),"",$M41-IF(ISNUMBER($R41),$R41,0))</f>
        <v/>
      </c>
      <c r="T41" s="33" t="n"/>
      <c r="U41" s="51">
        <f>IF(COUNTA($B41,$C41,$D41,$G41,$H41)=0,"",IF(IF($B41=""," · Falta fecha","")&amp;IF($C41=""," · Falta proveedor","")&amp;IF(AND($D41&lt;&gt;"",COUNTIF(tblProductos[SKU],$D41)=0)," · SKU no existe","")&amp;IF($D41=""," · Falta SKU","")&amp;IF(OR($G41="",NOT(ISNUMBER($G41)),$G41&lt;=0)," · Cantidad inválida","")&amp;IF($H41=""," · Falta costo unitario","")&amp;IF(AND($P41="Pagado",$Q41="")," · Pago sin fecha","")&amp;IF(AND(ISNUMBER($R41),ISNUMBER($M41),$R41&gt;N($M41)+0.01)," · Pagado &gt; total","")&amp;IF(AND(ISNUMBER($R41),$R41&gt;0,$Q41="")," · Monto pagado sin fecha","")="","OK",MID(IF($B41=""," · Falta fecha","")&amp;IF($C41=""," · Falta proveedor","")&amp;IF(AND($D41&lt;&gt;"",COUNTIF(tblProductos[SKU],$D41)=0)," · SKU no existe","")&amp;IF($D41=""," · Falta SKU","")&amp;IF(OR($G41="",NOT(ISNUMBER($G41)),$G41&lt;=0)," · Cantidad inválida","")&amp;IF($H41=""," · Falta costo unitario","")&amp;IF(AND($P41="Pagado",$Q41="")," · Pago sin fecha","")&amp;IF(AND(ISNUMBER($R41),ISNUMBER($M41),$R41&gt;N($M41)+0.01)," · Pagado &gt; total","")&amp;IF(AND(ISNUMBER($R41),$R41&gt;0,$Q41="")," · Monto pagado sin fecha",""),4,900)))</f>
        <v/>
      </c>
    </row>
    <row r="42">
      <c r="A42" s="51">
        <f>IF(COUNTA($B42,$C42,$D42,$G42,$H42)=0,"","C-"&amp;TEXT(ROW()-6,"0000"))</f>
        <v/>
      </c>
      <c r="B42" s="41" t="n"/>
      <c r="C42" s="33" t="n"/>
      <c r="D42" s="33" t="n"/>
      <c r="E42" s="51">
        <f>IF($D42="","",IFERROR(IF(INDEX(tblProductos[Nombre del producto],MATCH($D42,tblProductos[SKU],0))="","",INDEX(tblProductos[Nombre del producto],MATCH($D42,tblProductos[SKU],0))),""))</f>
        <v/>
      </c>
      <c r="F42" s="51">
        <f>IF($D42="","",IFERROR(IF(INDEX(tblProductos[Categoría],MATCH($D42,tblProductos[SKU],0))="","",INDEX(tblProductos[Categoría],MATCH($D42,tblProductos[SKU],0))),""))</f>
        <v/>
      </c>
      <c r="G42" s="34" t="n"/>
      <c r="H42" s="36" t="n"/>
      <c r="I42" s="37">
        <f>IF(OR($G42="",$H42=""),"",$G42*$H42)</f>
        <v/>
      </c>
      <c r="J42" s="36" t="n"/>
      <c r="K42" s="36" t="n"/>
      <c r="L42" s="36" t="n"/>
      <c r="M42" s="37">
        <f>IF(NOT(ISNUMBER($I42)),"",$I42+SUM($J42:$L42))</f>
        <v/>
      </c>
      <c r="N42" s="37">
        <f>IF(OR(NOT(ISNUMBER($M42)),NOT(ISNUMBER($G42)),$G42&lt;=0),"",$M42/$G42)</f>
        <v/>
      </c>
      <c r="O42" s="33" t="n"/>
      <c r="P42" s="33" t="n"/>
      <c r="Q42" s="41" t="n"/>
      <c r="R42" s="36" t="n"/>
      <c r="S42" s="37">
        <f>IF(NOT(ISNUMBER($M42)),"",$M42-IF(ISNUMBER($R42),$R42,0))</f>
        <v/>
      </c>
      <c r="T42" s="33" t="n"/>
      <c r="U42" s="51">
        <f>IF(COUNTA($B42,$C42,$D42,$G42,$H42)=0,"",IF(IF($B42=""," · Falta fecha","")&amp;IF($C42=""," · Falta proveedor","")&amp;IF(AND($D42&lt;&gt;"",COUNTIF(tblProductos[SKU],$D42)=0)," · SKU no existe","")&amp;IF($D42=""," · Falta SKU","")&amp;IF(OR($G42="",NOT(ISNUMBER($G42)),$G42&lt;=0)," · Cantidad inválida","")&amp;IF($H42=""," · Falta costo unitario","")&amp;IF(AND($P42="Pagado",$Q42="")," · Pago sin fecha","")&amp;IF(AND(ISNUMBER($R42),ISNUMBER($M42),$R42&gt;N($M42)+0.01)," · Pagado &gt; total","")&amp;IF(AND(ISNUMBER($R42),$R42&gt;0,$Q42="")," · Monto pagado sin fecha","")="","OK",MID(IF($B42=""," · Falta fecha","")&amp;IF($C42=""," · Falta proveedor","")&amp;IF(AND($D42&lt;&gt;"",COUNTIF(tblProductos[SKU],$D42)=0)," · SKU no existe","")&amp;IF($D42=""," · Falta SKU","")&amp;IF(OR($G42="",NOT(ISNUMBER($G42)),$G42&lt;=0)," · Cantidad inválida","")&amp;IF($H42=""," · Falta costo unitario","")&amp;IF(AND($P42="Pagado",$Q42="")," · Pago sin fecha","")&amp;IF(AND(ISNUMBER($R42),ISNUMBER($M42),$R42&gt;N($M42)+0.01)," · Pagado &gt; total","")&amp;IF(AND(ISNUMBER($R42),$R42&gt;0,$Q42="")," · Monto pagado sin fecha",""),4,900)))</f>
        <v/>
      </c>
    </row>
    <row r="43">
      <c r="A43" s="51">
        <f>IF(COUNTA($B43,$C43,$D43,$G43,$H43)=0,"","C-"&amp;TEXT(ROW()-6,"0000"))</f>
        <v/>
      </c>
      <c r="B43" s="41" t="n"/>
      <c r="C43" s="33" t="n"/>
      <c r="D43" s="33" t="n"/>
      <c r="E43" s="51">
        <f>IF($D43="","",IFERROR(IF(INDEX(tblProductos[Nombre del producto],MATCH($D43,tblProductos[SKU],0))="","",INDEX(tblProductos[Nombre del producto],MATCH($D43,tblProductos[SKU],0))),""))</f>
        <v/>
      </c>
      <c r="F43" s="51">
        <f>IF($D43="","",IFERROR(IF(INDEX(tblProductos[Categoría],MATCH($D43,tblProductos[SKU],0))="","",INDEX(tblProductos[Categoría],MATCH($D43,tblProductos[SKU],0))),""))</f>
        <v/>
      </c>
      <c r="G43" s="34" t="n"/>
      <c r="H43" s="36" t="n"/>
      <c r="I43" s="37">
        <f>IF(OR($G43="",$H43=""),"",$G43*$H43)</f>
        <v/>
      </c>
      <c r="J43" s="36" t="n"/>
      <c r="K43" s="36" t="n"/>
      <c r="L43" s="36" t="n"/>
      <c r="M43" s="37">
        <f>IF(NOT(ISNUMBER($I43)),"",$I43+SUM($J43:$L43))</f>
        <v/>
      </c>
      <c r="N43" s="37">
        <f>IF(OR(NOT(ISNUMBER($M43)),NOT(ISNUMBER($G43)),$G43&lt;=0),"",$M43/$G43)</f>
        <v/>
      </c>
      <c r="O43" s="33" t="n"/>
      <c r="P43" s="33" t="n"/>
      <c r="Q43" s="41" t="n"/>
      <c r="R43" s="36" t="n"/>
      <c r="S43" s="37">
        <f>IF(NOT(ISNUMBER($M43)),"",$M43-IF(ISNUMBER($R43),$R43,0))</f>
        <v/>
      </c>
      <c r="T43" s="33" t="n"/>
      <c r="U43" s="51">
        <f>IF(COUNTA($B43,$C43,$D43,$G43,$H43)=0,"",IF(IF($B43=""," · Falta fecha","")&amp;IF($C43=""," · Falta proveedor","")&amp;IF(AND($D43&lt;&gt;"",COUNTIF(tblProductos[SKU],$D43)=0)," · SKU no existe","")&amp;IF($D43=""," · Falta SKU","")&amp;IF(OR($G43="",NOT(ISNUMBER($G43)),$G43&lt;=0)," · Cantidad inválida","")&amp;IF($H43=""," · Falta costo unitario","")&amp;IF(AND($P43="Pagado",$Q43="")," · Pago sin fecha","")&amp;IF(AND(ISNUMBER($R43),ISNUMBER($M43),$R43&gt;N($M43)+0.01)," · Pagado &gt; total","")&amp;IF(AND(ISNUMBER($R43),$R43&gt;0,$Q43="")," · Monto pagado sin fecha","")="","OK",MID(IF($B43=""," · Falta fecha","")&amp;IF($C43=""," · Falta proveedor","")&amp;IF(AND($D43&lt;&gt;"",COUNTIF(tblProductos[SKU],$D43)=0)," · SKU no existe","")&amp;IF($D43=""," · Falta SKU","")&amp;IF(OR($G43="",NOT(ISNUMBER($G43)),$G43&lt;=0)," · Cantidad inválida","")&amp;IF($H43=""," · Falta costo unitario","")&amp;IF(AND($P43="Pagado",$Q43="")," · Pago sin fecha","")&amp;IF(AND(ISNUMBER($R43),ISNUMBER($M43),$R43&gt;N($M43)+0.01)," · Pagado &gt; total","")&amp;IF(AND(ISNUMBER($R43),$R43&gt;0,$Q43="")," · Monto pagado sin fecha",""),4,900)))</f>
        <v/>
      </c>
    </row>
    <row r="44">
      <c r="A44" s="51">
        <f>IF(COUNTA($B44,$C44,$D44,$G44,$H44)=0,"","C-"&amp;TEXT(ROW()-6,"0000"))</f>
        <v/>
      </c>
      <c r="B44" s="41" t="n"/>
      <c r="C44" s="33" t="n"/>
      <c r="D44" s="33" t="n"/>
      <c r="E44" s="51">
        <f>IF($D44="","",IFERROR(IF(INDEX(tblProductos[Nombre del producto],MATCH($D44,tblProductos[SKU],0))="","",INDEX(tblProductos[Nombre del producto],MATCH($D44,tblProductos[SKU],0))),""))</f>
        <v/>
      </c>
      <c r="F44" s="51">
        <f>IF($D44="","",IFERROR(IF(INDEX(tblProductos[Categoría],MATCH($D44,tblProductos[SKU],0))="","",INDEX(tblProductos[Categoría],MATCH($D44,tblProductos[SKU],0))),""))</f>
        <v/>
      </c>
      <c r="G44" s="34" t="n"/>
      <c r="H44" s="36" t="n"/>
      <c r="I44" s="37">
        <f>IF(OR($G44="",$H44=""),"",$G44*$H44)</f>
        <v/>
      </c>
      <c r="J44" s="36" t="n"/>
      <c r="K44" s="36" t="n"/>
      <c r="L44" s="36" t="n"/>
      <c r="M44" s="37">
        <f>IF(NOT(ISNUMBER($I44)),"",$I44+SUM($J44:$L44))</f>
        <v/>
      </c>
      <c r="N44" s="37">
        <f>IF(OR(NOT(ISNUMBER($M44)),NOT(ISNUMBER($G44)),$G44&lt;=0),"",$M44/$G44)</f>
        <v/>
      </c>
      <c r="O44" s="33" t="n"/>
      <c r="P44" s="33" t="n"/>
      <c r="Q44" s="41" t="n"/>
      <c r="R44" s="36" t="n"/>
      <c r="S44" s="37">
        <f>IF(NOT(ISNUMBER($M44)),"",$M44-IF(ISNUMBER($R44),$R44,0))</f>
        <v/>
      </c>
      <c r="T44" s="33" t="n"/>
      <c r="U44" s="51">
        <f>IF(COUNTA($B44,$C44,$D44,$G44,$H44)=0,"",IF(IF($B44=""," · Falta fecha","")&amp;IF($C44=""," · Falta proveedor","")&amp;IF(AND($D44&lt;&gt;"",COUNTIF(tblProductos[SKU],$D44)=0)," · SKU no existe","")&amp;IF($D44=""," · Falta SKU","")&amp;IF(OR($G44="",NOT(ISNUMBER($G44)),$G44&lt;=0)," · Cantidad inválida","")&amp;IF($H44=""," · Falta costo unitario","")&amp;IF(AND($P44="Pagado",$Q44="")," · Pago sin fecha","")&amp;IF(AND(ISNUMBER($R44),ISNUMBER($M44),$R44&gt;N($M44)+0.01)," · Pagado &gt; total","")&amp;IF(AND(ISNUMBER($R44),$R44&gt;0,$Q44="")," · Monto pagado sin fecha","")="","OK",MID(IF($B44=""," · Falta fecha","")&amp;IF($C44=""," · Falta proveedor","")&amp;IF(AND($D44&lt;&gt;"",COUNTIF(tblProductos[SKU],$D44)=0)," · SKU no existe","")&amp;IF($D44=""," · Falta SKU","")&amp;IF(OR($G44="",NOT(ISNUMBER($G44)),$G44&lt;=0)," · Cantidad inválida","")&amp;IF($H44=""," · Falta costo unitario","")&amp;IF(AND($P44="Pagado",$Q44="")," · Pago sin fecha","")&amp;IF(AND(ISNUMBER($R44),ISNUMBER($M44),$R44&gt;N($M44)+0.01)," · Pagado &gt; total","")&amp;IF(AND(ISNUMBER($R44),$R44&gt;0,$Q44="")," · Monto pagado sin fecha",""),4,900)))</f>
        <v/>
      </c>
    </row>
    <row r="45">
      <c r="A45" s="51">
        <f>IF(COUNTA($B45,$C45,$D45,$G45,$H45)=0,"","C-"&amp;TEXT(ROW()-6,"0000"))</f>
        <v/>
      </c>
      <c r="B45" s="41" t="n"/>
      <c r="C45" s="33" t="n"/>
      <c r="D45" s="33" t="n"/>
      <c r="E45" s="51">
        <f>IF($D45="","",IFERROR(IF(INDEX(tblProductos[Nombre del producto],MATCH($D45,tblProductos[SKU],0))="","",INDEX(tblProductos[Nombre del producto],MATCH($D45,tblProductos[SKU],0))),""))</f>
        <v/>
      </c>
      <c r="F45" s="51">
        <f>IF($D45="","",IFERROR(IF(INDEX(tblProductos[Categoría],MATCH($D45,tblProductos[SKU],0))="","",INDEX(tblProductos[Categoría],MATCH($D45,tblProductos[SKU],0))),""))</f>
        <v/>
      </c>
      <c r="G45" s="34" t="n"/>
      <c r="H45" s="36" t="n"/>
      <c r="I45" s="37">
        <f>IF(OR($G45="",$H45=""),"",$G45*$H45)</f>
        <v/>
      </c>
      <c r="J45" s="36" t="n"/>
      <c r="K45" s="36" t="n"/>
      <c r="L45" s="36" t="n"/>
      <c r="M45" s="37">
        <f>IF(NOT(ISNUMBER($I45)),"",$I45+SUM($J45:$L45))</f>
        <v/>
      </c>
      <c r="N45" s="37">
        <f>IF(OR(NOT(ISNUMBER($M45)),NOT(ISNUMBER($G45)),$G45&lt;=0),"",$M45/$G45)</f>
        <v/>
      </c>
      <c r="O45" s="33" t="n"/>
      <c r="P45" s="33" t="n"/>
      <c r="Q45" s="41" t="n"/>
      <c r="R45" s="36" t="n"/>
      <c r="S45" s="37">
        <f>IF(NOT(ISNUMBER($M45)),"",$M45-IF(ISNUMBER($R45),$R45,0))</f>
        <v/>
      </c>
      <c r="T45" s="33" t="n"/>
      <c r="U45" s="51">
        <f>IF(COUNTA($B45,$C45,$D45,$G45,$H45)=0,"",IF(IF($B45=""," · Falta fecha","")&amp;IF($C45=""," · Falta proveedor","")&amp;IF(AND($D45&lt;&gt;"",COUNTIF(tblProductos[SKU],$D45)=0)," · SKU no existe","")&amp;IF($D45=""," · Falta SKU","")&amp;IF(OR($G45="",NOT(ISNUMBER($G45)),$G45&lt;=0)," · Cantidad inválida","")&amp;IF($H45=""," · Falta costo unitario","")&amp;IF(AND($P45="Pagado",$Q45="")," · Pago sin fecha","")&amp;IF(AND(ISNUMBER($R45),ISNUMBER($M45),$R45&gt;N($M45)+0.01)," · Pagado &gt; total","")&amp;IF(AND(ISNUMBER($R45),$R45&gt;0,$Q45="")," · Monto pagado sin fecha","")="","OK",MID(IF($B45=""," · Falta fecha","")&amp;IF($C45=""," · Falta proveedor","")&amp;IF(AND($D45&lt;&gt;"",COUNTIF(tblProductos[SKU],$D45)=0)," · SKU no existe","")&amp;IF($D45=""," · Falta SKU","")&amp;IF(OR($G45="",NOT(ISNUMBER($G45)),$G45&lt;=0)," · Cantidad inválida","")&amp;IF($H45=""," · Falta costo unitario","")&amp;IF(AND($P45="Pagado",$Q45="")," · Pago sin fecha","")&amp;IF(AND(ISNUMBER($R45),ISNUMBER($M45),$R45&gt;N($M45)+0.01)," · Pagado &gt; total","")&amp;IF(AND(ISNUMBER($R45),$R45&gt;0,$Q45="")," · Monto pagado sin fecha",""),4,900)))</f>
        <v/>
      </c>
    </row>
    <row r="46">
      <c r="A46" s="51">
        <f>IF(COUNTA($B46,$C46,$D46,$G46,$H46)=0,"","C-"&amp;TEXT(ROW()-6,"0000"))</f>
        <v/>
      </c>
      <c r="B46" s="41" t="n"/>
      <c r="C46" s="33" t="n"/>
      <c r="D46" s="33" t="n"/>
      <c r="E46" s="51">
        <f>IF($D46="","",IFERROR(IF(INDEX(tblProductos[Nombre del producto],MATCH($D46,tblProductos[SKU],0))="","",INDEX(tblProductos[Nombre del producto],MATCH($D46,tblProductos[SKU],0))),""))</f>
        <v/>
      </c>
      <c r="F46" s="51">
        <f>IF($D46="","",IFERROR(IF(INDEX(tblProductos[Categoría],MATCH($D46,tblProductos[SKU],0))="","",INDEX(tblProductos[Categoría],MATCH($D46,tblProductos[SKU],0))),""))</f>
        <v/>
      </c>
      <c r="G46" s="34" t="n"/>
      <c r="H46" s="36" t="n"/>
      <c r="I46" s="37">
        <f>IF(OR($G46="",$H46=""),"",$G46*$H46)</f>
        <v/>
      </c>
      <c r="J46" s="36" t="n"/>
      <c r="K46" s="36" t="n"/>
      <c r="L46" s="36" t="n"/>
      <c r="M46" s="37">
        <f>IF(NOT(ISNUMBER($I46)),"",$I46+SUM($J46:$L46))</f>
        <v/>
      </c>
      <c r="N46" s="37">
        <f>IF(OR(NOT(ISNUMBER($M46)),NOT(ISNUMBER($G46)),$G46&lt;=0),"",$M46/$G46)</f>
        <v/>
      </c>
      <c r="O46" s="33" t="n"/>
      <c r="P46" s="33" t="n"/>
      <c r="Q46" s="41" t="n"/>
      <c r="R46" s="36" t="n"/>
      <c r="S46" s="37">
        <f>IF(NOT(ISNUMBER($M46)),"",$M46-IF(ISNUMBER($R46),$R46,0))</f>
        <v/>
      </c>
      <c r="T46" s="33" t="n"/>
      <c r="U46" s="51">
        <f>IF(COUNTA($B46,$C46,$D46,$G46,$H46)=0,"",IF(IF($B46=""," · Falta fecha","")&amp;IF($C46=""," · Falta proveedor","")&amp;IF(AND($D46&lt;&gt;"",COUNTIF(tblProductos[SKU],$D46)=0)," · SKU no existe","")&amp;IF($D46=""," · Falta SKU","")&amp;IF(OR($G46="",NOT(ISNUMBER($G46)),$G46&lt;=0)," · Cantidad inválida","")&amp;IF($H46=""," · Falta costo unitario","")&amp;IF(AND($P46="Pagado",$Q46="")," · Pago sin fecha","")&amp;IF(AND(ISNUMBER($R46),ISNUMBER($M46),$R46&gt;N($M46)+0.01)," · Pagado &gt; total","")&amp;IF(AND(ISNUMBER($R46),$R46&gt;0,$Q46="")," · Monto pagado sin fecha","")="","OK",MID(IF($B46=""," · Falta fecha","")&amp;IF($C46=""," · Falta proveedor","")&amp;IF(AND($D46&lt;&gt;"",COUNTIF(tblProductos[SKU],$D46)=0)," · SKU no existe","")&amp;IF($D46=""," · Falta SKU","")&amp;IF(OR($G46="",NOT(ISNUMBER($G46)),$G46&lt;=0)," · Cantidad inválida","")&amp;IF($H46=""," · Falta costo unitario","")&amp;IF(AND($P46="Pagado",$Q46="")," · Pago sin fecha","")&amp;IF(AND(ISNUMBER($R46),ISNUMBER($M46),$R46&gt;N($M46)+0.01)," · Pagado &gt; total","")&amp;IF(AND(ISNUMBER($R46),$R46&gt;0,$Q46="")," · Monto pagado sin fecha",""),4,900)))</f>
        <v/>
      </c>
    </row>
    <row r="47">
      <c r="A47" s="51">
        <f>IF(COUNTA($B47,$C47,$D47,$G47,$H47)=0,"","C-"&amp;TEXT(ROW()-6,"0000"))</f>
        <v/>
      </c>
      <c r="B47" s="41" t="n"/>
      <c r="C47" s="33" t="n"/>
      <c r="D47" s="33" t="n"/>
      <c r="E47" s="51">
        <f>IF($D47="","",IFERROR(IF(INDEX(tblProductos[Nombre del producto],MATCH($D47,tblProductos[SKU],0))="","",INDEX(tblProductos[Nombre del producto],MATCH($D47,tblProductos[SKU],0))),""))</f>
        <v/>
      </c>
      <c r="F47" s="51">
        <f>IF($D47="","",IFERROR(IF(INDEX(tblProductos[Categoría],MATCH($D47,tblProductos[SKU],0))="","",INDEX(tblProductos[Categoría],MATCH($D47,tblProductos[SKU],0))),""))</f>
        <v/>
      </c>
      <c r="G47" s="34" t="n"/>
      <c r="H47" s="36" t="n"/>
      <c r="I47" s="37">
        <f>IF(OR($G47="",$H47=""),"",$G47*$H47)</f>
        <v/>
      </c>
      <c r="J47" s="36" t="n"/>
      <c r="K47" s="36" t="n"/>
      <c r="L47" s="36" t="n"/>
      <c r="M47" s="37">
        <f>IF(NOT(ISNUMBER($I47)),"",$I47+SUM($J47:$L47))</f>
        <v/>
      </c>
      <c r="N47" s="37">
        <f>IF(OR(NOT(ISNUMBER($M47)),NOT(ISNUMBER($G47)),$G47&lt;=0),"",$M47/$G47)</f>
        <v/>
      </c>
      <c r="O47" s="33" t="n"/>
      <c r="P47" s="33" t="n"/>
      <c r="Q47" s="41" t="n"/>
      <c r="R47" s="36" t="n"/>
      <c r="S47" s="37">
        <f>IF(NOT(ISNUMBER($M47)),"",$M47-IF(ISNUMBER($R47),$R47,0))</f>
        <v/>
      </c>
      <c r="T47" s="33" t="n"/>
      <c r="U47" s="51">
        <f>IF(COUNTA($B47,$C47,$D47,$G47,$H47)=0,"",IF(IF($B47=""," · Falta fecha","")&amp;IF($C47=""," · Falta proveedor","")&amp;IF(AND($D47&lt;&gt;"",COUNTIF(tblProductos[SKU],$D47)=0)," · SKU no existe","")&amp;IF($D47=""," · Falta SKU","")&amp;IF(OR($G47="",NOT(ISNUMBER($G47)),$G47&lt;=0)," · Cantidad inválida","")&amp;IF($H47=""," · Falta costo unitario","")&amp;IF(AND($P47="Pagado",$Q47="")," · Pago sin fecha","")&amp;IF(AND(ISNUMBER($R47),ISNUMBER($M47),$R47&gt;N($M47)+0.01)," · Pagado &gt; total","")&amp;IF(AND(ISNUMBER($R47),$R47&gt;0,$Q47="")," · Monto pagado sin fecha","")="","OK",MID(IF($B47=""," · Falta fecha","")&amp;IF($C47=""," · Falta proveedor","")&amp;IF(AND($D47&lt;&gt;"",COUNTIF(tblProductos[SKU],$D47)=0)," · SKU no existe","")&amp;IF($D47=""," · Falta SKU","")&amp;IF(OR($G47="",NOT(ISNUMBER($G47)),$G47&lt;=0)," · Cantidad inválida","")&amp;IF($H47=""," · Falta costo unitario","")&amp;IF(AND($P47="Pagado",$Q47="")," · Pago sin fecha","")&amp;IF(AND(ISNUMBER($R47),ISNUMBER($M47),$R47&gt;N($M47)+0.01)," · Pagado &gt; total","")&amp;IF(AND(ISNUMBER($R47),$R47&gt;0,$Q47="")," · Monto pagado sin fecha",""),4,900)))</f>
        <v/>
      </c>
    </row>
    <row r="48">
      <c r="A48" s="51">
        <f>IF(COUNTA($B48,$C48,$D48,$G48,$H48)=0,"","C-"&amp;TEXT(ROW()-6,"0000"))</f>
        <v/>
      </c>
      <c r="B48" s="41" t="n"/>
      <c r="C48" s="33" t="n"/>
      <c r="D48" s="33" t="n"/>
      <c r="E48" s="51">
        <f>IF($D48="","",IFERROR(IF(INDEX(tblProductos[Nombre del producto],MATCH($D48,tblProductos[SKU],0))="","",INDEX(tblProductos[Nombre del producto],MATCH($D48,tblProductos[SKU],0))),""))</f>
        <v/>
      </c>
      <c r="F48" s="51">
        <f>IF($D48="","",IFERROR(IF(INDEX(tblProductos[Categoría],MATCH($D48,tblProductos[SKU],0))="","",INDEX(tblProductos[Categoría],MATCH($D48,tblProductos[SKU],0))),""))</f>
        <v/>
      </c>
      <c r="G48" s="34" t="n"/>
      <c r="H48" s="36" t="n"/>
      <c r="I48" s="37">
        <f>IF(OR($G48="",$H48=""),"",$G48*$H48)</f>
        <v/>
      </c>
      <c r="J48" s="36" t="n"/>
      <c r="K48" s="36" t="n"/>
      <c r="L48" s="36" t="n"/>
      <c r="M48" s="37">
        <f>IF(NOT(ISNUMBER($I48)),"",$I48+SUM($J48:$L48))</f>
        <v/>
      </c>
      <c r="N48" s="37">
        <f>IF(OR(NOT(ISNUMBER($M48)),NOT(ISNUMBER($G48)),$G48&lt;=0),"",$M48/$G48)</f>
        <v/>
      </c>
      <c r="O48" s="33" t="n"/>
      <c r="P48" s="33" t="n"/>
      <c r="Q48" s="41" t="n"/>
      <c r="R48" s="36" t="n"/>
      <c r="S48" s="37">
        <f>IF(NOT(ISNUMBER($M48)),"",$M48-IF(ISNUMBER($R48),$R48,0))</f>
        <v/>
      </c>
      <c r="T48" s="33" t="n"/>
      <c r="U48" s="51">
        <f>IF(COUNTA($B48,$C48,$D48,$G48,$H48)=0,"",IF(IF($B48=""," · Falta fecha","")&amp;IF($C48=""," · Falta proveedor","")&amp;IF(AND($D48&lt;&gt;"",COUNTIF(tblProductos[SKU],$D48)=0)," · SKU no existe","")&amp;IF($D48=""," · Falta SKU","")&amp;IF(OR($G48="",NOT(ISNUMBER($G48)),$G48&lt;=0)," · Cantidad inválida","")&amp;IF($H48=""," · Falta costo unitario","")&amp;IF(AND($P48="Pagado",$Q48="")," · Pago sin fecha","")&amp;IF(AND(ISNUMBER($R48),ISNUMBER($M48),$R48&gt;N($M48)+0.01)," · Pagado &gt; total","")&amp;IF(AND(ISNUMBER($R48),$R48&gt;0,$Q48="")," · Monto pagado sin fecha","")="","OK",MID(IF($B48=""," · Falta fecha","")&amp;IF($C48=""," · Falta proveedor","")&amp;IF(AND($D48&lt;&gt;"",COUNTIF(tblProductos[SKU],$D48)=0)," · SKU no existe","")&amp;IF($D48=""," · Falta SKU","")&amp;IF(OR($G48="",NOT(ISNUMBER($G48)),$G48&lt;=0)," · Cantidad inválida","")&amp;IF($H48=""," · Falta costo unitario","")&amp;IF(AND($P48="Pagado",$Q48="")," · Pago sin fecha","")&amp;IF(AND(ISNUMBER($R48),ISNUMBER($M48),$R48&gt;N($M48)+0.01)," · Pagado &gt; total","")&amp;IF(AND(ISNUMBER($R48),$R48&gt;0,$Q48="")," · Monto pagado sin fecha",""),4,900)))</f>
        <v/>
      </c>
    </row>
    <row r="49">
      <c r="A49" s="51">
        <f>IF(COUNTA($B49,$C49,$D49,$G49,$H49)=0,"","C-"&amp;TEXT(ROW()-6,"0000"))</f>
        <v/>
      </c>
      <c r="B49" s="41" t="n"/>
      <c r="C49" s="33" t="n"/>
      <c r="D49" s="33" t="n"/>
      <c r="E49" s="51">
        <f>IF($D49="","",IFERROR(IF(INDEX(tblProductos[Nombre del producto],MATCH($D49,tblProductos[SKU],0))="","",INDEX(tblProductos[Nombre del producto],MATCH($D49,tblProductos[SKU],0))),""))</f>
        <v/>
      </c>
      <c r="F49" s="51">
        <f>IF($D49="","",IFERROR(IF(INDEX(tblProductos[Categoría],MATCH($D49,tblProductos[SKU],0))="","",INDEX(tblProductos[Categoría],MATCH($D49,tblProductos[SKU],0))),""))</f>
        <v/>
      </c>
      <c r="G49" s="34" t="n"/>
      <c r="H49" s="36" t="n"/>
      <c r="I49" s="37">
        <f>IF(OR($G49="",$H49=""),"",$G49*$H49)</f>
        <v/>
      </c>
      <c r="J49" s="36" t="n"/>
      <c r="K49" s="36" t="n"/>
      <c r="L49" s="36" t="n"/>
      <c r="M49" s="37">
        <f>IF(NOT(ISNUMBER($I49)),"",$I49+SUM($J49:$L49))</f>
        <v/>
      </c>
      <c r="N49" s="37">
        <f>IF(OR(NOT(ISNUMBER($M49)),NOT(ISNUMBER($G49)),$G49&lt;=0),"",$M49/$G49)</f>
        <v/>
      </c>
      <c r="O49" s="33" t="n"/>
      <c r="P49" s="33" t="n"/>
      <c r="Q49" s="41" t="n"/>
      <c r="R49" s="36" t="n"/>
      <c r="S49" s="37">
        <f>IF(NOT(ISNUMBER($M49)),"",$M49-IF(ISNUMBER($R49),$R49,0))</f>
        <v/>
      </c>
      <c r="T49" s="33" t="n"/>
      <c r="U49" s="51">
        <f>IF(COUNTA($B49,$C49,$D49,$G49,$H49)=0,"",IF(IF($B49=""," · Falta fecha","")&amp;IF($C49=""," · Falta proveedor","")&amp;IF(AND($D49&lt;&gt;"",COUNTIF(tblProductos[SKU],$D49)=0)," · SKU no existe","")&amp;IF($D49=""," · Falta SKU","")&amp;IF(OR($G49="",NOT(ISNUMBER($G49)),$G49&lt;=0)," · Cantidad inválida","")&amp;IF($H49=""," · Falta costo unitario","")&amp;IF(AND($P49="Pagado",$Q49="")," · Pago sin fecha","")&amp;IF(AND(ISNUMBER($R49),ISNUMBER($M49),$R49&gt;N($M49)+0.01)," · Pagado &gt; total","")&amp;IF(AND(ISNUMBER($R49),$R49&gt;0,$Q49="")," · Monto pagado sin fecha","")="","OK",MID(IF($B49=""," · Falta fecha","")&amp;IF($C49=""," · Falta proveedor","")&amp;IF(AND($D49&lt;&gt;"",COUNTIF(tblProductos[SKU],$D49)=0)," · SKU no existe","")&amp;IF($D49=""," · Falta SKU","")&amp;IF(OR($G49="",NOT(ISNUMBER($G49)),$G49&lt;=0)," · Cantidad inválida","")&amp;IF($H49=""," · Falta costo unitario","")&amp;IF(AND($P49="Pagado",$Q49="")," · Pago sin fecha","")&amp;IF(AND(ISNUMBER($R49),ISNUMBER($M49),$R49&gt;N($M49)+0.01)," · Pagado &gt; total","")&amp;IF(AND(ISNUMBER($R49),$R49&gt;0,$Q49="")," · Monto pagado sin fecha",""),4,900)))</f>
        <v/>
      </c>
    </row>
    <row r="50">
      <c r="A50" s="51">
        <f>IF(COUNTA($B50,$C50,$D50,$G50,$H50)=0,"","C-"&amp;TEXT(ROW()-6,"0000"))</f>
        <v/>
      </c>
      <c r="B50" s="41" t="n"/>
      <c r="C50" s="33" t="n"/>
      <c r="D50" s="33" t="n"/>
      <c r="E50" s="51">
        <f>IF($D50="","",IFERROR(IF(INDEX(tblProductos[Nombre del producto],MATCH($D50,tblProductos[SKU],0))="","",INDEX(tblProductos[Nombre del producto],MATCH($D50,tblProductos[SKU],0))),""))</f>
        <v/>
      </c>
      <c r="F50" s="51">
        <f>IF($D50="","",IFERROR(IF(INDEX(tblProductos[Categoría],MATCH($D50,tblProductos[SKU],0))="","",INDEX(tblProductos[Categoría],MATCH($D50,tblProductos[SKU],0))),""))</f>
        <v/>
      </c>
      <c r="G50" s="34" t="n"/>
      <c r="H50" s="36" t="n"/>
      <c r="I50" s="37">
        <f>IF(OR($G50="",$H50=""),"",$G50*$H50)</f>
        <v/>
      </c>
      <c r="J50" s="36" t="n"/>
      <c r="K50" s="36" t="n"/>
      <c r="L50" s="36" t="n"/>
      <c r="M50" s="37">
        <f>IF(NOT(ISNUMBER($I50)),"",$I50+SUM($J50:$L50))</f>
        <v/>
      </c>
      <c r="N50" s="37">
        <f>IF(OR(NOT(ISNUMBER($M50)),NOT(ISNUMBER($G50)),$G50&lt;=0),"",$M50/$G50)</f>
        <v/>
      </c>
      <c r="O50" s="33" t="n"/>
      <c r="P50" s="33" t="n"/>
      <c r="Q50" s="41" t="n"/>
      <c r="R50" s="36" t="n"/>
      <c r="S50" s="37">
        <f>IF(NOT(ISNUMBER($M50)),"",$M50-IF(ISNUMBER($R50),$R50,0))</f>
        <v/>
      </c>
      <c r="T50" s="33" t="n"/>
      <c r="U50" s="51">
        <f>IF(COUNTA($B50,$C50,$D50,$G50,$H50)=0,"",IF(IF($B50=""," · Falta fecha","")&amp;IF($C50=""," · Falta proveedor","")&amp;IF(AND($D50&lt;&gt;"",COUNTIF(tblProductos[SKU],$D50)=0)," · SKU no existe","")&amp;IF($D50=""," · Falta SKU","")&amp;IF(OR($G50="",NOT(ISNUMBER($G50)),$G50&lt;=0)," · Cantidad inválida","")&amp;IF($H50=""," · Falta costo unitario","")&amp;IF(AND($P50="Pagado",$Q50="")," · Pago sin fecha","")&amp;IF(AND(ISNUMBER($R50),ISNUMBER($M50),$R50&gt;N($M50)+0.01)," · Pagado &gt; total","")&amp;IF(AND(ISNUMBER($R50),$R50&gt;0,$Q50="")," · Monto pagado sin fecha","")="","OK",MID(IF($B50=""," · Falta fecha","")&amp;IF($C50=""," · Falta proveedor","")&amp;IF(AND($D50&lt;&gt;"",COUNTIF(tblProductos[SKU],$D50)=0)," · SKU no existe","")&amp;IF($D50=""," · Falta SKU","")&amp;IF(OR($G50="",NOT(ISNUMBER($G50)),$G50&lt;=0)," · Cantidad inválida","")&amp;IF($H50=""," · Falta costo unitario","")&amp;IF(AND($P50="Pagado",$Q50="")," · Pago sin fecha","")&amp;IF(AND(ISNUMBER($R50),ISNUMBER($M50),$R50&gt;N($M50)+0.01)," · Pagado &gt; total","")&amp;IF(AND(ISNUMBER($R50),$R50&gt;0,$Q50="")," · Monto pagado sin fecha",""),4,900)))</f>
        <v/>
      </c>
    </row>
    <row r="51">
      <c r="A51" s="51">
        <f>IF(COUNTA($B51,$C51,$D51,$G51,$H51)=0,"","C-"&amp;TEXT(ROW()-6,"0000"))</f>
        <v/>
      </c>
      <c r="B51" s="41" t="n"/>
      <c r="C51" s="33" t="n"/>
      <c r="D51" s="33" t="n"/>
      <c r="E51" s="51">
        <f>IF($D51="","",IFERROR(IF(INDEX(tblProductos[Nombre del producto],MATCH($D51,tblProductos[SKU],0))="","",INDEX(tblProductos[Nombre del producto],MATCH($D51,tblProductos[SKU],0))),""))</f>
        <v/>
      </c>
      <c r="F51" s="51">
        <f>IF($D51="","",IFERROR(IF(INDEX(tblProductos[Categoría],MATCH($D51,tblProductos[SKU],0))="","",INDEX(tblProductos[Categoría],MATCH($D51,tblProductos[SKU],0))),""))</f>
        <v/>
      </c>
      <c r="G51" s="34" t="n"/>
      <c r="H51" s="36" t="n"/>
      <c r="I51" s="37">
        <f>IF(OR($G51="",$H51=""),"",$G51*$H51)</f>
        <v/>
      </c>
      <c r="J51" s="36" t="n"/>
      <c r="K51" s="36" t="n"/>
      <c r="L51" s="36" t="n"/>
      <c r="M51" s="37">
        <f>IF(NOT(ISNUMBER($I51)),"",$I51+SUM($J51:$L51))</f>
        <v/>
      </c>
      <c r="N51" s="37">
        <f>IF(OR(NOT(ISNUMBER($M51)),NOT(ISNUMBER($G51)),$G51&lt;=0),"",$M51/$G51)</f>
        <v/>
      </c>
      <c r="O51" s="33" t="n"/>
      <c r="P51" s="33" t="n"/>
      <c r="Q51" s="41" t="n"/>
      <c r="R51" s="36" t="n"/>
      <c r="S51" s="37">
        <f>IF(NOT(ISNUMBER($M51)),"",$M51-IF(ISNUMBER($R51),$R51,0))</f>
        <v/>
      </c>
      <c r="T51" s="33" t="n"/>
      <c r="U51" s="51">
        <f>IF(COUNTA($B51,$C51,$D51,$G51,$H51)=0,"",IF(IF($B51=""," · Falta fecha","")&amp;IF($C51=""," · Falta proveedor","")&amp;IF(AND($D51&lt;&gt;"",COUNTIF(tblProductos[SKU],$D51)=0)," · SKU no existe","")&amp;IF($D51=""," · Falta SKU","")&amp;IF(OR($G51="",NOT(ISNUMBER($G51)),$G51&lt;=0)," · Cantidad inválida","")&amp;IF($H51=""," · Falta costo unitario","")&amp;IF(AND($P51="Pagado",$Q51="")," · Pago sin fecha","")&amp;IF(AND(ISNUMBER($R51),ISNUMBER($M51),$R51&gt;N($M51)+0.01)," · Pagado &gt; total","")&amp;IF(AND(ISNUMBER($R51),$R51&gt;0,$Q51="")," · Monto pagado sin fecha","")="","OK",MID(IF($B51=""," · Falta fecha","")&amp;IF($C51=""," · Falta proveedor","")&amp;IF(AND($D51&lt;&gt;"",COUNTIF(tblProductos[SKU],$D51)=0)," · SKU no existe","")&amp;IF($D51=""," · Falta SKU","")&amp;IF(OR($G51="",NOT(ISNUMBER($G51)),$G51&lt;=0)," · Cantidad inválida","")&amp;IF($H51=""," · Falta costo unitario","")&amp;IF(AND($P51="Pagado",$Q51="")," · Pago sin fecha","")&amp;IF(AND(ISNUMBER($R51),ISNUMBER($M51),$R51&gt;N($M51)+0.01)," · Pagado &gt; total","")&amp;IF(AND(ISNUMBER($R51),$R51&gt;0,$Q51="")," · Monto pagado sin fecha",""),4,900)))</f>
        <v/>
      </c>
    </row>
    <row r="52">
      <c r="A52" s="51">
        <f>IF(COUNTA($B52,$C52,$D52,$G52,$H52)=0,"","C-"&amp;TEXT(ROW()-6,"0000"))</f>
        <v/>
      </c>
      <c r="B52" s="41" t="n"/>
      <c r="C52" s="33" t="n"/>
      <c r="D52" s="33" t="n"/>
      <c r="E52" s="51">
        <f>IF($D52="","",IFERROR(IF(INDEX(tblProductos[Nombre del producto],MATCH($D52,tblProductos[SKU],0))="","",INDEX(tblProductos[Nombre del producto],MATCH($D52,tblProductos[SKU],0))),""))</f>
        <v/>
      </c>
      <c r="F52" s="51">
        <f>IF($D52="","",IFERROR(IF(INDEX(tblProductos[Categoría],MATCH($D52,tblProductos[SKU],0))="","",INDEX(tblProductos[Categoría],MATCH($D52,tblProductos[SKU],0))),""))</f>
        <v/>
      </c>
      <c r="G52" s="34" t="n"/>
      <c r="H52" s="36" t="n"/>
      <c r="I52" s="37">
        <f>IF(OR($G52="",$H52=""),"",$G52*$H52)</f>
        <v/>
      </c>
      <c r="J52" s="36" t="n"/>
      <c r="K52" s="36" t="n"/>
      <c r="L52" s="36" t="n"/>
      <c r="M52" s="37">
        <f>IF(NOT(ISNUMBER($I52)),"",$I52+SUM($J52:$L52))</f>
        <v/>
      </c>
      <c r="N52" s="37">
        <f>IF(OR(NOT(ISNUMBER($M52)),NOT(ISNUMBER($G52)),$G52&lt;=0),"",$M52/$G52)</f>
        <v/>
      </c>
      <c r="O52" s="33" t="n"/>
      <c r="P52" s="33" t="n"/>
      <c r="Q52" s="41" t="n"/>
      <c r="R52" s="36" t="n"/>
      <c r="S52" s="37">
        <f>IF(NOT(ISNUMBER($M52)),"",$M52-IF(ISNUMBER($R52),$R52,0))</f>
        <v/>
      </c>
      <c r="T52" s="33" t="n"/>
      <c r="U52" s="51">
        <f>IF(COUNTA($B52,$C52,$D52,$G52,$H52)=0,"",IF(IF($B52=""," · Falta fecha","")&amp;IF($C52=""," · Falta proveedor","")&amp;IF(AND($D52&lt;&gt;"",COUNTIF(tblProductos[SKU],$D52)=0)," · SKU no existe","")&amp;IF($D52=""," · Falta SKU","")&amp;IF(OR($G52="",NOT(ISNUMBER($G52)),$G52&lt;=0)," · Cantidad inválida","")&amp;IF($H52=""," · Falta costo unitario","")&amp;IF(AND($P52="Pagado",$Q52="")," · Pago sin fecha","")&amp;IF(AND(ISNUMBER($R52),ISNUMBER($M52),$R52&gt;N($M52)+0.01)," · Pagado &gt; total","")&amp;IF(AND(ISNUMBER($R52),$R52&gt;0,$Q52="")," · Monto pagado sin fecha","")="","OK",MID(IF($B52=""," · Falta fecha","")&amp;IF($C52=""," · Falta proveedor","")&amp;IF(AND($D52&lt;&gt;"",COUNTIF(tblProductos[SKU],$D52)=0)," · SKU no existe","")&amp;IF($D52=""," · Falta SKU","")&amp;IF(OR($G52="",NOT(ISNUMBER($G52)),$G52&lt;=0)," · Cantidad inválida","")&amp;IF($H52=""," · Falta costo unitario","")&amp;IF(AND($P52="Pagado",$Q52="")," · Pago sin fecha","")&amp;IF(AND(ISNUMBER($R52),ISNUMBER($M52),$R52&gt;N($M52)+0.01)," · Pagado &gt; total","")&amp;IF(AND(ISNUMBER($R52),$R52&gt;0,$Q52="")," · Monto pagado sin fecha",""),4,900)))</f>
        <v/>
      </c>
    </row>
    <row r="53">
      <c r="A53" s="51">
        <f>IF(COUNTA($B53,$C53,$D53,$G53,$H53)=0,"","C-"&amp;TEXT(ROW()-6,"0000"))</f>
        <v/>
      </c>
      <c r="B53" s="41" t="n"/>
      <c r="C53" s="33" t="n"/>
      <c r="D53" s="33" t="n"/>
      <c r="E53" s="51">
        <f>IF($D53="","",IFERROR(IF(INDEX(tblProductos[Nombre del producto],MATCH($D53,tblProductos[SKU],0))="","",INDEX(tblProductos[Nombre del producto],MATCH($D53,tblProductos[SKU],0))),""))</f>
        <v/>
      </c>
      <c r="F53" s="51">
        <f>IF($D53="","",IFERROR(IF(INDEX(tblProductos[Categoría],MATCH($D53,tblProductos[SKU],0))="","",INDEX(tblProductos[Categoría],MATCH($D53,tblProductos[SKU],0))),""))</f>
        <v/>
      </c>
      <c r="G53" s="34" t="n"/>
      <c r="H53" s="36" t="n"/>
      <c r="I53" s="37">
        <f>IF(OR($G53="",$H53=""),"",$G53*$H53)</f>
        <v/>
      </c>
      <c r="J53" s="36" t="n"/>
      <c r="K53" s="36" t="n"/>
      <c r="L53" s="36" t="n"/>
      <c r="M53" s="37">
        <f>IF(NOT(ISNUMBER($I53)),"",$I53+SUM($J53:$L53))</f>
        <v/>
      </c>
      <c r="N53" s="37">
        <f>IF(OR(NOT(ISNUMBER($M53)),NOT(ISNUMBER($G53)),$G53&lt;=0),"",$M53/$G53)</f>
        <v/>
      </c>
      <c r="O53" s="33" t="n"/>
      <c r="P53" s="33" t="n"/>
      <c r="Q53" s="41" t="n"/>
      <c r="R53" s="36" t="n"/>
      <c r="S53" s="37">
        <f>IF(NOT(ISNUMBER($M53)),"",$M53-IF(ISNUMBER($R53),$R53,0))</f>
        <v/>
      </c>
      <c r="T53" s="33" t="n"/>
      <c r="U53" s="51">
        <f>IF(COUNTA($B53,$C53,$D53,$G53,$H53)=0,"",IF(IF($B53=""," · Falta fecha","")&amp;IF($C53=""," · Falta proveedor","")&amp;IF(AND($D53&lt;&gt;"",COUNTIF(tblProductos[SKU],$D53)=0)," · SKU no existe","")&amp;IF($D53=""," · Falta SKU","")&amp;IF(OR($G53="",NOT(ISNUMBER($G53)),$G53&lt;=0)," · Cantidad inválida","")&amp;IF($H53=""," · Falta costo unitario","")&amp;IF(AND($P53="Pagado",$Q53="")," · Pago sin fecha","")&amp;IF(AND(ISNUMBER($R53),ISNUMBER($M53),$R53&gt;N($M53)+0.01)," · Pagado &gt; total","")&amp;IF(AND(ISNUMBER($R53),$R53&gt;0,$Q53="")," · Monto pagado sin fecha","")="","OK",MID(IF($B53=""," · Falta fecha","")&amp;IF($C53=""," · Falta proveedor","")&amp;IF(AND($D53&lt;&gt;"",COUNTIF(tblProductos[SKU],$D53)=0)," · SKU no existe","")&amp;IF($D53=""," · Falta SKU","")&amp;IF(OR($G53="",NOT(ISNUMBER($G53)),$G53&lt;=0)," · Cantidad inválida","")&amp;IF($H53=""," · Falta costo unitario","")&amp;IF(AND($P53="Pagado",$Q53="")," · Pago sin fecha","")&amp;IF(AND(ISNUMBER($R53),ISNUMBER($M53),$R53&gt;N($M53)+0.01)," · Pagado &gt; total","")&amp;IF(AND(ISNUMBER($R53),$R53&gt;0,$Q53="")," · Monto pagado sin fecha",""),4,900)))</f>
        <v/>
      </c>
    </row>
    <row r="54">
      <c r="A54" s="51">
        <f>IF(COUNTA($B54,$C54,$D54,$G54,$H54)=0,"","C-"&amp;TEXT(ROW()-6,"0000"))</f>
        <v/>
      </c>
      <c r="B54" s="41" t="n"/>
      <c r="C54" s="33" t="n"/>
      <c r="D54" s="33" t="n"/>
      <c r="E54" s="51">
        <f>IF($D54="","",IFERROR(IF(INDEX(tblProductos[Nombre del producto],MATCH($D54,tblProductos[SKU],0))="","",INDEX(tblProductos[Nombre del producto],MATCH($D54,tblProductos[SKU],0))),""))</f>
        <v/>
      </c>
      <c r="F54" s="51">
        <f>IF($D54="","",IFERROR(IF(INDEX(tblProductos[Categoría],MATCH($D54,tblProductos[SKU],0))="","",INDEX(tblProductos[Categoría],MATCH($D54,tblProductos[SKU],0))),""))</f>
        <v/>
      </c>
      <c r="G54" s="34" t="n"/>
      <c r="H54" s="36" t="n"/>
      <c r="I54" s="37">
        <f>IF(OR($G54="",$H54=""),"",$G54*$H54)</f>
        <v/>
      </c>
      <c r="J54" s="36" t="n"/>
      <c r="K54" s="36" t="n"/>
      <c r="L54" s="36" t="n"/>
      <c r="M54" s="37">
        <f>IF(NOT(ISNUMBER($I54)),"",$I54+SUM($J54:$L54))</f>
        <v/>
      </c>
      <c r="N54" s="37">
        <f>IF(OR(NOT(ISNUMBER($M54)),NOT(ISNUMBER($G54)),$G54&lt;=0),"",$M54/$G54)</f>
        <v/>
      </c>
      <c r="O54" s="33" t="n"/>
      <c r="P54" s="33" t="n"/>
      <c r="Q54" s="41" t="n"/>
      <c r="R54" s="36" t="n"/>
      <c r="S54" s="37">
        <f>IF(NOT(ISNUMBER($M54)),"",$M54-IF(ISNUMBER($R54),$R54,0))</f>
        <v/>
      </c>
      <c r="T54" s="33" t="n"/>
      <c r="U54" s="51">
        <f>IF(COUNTA($B54,$C54,$D54,$G54,$H54)=0,"",IF(IF($B54=""," · Falta fecha","")&amp;IF($C54=""," · Falta proveedor","")&amp;IF(AND($D54&lt;&gt;"",COUNTIF(tblProductos[SKU],$D54)=0)," · SKU no existe","")&amp;IF($D54=""," · Falta SKU","")&amp;IF(OR($G54="",NOT(ISNUMBER($G54)),$G54&lt;=0)," · Cantidad inválida","")&amp;IF($H54=""," · Falta costo unitario","")&amp;IF(AND($P54="Pagado",$Q54="")," · Pago sin fecha","")&amp;IF(AND(ISNUMBER($R54),ISNUMBER($M54),$R54&gt;N($M54)+0.01)," · Pagado &gt; total","")&amp;IF(AND(ISNUMBER($R54),$R54&gt;0,$Q54="")," · Monto pagado sin fecha","")="","OK",MID(IF($B54=""," · Falta fecha","")&amp;IF($C54=""," · Falta proveedor","")&amp;IF(AND($D54&lt;&gt;"",COUNTIF(tblProductos[SKU],$D54)=0)," · SKU no existe","")&amp;IF($D54=""," · Falta SKU","")&amp;IF(OR($G54="",NOT(ISNUMBER($G54)),$G54&lt;=0)," · Cantidad inválida","")&amp;IF($H54=""," · Falta costo unitario","")&amp;IF(AND($P54="Pagado",$Q54="")," · Pago sin fecha","")&amp;IF(AND(ISNUMBER($R54),ISNUMBER($M54),$R54&gt;N($M54)+0.01)," · Pagado &gt; total","")&amp;IF(AND(ISNUMBER($R54),$R54&gt;0,$Q54="")," · Monto pagado sin fecha",""),4,900)))</f>
        <v/>
      </c>
    </row>
    <row r="55">
      <c r="A55" s="51">
        <f>IF(COUNTA($B55,$C55,$D55,$G55,$H55)=0,"","C-"&amp;TEXT(ROW()-6,"0000"))</f>
        <v/>
      </c>
      <c r="B55" s="41" t="n"/>
      <c r="C55" s="33" t="n"/>
      <c r="D55" s="33" t="n"/>
      <c r="E55" s="51">
        <f>IF($D55="","",IFERROR(IF(INDEX(tblProductos[Nombre del producto],MATCH($D55,tblProductos[SKU],0))="","",INDEX(tblProductos[Nombre del producto],MATCH($D55,tblProductos[SKU],0))),""))</f>
        <v/>
      </c>
      <c r="F55" s="51">
        <f>IF($D55="","",IFERROR(IF(INDEX(tblProductos[Categoría],MATCH($D55,tblProductos[SKU],0))="","",INDEX(tblProductos[Categoría],MATCH($D55,tblProductos[SKU],0))),""))</f>
        <v/>
      </c>
      <c r="G55" s="34" t="n"/>
      <c r="H55" s="36" t="n"/>
      <c r="I55" s="37">
        <f>IF(OR($G55="",$H55=""),"",$G55*$H55)</f>
        <v/>
      </c>
      <c r="J55" s="36" t="n"/>
      <c r="K55" s="36" t="n"/>
      <c r="L55" s="36" t="n"/>
      <c r="M55" s="37">
        <f>IF(NOT(ISNUMBER($I55)),"",$I55+SUM($J55:$L55))</f>
        <v/>
      </c>
      <c r="N55" s="37">
        <f>IF(OR(NOT(ISNUMBER($M55)),NOT(ISNUMBER($G55)),$G55&lt;=0),"",$M55/$G55)</f>
        <v/>
      </c>
      <c r="O55" s="33" t="n"/>
      <c r="P55" s="33" t="n"/>
      <c r="Q55" s="41" t="n"/>
      <c r="R55" s="36" t="n"/>
      <c r="S55" s="37">
        <f>IF(NOT(ISNUMBER($M55)),"",$M55-IF(ISNUMBER($R55),$R55,0))</f>
        <v/>
      </c>
      <c r="T55" s="33" t="n"/>
      <c r="U55" s="51">
        <f>IF(COUNTA($B55,$C55,$D55,$G55,$H55)=0,"",IF(IF($B55=""," · Falta fecha","")&amp;IF($C55=""," · Falta proveedor","")&amp;IF(AND($D55&lt;&gt;"",COUNTIF(tblProductos[SKU],$D55)=0)," · SKU no existe","")&amp;IF($D55=""," · Falta SKU","")&amp;IF(OR($G55="",NOT(ISNUMBER($G55)),$G55&lt;=0)," · Cantidad inválida","")&amp;IF($H55=""," · Falta costo unitario","")&amp;IF(AND($P55="Pagado",$Q55="")," · Pago sin fecha","")&amp;IF(AND(ISNUMBER($R55),ISNUMBER($M55),$R55&gt;N($M55)+0.01)," · Pagado &gt; total","")&amp;IF(AND(ISNUMBER($R55),$R55&gt;0,$Q55="")," · Monto pagado sin fecha","")="","OK",MID(IF($B55=""," · Falta fecha","")&amp;IF($C55=""," · Falta proveedor","")&amp;IF(AND($D55&lt;&gt;"",COUNTIF(tblProductos[SKU],$D55)=0)," · SKU no existe","")&amp;IF($D55=""," · Falta SKU","")&amp;IF(OR($G55="",NOT(ISNUMBER($G55)),$G55&lt;=0)," · Cantidad inválida","")&amp;IF($H55=""," · Falta costo unitario","")&amp;IF(AND($P55="Pagado",$Q55="")," · Pago sin fecha","")&amp;IF(AND(ISNUMBER($R55),ISNUMBER($M55),$R55&gt;N($M55)+0.01)," · Pagado &gt; total","")&amp;IF(AND(ISNUMBER($R55),$R55&gt;0,$Q55="")," · Monto pagado sin fecha",""),4,900)))</f>
        <v/>
      </c>
    </row>
    <row r="56">
      <c r="A56" s="51">
        <f>IF(COUNTA($B56,$C56,$D56,$G56,$H56)=0,"","C-"&amp;TEXT(ROW()-6,"0000"))</f>
        <v/>
      </c>
      <c r="B56" s="41" t="n"/>
      <c r="C56" s="33" t="n"/>
      <c r="D56" s="33" t="n"/>
      <c r="E56" s="51">
        <f>IF($D56="","",IFERROR(IF(INDEX(tblProductos[Nombre del producto],MATCH($D56,tblProductos[SKU],0))="","",INDEX(tblProductos[Nombre del producto],MATCH($D56,tblProductos[SKU],0))),""))</f>
        <v/>
      </c>
      <c r="F56" s="51">
        <f>IF($D56="","",IFERROR(IF(INDEX(tblProductos[Categoría],MATCH($D56,tblProductos[SKU],0))="","",INDEX(tblProductos[Categoría],MATCH($D56,tblProductos[SKU],0))),""))</f>
        <v/>
      </c>
      <c r="G56" s="34" t="n"/>
      <c r="H56" s="36" t="n"/>
      <c r="I56" s="37">
        <f>IF(OR($G56="",$H56=""),"",$G56*$H56)</f>
        <v/>
      </c>
      <c r="J56" s="36" t="n"/>
      <c r="K56" s="36" t="n"/>
      <c r="L56" s="36" t="n"/>
      <c r="M56" s="37">
        <f>IF(NOT(ISNUMBER($I56)),"",$I56+SUM($J56:$L56))</f>
        <v/>
      </c>
      <c r="N56" s="37">
        <f>IF(OR(NOT(ISNUMBER($M56)),NOT(ISNUMBER($G56)),$G56&lt;=0),"",$M56/$G56)</f>
        <v/>
      </c>
      <c r="O56" s="33" t="n"/>
      <c r="P56" s="33" t="n"/>
      <c r="Q56" s="41" t="n"/>
      <c r="R56" s="36" t="n"/>
      <c r="S56" s="37">
        <f>IF(NOT(ISNUMBER($M56)),"",$M56-IF(ISNUMBER($R56),$R56,0))</f>
        <v/>
      </c>
      <c r="T56" s="33" t="n"/>
      <c r="U56" s="51">
        <f>IF(COUNTA($B56,$C56,$D56,$G56,$H56)=0,"",IF(IF($B56=""," · Falta fecha","")&amp;IF($C56=""," · Falta proveedor","")&amp;IF(AND($D56&lt;&gt;"",COUNTIF(tblProductos[SKU],$D56)=0)," · SKU no existe","")&amp;IF($D56=""," · Falta SKU","")&amp;IF(OR($G56="",NOT(ISNUMBER($G56)),$G56&lt;=0)," · Cantidad inválida","")&amp;IF($H56=""," · Falta costo unitario","")&amp;IF(AND($P56="Pagado",$Q56="")," · Pago sin fecha","")&amp;IF(AND(ISNUMBER($R56),ISNUMBER($M56),$R56&gt;N($M56)+0.01)," · Pagado &gt; total","")&amp;IF(AND(ISNUMBER($R56),$R56&gt;0,$Q56="")," · Monto pagado sin fecha","")="","OK",MID(IF($B56=""," · Falta fecha","")&amp;IF($C56=""," · Falta proveedor","")&amp;IF(AND($D56&lt;&gt;"",COUNTIF(tblProductos[SKU],$D56)=0)," · SKU no existe","")&amp;IF($D56=""," · Falta SKU","")&amp;IF(OR($G56="",NOT(ISNUMBER($G56)),$G56&lt;=0)," · Cantidad inválida","")&amp;IF($H56=""," · Falta costo unitario","")&amp;IF(AND($P56="Pagado",$Q56="")," · Pago sin fecha","")&amp;IF(AND(ISNUMBER($R56),ISNUMBER($M56),$R56&gt;N($M56)+0.01)," · Pagado &gt; total","")&amp;IF(AND(ISNUMBER($R56),$R56&gt;0,$Q56="")," · Monto pagado sin fecha",""),4,900)))</f>
        <v/>
      </c>
    </row>
    <row r="57">
      <c r="A57" s="51">
        <f>IF(COUNTA($B57,$C57,$D57,$G57,$H57)=0,"","C-"&amp;TEXT(ROW()-6,"0000"))</f>
        <v/>
      </c>
      <c r="B57" s="41" t="n"/>
      <c r="C57" s="33" t="n"/>
      <c r="D57" s="33" t="n"/>
      <c r="E57" s="51">
        <f>IF($D57="","",IFERROR(IF(INDEX(tblProductos[Nombre del producto],MATCH($D57,tblProductos[SKU],0))="","",INDEX(tblProductos[Nombre del producto],MATCH($D57,tblProductos[SKU],0))),""))</f>
        <v/>
      </c>
      <c r="F57" s="51">
        <f>IF($D57="","",IFERROR(IF(INDEX(tblProductos[Categoría],MATCH($D57,tblProductos[SKU],0))="","",INDEX(tblProductos[Categoría],MATCH($D57,tblProductos[SKU],0))),""))</f>
        <v/>
      </c>
      <c r="G57" s="34" t="n"/>
      <c r="H57" s="36" t="n"/>
      <c r="I57" s="37">
        <f>IF(OR($G57="",$H57=""),"",$G57*$H57)</f>
        <v/>
      </c>
      <c r="J57" s="36" t="n"/>
      <c r="K57" s="36" t="n"/>
      <c r="L57" s="36" t="n"/>
      <c r="M57" s="37">
        <f>IF(NOT(ISNUMBER($I57)),"",$I57+SUM($J57:$L57))</f>
        <v/>
      </c>
      <c r="N57" s="37">
        <f>IF(OR(NOT(ISNUMBER($M57)),NOT(ISNUMBER($G57)),$G57&lt;=0),"",$M57/$G57)</f>
        <v/>
      </c>
      <c r="O57" s="33" t="n"/>
      <c r="P57" s="33" t="n"/>
      <c r="Q57" s="41" t="n"/>
      <c r="R57" s="36" t="n"/>
      <c r="S57" s="37">
        <f>IF(NOT(ISNUMBER($M57)),"",$M57-IF(ISNUMBER($R57),$R57,0))</f>
        <v/>
      </c>
      <c r="T57" s="33" t="n"/>
      <c r="U57" s="51">
        <f>IF(COUNTA($B57,$C57,$D57,$G57,$H57)=0,"",IF(IF($B57=""," · Falta fecha","")&amp;IF($C57=""," · Falta proveedor","")&amp;IF(AND($D57&lt;&gt;"",COUNTIF(tblProductos[SKU],$D57)=0)," · SKU no existe","")&amp;IF($D57=""," · Falta SKU","")&amp;IF(OR($G57="",NOT(ISNUMBER($G57)),$G57&lt;=0)," · Cantidad inválida","")&amp;IF($H57=""," · Falta costo unitario","")&amp;IF(AND($P57="Pagado",$Q57="")," · Pago sin fecha","")&amp;IF(AND(ISNUMBER($R57),ISNUMBER($M57),$R57&gt;N($M57)+0.01)," · Pagado &gt; total","")&amp;IF(AND(ISNUMBER($R57),$R57&gt;0,$Q57="")," · Monto pagado sin fecha","")="","OK",MID(IF($B57=""," · Falta fecha","")&amp;IF($C57=""," · Falta proveedor","")&amp;IF(AND($D57&lt;&gt;"",COUNTIF(tblProductos[SKU],$D57)=0)," · SKU no existe","")&amp;IF($D57=""," · Falta SKU","")&amp;IF(OR($G57="",NOT(ISNUMBER($G57)),$G57&lt;=0)," · Cantidad inválida","")&amp;IF($H57=""," · Falta costo unitario","")&amp;IF(AND($P57="Pagado",$Q57="")," · Pago sin fecha","")&amp;IF(AND(ISNUMBER($R57),ISNUMBER($M57),$R57&gt;N($M57)+0.01)," · Pagado &gt; total","")&amp;IF(AND(ISNUMBER($R57),$R57&gt;0,$Q57="")," · Monto pagado sin fecha",""),4,900)))</f>
        <v/>
      </c>
    </row>
    <row r="58">
      <c r="A58" s="51">
        <f>IF(COUNTA($B58,$C58,$D58,$G58,$H58)=0,"","C-"&amp;TEXT(ROW()-6,"0000"))</f>
        <v/>
      </c>
      <c r="B58" s="41" t="n"/>
      <c r="C58" s="33" t="n"/>
      <c r="D58" s="33" t="n"/>
      <c r="E58" s="51">
        <f>IF($D58="","",IFERROR(IF(INDEX(tblProductos[Nombre del producto],MATCH($D58,tblProductos[SKU],0))="","",INDEX(tblProductos[Nombre del producto],MATCH($D58,tblProductos[SKU],0))),""))</f>
        <v/>
      </c>
      <c r="F58" s="51">
        <f>IF($D58="","",IFERROR(IF(INDEX(tblProductos[Categoría],MATCH($D58,tblProductos[SKU],0))="","",INDEX(tblProductos[Categoría],MATCH($D58,tblProductos[SKU],0))),""))</f>
        <v/>
      </c>
      <c r="G58" s="34" t="n"/>
      <c r="H58" s="36" t="n"/>
      <c r="I58" s="37">
        <f>IF(OR($G58="",$H58=""),"",$G58*$H58)</f>
        <v/>
      </c>
      <c r="J58" s="36" t="n"/>
      <c r="K58" s="36" t="n"/>
      <c r="L58" s="36" t="n"/>
      <c r="M58" s="37">
        <f>IF(NOT(ISNUMBER($I58)),"",$I58+SUM($J58:$L58))</f>
        <v/>
      </c>
      <c r="N58" s="37">
        <f>IF(OR(NOT(ISNUMBER($M58)),NOT(ISNUMBER($G58)),$G58&lt;=0),"",$M58/$G58)</f>
        <v/>
      </c>
      <c r="O58" s="33" t="n"/>
      <c r="P58" s="33" t="n"/>
      <c r="Q58" s="41" t="n"/>
      <c r="R58" s="36" t="n"/>
      <c r="S58" s="37">
        <f>IF(NOT(ISNUMBER($M58)),"",$M58-IF(ISNUMBER($R58),$R58,0))</f>
        <v/>
      </c>
      <c r="T58" s="33" t="n"/>
      <c r="U58" s="51">
        <f>IF(COUNTA($B58,$C58,$D58,$G58,$H58)=0,"",IF(IF($B58=""," · Falta fecha","")&amp;IF($C58=""," · Falta proveedor","")&amp;IF(AND($D58&lt;&gt;"",COUNTIF(tblProductos[SKU],$D58)=0)," · SKU no existe","")&amp;IF($D58=""," · Falta SKU","")&amp;IF(OR($G58="",NOT(ISNUMBER($G58)),$G58&lt;=0)," · Cantidad inválida","")&amp;IF($H58=""," · Falta costo unitario","")&amp;IF(AND($P58="Pagado",$Q58="")," · Pago sin fecha","")&amp;IF(AND(ISNUMBER($R58),ISNUMBER($M58),$R58&gt;N($M58)+0.01)," · Pagado &gt; total","")&amp;IF(AND(ISNUMBER($R58),$R58&gt;0,$Q58="")," · Monto pagado sin fecha","")="","OK",MID(IF($B58=""," · Falta fecha","")&amp;IF($C58=""," · Falta proveedor","")&amp;IF(AND($D58&lt;&gt;"",COUNTIF(tblProductos[SKU],$D58)=0)," · SKU no existe","")&amp;IF($D58=""," · Falta SKU","")&amp;IF(OR($G58="",NOT(ISNUMBER($G58)),$G58&lt;=0)," · Cantidad inválida","")&amp;IF($H58=""," · Falta costo unitario","")&amp;IF(AND($P58="Pagado",$Q58="")," · Pago sin fecha","")&amp;IF(AND(ISNUMBER($R58),ISNUMBER($M58),$R58&gt;N($M58)+0.01)," · Pagado &gt; total","")&amp;IF(AND(ISNUMBER($R58),$R58&gt;0,$Q58="")," · Monto pagado sin fecha",""),4,900)))</f>
        <v/>
      </c>
    </row>
    <row r="59">
      <c r="A59" s="51">
        <f>IF(COUNTA($B59,$C59,$D59,$G59,$H59)=0,"","C-"&amp;TEXT(ROW()-6,"0000"))</f>
        <v/>
      </c>
      <c r="B59" s="41" t="n"/>
      <c r="C59" s="33" t="n"/>
      <c r="D59" s="33" t="n"/>
      <c r="E59" s="51">
        <f>IF($D59="","",IFERROR(IF(INDEX(tblProductos[Nombre del producto],MATCH($D59,tblProductos[SKU],0))="","",INDEX(tblProductos[Nombre del producto],MATCH($D59,tblProductos[SKU],0))),""))</f>
        <v/>
      </c>
      <c r="F59" s="51">
        <f>IF($D59="","",IFERROR(IF(INDEX(tblProductos[Categoría],MATCH($D59,tblProductos[SKU],0))="","",INDEX(tblProductos[Categoría],MATCH($D59,tblProductos[SKU],0))),""))</f>
        <v/>
      </c>
      <c r="G59" s="34" t="n"/>
      <c r="H59" s="36" t="n"/>
      <c r="I59" s="37">
        <f>IF(OR($G59="",$H59=""),"",$G59*$H59)</f>
        <v/>
      </c>
      <c r="J59" s="36" t="n"/>
      <c r="K59" s="36" t="n"/>
      <c r="L59" s="36" t="n"/>
      <c r="M59" s="37">
        <f>IF(NOT(ISNUMBER($I59)),"",$I59+SUM($J59:$L59))</f>
        <v/>
      </c>
      <c r="N59" s="37">
        <f>IF(OR(NOT(ISNUMBER($M59)),NOT(ISNUMBER($G59)),$G59&lt;=0),"",$M59/$G59)</f>
        <v/>
      </c>
      <c r="O59" s="33" t="n"/>
      <c r="P59" s="33" t="n"/>
      <c r="Q59" s="41" t="n"/>
      <c r="R59" s="36" t="n"/>
      <c r="S59" s="37">
        <f>IF(NOT(ISNUMBER($M59)),"",$M59-IF(ISNUMBER($R59),$R59,0))</f>
        <v/>
      </c>
      <c r="T59" s="33" t="n"/>
      <c r="U59" s="51">
        <f>IF(COUNTA($B59,$C59,$D59,$G59,$H59)=0,"",IF(IF($B59=""," · Falta fecha","")&amp;IF($C59=""," · Falta proveedor","")&amp;IF(AND($D59&lt;&gt;"",COUNTIF(tblProductos[SKU],$D59)=0)," · SKU no existe","")&amp;IF($D59=""," · Falta SKU","")&amp;IF(OR($G59="",NOT(ISNUMBER($G59)),$G59&lt;=0)," · Cantidad inválida","")&amp;IF($H59=""," · Falta costo unitario","")&amp;IF(AND($P59="Pagado",$Q59="")," · Pago sin fecha","")&amp;IF(AND(ISNUMBER($R59),ISNUMBER($M59),$R59&gt;N($M59)+0.01)," · Pagado &gt; total","")&amp;IF(AND(ISNUMBER($R59),$R59&gt;0,$Q59="")," · Monto pagado sin fecha","")="","OK",MID(IF($B59=""," · Falta fecha","")&amp;IF($C59=""," · Falta proveedor","")&amp;IF(AND($D59&lt;&gt;"",COUNTIF(tblProductos[SKU],$D59)=0)," · SKU no existe","")&amp;IF($D59=""," · Falta SKU","")&amp;IF(OR($G59="",NOT(ISNUMBER($G59)),$G59&lt;=0)," · Cantidad inválida","")&amp;IF($H59=""," · Falta costo unitario","")&amp;IF(AND($P59="Pagado",$Q59="")," · Pago sin fecha","")&amp;IF(AND(ISNUMBER($R59),ISNUMBER($M59),$R59&gt;N($M59)+0.01)," · Pagado &gt; total","")&amp;IF(AND(ISNUMBER($R59),$R59&gt;0,$Q59="")," · Monto pagado sin fecha",""),4,900)))</f>
        <v/>
      </c>
    </row>
    <row r="60">
      <c r="A60" s="51">
        <f>IF(COUNTA($B60,$C60,$D60,$G60,$H60)=0,"","C-"&amp;TEXT(ROW()-6,"0000"))</f>
        <v/>
      </c>
      <c r="B60" s="41" t="n"/>
      <c r="C60" s="33" t="n"/>
      <c r="D60" s="33" t="n"/>
      <c r="E60" s="51">
        <f>IF($D60="","",IFERROR(IF(INDEX(tblProductos[Nombre del producto],MATCH($D60,tblProductos[SKU],0))="","",INDEX(tblProductos[Nombre del producto],MATCH($D60,tblProductos[SKU],0))),""))</f>
        <v/>
      </c>
      <c r="F60" s="51">
        <f>IF($D60="","",IFERROR(IF(INDEX(tblProductos[Categoría],MATCH($D60,tblProductos[SKU],0))="","",INDEX(tblProductos[Categoría],MATCH($D60,tblProductos[SKU],0))),""))</f>
        <v/>
      </c>
      <c r="G60" s="34" t="n"/>
      <c r="H60" s="36" t="n"/>
      <c r="I60" s="37">
        <f>IF(OR($G60="",$H60=""),"",$G60*$H60)</f>
        <v/>
      </c>
      <c r="J60" s="36" t="n"/>
      <c r="K60" s="36" t="n"/>
      <c r="L60" s="36" t="n"/>
      <c r="M60" s="37">
        <f>IF(NOT(ISNUMBER($I60)),"",$I60+SUM($J60:$L60))</f>
        <v/>
      </c>
      <c r="N60" s="37">
        <f>IF(OR(NOT(ISNUMBER($M60)),NOT(ISNUMBER($G60)),$G60&lt;=0),"",$M60/$G60)</f>
        <v/>
      </c>
      <c r="O60" s="33" t="n"/>
      <c r="P60" s="33" t="n"/>
      <c r="Q60" s="41" t="n"/>
      <c r="R60" s="36" t="n"/>
      <c r="S60" s="37">
        <f>IF(NOT(ISNUMBER($M60)),"",$M60-IF(ISNUMBER($R60),$R60,0))</f>
        <v/>
      </c>
      <c r="T60" s="33" t="n"/>
      <c r="U60" s="51">
        <f>IF(COUNTA($B60,$C60,$D60,$G60,$H60)=0,"",IF(IF($B60=""," · Falta fecha","")&amp;IF($C60=""," · Falta proveedor","")&amp;IF(AND($D60&lt;&gt;"",COUNTIF(tblProductos[SKU],$D60)=0)," · SKU no existe","")&amp;IF($D60=""," · Falta SKU","")&amp;IF(OR($G60="",NOT(ISNUMBER($G60)),$G60&lt;=0)," · Cantidad inválida","")&amp;IF($H60=""," · Falta costo unitario","")&amp;IF(AND($P60="Pagado",$Q60="")," · Pago sin fecha","")&amp;IF(AND(ISNUMBER($R60),ISNUMBER($M60),$R60&gt;N($M60)+0.01)," · Pagado &gt; total","")&amp;IF(AND(ISNUMBER($R60),$R60&gt;0,$Q60="")," · Monto pagado sin fecha","")="","OK",MID(IF($B60=""," · Falta fecha","")&amp;IF($C60=""," · Falta proveedor","")&amp;IF(AND($D60&lt;&gt;"",COUNTIF(tblProductos[SKU],$D60)=0)," · SKU no existe","")&amp;IF($D60=""," · Falta SKU","")&amp;IF(OR($G60="",NOT(ISNUMBER($G60)),$G60&lt;=0)," · Cantidad inválida","")&amp;IF($H60=""," · Falta costo unitario","")&amp;IF(AND($P60="Pagado",$Q60="")," · Pago sin fecha","")&amp;IF(AND(ISNUMBER($R60),ISNUMBER($M60),$R60&gt;N($M60)+0.01)," · Pagado &gt; total","")&amp;IF(AND(ISNUMBER($R60),$R60&gt;0,$Q60="")," · Monto pagado sin fecha",""),4,900)))</f>
        <v/>
      </c>
    </row>
    <row r="61">
      <c r="A61" s="51">
        <f>IF(COUNTA($B61,$C61,$D61,$G61,$H61)=0,"","C-"&amp;TEXT(ROW()-6,"0000"))</f>
        <v/>
      </c>
      <c r="B61" s="41" t="n"/>
      <c r="C61" s="33" t="n"/>
      <c r="D61" s="33" t="n"/>
      <c r="E61" s="51">
        <f>IF($D61="","",IFERROR(IF(INDEX(tblProductos[Nombre del producto],MATCH($D61,tblProductos[SKU],0))="","",INDEX(tblProductos[Nombre del producto],MATCH($D61,tblProductos[SKU],0))),""))</f>
        <v/>
      </c>
      <c r="F61" s="51">
        <f>IF($D61="","",IFERROR(IF(INDEX(tblProductos[Categoría],MATCH($D61,tblProductos[SKU],0))="","",INDEX(tblProductos[Categoría],MATCH($D61,tblProductos[SKU],0))),""))</f>
        <v/>
      </c>
      <c r="G61" s="34" t="n"/>
      <c r="H61" s="36" t="n"/>
      <c r="I61" s="37">
        <f>IF(OR($G61="",$H61=""),"",$G61*$H61)</f>
        <v/>
      </c>
      <c r="J61" s="36" t="n"/>
      <c r="K61" s="36" t="n"/>
      <c r="L61" s="36" t="n"/>
      <c r="M61" s="37">
        <f>IF(NOT(ISNUMBER($I61)),"",$I61+SUM($J61:$L61))</f>
        <v/>
      </c>
      <c r="N61" s="37">
        <f>IF(OR(NOT(ISNUMBER($M61)),NOT(ISNUMBER($G61)),$G61&lt;=0),"",$M61/$G61)</f>
        <v/>
      </c>
      <c r="O61" s="33" t="n"/>
      <c r="P61" s="33" t="n"/>
      <c r="Q61" s="41" t="n"/>
      <c r="R61" s="36" t="n"/>
      <c r="S61" s="37">
        <f>IF(NOT(ISNUMBER($M61)),"",$M61-IF(ISNUMBER($R61),$R61,0))</f>
        <v/>
      </c>
      <c r="T61" s="33" t="n"/>
      <c r="U61" s="51">
        <f>IF(COUNTA($B61,$C61,$D61,$G61,$H61)=0,"",IF(IF($B61=""," · Falta fecha","")&amp;IF($C61=""," · Falta proveedor","")&amp;IF(AND($D61&lt;&gt;"",COUNTIF(tblProductos[SKU],$D61)=0)," · SKU no existe","")&amp;IF($D61=""," · Falta SKU","")&amp;IF(OR($G61="",NOT(ISNUMBER($G61)),$G61&lt;=0)," · Cantidad inválida","")&amp;IF($H61=""," · Falta costo unitario","")&amp;IF(AND($P61="Pagado",$Q61="")," · Pago sin fecha","")&amp;IF(AND(ISNUMBER($R61),ISNUMBER($M61),$R61&gt;N($M61)+0.01)," · Pagado &gt; total","")&amp;IF(AND(ISNUMBER($R61),$R61&gt;0,$Q61="")," · Monto pagado sin fecha","")="","OK",MID(IF($B61=""," · Falta fecha","")&amp;IF($C61=""," · Falta proveedor","")&amp;IF(AND($D61&lt;&gt;"",COUNTIF(tblProductos[SKU],$D61)=0)," · SKU no existe","")&amp;IF($D61=""," · Falta SKU","")&amp;IF(OR($G61="",NOT(ISNUMBER($G61)),$G61&lt;=0)," · Cantidad inválida","")&amp;IF($H61=""," · Falta costo unitario","")&amp;IF(AND($P61="Pagado",$Q61="")," · Pago sin fecha","")&amp;IF(AND(ISNUMBER($R61),ISNUMBER($M61),$R61&gt;N($M61)+0.01)," · Pagado &gt; total","")&amp;IF(AND(ISNUMBER($R61),$R61&gt;0,$Q61="")," · Monto pagado sin fecha",""),4,900)))</f>
        <v/>
      </c>
    </row>
    <row r="62">
      <c r="A62" s="51">
        <f>IF(COUNTA($B62,$C62,$D62,$G62,$H62)=0,"","C-"&amp;TEXT(ROW()-6,"0000"))</f>
        <v/>
      </c>
      <c r="B62" s="41" t="n"/>
      <c r="C62" s="33" t="n"/>
      <c r="D62" s="33" t="n"/>
      <c r="E62" s="51">
        <f>IF($D62="","",IFERROR(IF(INDEX(tblProductos[Nombre del producto],MATCH($D62,tblProductos[SKU],0))="","",INDEX(tblProductos[Nombre del producto],MATCH($D62,tblProductos[SKU],0))),""))</f>
        <v/>
      </c>
      <c r="F62" s="51">
        <f>IF($D62="","",IFERROR(IF(INDEX(tblProductos[Categoría],MATCH($D62,tblProductos[SKU],0))="","",INDEX(tblProductos[Categoría],MATCH($D62,tblProductos[SKU],0))),""))</f>
        <v/>
      </c>
      <c r="G62" s="34" t="n"/>
      <c r="H62" s="36" t="n"/>
      <c r="I62" s="37">
        <f>IF(OR($G62="",$H62=""),"",$G62*$H62)</f>
        <v/>
      </c>
      <c r="J62" s="36" t="n"/>
      <c r="K62" s="36" t="n"/>
      <c r="L62" s="36" t="n"/>
      <c r="M62" s="37">
        <f>IF(NOT(ISNUMBER($I62)),"",$I62+SUM($J62:$L62))</f>
        <v/>
      </c>
      <c r="N62" s="37">
        <f>IF(OR(NOT(ISNUMBER($M62)),NOT(ISNUMBER($G62)),$G62&lt;=0),"",$M62/$G62)</f>
        <v/>
      </c>
      <c r="O62" s="33" t="n"/>
      <c r="P62" s="33" t="n"/>
      <c r="Q62" s="41" t="n"/>
      <c r="R62" s="36" t="n"/>
      <c r="S62" s="37">
        <f>IF(NOT(ISNUMBER($M62)),"",$M62-IF(ISNUMBER($R62),$R62,0))</f>
        <v/>
      </c>
      <c r="T62" s="33" t="n"/>
      <c r="U62" s="51">
        <f>IF(COUNTA($B62,$C62,$D62,$G62,$H62)=0,"",IF(IF($B62=""," · Falta fecha","")&amp;IF($C62=""," · Falta proveedor","")&amp;IF(AND($D62&lt;&gt;"",COUNTIF(tblProductos[SKU],$D62)=0)," · SKU no existe","")&amp;IF($D62=""," · Falta SKU","")&amp;IF(OR($G62="",NOT(ISNUMBER($G62)),$G62&lt;=0)," · Cantidad inválida","")&amp;IF($H62=""," · Falta costo unitario","")&amp;IF(AND($P62="Pagado",$Q62="")," · Pago sin fecha","")&amp;IF(AND(ISNUMBER($R62),ISNUMBER($M62),$R62&gt;N($M62)+0.01)," · Pagado &gt; total","")&amp;IF(AND(ISNUMBER($R62),$R62&gt;0,$Q62="")," · Monto pagado sin fecha","")="","OK",MID(IF($B62=""," · Falta fecha","")&amp;IF($C62=""," · Falta proveedor","")&amp;IF(AND($D62&lt;&gt;"",COUNTIF(tblProductos[SKU],$D62)=0)," · SKU no existe","")&amp;IF($D62=""," · Falta SKU","")&amp;IF(OR($G62="",NOT(ISNUMBER($G62)),$G62&lt;=0)," · Cantidad inválida","")&amp;IF($H62=""," · Falta costo unitario","")&amp;IF(AND($P62="Pagado",$Q62="")," · Pago sin fecha","")&amp;IF(AND(ISNUMBER($R62),ISNUMBER($M62),$R62&gt;N($M62)+0.01)," · Pagado &gt; total","")&amp;IF(AND(ISNUMBER($R62),$R62&gt;0,$Q62="")," · Monto pagado sin fecha",""),4,900)))</f>
        <v/>
      </c>
    </row>
    <row r="63">
      <c r="A63" s="51">
        <f>IF(COUNTA($B63,$C63,$D63,$G63,$H63)=0,"","C-"&amp;TEXT(ROW()-6,"0000"))</f>
        <v/>
      </c>
      <c r="B63" s="41" t="n"/>
      <c r="C63" s="33" t="n"/>
      <c r="D63" s="33" t="n"/>
      <c r="E63" s="51">
        <f>IF($D63="","",IFERROR(IF(INDEX(tblProductos[Nombre del producto],MATCH($D63,tblProductos[SKU],0))="","",INDEX(tblProductos[Nombre del producto],MATCH($D63,tblProductos[SKU],0))),""))</f>
        <v/>
      </c>
      <c r="F63" s="51">
        <f>IF($D63="","",IFERROR(IF(INDEX(tblProductos[Categoría],MATCH($D63,tblProductos[SKU],0))="","",INDEX(tblProductos[Categoría],MATCH($D63,tblProductos[SKU],0))),""))</f>
        <v/>
      </c>
      <c r="G63" s="34" t="n"/>
      <c r="H63" s="36" t="n"/>
      <c r="I63" s="37">
        <f>IF(OR($G63="",$H63=""),"",$G63*$H63)</f>
        <v/>
      </c>
      <c r="J63" s="36" t="n"/>
      <c r="K63" s="36" t="n"/>
      <c r="L63" s="36" t="n"/>
      <c r="M63" s="37">
        <f>IF(NOT(ISNUMBER($I63)),"",$I63+SUM($J63:$L63))</f>
        <v/>
      </c>
      <c r="N63" s="37">
        <f>IF(OR(NOT(ISNUMBER($M63)),NOT(ISNUMBER($G63)),$G63&lt;=0),"",$M63/$G63)</f>
        <v/>
      </c>
      <c r="O63" s="33" t="n"/>
      <c r="P63" s="33" t="n"/>
      <c r="Q63" s="41" t="n"/>
      <c r="R63" s="36" t="n"/>
      <c r="S63" s="37">
        <f>IF(NOT(ISNUMBER($M63)),"",$M63-IF(ISNUMBER($R63),$R63,0))</f>
        <v/>
      </c>
      <c r="T63" s="33" t="n"/>
      <c r="U63" s="51">
        <f>IF(COUNTA($B63,$C63,$D63,$G63,$H63)=0,"",IF(IF($B63=""," · Falta fecha","")&amp;IF($C63=""," · Falta proveedor","")&amp;IF(AND($D63&lt;&gt;"",COUNTIF(tblProductos[SKU],$D63)=0)," · SKU no existe","")&amp;IF($D63=""," · Falta SKU","")&amp;IF(OR($G63="",NOT(ISNUMBER($G63)),$G63&lt;=0)," · Cantidad inválida","")&amp;IF($H63=""," · Falta costo unitario","")&amp;IF(AND($P63="Pagado",$Q63="")," · Pago sin fecha","")&amp;IF(AND(ISNUMBER($R63),ISNUMBER($M63),$R63&gt;N($M63)+0.01)," · Pagado &gt; total","")&amp;IF(AND(ISNUMBER($R63),$R63&gt;0,$Q63="")," · Monto pagado sin fecha","")="","OK",MID(IF($B63=""," · Falta fecha","")&amp;IF($C63=""," · Falta proveedor","")&amp;IF(AND($D63&lt;&gt;"",COUNTIF(tblProductos[SKU],$D63)=0)," · SKU no existe","")&amp;IF($D63=""," · Falta SKU","")&amp;IF(OR($G63="",NOT(ISNUMBER($G63)),$G63&lt;=0)," · Cantidad inválida","")&amp;IF($H63=""," · Falta costo unitario","")&amp;IF(AND($P63="Pagado",$Q63="")," · Pago sin fecha","")&amp;IF(AND(ISNUMBER($R63),ISNUMBER($M63),$R63&gt;N($M63)+0.01)," · Pagado &gt; total","")&amp;IF(AND(ISNUMBER($R63),$R63&gt;0,$Q63="")," · Monto pagado sin fecha",""),4,900)))</f>
        <v/>
      </c>
    </row>
    <row r="64">
      <c r="A64" s="51">
        <f>IF(COUNTA($B64,$C64,$D64,$G64,$H64)=0,"","C-"&amp;TEXT(ROW()-6,"0000"))</f>
        <v/>
      </c>
      <c r="B64" s="41" t="n"/>
      <c r="C64" s="33" t="n"/>
      <c r="D64" s="33" t="n"/>
      <c r="E64" s="51">
        <f>IF($D64="","",IFERROR(IF(INDEX(tblProductos[Nombre del producto],MATCH($D64,tblProductos[SKU],0))="","",INDEX(tblProductos[Nombre del producto],MATCH($D64,tblProductos[SKU],0))),""))</f>
        <v/>
      </c>
      <c r="F64" s="51">
        <f>IF($D64="","",IFERROR(IF(INDEX(tblProductos[Categoría],MATCH($D64,tblProductos[SKU],0))="","",INDEX(tblProductos[Categoría],MATCH($D64,tblProductos[SKU],0))),""))</f>
        <v/>
      </c>
      <c r="G64" s="34" t="n"/>
      <c r="H64" s="36" t="n"/>
      <c r="I64" s="37">
        <f>IF(OR($G64="",$H64=""),"",$G64*$H64)</f>
        <v/>
      </c>
      <c r="J64" s="36" t="n"/>
      <c r="K64" s="36" t="n"/>
      <c r="L64" s="36" t="n"/>
      <c r="M64" s="37">
        <f>IF(NOT(ISNUMBER($I64)),"",$I64+SUM($J64:$L64))</f>
        <v/>
      </c>
      <c r="N64" s="37">
        <f>IF(OR(NOT(ISNUMBER($M64)),NOT(ISNUMBER($G64)),$G64&lt;=0),"",$M64/$G64)</f>
        <v/>
      </c>
      <c r="O64" s="33" t="n"/>
      <c r="P64" s="33" t="n"/>
      <c r="Q64" s="41" t="n"/>
      <c r="R64" s="36" t="n"/>
      <c r="S64" s="37">
        <f>IF(NOT(ISNUMBER($M64)),"",$M64-IF(ISNUMBER($R64),$R64,0))</f>
        <v/>
      </c>
      <c r="T64" s="33" t="n"/>
      <c r="U64" s="51">
        <f>IF(COUNTA($B64,$C64,$D64,$G64,$H64)=0,"",IF(IF($B64=""," · Falta fecha","")&amp;IF($C64=""," · Falta proveedor","")&amp;IF(AND($D64&lt;&gt;"",COUNTIF(tblProductos[SKU],$D64)=0)," · SKU no existe","")&amp;IF($D64=""," · Falta SKU","")&amp;IF(OR($G64="",NOT(ISNUMBER($G64)),$G64&lt;=0)," · Cantidad inválida","")&amp;IF($H64=""," · Falta costo unitario","")&amp;IF(AND($P64="Pagado",$Q64="")," · Pago sin fecha","")&amp;IF(AND(ISNUMBER($R64),ISNUMBER($M64),$R64&gt;N($M64)+0.01)," · Pagado &gt; total","")&amp;IF(AND(ISNUMBER($R64),$R64&gt;0,$Q64="")," · Monto pagado sin fecha","")="","OK",MID(IF($B64=""," · Falta fecha","")&amp;IF($C64=""," · Falta proveedor","")&amp;IF(AND($D64&lt;&gt;"",COUNTIF(tblProductos[SKU],$D64)=0)," · SKU no existe","")&amp;IF($D64=""," · Falta SKU","")&amp;IF(OR($G64="",NOT(ISNUMBER($G64)),$G64&lt;=0)," · Cantidad inválida","")&amp;IF($H64=""," · Falta costo unitario","")&amp;IF(AND($P64="Pagado",$Q64="")," · Pago sin fecha","")&amp;IF(AND(ISNUMBER($R64),ISNUMBER($M64),$R64&gt;N($M64)+0.01)," · Pagado &gt; total","")&amp;IF(AND(ISNUMBER($R64),$R64&gt;0,$Q64="")," · Monto pagado sin fecha",""),4,900)))</f>
        <v/>
      </c>
    </row>
    <row r="65">
      <c r="A65" s="51">
        <f>IF(COUNTA($B65,$C65,$D65,$G65,$H65)=0,"","C-"&amp;TEXT(ROW()-6,"0000"))</f>
        <v/>
      </c>
      <c r="B65" s="41" t="n"/>
      <c r="C65" s="33" t="n"/>
      <c r="D65" s="33" t="n"/>
      <c r="E65" s="51">
        <f>IF($D65="","",IFERROR(IF(INDEX(tblProductos[Nombre del producto],MATCH($D65,tblProductos[SKU],0))="","",INDEX(tblProductos[Nombre del producto],MATCH($D65,tblProductos[SKU],0))),""))</f>
        <v/>
      </c>
      <c r="F65" s="51">
        <f>IF($D65="","",IFERROR(IF(INDEX(tblProductos[Categoría],MATCH($D65,tblProductos[SKU],0))="","",INDEX(tblProductos[Categoría],MATCH($D65,tblProductos[SKU],0))),""))</f>
        <v/>
      </c>
      <c r="G65" s="34" t="n"/>
      <c r="H65" s="36" t="n"/>
      <c r="I65" s="37">
        <f>IF(OR($G65="",$H65=""),"",$G65*$H65)</f>
        <v/>
      </c>
      <c r="J65" s="36" t="n"/>
      <c r="K65" s="36" t="n"/>
      <c r="L65" s="36" t="n"/>
      <c r="M65" s="37">
        <f>IF(NOT(ISNUMBER($I65)),"",$I65+SUM($J65:$L65))</f>
        <v/>
      </c>
      <c r="N65" s="37">
        <f>IF(OR(NOT(ISNUMBER($M65)),NOT(ISNUMBER($G65)),$G65&lt;=0),"",$M65/$G65)</f>
        <v/>
      </c>
      <c r="O65" s="33" t="n"/>
      <c r="P65" s="33" t="n"/>
      <c r="Q65" s="41" t="n"/>
      <c r="R65" s="36" t="n"/>
      <c r="S65" s="37">
        <f>IF(NOT(ISNUMBER($M65)),"",$M65-IF(ISNUMBER($R65),$R65,0))</f>
        <v/>
      </c>
      <c r="T65" s="33" t="n"/>
      <c r="U65" s="51">
        <f>IF(COUNTA($B65,$C65,$D65,$G65,$H65)=0,"",IF(IF($B65=""," · Falta fecha","")&amp;IF($C65=""," · Falta proveedor","")&amp;IF(AND($D65&lt;&gt;"",COUNTIF(tblProductos[SKU],$D65)=0)," · SKU no existe","")&amp;IF($D65=""," · Falta SKU","")&amp;IF(OR($G65="",NOT(ISNUMBER($G65)),$G65&lt;=0)," · Cantidad inválida","")&amp;IF($H65=""," · Falta costo unitario","")&amp;IF(AND($P65="Pagado",$Q65="")," · Pago sin fecha","")&amp;IF(AND(ISNUMBER($R65),ISNUMBER($M65),$R65&gt;N($M65)+0.01)," · Pagado &gt; total","")&amp;IF(AND(ISNUMBER($R65),$R65&gt;0,$Q65="")," · Monto pagado sin fecha","")="","OK",MID(IF($B65=""," · Falta fecha","")&amp;IF($C65=""," · Falta proveedor","")&amp;IF(AND($D65&lt;&gt;"",COUNTIF(tblProductos[SKU],$D65)=0)," · SKU no existe","")&amp;IF($D65=""," · Falta SKU","")&amp;IF(OR($G65="",NOT(ISNUMBER($G65)),$G65&lt;=0)," · Cantidad inválida","")&amp;IF($H65=""," · Falta costo unitario","")&amp;IF(AND($P65="Pagado",$Q65="")," · Pago sin fecha","")&amp;IF(AND(ISNUMBER($R65),ISNUMBER($M65),$R65&gt;N($M65)+0.01)," · Pagado &gt; total","")&amp;IF(AND(ISNUMBER($R65),$R65&gt;0,$Q65="")," · Monto pagado sin fecha",""),4,900)))</f>
        <v/>
      </c>
    </row>
    <row r="66">
      <c r="A66" s="51">
        <f>IF(COUNTA($B66,$C66,$D66,$G66,$H66)=0,"","C-"&amp;TEXT(ROW()-6,"0000"))</f>
        <v/>
      </c>
      <c r="B66" s="41" t="n"/>
      <c r="C66" s="33" t="n"/>
      <c r="D66" s="33" t="n"/>
      <c r="E66" s="51">
        <f>IF($D66="","",IFERROR(IF(INDEX(tblProductos[Nombre del producto],MATCH($D66,tblProductos[SKU],0))="","",INDEX(tblProductos[Nombre del producto],MATCH($D66,tblProductos[SKU],0))),""))</f>
        <v/>
      </c>
      <c r="F66" s="51">
        <f>IF($D66="","",IFERROR(IF(INDEX(tblProductos[Categoría],MATCH($D66,tblProductos[SKU],0))="","",INDEX(tblProductos[Categoría],MATCH($D66,tblProductos[SKU],0))),""))</f>
        <v/>
      </c>
      <c r="G66" s="34" t="n"/>
      <c r="H66" s="36" t="n"/>
      <c r="I66" s="37">
        <f>IF(OR($G66="",$H66=""),"",$G66*$H66)</f>
        <v/>
      </c>
      <c r="J66" s="36" t="n"/>
      <c r="K66" s="36" t="n"/>
      <c r="L66" s="36" t="n"/>
      <c r="M66" s="37">
        <f>IF(NOT(ISNUMBER($I66)),"",$I66+SUM($J66:$L66))</f>
        <v/>
      </c>
      <c r="N66" s="37">
        <f>IF(OR(NOT(ISNUMBER($M66)),NOT(ISNUMBER($G66)),$G66&lt;=0),"",$M66/$G66)</f>
        <v/>
      </c>
      <c r="O66" s="33" t="n"/>
      <c r="P66" s="33" t="n"/>
      <c r="Q66" s="41" t="n"/>
      <c r="R66" s="36" t="n"/>
      <c r="S66" s="37">
        <f>IF(NOT(ISNUMBER($M66)),"",$M66-IF(ISNUMBER($R66),$R66,0))</f>
        <v/>
      </c>
      <c r="T66" s="33" t="n"/>
      <c r="U66" s="51">
        <f>IF(COUNTA($B66,$C66,$D66,$G66,$H66)=0,"",IF(IF($B66=""," · Falta fecha","")&amp;IF($C66=""," · Falta proveedor","")&amp;IF(AND($D66&lt;&gt;"",COUNTIF(tblProductos[SKU],$D66)=0)," · SKU no existe","")&amp;IF($D66=""," · Falta SKU","")&amp;IF(OR($G66="",NOT(ISNUMBER($G66)),$G66&lt;=0)," · Cantidad inválida","")&amp;IF($H66=""," · Falta costo unitario","")&amp;IF(AND($P66="Pagado",$Q66="")," · Pago sin fecha","")&amp;IF(AND(ISNUMBER($R66),ISNUMBER($M66),$R66&gt;N($M66)+0.01)," · Pagado &gt; total","")&amp;IF(AND(ISNUMBER($R66),$R66&gt;0,$Q66="")," · Monto pagado sin fecha","")="","OK",MID(IF($B66=""," · Falta fecha","")&amp;IF($C66=""," · Falta proveedor","")&amp;IF(AND($D66&lt;&gt;"",COUNTIF(tblProductos[SKU],$D66)=0)," · SKU no existe","")&amp;IF($D66=""," · Falta SKU","")&amp;IF(OR($G66="",NOT(ISNUMBER($G66)),$G66&lt;=0)," · Cantidad inválida","")&amp;IF($H66=""," · Falta costo unitario","")&amp;IF(AND($P66="Pagado",$Q66="")," · Pago sin fecha","")&amp;IF(AND(ISNUMBER($R66),ISNUMBER($M66),$R66&gt;N($M66)+0.01)," · Pagado &gt; total","")&amp;IF(AND(ISNUMBER($R66),$R66&gt;0,$Q66="")," · Monto pagado sin fecha",""),4,900)))</f>
        <v/>
      </c>
    </row>
    <row r="67">
      <c r="A67" s="51">
        <f>IF(COUNTA($B67,$C67,$D67,$G67,$H67)=0,"","C-"&amp;TEXT(ROW()-6,"0000"))</f>
        <v/>
      </c>
      <c r="B67" s="41" t="n"/>
      <c r="C67" s="33" t="n"/>
      <c r="D67" s="33" t="n"/>
      <c r="E67" s="51">
        <f>IF($D67="","",IFERROR(IF(INDEX(tblProductos[Nombre del producto],MATCH($D67,tblProductos[SKU],0))="","",INDEX(tblProductos[Nombre del producto],MATCH($D67,tblProductos[SKU],0))),""))</f>
        <v/>
      </c>
      <c r="F67" s="51">
        <f>IF($D67="","",IFERROR(IF(INDEX(tblProductos[Categoría],MATCH($D67,tblProductos[SKU],0))="","",INDEX(tblProductos[Categoría],MATCH($D67,tblProductos[SKU],0))),""))</f>
        <v/>
      </c>
      <c r="G67" s="34" t="n"/>
      <c r="H67" s="36" t="n"/>
      <c r="I67" s="37">
        <f>IF(OR($G67="",$H67=""),"",$G67*$H67)</f>
        <v/>
      </c>
      <c r="J67" s="36" t="n"/>
      <c r="K67" s="36" t="n"/>
      <c r="L67" s="36" t="n"/>
      <c r="M67" s="37">
        <f>IF(NOT(ISNUMBER($I67)),"",$I67+SUM($J67:$L67))</f>
        <v/>
      </c>
      <c r="N67" s="37">
        <f>IF(OR(NOT(ISNUMBER($M67)),NOT(ISNUMBER($G67)),$G67&lt;=0),"",$M67/$G67)</f>
        <v/>
      </c>
      <c r="O67" s="33" t="n"/>
      <c r="P67" s="33" t="n"/>
      <c r="Q67" s="41" t="n"/>
      <c r="R67" s="36" t="n"/>
      <c r="S67" s="37">
        <f>IF(NOT(ISNUMBER($M67)),"",$M67-IF(ISNUMBER($R67),$R67,0))</f>
        <v/>
      </c>
      <c r="T67" s="33" t="n"/>
      <c r="U67" s="51">
        <f>IF(COUNTA($B67,$C67,$D67,$G67,$H67)=0,"",IF(IF($B67=""," · Falta fecha","")&amp;IF($C67=""," · Falta proveedor","")&amp;IF(AND($D67&lt;&gt;"",COUNTIF(tblProductos[SKU],$D67)=0)," · SKU no existe","")&amp;IF($D67=""," · Falta SKU","")&amp;IF(OR($G67="",NOT(ISNUMBER($G67)),$G67&lt;=0)," · Cantidad inválida","")&amp;IF($H67=""," · Falta costo unitario","")&amp;IF(AND($P67="Pagado",$Q67="")," · Pago sin fecha","")&amp;IF(AND(ISNUMBER($R67),ISNUMBER($M67),$R67&gt;N($M67)+0.01)," · Pagado &gt; total","")&amp;IF(AND(ISNUMBER($R67),$R67&gt;0,$Q67="")," · Monto pagado sin fecha","")="","OK",MID(IF($B67=""," · Falta fecha","")&amp;IF($C67=""," · Falta proveedor","")&amp;IF(AND($D67&lt;&gt;"",COUNTIF(tblProductos[SKU],$D67)=0)," · SKU no existe","")&amp;IF($D67=""," · Falta SKU","")&amp;IF(OR($G67="",NOT(ISNUMBER($G67)),$G67&lt;=0)," · Cantidad inválida","")&amp;IF($H67=""," · Falta costo unitario","")&amp;IF(AND($P67="Pagado",$Q67="")," · Pago sin fecha","")&amp;IF(AND(ISNUMBER($R67),ISNUMBER($M67),$R67&gt;N($M67)+0.01)," · Pagado &gt; total","")&amp;IF(AND(ISNUMBER($R67),$R67&gt;0,$Q67="")," · Monto pagado sin fecha",""),4,900)))</f>
        <v/>
      </c>
    </row>
    <row r="68">
      <c r="A68" s="51">
        <f>IF(COUNTA($B68,$C68,$D68,$G68,$H68)=0,"","C-"&amp;TEXT(ROW()-6,"0000"))</f>
        <v/>
      </c>
      <c r="B68" s="41" t="n"/>
      <c r="C68" s="33" t="n"/>
      <c r="D68" s="33" t="n"/>
      <c r="E68" s="51">
        <f>IF($D68="","",IFERROR(IF(INDEX(tblProductos[Nombre del producto],MATCH($D68,tblProductos[SKU],0))="","",INDEX(tblProductos[Nombre del producto],MATCH($D68,tblProductos[SKU],0))),""))</f>
        <v/>
      </c>
      <c r="F68" s="51">
        <f>IF($D68="","",IFERROR(IF(INDEX(tblProductos[Categoría],MATCH($D68,tblProductos[SKU],0))="","",INDEX(tblProductos[Categoría],MATCH($D68,tblProductos[SKU],0))),""))</f>
        <v/>
      </c>
      <c r="G68" s="34" t="n"/>
      <c r="H68" s="36" t="n"/>
      <c r="I68" s="37">
        <f>IF(OR($G68="",$H68=""),"",$G68*$H68)</f>
        <v/>
      </c>
      <c r="J68" s="36" t="n"/>
      <c r="K68" s="36" t="n"/>
      <c r="L68" s="36" t="n"/>
      <c r="M68" s="37">
        <f>IF(NOT(ISNUMBER($I68)),"",$I68+SUM($J68:$L68))</f>
        <v/>
      </c>
      <c r="N68" s="37">
        <f>IF(OR(NOT(ISNUMBER($M68)),NOT(ISNUMBER($G68)),$G68&lt;=0),"",$M68/$G68)</f>
        <v/>
      </c>
      <c r="O68" s="33" t="n"/>
      <c r="P68" s="33" t="n"/>
      <c r="Q68" s="41" t="n"/>
      <c r="R68" s="36" t="n"/>
      <c r="S68" s="37">
        <f>IF(NOT(ISNUMBER($M68)),"",$M68-IF(ISNUMBER($R68),$R68,0))</f>
        <v/>
      </c>
      <c r="T68" s="33" t="n"/>
      <c r="U68" s="51">
        <f>IF(COUNTA($B68,$C68,$D68,$G68,$H68)=0,"",IF(IF($B68=""," · Falta fecha","")&amp;IF($C68=""," · Falta proveedor","")&amp;IF(AND($D68&lt;&gt;"",COUNTIF(tblProductos[SKU],$D68)=0)," · SKU no existe","")&amp;IF($D68=""," · Falta SKU","")&amp;IF(OR($G68="",NOT(ISNUMBER($G68)),$G68&lt;=0)," · Cantidad inválida","")&amp;IF($H68=""," · Falta costo unitario","")&amp;IF(AND($P68="Pagado",$Q68="")," · Pago sin fecha","")&amp;IF(AND(ISNUMBER($R68),ISNUMBER($M68),$R68&gt;N($M68)+0.01)," · Pagado &gt; total","")&amp;IF(AND(ISNUMBER($R68),$R68&gt;0,$Q68="")," · Monto pagado sin fecha","")="","OK",MID(IF($B68=""," · Falta fecha","")&amp;IF($C68=""," · Falta proveedor","")&amp;IF(AND($D68&lt;&gt;"",COUNTIF(tblProductos[SKU],$D68)=0)," · SKU no existe","")&amp;IF($D68=""," · Falta SKU","")&amp;IF(OR($G68="",NOT(ISNUMBER($G68)),$G68&lt;=0)," · Cantidad inválida","")&amp;IF($H68=""," · Falta costo unitario","")&amp;IF(AND($P68="Pagado",$Q68="")," · Pago sin fecha","")&amp;IF(AND(ISNUMBER($R68),ISNUMBER($M68),$R68&gt;N($M68)+0.01)," · Pagado &gt; total","")&amp;IF(AND(ISNUMBER($R68),$R68&gt;0,$Q68="")," · Monto pagado sin fecha",""),4,900)))</f>
        <v/>
      </c>
    </row>
    <row r="69">
      <c r="A69" s="51">
        <f>IF(COUNTA($B69,$C69,$D69,$G69,$H69)=0,"","C-"&amp;TEXT(ROW()-6,"0000"))</f>
        <v/>
      </c>
      <c r="B69" s="41" t="n"/>
      <c r="C69" s="33" t="n"/>
      <c r="D69" s="33" t="n"/>
      <c r="E69" s="51">
        <f>IF($D69="","",IFERROR(IF(INDEX(tblProductos[Nombre del producto],MATCH($D69,tblProductos[SKU],0))="","",INDEX(tblProductos[Nombre del producto],MATCH($D69,tblProductos[SKU],0))),""))</f>
        <v/>
      </c>
      <c r="F69" s="51">
        <f>IF($D69="","",IFERROR(IF(INDEX(tblProductos[Categoría],MATCH($D69,tblProductos[SKU],0))="","",INDEX(tblProductos[Categoría],MATCH($D69,tblProductos[SKU],0))),""))</f>
        <v/>
      </c>
      <c r="G69" s="34" t="n"/>
      <c r="H69" s="36" t="n"/>
      <c r="I69" s="37">
        <f>IF(OR($G69="",$H69=""),"",$G69*$H69)</f>
        <v/>
      </c>
      <c r="J69" s="36" t="n"/>
      <c r="K69" s="36" t="n"/>
      <c r="L69" s="36" t="n"/>
      <c r="M69" s="37">
        <f>IF(NOT(ISNUMBER($I69)),"",$I69+SUM($J69:$L69))</f>
        <v/>
      </c>
      <c r="N69" s="37">
        <f>IF(OR(NOT(ISNUMBER($M69)),NOT(ISNUMBER($G69)),$G69&lt;=0),"",$M69/$G69)</f>
        <v/>
      </c>
      <c r="O69" s="33" t="n"/>
      <c r="P69" s="33" t="n"/>
      <c r="Q69" s="41" t="n"/>
      <c r="R69" s="36" t="n"/>
      <c r="S69" s="37">
        <f>IF(NOT(ISNUMBER($M69)),"",$M69-IF(ISNUMBER($R69),$R69,0))</f>
        <v/>
      </c>
      <c r="T69" s="33" t="n"/>
      <c r="U69" s="51">
        <f>IF(COUNTA($B69,$C69,$D69,$G69,$H69)=0,"",IF(IF($B69=""," · Falta fecha","")&amp;IF($C69=""," · Falta proveedor","")&amp;IF(AND($D69&lt;&gt;"",COUNTIF(tblProductos[SKU],$D69)=0)," · SKU no existe","")&amp;IF($D69=""," · Falta SKU","")&amp;IF(OR($G69="",NOT(ISNUMBER($G69)),$G69&lt;=0)," · Cantidad inválida","")&amp;IF($H69=""," · Falta costo unitario","")&amp;IF(AND($P69="Pagado",$Q69="")," · Pago sin fecha","")&amp;IF(AND(ISNUMBER($R69),ISNUMBER($M69),$R69&gt;N($M69)+0.01)," · Pagado &gt; total","")&amp;IF(AND(ISNUMBER($R69),$R69&gt;0,$Q69="")," · Monto pagado sin fecha","")="","OK",MID(IF($B69=""," · Falta fecha","")&amp;IF($C69=""," · Falta proveedor","")&amp;IF(AND($D69&lt;&gt;"",COUNTIF(tblProductos[SKU],$D69)=0)," · SKU no existe","")&amp;IF($D69=""," · Falta SKU","")&amp;IF(OR($G69="",NOT(ISNUMBER($G69)),$G69&lt;=0)," · Cantidad inválida","")&amp;IF($H69=""," · Falta costo unitario","")&amp;IF(AND($P69="Pagado",$Q69="")," · Pago sin fecha","")&amp;IF(AND(ISNUMBER($R69),ISNUMBER($M69),$R69&gt;N($M69)+0.01)," · Pagado &gt; total","")&amp;IF(AND(ISNUMBER($R69),$R69&gt;0,$Q69="")," · Monto pagado sin fecha",""),4,900)))</f>
        <v/>
      </c>
    </row>
    <row r="70">
      <c r="A70" s="51">
        <f>IF(COUNTA($B70,$C70,$D70,$G70,$H70)=0,"","C-"&amp;TEXT(ROW()-6,"0000"))</f>
        <v/>
      </c>
      <c r="B70" s="41" t="n"/>
      <c r="C70" s="33" t="n"/>
      <c r="D70" s="33" t="n"/>
      <c r="E70" s="51">
        <f>IF($D70="","",IFERROR(IF(INDEX(tblProductos[Nombre del producto],MATCH($D70,tblProductos[SKU],0))="","",INDEX(tblProductos[Nombre del producto],MATCH($D70,tblProductos[SKU],0))),""))</f>
        <v/>
      </c>
      <c r="F70" s="51">
        <f>IF($D70="","",IFERROR(IF(INDEX(tblProductos[Categoría],MATCH($D70,tblProductos[SKU],0))="","",INDEX(tblProductos[Categoría],MATCH($D70,tblProductos[SKU],0))),""))</f>
        <v/>
      </c>
      <c r="G70" s="34" t="n"/>
      <c r="H70" s="36" t="n"/>
      <c r="I70" s="37">
        <f>IF(OR($G70="",$H70=""),"",$G70*$H70)</f>
        <v/>
      </c>
      <c r="J70" s="36" t="n"/>
      <c r="K70" s="36" t="n"/>
      <c r="L70" s="36" t="n"/>
      <c r="M70" s="37">
        <f>IF(NOT(ISNUMBER($I70)),"",$I70+SUM($J70:$L70))</f>
        <v/>
      </c>
      <c r="N70" s="37">
        <f>IF(OR(NOT(ISNUMBER($M70)),NOT(ISNUMBER($G70)),$G70&lt;=0),"",$M70/$G70)</f>
        <v/>
      </c>
      <c r="O70" s="33" t="n"/>
      <c r="P70" s="33" t="n"/>
      <c r="Q70" s="41" t="n"/>
      <c r="R70" s="36" t="n"/>
      <c r="S70" s="37">
        <f>IF(NOT(ISNUMBER($M70)),"",$M70-IF(ISNUMBER($R70),$R70,0))</f>
        <v/>
      </c>
      <c r="T70" s="33" t="n"/>
      <c r="U70" s="51">
        <f>IF(COUNTA($B70,$C70,$D70,$G70,$H70)=0,"",IF(IF($B70=""," · Falta fecha","")&amp;IF($C70=""," · Falta proveedor","")&amp;IF(AND($D70&lt;&gt;"",COUNTIF(tblProductos[SKU],$D70)=0)," · SKU no existe","")&amp;IF($D70=""," · Falta SKU","")&amp;IF(OR($G70="",NOT(ISNUMBER($G70)),$G70&lt;=0)," · Cantidad inválida","")&amp;IF($H70=""," · Falta costo unitario","")&amp;IF(AND($P70="Pagado",$Q70="")," · Pago sin fecha","")&amp;IF(AND(ISNUMBER($R70),ISNUMBER($M70),$R70&gt;N($M70)+0.01)," · Pagado &gt; total","")&amp;IF(AND(ISNUMBER($R70),$R70&gt;0,$Q70="")," · Monto pagado sin fecha","")="","OK",MID(IF($B70=""," · Falta fecha","")&amp;IF($C70=""," · Falta proveedor","")&amp;IF(AND($D70&lt;&gt;"",COUNTIF(tblProductos[SKU],$D70)=0)," · SKU no existe","")&amp;IF($D70=""," · Falta SKU","")&amp;IF(OR($G70="",NOT(ISNUMBER($G70)),$G70&lt;=0)," · Cantidad inválida","")&amp;IF($H70=""," · Falta costo unitario","")&amp;IF(AND($P70="Pagado",$Q70="")," · Pago sin fecha","")&amp;IF(AND(ISNUMBER($R70),ISNUMBER($M70),$R70&gt;N($M70)+0.01)," · Pagado &gt; total","")&amp;IF(AND(ISNUMBER($R70),$R70&gt;0,$Q70="")," · Monto pagado sin fecha",""),4,900)))</f>
        <v/>
      </c>
    </row>
    <row r="71">
      <c r="A71" s="51">
        <f>IF(COUNTA($B71,$C71,$D71,$G71,$H71)=0,"","C-"&amp;TEXT(ROW()-6,"0000"))</f>
        <v/>
      </c>
      <c r="B71" s="41" t="n"/>
      <c r="C71" s="33" t="n"/>
      <c r="D71" s="33" t="n"/>
      <c r="E71" s="51">
        <f>IF($D71="","",IFERROR(IF(INDEX(tblProductos[Nombre del producto],MATCH($D71,tblProductos[SKU],0))="","",INDEX(tblProductos[Nombre del producto],MATCH($D71,tblProductos[SKU],0))),""))</f>
        <v/>
      </c>
      <c r="F71" s="51">
        <f>IF($D71="","",IFERROR(IF(INDEX(tblProductos[Categoría],MATCH($D71,tblProductos[SKU],0))="","",INDEX(tblProductos[Categoría],MATCH($D71,tblProductos[SKU],0))),""))</f>
        <v/>
      </c>
      <c r="G71" s="34" t="n"/>
      <c r="H71" s="36" t="n"/>
      <c r="I71" s="37">
        <f>IF(OR($G71="",$H71=""),"",$G71*$H71)</f>
        <v/>
      </c>
      <c r="J71" s="36" t="n"/>
      <c r="K71" s="36" t="n"/>
      <c r="L71" s="36" t="n"/>
      <c r="M71" s="37">
        <f>IF(NOT(ISNUMBER($I71)),"",$I71+SUM($J71:$L71))</f>
        <v/>
      </c>
      <c r="N71" s="37">
        <f>IF(OR(NOT(ISNUMBER($M71)),NOT(ISNUMBER($G71)),$G71&lt;=0),"",$M71/$G71)</f>
        <v/>
      </c>
      <c r="O71" s="33" t="n"/>
      <c r="P71" s="33" t="n"/>
      <c r="Q71" s="41" t="n"/>
      <c r="R71" s="36" t="n"/>
      <c r="S71" s="37">
        <f>IF(NOT(ISNUMBER($M71)),"",$M71-IF(ISNUMBER($R71),$R71,0))</f>
        <v/>
      </c>
      <c r="T71" s="33" t="n"/>
      <c r="U71" s="51">
        <f>IF(COUNTA($B71,$C71,$D71,$G71,$H71)=0,"",IF(IF($B71=""," · Falta fecha","")&amp;IF($C71=""," · Falta proveedor","")&amp;IF(AND($D71&lt;&gt;"",COUNTIF(tblProductos[SKU],$D71)=0)," · SKU no existe","")&amp;IF($D71=""," · Falta SKU","")&amp;IF(OR($G71="",NOT(ISNUMBER($G71)),$G71&lt;=0)," · Cantidad inválida","")&amp;IF($H71=""," · Falta costo unitario","")&amp;IF(AND($P71="Pagado",$Q71="")," · Pago sin fecha","")&amp;IF(AND(ISNUMBER($R71),ISNUMBER($M71),$R71&gt;N($M71)+0.01)," · Pagado &gt; total","")&amp;IF(AND(ISNUMBER($R71),$R71&gt;0,$Q71="")," · Monto pagado sin fecha","")="","OK",MID(IF($B71=""," · Falta fecha","")&amp;IF($C71=""," · Falta proveedor","")&amp;IF(AND($D71&lt;&gt;"",COUNTIF(tblProductos[SKU],$D71)=0)," · SKU no existe","")&amp;IF($D71=""," · Falta SKU","")&amp;IF(OR($G71="",NOT(ISNUMBER($G71)),$G71&lt;=0)," · Cantidad inválida","")&amp;IF($H71=""," · Falta costo unitario","")&amp;IF(AND($P71="Pagado",$Q71="")," · Pago sin fecha","")&amp;IF(AND(ISNUMBER($R71),ISNUMBER($M71),$R71&gt;N($M71)+0.01)," · Pagado &gt; total","")&amp;IF(AND(ISNUMBER($R71),$R71&gt;0,$Q71="")," · Monto pagado sin fecha",""),4,900)))</f>
        <v/>
      </c>
    </row>
    <row r="72">
      <c r="A72" s="51">
        <f>IF(COUNTA($B72,$C72,$D72,$G72,$H72)=0,"","C-"&amp;TEXT(ROW()-6,"0000"))</f>
        <v/>
      </c>
      <c r="B72" s="41" t="n"/>
      <c r="C72" s="33" t="n"/>
      <c r="D72" s="33" t="n"/>
      <c r="E72" s="51">
        <f>IF($D72="","",IFERROR(IF(INDEX(tblProductos[Nombre del producto],MATCH($D72,tblProductos[SKU],0))="","",INDEX(tblProductos[Nombre del producto],MATCH($D72,tblProductos[SKU],0))),""))</f>
        <v/>
      </c>
      <c r="F72" s="51">
        <f>IF($D72="","",IFERROR(IF(INDEX(tblProductos[Categoría],MATCH($D72,tblProductos[SKU],0))="","",INDEX(tblProductos[Categoría],MATCH($D72,tblProductos[SKU],0))),""))</f>
        <v/>
      </c>
      <c r="G72" s="34" t="n"/>
      <c r="H72" s="36" t="n"/>
      <c r="I72" s="37">
        <f>IF(OR($G72="",$H72=""),"",$G72*$H72)</f>
        <v/>
      </c>
      <c r="J72" s="36" t="n"/>
      <c r="K72" s="36" t="n"/>
      <c r="L72" s="36" t="n"/>
      <c r="M72" s="37">
        <f>IF(NOT(ISNUMBER($I72)),"",$I72+SUM($J72:$L72))</f>
        <v/>
      </c>
      <c r="N72" s="37">
        <f>IF(OR(NOT(ISNUMBER($M72)),NOT(ISNUMBER($G72)),$G72&lt;=0),"",$M72/$G72)</f>
        <v/>
      </c>
      <c r="O72" s="33" t="n"/>
      <c r="P72" s="33" t="n"/>
      <c r="Q72" s="41" t="n"/>
      <c r="R72" s="36" t="n"/>
      <c r="S72" s="37">
        <f>IF(NOT(ISNUMBER($M72)),"",$M72-IF(ISNUMBER($R72),$R72,0))</f>
        <v/>
      </c>
      <c r="T72" s="33" t="n"/>
      <c r="U72" s="51">
        <f>IF(COUNTA($B72,$C72,$D72,$G72,$H72)=0,"",IF(IF($B72=""," · Falta fecha","")&amp;IF($C72=""," · Falta proveedor","")&amp;IF(AND($D72&lt;&gt;"",COUNTIF(tblProductos[SKU],$D72)=0)," · SKU no existe","")&amp;IF($D72=""," · Falta SKU","")&amp;IF(OR($G72="",NOT(ISNUMBER($G72)),$G72&lt;=0)," · Cantidad inválida","")&amp;IF($H72=""," · Falta costo unitario","")&amp;IF(AND($P72="Pagado",$Q72="")," · Pago sin fecha","")&amp;IF(AND(ISNUMBER($R72),ISNUMBER($M72),$R72&gt;N($M72)+0.01)," · Pagado &gt; total","")&amp;IF(AND(ISNUMBER($R72),$R72&gt;0,$Q72="")," · Monto pagado sin fecha","")="","OK",MID(IF($B72=""," · Falta fecha","")&amp;IF($C72=""," · Falta proveedor","")&amp;IF(AND($D72&lt;&gt;"",COUNTIF(tblProductos[SKU],$D72)=0)," · SKU no existe","")&amp;IF($D72=""," · Falta SKU","")&amp;IF(OR($G72="",NOT(ISNUMBER($G72)),$G72&lt;=0)," · Cantidad inválida","")&amp;IF($H72=""," · Falta costo unitario","")&amp;IF(AND($P72="Pagado",$Q72="")," · Pago sin fecha","")&amp;IF(AND(ISNUMBER($R72),ISNUMBER($M72),$R72&gt;N($M72)+0.01)," · Pagado &gt; total","")&amp;IF(AND(ISNUMBER($R72),$R72&gt;0,$Q72="")," · Monto pagado sin fecha",""),4,900)))</f>
        <v/>
      </c>
    </row>
    <row r="73">
      <c r="A73" s="51">
        <f>IF(COUNTA($B73,$C73,$D73,$G73,$H73)=0,"","C-"&amp;TEXT(ROW()-6,"0000"))</f>
        <v/>
      </c>
      <c r="B73" s="41" t="n"/>
      <c r="C73" s="33" t="n"/>
      <c r="D73" s="33" t="n"/>
      <c r="E73" s="51">
        <f>IF($D73="","",IFERROR(IF(INDEX(tblProductos[Nombre del producto],MATCH($D73,tblProductos[SKU],0))="","",INDEX(tblProductos[Nombre del producto],MATCH($D73,tblProductos[SKU],0))),""))</f>
        <v/>
      </c>
      <c r="F73" s="51">
        <f>IF($D73="","",IFERROR(IF(INDEX(tblProductos[Categoría],MATCH($D73,tblProductos[SKU],0))="","",INDEX(tblProductos[Categoría],MATCH($D73,tblProductos[SKU],0))),""))</f>
        <v/>
      </c>
      <c r="G73" s="34" t="n"/>
      <c r="H73" s="36" t="n"/>
      <c r="I73" s="37">
        <f>IF(OR($G73="",$H73=""),"",$G73*$H73)</f>
        <v/>
      </c>
      <c r="J73" s="36" t="n"/>
      <c r="K73" s="36" t="n"/>
      <c r="L73" s="36" t="n"/>
      <c r="M73" s="37">
        <f>IF(NOT(ISNUMBER($I73)),"",$I73+SUM($J73:$L73))</f>
        <v/>
      </c>
      <c r="N73" s="37">
        <f>IF(OR(NOT(ISNUMBER($M73)),NOT(ISNUMBER($G73)),$G73&lt;=0),"",$M73/$G73)</f>
        <v/>
      </c>
      <c r="O73" s="33" t="n"/>
      <c r="P73" s="33" t="n"/>
      <c r="Q73" s="41" t="n"/>
      <c r="R73" s="36" t="n"/>
      <c r="S73" s="37">
        <f>IF(NOT(ISNUMBER($M73)),"",$M73-IF(ISNUMBER($R73),$R73,0))</f>
        <v/>
      </c>
      <c r="T73" s="33" t="n"/>
      <c r="U73" s="51">
        <f>IF(COUNTA($B73,$C73,$D73,$G73,$H73)=0,"",IF(IF($B73=""," · Falta fecha","")&amp;IF($C73=""," · Falta proveedor","")&amp;IF(AND($D73&lt;&gt;"",COUNTIF(tblProductos[SKU],$D73)=0)," · SKU no existe","")&amp;IF($D73=""," · Falta SKU","")&amp;IF(OR($G73="",NOT(ISNUMBER($G73)),$G73&lt;=0)," · Cantidad inválida","")&amp;IF($H73=""," · Falta costo unitario","")&amp;IF(AND($P73="Pagado",$Q73="")," · Pago sin fecha","")&amp;IF(AND(ISNUMBER($R73),ISNUMBER($M73),$R73&gt;N($M73)+0.01)," · Pagado &gt; total","")&amp;IF(AND(ISNUMBER($R73),$R73&gt;0,$Q73="")," · Monto pagado sin fecha","")="","OK",MID(IF($B73=""," · Falta fecha","")&amp;IF($C73=""," · Falta proveedor","")&amp;IF(AND($D73&lt;&gt;"",COUNTIF(tblProductos[SKU],$D73)=0)," · SKU no existe","")&amp;IF($D73=""," · Falta SKU","")&amp;IF(OR($G73="",NOT(ISNUMBER($G73)),$G73&lt;=0)," · Cantidad inválida","")&amp;IF($H73=""," · Falta costo unitario","")&amp;IF(AND($P73="Pagado",$Q73="")," · Pago sin fecha","")&amp;IF(AND(ISNUMBER($R73),ISNUMBER($M73),$R73&gt;N($M73)+0.01)," · Pagado &gt; total","")&amp;IF(AND(ISNUMBER($R73),$R73&gt;0,$Q73="")," · Monto pagado sin fecha",""),4,900)))</f>
        <v/>
      </c>
    </row>
    <row r="74">
      <c r="A74" s="51">
        <f>IF(COUNTA($B74,$C74,$D74,$G74,$H74)=0,"","C-"&amp;TEXT(ROW()-6,"0000"))</f>
        <v/>
      </c>
      <c r="B74" s="41" t="n"/>
      <c r="C74" s="33" t="n"/>
      <c r="D74" s="33" t="n"/>
      <c r="E74" s="51">
        <f>IF($D74="","",IFERROR(IF(INDEX(tblProductos[Nombre del producto],MATCH($D74,tblProductos[SKU],0))="","",INDEX(tblProductos[Nombre del producto],MATCH($D74,tblProductos[SKU],0))),""))</f>
        <v/>
      </c>
      <c r="F74" s="51">
        <f>IF($D74="","",IFERROR(IF(INDEX(tblProductos[Categoría],MATCH($D74,tblProductos[SKU],0))="","",INDEX(tblProductos[Categoría],MATCH($D74,tblProductos[SKU],0))),""))</f>
        <v/>
      </c>
      <c r="G74" s="34" t="n"/>
      <c r="H74" s="36" t="n"/>
      <c r="I74" s="37">
        <f>IF(OR($G74="",$H74=""),"",$G74*$H74)</f>
        <v/>
      </c>
      <c r="J74" s="36" t="n"/>
      <c r="K74" s="36" t="n"/>
      <c r="L74" s="36" t="n"/>
      <c r="M74" s="37">
        <f>IF(NOT(ISNUMBER($I74)),"",$I74+SUM($J74:$L74))</f>
        <v/>
      </c>
      <c r="N74" s="37">
        <f>IF(OR(NOT(ISNUMBER($M74)),NOT(ISNUMBER($G74)),$G74&lt;=0),"",$M74/$G74)</f>
        <v/>
      </c>
      <c r="O74" s="33" t="n"/>
      <c r="P74" s="33" t="n"/>
      <c r="Q74" s="41" t="n"/>
      <c r="R74" s="36" t="n"/>
      <c r="S74" s="37">
        <f>IF(NOT(ISNUMBER($M74)),"",$M74-IF(ISNUMBER($R74),$R74,0))</f>
        <v/>
      </c>
      <c r="T74" s="33" t="n"/>
      <c r="U74" s="51">
        <f>IF(COUNTA($B74,$C74,$D74,$G74,$H74)=0,"",IF(IF($B74=""," · Falta fecha","")&amp;IF($C74=""," · Falta proveedor","")&amp;IF(AND($D74&lt;&gt;"",COUNTIF(tblProductos[SKU],$D74)=0)," · SKU no existe","")&amp;IF($D74=""," · Falta SKU","")&amp;IF(OR($G74="",NOT(ISNUMBER($G74)),$G74&lt;=0)," · Cantidad inválida","")&amp;IF($H74=""," · Falta costo unitario","")&amp;IF(AND($P74="Pagado",$Q74="")," · Pago sin fecha","")&amp;IF(AND(ISNUMBER($R74),ISNUMBER($M74),$R74&gt;N($M74)+0.01)," · Pagado &gt; total","")&amp;IF(AND(ISNUMBER($R74),$R74&gt;0,$Q74="")," · Monto pagado sin fecha","")="","OK",MID(IF($B74=""," · Falta fecha","")&amp;IF($C74=""," · Falta proveedor","")&amp;IF(AND($D74&lt;&gt;"",COUNTIF(tblProductos[SKU],$D74)=0)," · SKU no existe","")&amp;IF($D74=""," · Falta SKU","")&amp;IF(OR($G74="",NOT(ISNUMBER($G74)),$G74&lt;=0)," · Cantidad inválida","")&amp;IF($H74=""," · Falta costo unitario","")&amp;IF(AND($P74="Pagado",$Q74="")," · Pago sin fecha","")&amp;IF(AND(ISNUMBER($R74),ISNUMBER($M74),$R74&gt;N($M74)+0.01)," · Pagado &gt; total","")&amp;IF(AND(ISNUMBER($R74),$R74&gt;0,$Q74="")," · Monto pagado sin fecha",""),4,900)))</f>
        <v/>
      </c>
    </row>
    <row r="75">
      <c r="A75" s="51">
        <f>IF(COUNTA($B75,$C75,$D75,$G75,$H75)=0,"","C-"&amp;TEXT(ROW()-6,"0000"))</f>
        <v/>
      </c>
      <c r="B75" s="41" t="n"/>
      <c r="C75" s="33" t="n"/>
      <c r="D75" s="33" t="n"/>
      <c r="E75" s="51">
        <f>IF($D75="","",IFERROR(IF(INDEX(tblProductos[Nombre del producto],MATCH($D75,tblProductos[SKU],0))="","",INDEX(tblProductos[Nombre del producto],MATCH($D75,tblProductos[SKU],0))),""))</f>
        <v/>
      </c>
      <c r="F75" s="51">
        <f>IF($D75="","",IFERROR(IF(INDEX(tblProductos[Categoría],MATCH($D75,tblProductos[SKU],0))="","",INDEX(tblProductos[Categoría],MATCH($D75,tblProductos[SKU],0))),""))</f>
        <v/>
      </c>
      <c r="G75" s="34" t="n"/>
      <c r="H75" s="36" t="n"/>
      <c r="I75" s="37">
        <f>IF(OR($G75="",$H75=""),"",$G75*$H75)</f>
        <v/>
      </c>
      <c r="J75" s="36" t="n"/>
      <c r="K75" s="36" t="n"/>
      <c r="L75" s="36" t="n"/>
      <c r="M75" s="37">
        <f>IF(NOT(ISNUMBER($I75)),"",$I75+SUM($J75:$L75))</f>
        <v/>
      </c>
      <c r="N75" s="37">
        <f>IF(OR(NOT(ISNUMBER($M75)),NOT(ISNUMBER($G75)),$G75&lt;=0),"",$M75/$G75)</f>
        <v/>
      </c>
      <c r="O75" s="33" t="n"/>
      <c r="P75" s="33" t="n"/>
      <c r="Q75" s="41" t="n"/>
      <c r="R75" s="36" t="n"/>
      <c r="S75" s="37">
        <f>IF(NOT(ISNUMBER($M75)),"",$M75-IF(ISNUMBER($R75),$R75,0))</f>
        <v/>
      </c>
      <c r="T75" s="33" t="n"/>
      <c r="U75" s="51">
        <f>IF(COUNTA($B75,$C75,$D75,$G75,$H75)=0,"",IF(IF($B75=""," · Falta fecha","")&amp;IF($C75=""," · Falta proveedor","")&amp;IF(AND($D75&lt;&gt;"",COUNTIF(tblProductos[SKU],$D75)=0)," · SKU no existe","")&amp;IF($D75=""," · Falta SKU","")&amp;IF(OR($G75="",NOT(ISNUMBER($G75)),$G75&lt;=0)," · Cantidad inválida","")&amp;IF($H75=""," · Falta costo unitario","")&amp;IF(AND($P75="Pagado",$Q75="")," · Pago sin fecha","")&amp;IF(AND(ISNUMBER($R75),ISNUMBER($M75),$R75&gt;N($M75)+0.01)," · Pagado &gt; total","")&amp;IF(AND(ISNUMBER($R75),$R75&gt;0,$Q75="")," · Monto pagado sin fecha","")="","OK",MID(IF($B75=""," · Falta fecha","")&amp;IF($C75=""," · Falta proveedor","")&amp;IF(AND($D75&lt;&gt;"",COUNTIF(tblProductos[SKU],$D75)=0)," · SKU no existe","")&amp;IF($D75=""," · Falta SKU","")&amp;IF(OR($G75="",NOT(ISNUMBER($G75)),$G75&lt;=0)," · Cantidad inválida","")&amp;IF($H75=""," · Falta costo unitario","")&amp;IF(AND($P75="Pagado",$Q75="")," · Pago sin fecha","")&amp;IF(AND(ISNUMBER($R75),ISNUMBER($M75),$R75&gt;N($M75)+0.01)," · Pagado &gt; total","")&amp;IF(AND(ISNUMBER($R75),$R75&gt;0,$Q75="")," · Monto pagado sin fecha",""),4,900)))</f>
        <v/>
      </c>
    </row>
    <row r="76">
      <c r="A76" s="51">
        <f>IF(COUNTA($B76,$C76,$D76,$G76,$H76)=0,"","C-"&amp;TEXT(ROW()-6,"0000"))</f>
        <v/>
      </c>
      <c r="B76" s="41" t="n"/>
      <c r="C76" s="33" t="n"/>
      <c r="D76" s="33" t="n"/>
      <c r="E76" s="51">
        <f>IF($D76="","",IFERROR(IF(INDEX(tblProductos[Nombre del producto],MATCH($D76,tblProductos[SKU],0))="","",INDEX(tblProductos[Nombre del producto],MATCH($D76,tblProductos[SKU],0))),""))</f>
        <v/>
      </c>
      <c r="F76" s="51">
        <f>IF($D76="","",IFERROR(IF(INDEX(tblProductos[Categoría],MATCH($D76,tblProductos[SKU],0))="","",INDEX(tblProductos[Categoría],MATCH($D76,tblProductos[SKU],0))),""))</f>
        <v/>
      </c>
      <c r="G76" s="34" t="n"/>
      <c r="H76" s="36" t="n"/>
      <c r="I76" s="37">
        <f>IF(OR($G76="",$H76=""),"",$G76*$H76)</f>
        <v/>
      </c>
      <c r="J76" s="36" t="n"/>
      <c r="K76" s="36" t="n"/>
      <c r="L76" s="36" t="n"/>
      <c r="M76" s="37">
        <f>IF(NOT(ISNUMBER($I76)),"",$I76+SUM($J76:$L76))</f>
        <v/>
      </c>
      <c r="N76" s="37">
        <f>IF(OR(NOT(ISNUMBER($M76)),NOT(ISNUMBER($G76)),$G76&lt;=0),"",$M76/$G76)</f>
        <v/>
      </c>
      <c r="O76" s="33" t="n"/>
      <c r="P76" s="33" t="n"/>
      <c r="Q76" s="41" t="n"/>
      <c r="R76" s="36" t="n"/>
      <c r="S76" s="37">
        <f>IF(NOT(ISNUMBER($M76)),"",$M76-IF(ISNUMBER($R76),$R76,0))</f>
        <v/>
      </c>
      <c r="T76" s="33" t="n"/>
      <c r="U76" s="51">
        <f>IF(COUNTA($B76,$C76,$D76,$G76,$H76)=0,"",IF(IF($B76=""," · Falta fecha","")&amp;IF($C76=""," · Falta proveedor","")&amp;IF(AND($D76&lt;&gt;"",COUNTIF(tblProductos[SKU],$D76)=0)," · SKU no existe","")&amp;IF($D76=""," · Falta SKU","")&amp;IF(OR($G76="",NOT(ISNUMBER($G76)),$G76&lt;=0)," · Cantidad inválida","")&amp;IF($H76=""," · Falta costo unitario","")&amp;IF(AND($P76="Pagado",$Q76="")," · Pago sin fecha","")&amp;IF(AND(ISNUMBER($R76),ISNUMBER($M76),$R76&gt;N($M76)+0.01)," · Pagado &gt; total","")&amp;IF(AND(ISNUMBER($R76),$R76&gt;0,$Q76="")," · Monto pagado sin fecha","")="","OK",MID(IF($B76=""," · Falta fecha","")&amp;IF($C76=""," · Falta proveedor","")&amp;IF(AND($D76&lt;&gt;"",COUNTIF(tblProductos[SKU],$D76)=0)," · SKU no existe","")&amp;IF($D76=""," · Falta SKU","")&amp;IF(OR($G76="",NOT(ISNUMBER($G76)),$G76&lt;=0)," · Cantidad inválida","")&amp;IF($H76=""," · Falta costo unitario","")&amp;IF(AND($P76="Pagado",$Q76="")," · Pago sin fecha","")&amp;IF(AND(ISNUMBER($R76),ISNUMBER($M76),$R76&gt;N($M76)+0.01)," · Pagado &gt; total","")&amp;IF(AND(ISNUMBER($R76),$R76&gt;0,$Q76="")," · Monto pagado sin fecha",""),4,900)))</f>
        <v/>
      </c>
    </row>
    <row r="77">
      <c r="A77" s="51">
        <f>IF(COUNTA($B77,$C77,$D77,$G77,$H77)=0,"","C-"&amp;TEXT(ROW()-6,"0000"))</f>
        <v/>
      </c>
      <c r="B77" s="41" t="n"/>
      <c r="C77" s="33" t="n"/>
      <c r="D77" s="33" t="n"/>
      <c r="E77" s="51">
        <f>IF($D77="","",IFERROR(IF(INDEX(tblProductos[Nombre del producto],MATCH($D77,tblProductos[SKU],0))="","",INDEX(tblProductos[Nombre del producto],MATCH($D77,tblProductos[SKU],0))),""))</f>
        <v/>
      </c>
      <c r="F77" s="51">
        <f>IF($D77="","",IFERROR(IF(INDEX(tblProductos[Categoría],MATCH($D77,tblProductos[SKU],0))="","",INDEX(tblProductos[Categoría],MATCH($D77,tblProductos[SKU],0))),""))</f>
        <v/>
      </c>
      <c r="G77" s="34" t="n"/>
      <c r="H77" s="36" t="n"/>
      <c r="I77" s="37">
        <f>IF(OR($G77="",$H77=""),"",$G77*$H77)</f>
        <v/>
      </c>
      <c r="J77" s="36" t="n"/>
      <c r="K77" s="36" t="n"/>
      <c r="L77" s="36" t="n"/>
      <c r="M77" s="37">
        <f>IF(NOT(ISNUMBER($I77)),"",$I77+SUM($J77:$L77))</f>
        <v/>
      </c>
      <c r="N77" s="37">
        <f>IF(OR(NOT(ISNUMBER($M77)),NOT(ISNUMBER($G77)),$G77&lt;=0),"",$M77/$G77)</f>
        <v/>
      </c>
      <c r="O77" s="33" t="n"/>
      <c r="P77" s="33" t="n"/>
      <c r="Q77" s="41" t="n"/>
      <c r="R77" s="36" t="n"/>
      <c r="S77" s="37">
        <f>IF(NOT(ISNUMBER($M77)),"",$M77-IF(ISNUMBER($R77),$R77,0))</f>
        <v/>
      </c>
      <c r="T77" s="33" t="n"/>
      <c r="U77" s="51">
        <f>IF(COUNTA($B77,$C77,$D77,$G77,$H77)=0,"",IF(IF($B77=""," · Falta fecha","")&amp;IF($C77=""," · Falta proveedor","")&amp;IF(AND($D77&lt;&gt;"",COUNTIF(tblProductos[SKU],$D77)=0)," · SKU no existe","")&amp;IF($D77=""," · Falta SKU","")&amp;IF(OR($G77="",NOT(ISNUMBER($G77)),$G77&lt;=0)," · Cantidad inválida","")&amp;IF($H77=""," · Falta costo unitario","")&amp;IF(AND($P77="Pagado",$Q77="")," · Pago sin fecha","")&amp;IF(AND(ISNUMBER($R77),ISNUMBER($M77),$R77&gt;N($M77)+0.01)," · Pagado &gt; total","")&amp;IF(AND(ISNUMBER($R77),$R77&gt;0,$Q77="")," · Monto pagado sin fecha","")="","OK",MID(IF($B77=""," · Falta fecha","")&amp;IF($C77=""," · Falta proveedor","")&amp;IF(AND($D77&lt;&gt;"",COUNTIF(tblProductos[SKU],$D77)=0)," · SKU no existe","")&amp;IF($D77=""," · Falta SKU","")&amp;IF(OR($G77="",NOT(ISNUMBER($G77)),$G77&lt;=0)," · Cantidad inválida","")&amp;IF($H77=""," · Falta costo unitario","")&amp;IF(AND($P77="Pagado",$Q77="")," · Pago sin fecha","")&amp;IF(AND(ISNUMBER($R77),ISNUMBER($M77),$R77&gt;N($M77)+0.01)," · Pagado &gt; total","")&amp;IF(AND(ISNUMBER($R77),$R77&gt;0,$Q77="")," · Monto pagado sin fecha",""),4,900)))</f>
        <v/>
      </c>
    </row>
    <row r="78">
      <c r="A78" s="51">
        <f>IF(COUNTA($B78,$C78,$D78,$G78,$H78)=0,"","C-"&amp;TEXT(ROW()-6,"0000"))</f>
        <v/>
      </c>
      <c r="B78" s="41" t="n"/>
      <c r="C78" s="33" t="n"/>
      <c r="D78" s="33" t="n"/>
      <c r="E78" s="51">
        <f>IF($D78="","",IFERROR(IF(INDEX(tblProductos[Nombre del producto],MATCH($D78,tblProductos[SKU],0))="","",INDEX(tblProductos[Nombre del producto],MATCH($D78,tblProductos[SKU],0))),""))</f>
        <v/>
      </c>
      <c r="F78" s="51">
        <f>IF($D78="","",IFERROR(IF(INDEX(tblProductos[Categoría],MATCH($D78,tblProductos[SKU],0))="","",INDEX(tblProductos[Categoría],MATCH($D78,tblProductos[SKU],0))),""))</f>
        <v/>
      </c>
      <c r="G78" s="34" t="n"/>
      <c r="H78" s="36" t="n"/>
      <c r="I78" s="37">
        <f>IF(OR($G78="",$H78=""),"",$G78*$H78)</f>
        <v/>
      </c>
      <c r="J78" s="36" t="n"/>
      <c r="K78" s="36" t="n"/>
      <c r="L78" s="36" t="n"/>
      <c r="M78" s="37">
        <f>IF(NOT(ISNUMBER($I78)),"",$I78+SUM($J78:$L78))</f>
        <v/>
      </c>
      <c r="N78" s="37">
        <f>IF(OR(NOT(ISNUMBER($M78)),NOT(ISNUMBER($G78)),$G78&lt;=0),"",$M78/$G78)</f>
        <v/>
      </c>
      <c r="O78" s="33" t="n"/>
      <c r="P78" s="33" t="n"/>
      <c r="Q78" s="41" t="n"/>
      <c r="R78" s="36" t="n"/>
      <c r="S78" s="37">
        <f>IF(NOT(ISNUMBER($M78)),"",$M78-IF(ISNUMBER($R78),$R78,0))</f>
        <v/>
      </c>
      <c r="T78" s="33" t="n"/>
      <c r="U78" s="51">
        <f>IF(COUNTA($B78,$C78,$D78,$G78,$H78)=0,"",IF(IF($B78=""," · Falta fecha","")&amp;IF($C78=""," · Falta proveedor","")&amp;IF(AND($D78&lt;&gt;"",COUNTIF(tblProductos[SKU],$D78)=0)," · SKU no existe","")&amp;IF($D78=""," · Falta SKU","")&amp;IF(OR($G78="",NOT(ISNUMBER($G78)),$G78&lt;=0)," · Cantidad inválida","")&amp;IF($H78=""," · Falta costo unitario","")&amp;IF(AND($P78="Pagado",$Q78="")," · Pago sin fecha","")&amp;IF(AND(ISNUMBER($R78),ISNUMBER($M78),$R78&gt;N($M78)+0.01)," · Pagado &gt; total","")&amp;IF(AND(ISNUMBER($R78),$R78&gt;0,$Q78="")," · Monto pagado sin fecha","")="","OK",MID(IF($B78=""," · Falta fecha","")&amp;IF($C78=""," · Falta proveedor","")&amp;IF(AND($D78&lt;&gt;"",COUNTIF(tblProductos[SKU],$D78)=0)," · SKU no existe","")&amp;IF($D78=""," · Falta SKU","")&amp;IF(OR($G78="",NOT(ISNUMBER($G78)),$G78&lt;=0)," · Cantidad inválida","")&amp;IF($H78=""," · Falta costo unitario","")&amp;IF(AND($P78="Pagado",$Q78="")," · Pago sin fecha","")&amp;IF(AND(ISNUMBER($R78),ISNUMBER($M78),$R78&gt;N($M78)+0.01)," · Pagado &gt; total","")&amp;IF(AND(ISNUMBER($R78),$R78&gt;0,$Q78="")," · Monto pagado sin fecha",""),4,900)))</f>
        <v/>
      </c>
    </row>
    <row r="79">
      <c r="A79" s="51">
        <f>IF(COUNTA($B79,$C79,$D79,$G79,$H79)=0,"","C-"&amp;TEXT(ROW()-6,"0000"))</f>
        <v/>
      </c>
      <c r="B79" s="41" t="n"/>
      <c r="C79" s="33" t="n"/>
      <c r="D79" s="33" t="n"/>
      <c r="E79" s="51">
        <f>IF($D79="","",IFERROR(IF(INDEX(tblProductos[Nombre del producto],MATCH($D79,tblProductos[SKU],0))="","",INDEX(tblProductos[Nombre del producto],MATCH($D79,tblProductos[SKU],0))),""))</f>
        <v/>
      </c>
      <c r="F79" s="51">
        <f>IF($D79="","",IFERROR(IF(INDEX(tblProductos[Categoría],MATCH($D79,tblProductos[SKU],0))="","",INDEX(tblProductos[Categoría],MATCH($D79,tblProductos[SKU],0))),""))</f>
        <v/>
      </c>
      <c r="G79" s="34" t="n"/>
      <c r="H79" s="36" t="n"/>
      <c r="I79" s="37">
        <f>IF(OR($G79="",$H79=""),"",$G79*$H79)</f>
        <v/>
      </c>
      <c r="J79" s="36" t="n"/>
      <c r="K79" s="36" t="n"/>
      <c r="L79" s="36" t="n"/>
      <c r="M79" s="37">
        <f>IF(NOT(ISNUMBER($I79)),"",$I79+SUM($J79:$L79))</f>
        <v/>
      </c>
      <c r="N79" s="37">
        <f>IF(OR(NOT(ISNUMBER($M79)),NOT(ISNUMBER($G79)),$G79&lt;=0),"",$M79/$G79)</f>
        <v/>
      </c>
      <c r="O79" s="33" t="n"/>
      <c r="P79" s="33" t="n"/>
      <c r="Q79" s="41" t="n"/>
      <c r="R79" s="36" t="n"/>
      <c r="S79" s="37">
        <f>IF(NOT(ISNUMBER($M79)),"",$M79-IF(ISNUMBER($R79),$R79,0))</f>
        <v/>
      </c>
      <c r="T79" s="33" t="n"/>
      <c r="U79" s="51">
        <f>IF(COUNTA($B79,$C79,$D79,$G79,$H79)=0,"",IF(IF($B79=""," · Falta fecha","")&amp;IF($C79=""," · Falta proveedor","")&amp;IF(AND($D79&lt;&gt;"",COUNTIF(tblProductos[SKU],$D79)=0)," · SKU no existe","")&amp;IF($D79=""," · Falta SKU","")&amp;IF(OR($G79="",NOT(ISNUMBER($G79)),$G79&lt;=0)," · Cantidad inválida","")&amp;IF($H79=""," · Falta costo unitario","")&amp;IF(AND($P79="Pagado",$Q79="")," · Pago sin fecha","")&amp;IF(AND(ISNUMBER($R79),ISNUMBER($M79),$R79&gt;N($M79)+0.01)," · Pagado &gt; total","")&amp;IF(AND(ISNUMBER($R79),$R79&gt;0,$Q79="")," · Monto pagado sin fecha","")="","OK",MID(IF($B79=""," · Falta fecha","")&amp;IF($C79=""," · Falta proveedor","")&amp;IF(AND($D79&lt;&gt;"",COUNTIF(tblProductos[SKU],$D79)=0)," · SKU no existe","")&amp;IF($D79=""," · Falta SKU","")&amp;IF(OR($G79="",NOT(ISNUMBER($G79)),$G79&lt;=0)," · Cantidad inválida","")&amp;IF($H79=""," · Falta costo unitario","")&amp;IF(AND($P79="Pagado",$Q79="")," · Pago sin fecha","")&amp;IF(AND(ISNUMBER($R79),ISNUMBER($M79),$R79&gt;N($M79)+0.01)," · Pagado &gt; total","")&amp;IF(AND(ISNUMBER($R79),$R79&gt;0,$Q79="")," · Monto pagado sin fecha",""),4,900)))</f>
        <v/>
      </c>
    </row>
    <row r="80">
      <c r="A80" s="51">
        <f>IF(COUNTA($B80,$C80,$D80,$G80,$H80)=0,"","C-"&amp;TEXT(ROW()-6,"0000"))</f>
        <v/>
      </c>
      <c r="B80" s="41" t="n"/>
      <c r="C80" s="33" t="n"/>
      <c r="D80" s="33" t="n"/>
      <c r="E80" s="51">
        <f>IF($D80="","",IFERROR(IF(INDEX(tblProductos[Nombre del producto],MATCH($D80,tblProductos[SKU],0))="","",INDEX(tblProductos[Nombre del producto],MATCH($D80,tblProductos[SKU],0))),""))</f>
        <v/>
      </c>
      <c r="F80" s="51">
        <f>IF($D80="","",IFERROR(IF(INDEX(tblProductos[Categoría],MATCH($D80,tblProductos[SKU],0))="","",INDEX(tblProductos[Categoría],MATCH($D80,tblProductos[SKU],0))),""))</f>
        <v/>
      </c>
      <c r="G80" s="34" t="n"/>
      <c r="H80" s="36" t="n"/>
      <c r="I80" s="37">
        <f>IF(OR($G80="",$H80=""),"",$G80*$H80)</f>
        <v/>
      </c>
      <c r="J80" s="36" t="n"/>
      <c r="K80" s="36" t="n"/>
      <c r="L80" s="36" t="n"/>
      <c r="M80" s="37">
        <f>IF(NOT(ISNUMBER($I80)),"",$I80+SUM($J80:$L80))</f>
        <v/>
      </c>
      <c r="N80" s="37">
        <f>IF(OR(NOT(ISNUMBER($M80)),NOT(ISNUMBER($G80)),$G80&lt;=0),"",$M80/$G80)</f>
        <v/>
      </c>
      <c r="O80" s="33" t="n"/>
      <c r="P80" s="33" t="n"/>
      <c r="Q80" s="41" t="n"/>
      <c r="R80" s="36" t="n"/>
      <c r="S80" s="37">
        <f>IF(NOT(ISNUMBER($M80)),"",$M80-IF(ISNUMBER($R80),$R80,0))</f>
        <v/>
      </c>
      <c r="T80" s="33" t="n"/>
      <c r="U80" s="51">
        <f>IF(COUNTA($B80,$C80,$D80,$G80,$H80)=0,"",IF(IF($B80=""," · Falta fecha","")&amp;IF($C80=""," · Falta proveedor","")&amp;IF(AND($D80&lt;&gt;"",COUNTIF(tblProductos[SKU],$D80)=0)," · SKU no existe","")&amp;IF($D80=""," · Falta SKU","")&amp;IF(OR($G80="",NOT(ISNUMBER($G80)),$G80&lt;=0)," · Cantidad inválida","")&amp;IF($H80=""," · Falta costo unitario","")&amp;IF(AND($P80="Pagado",$Q80="")," · Pago sin fecha","")&amp;IF(AND(ISNUMBER($R80),ISNUMBER($M80),$R80&gt;N($M80)+0.01)," · Pagado &gt; total","")&amp;IF(AND(ISNUMBER($R80),$R80&gt;0,$Q80="")," · Monto pagado sin fecha","")="","OK",MID(IF($B80=""," · Falta fecha","")&amp;IF($C80=""," · Falta proveedor","")&amp;IF(AND($D80&lt;&gt;"",COUNTIF(tblProductos[SKU],$D80)=0)," · SKU no existe","")&amp;IF($D80=""," · Falta SKU","")&amp;IF(OR($G80="",NOT(ISNUMBER($G80)),$G80&lt;=0)," · Cantidad inválida","")&amp;IF($H80=""," · Falta costo unitario","")&amp;IF(AND($P80="Pagado",$Q80="")," · Pago sin fecha","")&amp;IF(AND(ISNUMBER($R80),ISNUMBER($M80),$R80&gt;N($M80)+0.01)," · Pagado &gt; total","")&amp;IF(AND(ISNUMBER($R80),$R80&gt;0,$Q80="")," · Monto pagado sin fecha",""),4,900)))</f>
        <v/>
      </c>
    </row>
    <row r="81">
      <c r="A81" s="51">
        <f>IF(COUNTA($B81,$C81,$D81,$G81,$H81)=0,"","C-"&amp;TEXT(ROW()-6,"0000"))</f>
        <v/>
      </c>
      <c r="B81" s="41" t="n"/>
      <c r="C81" s="33" t="n"/>
      <c r="D81" s="33" t="n"/>
      <c r="E81" s="51">
        <f>IF($D81="","",IFERROR(IF(INDEX(tblProductos[Nombre del producto],MATCH($D81,tblProductos[SKU],0))="","",INDEX(tblProductos[Nombre del producto],MATCH($D81,tblProductos[SKU],0))),""))</f>
        <v/>
      </c>
      <c r="F81" s="51">
        <f>IF($D81="","",IFERROR(IF(INDEX(tblProductos[Categoría],MATCH($D81,tblProductos[SKU],0))="","",INDEX(tblProductos[Categoría],MATCH($D81,tblProductos[SKU],0))),""))</f>
        <v/>
      </c>
      <c r="G81" s="34" t="n"/>
      <c r="H81" s="36" t="n"/>
      <c r="I81" s="37">
        <f>IF(OR($G81="",$H81=""),"",$G81*$H81)</f>
        <v/>
      </c>
      <c r="J81" s="36" t="n"/>
      <c r="K81" s="36" t="n"/>
      <c r="L81" s="36" t="n"/>
      <c r="M81" s="37">
        <f>IF(NOT(ISNUMBER($I81)),"",$I81+SUM($J81:$L81))</f>
        <v/>
      </c>
      <c r="N81" s="37">
        <f>IF(OR(NOT(ISNUMBER($M81)),NOT(ISNUMBER($G81)),$G81&lt;=0),"",$M81/$G81)</f>
        <v/>
      </c>
      <c r="O81" s="33" t="n"/>
      <c r="P81" s="33" t="n"/>
      <c r="Q81" s="41" t="n"/>
      <c r="R81" s="36" t="n"/>
      <c r="S81" s="37">
        <f>IF(NOT(ISNUMBER($M81)),"",$M81-IF(ISNUMBER($R81),$R81,0))</f>
        <v/>
      </c>
      <c r="T81" s="33" t="n"/>
      <c r="U81" s="51">
        <f>IF(COUNTA($B81,$C81,$D81,$G81,$H81)=0,"",IF(IF($B81=""," · Falta fecha","")&amp;IF($C81=""," · Falta proveedor","")&amp;IF(AND($D81&lt;&gt;"",COUNTIF(tblProductos[SKU],$D81)=0)," · SKU no existe","")&amp;IF($D81=""," · Falta SKU","")&amp;IF(OR($G81="",NOT(ISNUMBER($G81)),$G81&lt;=0)," · Cantidad inválida","")&amp;IF($H81=""," · Falta costo unitario","")&amp;IF(AND($P81="Pagado",$Q81="")," · Pago sin fecha","")&amp;IF(AND(ISNUMBER($R81),ISNUMBER($M81),$R81&gt;N($M81)+0.01)," · Pagado &gt; total","")&amp;IF(AND(ISNUMBER($R81),$R81&gt;0,$Q81="")," · Monto pagado sin fecha","")="","OK",MID(IF($B81=""," · Falta fecha","")&amp;IF($C81=""," · Falta proveedor","")&amp;IF(AND($D81&lt;&gt;"",COUNTIF(tblProductos[SKU],$D81)=0)," · SKU no existe","")&amp;IF($D81=""," · Falta SKU","")&amp;IF(OR($G81="",NOT(ISNUMBER($G81)),$G81&lt;=0)," · Cantidad inválida","")&amp;IF($H81=""," · Falta costo unitario","")&amp;IF(AND($P81="Pagado",$Q81="")," · Pago sin fecha","")&amp;IF(AND(ISNUMBER($R81),ISNUMBER($M81),$R81&gt;N($M81)+0.01)," · Pagado &gt; total","")&amp;IF(AND(ISNUMBER($R81),$R81&gt;0,$Q81="")," · Monto pagado sin fecha",""),4,900)))</f>
        <v/>
      </c>
    </row>
    <row r="82">
      <c r="A82" s="51">
        <f>IF(COUNTA($B82,$C82,$D82,$G82,$H82)=0,"","C-"&amp;TEXT(ROW()-6,"0000"))</f>
        <v/>
      </c>
      <c r="B82" s="41" t="n"/>
      <c r="C82" s="33" t="n"/>
      <c r="D82" s="33" t="n"/>
      <c r="E82" s="51">
        <f>IF($D82="","",IFERROR(IF(INDEX(tblProductos[Nombre del producto],MATCH($D82,tblProductos[SKU],0))="","",INDEX(tblProductos[Nombre del producto],MATCH($D82,tblProductos[SKU],0))),""))</f>
        <v/>
      </c>
      <c r="F82" s="51">
        <f>IF($D82="","",IFERROR(IF(INDEX(tblProductos[Categoría],MATCH($D82,tblProductos[SKU],0))="","",INDEX(tblProductos[Categoría],MATCH($D82,tblProductos[SKU],0))),""))</f>
        <v/>
      </c>
      <c r="G82" s="34" t="n"/>
      <c r="H82" s="36" t="n"/>
      <c r="I82" s="37">
        <f>IF(OR($G82="",$H82=""),"",$G82*$H82)</f>
        <v/>
      </c>
      <c r="J82" s="36" t="n"/>
      <c r="K82" s="36" t="n"/>
      <c r="L82" s="36" t="n"/>
      <c r="M82" s="37">
        <f>IF(NOT(ISNUMBER($I82)),"",$I82+SUM($J82:$L82))</f>
        <v/>
      </c>
      <c r="N82" s="37">
        <f>IF(OR(NOT(ISNUMBER($M82)),NOT(ISNUMBER($G82)),$G82&lt;=0),"",$M82/$G82)</f>
        <v/>
      </c>
      <c r="O82" s="33" t="n"/>
      <c r="P82" s="33" t="n"/>
      <c r="Q82" s="41" t="n"/>
      <c r="R82" s="36" t="n"/>
      <c r="S82" s="37">
        <f>IF(NOT(ISNUMBER($M82)),"",$M82-IF(ISNUMBER($R82),$R82,0))</f>
        <v/>
      </c>
      <c r="T82" s="33" t="n"/>
      <c r="U82" s="51">
        <f>IF(COUNTA($B82,$C82,$D82,$G82,$H82)=0,"",IF(IF($B82=""," · Falta fecha","")&amp;IF($C82=""," · Falta proveedor","")&amp;IF(AND($D82&lt;&gt;"",COUNTIF(tblProductos[SKU],$D82)=0)," · SKU no existe","")&amp;IF($D82=""," · Falta SKU","")&amp;IF(OR($G82="",NOT(ISNUMBER($G82)),$G82&lt;=0)," · Cantidad inválida","")&amp;IF($H82=""," · Falta costo unitario","")&amp;IF(AND($P82="Pagado",$Q82="")," · Pago sin fecha","")&amp;IF(AND(ISNUMBER($R82),ISNUMBER($M82),$R82&gt;N($M82)+0.01)," · Pagado &gt; total","")&amp;IF(AND(ISNUMBER($R82),$R82&gt;0,$Q82="")," · Monto pagado sin fecha","")="","OK",MID(IF($B82=""," · Falta fecha","")&amp;IF($C82=""," · Falta proveedor","")&amp;IF(AND($D82&lt;&gt;"",COUNTIF(tblProductos[SKU],$D82)=0)," · SKU no existe","")&amp;IF($D82=""," · Falta SKU","")&amp;IF(OR($G82="",NOT(ISNUMBER($G82)),$G82&lt;=0)," · Cantidad inválida","")&amp;IF($H82=""," · Falta costo unitario","")&amp;IF(AND($P82="Pagado",$Q82="")," · Pago sin fecha","")&amp;IF(AND(ISNUMBER($R82),ISNUMBER($M82),$R82&gt;N($M82)+0.01)," · Pagado &gt; total","")&amp;IF(AND(ISNUMBER($R82),$R82&gt;0,$Q82="")," · Monto pagado sin fecha",""),4,900)))</f>
        <v/>
      </c>
    </row>
    <row r="83">
      <c r="A83" s="51">
        <f>IF(COUNTA($B83,$C83,$D83,$G83,$H83)=0,"","C-"&amp;TEXT(ROW()-6,"0000"))</f>
        <v/>
      </c>
      <c r="B83" s="41" t="n"/>
      <c r="C83" s="33" t="n"/>
      <c r="D83" s="33" t="n"/>
      <c r="E83" s="51">
        <f>IF($D83="","",IFERROR(IF(INDEX(tblProductos[Nombre del producto],MATCH($D83,tblProductos[SKU],0))="","",INDEX(tblProductos[Nombre del producto],MATCH($D83,tblProductos[SKU],0))),""))</f>
        <v/>
      </c>
      <c r="F83" s="51">
        <f>IF($D83="","",IFERROR(IF(INDEX(tblProductos[Categoría],MATCH($D83,tblProductos[SKU],0))="","",INDEX(tblProductos[Categoría],MATCH($D83,tblProductos[SKU],0))),""))</f>
        <v/>
      </c>
      <c r="G83" s="34" t="n"/>
      <c r="H83" s="36" t="n"/>
      <c r="I83" s="37">
        <f>IF(OR($G83="",$H83=""),"",$G83*$H83)</f>
        <v/>
      </c>
      <c r="J83" s="36" t="n"/>
      <c r="K83" s="36" t="n"/>
      <c r="L83" s="36" t="n"/>
      <c r="M83" s="37">
        <f>IF(NOT(ISNUMBER($I83)),"",$I83+SUM($J83:$L83))</f>
        <v/>
      </c>
      <c r="N83" s="37">
        <f>IF(OR(NOT(ISNUMBER($M83)),NOT(ISNUMBER($G83)),$G83&lt;=0),"",$M83/$G83)</f>
        <v/>
      </c>
      <c r="O83" s="33" t="n"/>
      <c r="P83" s="33" t="n"/>
      <c r="Q83" s="41" t="n"/>
      <c r="R83" s="36" t="n"/>
      <c r="S83" s="37">
        <f>IF(NOT(ISNUMBER($M83)),"",$M83-IF(ISNUMBER($R83),$R83,0))</f>
        <v/>
      </c>
      <c r="T83" s="33" t="n"/>
      <c r="U83" s="51">
        <f>IF(COUNTA($B83,$C83,$D83,$G83,$H83)=0,"",IF(IF($B83=""," · Falta fecha","")&amp;IF($C83=""," · Falta proveedor","")&amp;IF(AND($D83&lt;&gt;"",COUNTIF(tblProductos[SKU],$D83)=0)," · SKU no existe","")&amp;IF($D83=""," · Falta SKU","")&amp;IF(OR($G83="",NOT(ISNUMBER($G83)),$G83&lt;=0)," · Cantidad inválida","")&amp;IF($H83=""," · Falta costo unitario","")&amp;IF(AND($P83="Pagado",$Q83="")," · Pago sin fecha","")&amp;IF(AND(ISNUMBER($R83),ISNUMBER($M83),$R83&gt;N($M83)+0.01)," · Pagado &gt; total","")&amp;IF(AND(ISNUMBER($R83),$R83&gt;0,$Q83="")," · Monto pagado sin fecha","")="","OK",MID(IF($B83=""," · Falta fecha","")&amp;IF($C83=""," · Falta proveedor","")&amp;IF(AND($D83&lt;&gt;"",COUNTIF(tblProductos[SKU],$D83)=0)," · SKU no existe","")&amp;IF($D83=""," · Falta SKU","")&amp;IF(OR($G83="",NOT(ISNUMBER($G83)),$G83&lt;=0)," · Cantidad inválida","")&amp;IF($H83=""," · Falta costo unitario","")&amp;IF(AND($P83="Pagado",$Q83="")," · Pago sin fecha","")&amp;IF(AND(ISNUMBER($R83),ISNUMBER($M83),$R83&gt;N($M83)+0.01)," · Pagado &gt; total","")&amp;IF(AND(ISNUMBER($R83),$R83&gt;0,$Q83="")," · Monto pagado sin fecha",""),4,900)))</f>
        <v/>
      </c>
    </row>
    <row r="84">
      <c r="A84" s="51">
        <f>IF(COUNTA($B84,$C84,$D84,$G84,$H84)=0,"","C-"&amp;TEXT(ROW()-6,"0000"))</f>
        <v/>
      </c>
      <c r="B84" s="41" t="n"/>
      <c r="C84" s="33" t="n"/>
      <c r="D84" s="33" t="n"/>
      <c r="E84" s="51">
        <f>IF($D84="","",IFERROR(IF(INDEX(tblProductos[Nombre del producto],MATCH($D84,tblProductos[SKU],0))="","",INDEX(tblProductos[Nombre del producto],MATCH($D84,tblProductos[SKU],0))),""))</f>
        <v/>
      </c>
      <c r="F84" s="51">
        <f>IF($D84="","",IFERROR(IF(INDEX(tblProductos[Categoría],MATCH($D84,tblProductos[SKU],0))="","",INDEX(tblProductos[Categoría],MATCH($D84,tblProductos[SKU],0))),""))</f>
        <v/>
      </c>
      <c r="G84" s="34" t="n"/>
      <c r="H84" s="36" t="n"/>
      <c r="I84" s="37">
        <f>IF(OR($G84="",$H84=""),"",$G84*$H84)</f>
        <v/>
      </c>
      <c r="J84" s="36" t="n"/>
      <c r="K84" s="36" t="n"/>
      <c r="L84" s="36" t="n"/>
      <c r="M84" s="37">
        <f>IF(NOT(ISNUMBER($I84)),"",$I84+SUM($J84:$L84))</f>
        <v/>
      </c>
      <c r="N84" s="37">
        <f>IF(OR(NOT(ISNUMBER($M84)),NOT(ISNUMBER($G84)),$G84&lt;=0),"",$M84/$G84)</f>
        <v/>
      </c>
      <c r="O84" s="33" t="n"/>
      <c r="P84" s="33" t="n"/>
      <c r="Q84" s="41" t="n"/>
      <c r="R84" s="36" t="n"/>
      <c r="S84" s="37">
        <f>IF(NOT(ISNUMBER($M84)),"",$M84-IF(ISNUMBER($R84),$R84,0))</f>
        <v/>
      </c>
      <c r="T84" s="33" t="n"/>
      <c r="U84" s="51">
        <f>IF(COUNTA($B84,$C84,$D84,$G84,$H84)=0,"",IF(IF($B84=""," · Falta fecha","")&amp;IF($C84=""," · Falta proveedor","")&amp;IF(AND($D84&lt;&gt;"",COUNTIF(tblProductos[SKU],$D84)=0)," · SKU no existe","")&amp;IF($D84=""," · Falta SKU","")&amp;IF(OR($G84="",NOT(ISNUMBER($G84)),$G84&lt;=0)," · Cantidad inválida","")&amp;IF($H84=""," · Falta costo unitario","")&amp;IF(AND($P84="Pagado",$Q84="")," · Pago sin fecha","")&amp;IF(AND(ISNUMBER($R84),ISNUMBER($M84),$R84&gt;N($M84)+0.01)," · Pagado &gt; total","")&amp;IF(AND(ISNUMBER($R84),$R84&gt;0,$Q84="")," · Monto pagado sin fecha","")="","OK",MID(IF($B84=""," · Falta fecha","")&amp;IF($C84=""," · Falta proveedor","")&amp;IF(AND($D84&lt;&gt;"",COUNTIF(tblProductos[SKU],$D84)=0)," · SKU no existe","")&amp;IF($D84=""," · Falta SKU","")&amp;IF(OR($G84="",NOT(ISNUMBER($G84)),$G84&lt;=0)," · Cantidad inválida","")&amp;IF($H84=""," · Falta costo unitario","")&amp;IF(AND($P84="Pagado",$Q84="")," · Pago sin fecha","")&amp;IF(AND(ISNUMBER($R84),ISNUMBER($M84),$R84&gt;N($M84)+0.01)," · Pagado &gt; total","")&amp;IF(AND(ISNUMBER($R84),$R84&gt;0,$Q84="")," · Monto pagado sin fecha",""),4,900)))</f>
        <v/>
      </c>
    </row>
    <row r="85">
      <c r="A85" s="51">
        <f>IF(COUNTA($B85,$C85,$D85,$G85,$H85)=0,"","C-"&amp;TEXT(ROW()-6,"0000"))</f>
        <v/>
      </c>
      <c r="B85" s="41" t="n"/>
      <c r="C85" s="33" t="n"/>
      <c r="D85" s="33" t="n"/>
      <c r="E85" s="51">
        <f>IF($D85="","",IFERROR(IF(INDEX(tblProductos[Nombre del producto],MATCH($D85,tblProductos[SKU],0))="","",INDEX(tblProductos[Nombre del producto],MATCH($D85,tblProductos[SKU],0))),""))</f>
        <v/>
      </c>
      <c r="F85" s="51">
        <f>IF($D85="","",IFERROR(IF(INDEX(tblProductos[Categoría],MATCH($D85,tblProductos[SKU],0))="","",INDEX(tblProductos[Categoría],MATCH($D85,tblProductos[SKU],0))),""))</f>
        <v/>
      </c>
      <c r="G85" s="34" t="n"/>
      <c r="H85" s="36" t="n"/>
      <c r="I85" s="37">
        <f>IF(OR($G85="",$H85=""),"",$G85*$H85)</f>
        <v/>
      </c>
      <c r="J85" s="36" t="n"/>
      <c r="K85" s="36" t="n"/>
      <c r="L85" s="36" t="n"/>
      <c r="M85" s="37">
        <f>IF(NOT(ISNUMBER($I85)),"",$I85+SUM($J85:$L85))</f>
        <v/>
      </c>
      <c r="N85" s="37">
        <f>IF(OR(NOT(ISNUMBER($M85)),NOT(ISNUMBER($G85)),$G85&lt;=0),"",$M85/$G85)</f>
        <v/>
      </c>
      <c r="O85" s="33" t="n"/>
      <c r="P85" s="33" t="n"/>
      <c r="Q85" s="41" t="n"/>
      <c r="R85" s="36" t="n"/>
      <c r="S85" s="37">
        <f>IF(NOT(ISNUMBER($M85)),"",$M85-IF(ISNUMBER($R85),$R85,0))</f>
        <v/>
      </c>
      <c r="T85" s="33" t="n"/>
      <c r="U85" s="51">
        <f>IF(COUNTA($B85,$C85,$D85,$G85,$H85)=0,"",IF(IF($B85=""," · Falta fecha","")&amp;IF($C85=""," · Falta proveedor","")&amp;IF(AND($D85&lt;&gt;"",COUNTIF(tblProductos[SKU],$D85)=0)," · SKU no existe","")&amp;IF($D85=""," · Falta SKU","")&amp;IF(OR($G85="",NOT(ISNUMBER($G85)),$G85&lt;=0)," · Cantidad inválida","")&amp;IF($H85=""," · Falta costo unitario","")&amp;IF(AND($P85="Pagado",$Q85="")," · Pago sin fecha","")&amp;IF(AND(ISNUMBER($R85),ISNUMBER($M85),$R85&gt;N($M85)+0.01)," · Pagado &gt; total","")&amp;IF(AND(ISNUMBER($R85),$R85&gt;0,$Q85="")," · Monto pagado sin fecha","")="","OK",MID(IF($B85=""," · Falta fecha","")&amp;IF($C85=""," · Falta proveedor","")&amp;IF(AND($D85&lt;&gt;"",COUNTIF(tblProductos[SKU],$D85)=0)," · SKU no existe","")&amp;IF($D85=""," · Falta SKU","")&amp;IF(OR($G85="",NOT(ISNUMBER($G85)),$G85&lt;=0)," · Cantidad inválida","")&amp;IF($H85=""," · Falta costo unitario","")&amp;IF(AND($P85="Pagado",$Q85="")," · Pago sin fecha","")&amp;IF(AND(ISNUMBER($R85),ISNUMBER($M85),$R85&gt;N($M85)+0.01)," · Pagado &gt; total","")&amp;IF(AND(ISNUMBER($R85),$R85&gt;0,$Q85="")," · Monto pagado sin fecha",""),4,900)))</f>
        <v/>
      </c>
    </row>
    <row r="86">
      <c r="A86" s="51">
        <f>IF(COUNTA($B86,$C86,$D86,$G86,$H86)=0,"","C-"&amp;TEXT(ROW()-6,"0000"))</f>
        <v/>
      </c>
      <c r="B86" s="41" t="n"/>
      <c r="C86" s="33" t="n"/>
      <c r="D86" s="33" t="n"/>
      <c r="E86" s="51">
        <f>IF($D86="","",IFERROR(IF(INDEX(tblProductos[Nombre del producto],MATCH($D86,tblProductos[SKU],0))="","",INDEX(tblProductos[Nombre del producto],MATCH($D86,tblProductos[SKU],0))),""))</f>
        <v/>
      </c>
      <c r="F86" s="51">
        <f>IF($D86="","",IFERROR(IF(INDEX(tblProductos[Categoría],MATCH($D86,tblProductos[SKU],0))="","",INDEX(tblProductos[Categoría],MATCH($D86,tblProductos[SKU],0))),""))</f>
        <v/>
      </c>
      <c r="G86" s="34" t="n"/>
      <c r="H86" s="36" t="n"/>
      <c r="I86" s="37">
        <f>IF(OR($G86="",$H86=""),"",$G86*$H86)</f>
        <v/>
      </c>
      <c r="J86" s="36" t="n"/>
      <c r="K86" s="36" t="n"/>
      <c r="L86" s="36" t="n"/>
      <c r="M86" s="37">
        <f>IF(NOT(ISNUMBER($I86)),"",$I86+SUM($J86:$L86))</f>
        <v/>
      </c>
      <c r="N86" s="37">
        <f>IF(OR(NOT(ISNUMBER($M86)),NOT(ISNUMBER($G86)),$G86&lt;=0),"",$M86/$G86)</f>
        <v/>
      </c>
      <c r="O86" s="33" t="n"/>
      <c r="P86" s="33" t="n"/>
      <c r="Q86" s="41" t="n"/>
      <c r="R86" s="36" t="n"/>
      <c r="S86" s="37">
        <f>IF(NOT(ISNUMBER($M86)),"",$M86-IF(ISNUMBER($R86),$R86,0))</f>
        <v/>
      </c>
      <c r="T86" s="33" t="n"/>
      <c r="U86" s="51">
        <f>IF(COUNTA($B86,$C86,$D86,$G86,$H86)=0,"",IF(IF($B86=""," · Falta fecha","")&amp;IF($C86=""," · Falta proveedor","")&amp;IF(AND($D86&lt;&gt;"",COUNTIF(tblProductos[SKU],$D86)=0)," · SKU no existe","")&amp;IF($D86=""," · Falta SKU","")&amp;IF(OR($G86="",NOT(ISNUMBER($G86)),$G86&lt;=0)," · Cantidad inválida","")&amp;IF($H86=""," · Falta costo unitario","")&amp;IF(AND($P86="Pagado",$Q86="")," · Pago sin fecha","")&amp;IF(AND(ISNUMBER($R86),ISNUMBER($M86),$R86&gt;N($M86)+0.01)," · Pagado &gt; total","")&amp;IF(AND(ISNUMBER($R86),$R86&gt;0,$Q86="")," · Monto pagado sin fecha","")="","OK",MID(IF($B86=""," · Falta fecha","")&amp;IF($C86=""," · Falta proveedor","")&amp;IF(AND($D86&lt;&gt;"",COUNTIF(tblProductos[SKU],$D86)=0)," · SKU no existe","")&amp;IF($D86=""," · Falta SKU","")&amp;IF(OR($G86="",NOT(ISNUMBER($G86)),$G86&lt;=0)," · Cantidad inválida","")&amp;IF($H86=""," · Falta costo unitario","")&amp;IF(AND($P86="Pagado",$Q86="")," · Pago sin fecha","")&amp;IF(AND(ISNUMBER($R86),ISNUMBER($M86),$R86&gt;N($M86)+0.01)," · Pagado &gt; total","")&amp;IF(AND(ISNUMBER($R86),$R86&gt;0,$Q86="")," · Monto pagado sin fecha",""),4,900)))</f>
        <v/>
      </c>
    </row>
    <row r="87">
      <c r="A87" s="51">
        <f>IF(COUNTA($B87,$C87,$D87,$G87,$H87)=0,"","C-"&amp;TEXT(ROW()-6,"0000"))</f>
        <v/>
      </c>
      <c r="B87" s="41" t="n"/>
      <c r="C87" s="33" t="n"/>
      <c r="D87" s="33" t="n"/>
      <c r="E87" s="51">
        <f>IF($D87="","",IFERROR(IF(INDEX(tblProductos[Nombre del producto],MATCH($D87,tblProductos[SKU],0))="","",INDEX(tblProductos[Nombre del producto],MATCH($D87,tblProductos[SKU],0))),""))</f>
        <v/>
      </c>
      <c r="F87" s="51">
        <f>IF($D87="","",IFERROR(IF(INDEX(tblProductos[Categoría],MATCH($D87,tblProductos[SKU],0))="","",INDEX(tblProductos[Categoría],MATCH($D87,tblProductos[SKU],0))),""))</f>
        <v/>
      </c>
      <c r="G87" s="34" t="n"/>
      <c r="H87" s="36" t="n"/>
      <c r="I87" s="37">
        <f>IF(OR($G87="",$H87=""),"",$G87*$H87)</f>
        <v/>
      </c>
      <c r="J87" s="36" t="n"/>
      <c r="K87" s="36" t="n"/>
      <c r="L87" s="36" t="n"/>
      <c r="M87" s="37">
        <f>IF(NOT(ISNUMBER($I87)),"",$I87+SUM($J87:$L87))</f>
        <v/>
      </c>
      <c r="N87" s="37">
        <f>IF(OR(NOT(ISNUMBER($M87)),NOT(ISNUMBER($G87)),$G87&lt;=0),"",$M87/$G87)</f>
        <v/>
      </c>
      <c r="O87" s="33" t="n"/>
      <c r="P87" s="33" t="n"/>
      <c r="Q87" s="41" t="n"/>
      <c r="R87" s="36" t="n"/>
      <c r="S87" s="37">
        <f>IF(NOT(ISNUMBER($M87)),"",$M87-IF(ISNUMBER($R87),$R87,0))</f>
        <v/>
      </c>
      <c r="T87" s="33" t="n"/>
      <c r="U87" s="51">
        <f>IF(COUNTA($B87,$C87,$D87,$G87,$H87)=0,"",IF(IF($B87=""," · Falta fecha","")&amp;IF($C87=""," · Falta proveedor","")&amp;IF(AND($D87&lt;&gt;"",COUNTIF(tblProductos[SKU],$D87)=0)," · SKU no existe","")&amp;IF($D87=""," · Falta SKU","")&amp;IF(OR($G87="",NOT(ISNUMBER($G87)),$G87&lt;=0)," · Cantidad inválida","")&amp;IF($H87=""," · Falta costo unitario","")&amp;IF(AND($P87="Pagado",$Q87="")," · Pago sin fecha","")&amp;IF(AND(ISNUMBER($R87),ISNUMBER($M87),$R87&gt;N($M87)+0.01)," · Pagado &gt; total","")&amp;IF(AND(ISNUMBER($R87),$R87&gt;0,$Q87="")," · Monto pagado sin fecha","")="","OK",MID(IF($B87=""," · Falta fecha","")&amp;IF($C87=""," · Falta proveedor","")&amp;IF(AND($D87&lt;&gt;"",COUNTIF(tblProductos[SKU],$D87)=0)," · SKU no existe","")&amp;IF($D87=""," · Falta SKU","")&amp;IF(OR($G87="",NOT(ISNUMBER($G87)),$G87&lt;=0)," · Cantidad inválida","")&amp;IF($H87=""," · Falta costo unitario","")&amp;IF(AND($P87="Pagado",$Q87="")," · Pago sin fecha","")&amp;IF(AND(ISNUMBER($R87),ISNUMBER($M87),$R87&gt;N($M87)+0.01)," · Pagado &gt; total","")&amp;IF(AND(ISNUMBER($R87),$R87&gt;0,$Q87="")," · Monto pagado sin fecha",""),4,900)))</f>
        <v/>
      </c>
    </row>
    <row r="88">
      <c r="A88" s="51">
        <f>IF(COUNTA($B88,$C88,$D88,$G88,$H88)=0,"","C-"&amp;TEXT(ROW()-6,"0000"))</f>
        <v/>
      </c>
      <c r="B88" s="41" t="n"/>
      <c r="C88" s="33" t="n"/>
      <c r="D88" s="33" t="n"/>
      <c r="E88" s="51">
        <f>IF($D88="","",IFERROR(IF(INDEX(tblProductos[Nombre del producto],MATCH($D88,tblProductos[SKU],0))="","",INDEX(tblProductos[Nombre del producto],MATCH($D88,tblProductos[SKU],0))),""))</f>
        <v/>
      </c>
      <c r="F88" s="51">
        <f>IF($D88="","",IFERROR(IF(INDEX(tblProductos[Categoría],MATCH($D88,tblProductos[SKU],0))="","",INDEX(tblProductos[Categoría],MATCH($D88,tblProductos[SKU],0))),""))</f>
        <v/>
      </c>
      <c r="G88" s="34" t="n"/>
      <c r="H88" s="36" t="n"/>
      <c r="I88" s="37">
        <f>IF(OR($G88="",$H88=""),"",$G88*$H88)</f>
        <v/>
      </c>
      <c r="J88" s="36" t="n"/>
      <c r="K88" s="36" t="n"/>
      <c r="L88" s="36" t="n"/>
      <c r="M88" s="37">
        <f>IF(NOT(ISNUMBER($I88)),"",$I88+SUM($J88:$L88))</f>
        <v/>
      </c>
      <c r="N88" s="37">
        <f>IF(OR(NOT(ISNUMBER($M88)),NOT(ISNUMBER($G88)),$G88&lt;=0),"",$M88/$G88)</f>
        <v/>
      </c>
      <c r="O88" s="33" t="n"/>
      <c r="P88" s="33" t="n"/>
      <c r="Q88" s="41" t="n"/>
      <c r="R88" s="36" t="n"/>
      <c r="S88" s="37">
        <f>IF(NOT(ISNUMBER($M88)),"",$M88-IF(ISNUMBER($R88),$R88,0))</f>
        <v/>
      </c>
      <c r="T88" s="33" t="n"/>
      <c r="U88" s="51">
        <f>IF(COUNTA($B88,$C88,$D88,$G88,$H88)=0,"",IF(IF($B88=""," · Falta fecha","")&amp;IF($C88=""," · Falta proveedor","")&amp;IF(AND($D88&lt;&gt;"",COUNTIF(tblProductos[SKU],$D88)=0)," · SKU no existe","")&amp;IF($D88=""," · Falta SKU","")&amp;IF(OR($G88="",NOT(ISNUMBER($G88)),$G88&lt;=0)," · Cantidad inválida","")&amp;IF($H88=""," · Falta costo unitario","")&amp;IF(AND($P88="Pagado",$Q88="")," · Pago sin fecha","")&amp;IF(AND(ISNUMBER($R88),ISNUMBER($M88),$R88&gt;N($M88)+0.01)," · Pagado &gt; total","")&amp;IF(AND(ISNUMBER($R88),$R88&gt;0,$Q88="")," · Monto pagado sin fecha","")="","OK",MID(IF($B88=""," · Falta fecha","")&amp;IF($C88=""," · Falta proveedor","")&amp;IF(AND($D88&lt;&gt;"",COUNTIF(tblProductos[SKU],$D88)=0)," · SKU no existe","")&amp;IF($D88=""," · Falta SKU","")&amp;IF(OR($G88="",NOT(ISNUMBER($G88)),$G88&lt;=0)," · Cantidad inválida","")&amp;IF($H88=""," · Falta costo unitario","")&amp;IF(AND($P88="Pagado",$Q88="")," · Pago sin fecha","")&amp;IF(AND(ISNUMBER($R88),ISNUMBER($M88),$R88&gt;N($M88)+0.01)," · Pagado &gt; total","")&amp;IF(AND(ISNUMBER($R88),$R88&gt;0,$Q88="")," · Monto pagado sin fecha",""),4,900)))</f>
        <v/>
      </c>
    </row>
    <row r="89">
      <c r="A89" s="51">
        <f>IF(COUNTA($B89,$C89,$D89,$G89,$H89)=0,"","C-"&amp;TEXT(ROW()-6,"0000"))</f>
        <v/>
      </c>
      <c r="B89" s="41" t="n"/>
      <c r="C89" s="33" t="n"/>
      <c r="D89" s="33" t="n"/>
      <c r="E89" s="51">
        <f>IF($D89="","",IFERROR(IF(INDEX(tblProductos[Nombre del producto],MATCH($D89,tblProductos[SKU],0))="","",INDEX(tblProductos[Nombre del producto],MATCH($D89,tblProductos[SKU],0))),""))</f>
        <v/>
      </c>
      <c r="F89" s="51">
        <f>IF($D89="","",IFERROR(IF(INDEX(tblProductos[Categoría],MATCH($D89,tblProductos[SKU],0))="","",INDEX(tblProductos[Categoría],MATCH($D89,tblProductos[SKU],0))),""))</f>
        <v/>
      </c>
      <c r="G89" s="34" t="n"/>
      <c r="H89" s="36" t="n"/>
      <c r="I89" s="37">
        <f>IF(OR($G89="",$H89=""),"",$G89*$H89)</f>
        <v/>
      </c>
      <c r="J89" s="36" t="n"/>
      <c r="K89" s="36" t="n"/>
      <c r="L89" s="36" t="n"/>
      <c r="M89" s="37">
        <f>IF(NOT(ISNUMBER($I89)),"",$I89+SUM($J89:$L89))</f>
        <v/>
      </c>
      <c r="N89" s="37">
        <f>IF(OR(NOT(ISNUMBER($M89)),NOT(ISNUMBER($G89)),$G89&lt;=0),"",$M89/$G89)</f>
        <v/>
      </c>
      <c r="O89" s="33" t="n"/>
      <c r="P89" s="33" t="n"/>
      <c r="Q89" s="41" t="n"/>
      <c r="R89" s="36" t="n"/>
      <c r="S89" s="37">
        <f>IF(NOT(ISNUMBER($M89)),"",$M89-IF(ISNUMBER($R89),$R89,0))</f>
        <v/>
      </c>
      <c r="T89" s="33" t="n"/>
      <c r="U89" s="51">
        <f>IF(COUNTA($B89,$C89,$D89,$G89,$H89)=0,"",IF(IF($B89=""," · Falta fecha","")&amp;IF($C89=""," · Falta proveedor","")&amp;IF(AND($D89&lt;&gt;"",COUNTIF(tblProductos[SKU],$D89)=0)," · SKU no existe","")&amp;IF($D89=""," · Falta SKU","")&amp;IF(OR($G89="",NOT(ISNUMBER($G89)),$G89&lt;=0)," · Cantidad inválida","")&amp;IF($H89=""," · Falta costo unitario","")&amp;IF(AND($P89="Pagado",$Q89="")," · Pago sin fecha","")&amp;IF(AND(ISNUMBER($R89),ISNUMBER($M89),$R89&gt;N($M89)+0.01)," · Pagado &gt; total","")&amp;IF(AND(ISNUMBER($R89),$R89&gt;0,$Q89="")," · Monto pagado sin fecha","")="","OK",MID(IF($B89=""," · Falta fecha","")&amp;IF($C89=""," · Falta proveedor","")&amp;IF(AND($D89&lt;&gt;"",COUNTIF(tblProductos[SKU],$D89)=0)," · SKU no existe","")&amp;IF($D89=""," · Falta SKU","")&amp;IF(OR($G89="",NOT(ISNUMBER($G89)),$G89&lt;=0)," · Cantidad inválida","")&amp;IF($H89=""," · Falta costo unitario","")&amp;IF(AND($P89="Pagado",$Q89="")," · Pago sin fecha","")&amp;IF(AND(ISNUMBER($R89),ISNUMBER($M89),$R89&gt;N($M89)+0.01)," · Pagado &gt; total","")&amp;IF(AND(ISNUMBER($R89),$R89&gt;0,$Q89="")," · Monto pagado sin fecha",""),4,900)))</f>
        <v/>
      </c>
    </row>
    <row r="90">
      <c r="A90" s="51">
        <f>IF(COUNTA($B90,$C90,$D90,$G90,$H90)=0,"","C-"&amp;TEXT(ROW()-6,"0000"))</f>
        <v/>
      </c>
      <c r="B90" s="41" t="n"/>
      <c r="C90" s="33" t="n"/>
      <c r="D90" s="33" t="n"/>
      <c r="E90" s="51">
        <f>IF($D90="","",IFERROR(IF(INDEX(tblProductos[Nombre del producto],MATCH($D90,tblProductos[SKU],0))="","",INDEX(tblProductos[Nombre del producto],MATCH($D90,tblProductos[SKU],0))),""))</f>
        <v/>
      </c>
      <c r="F90" s="51">
        <f>IF($D90="","",IFERROR(IF(INDEX(tblProductos[Categoría],MATCH($D90,tblProductos[SKU],0))="","",INDEX(tblProductos[Categoría],MATCH($D90,tblProductos[SKU],0))),""))</f>
        <v/>
      </c>
      <c r="G90" s="34" t="n"/>
      <c r="H90" s="36" t="n"/>
      <c r="I90" s="37">
        <f>IF(OR($G90="",$H90=""),"",$G90*$H90)</f>
        <v/>
      </c>
      <c r="J90" s="36" t="n"/>
      <c r="K90" s="36" t="n"/>
      <c r="L90" s="36" t="n"/>
      <c r="M90" s="37">
        <f>IF(NOT(ISNUMBER($I90)),"",$I90+SUM($J90:$L90))</f>
        <v/>
      </c>
      <c r="N90" s="37">
        <f>IF(OR(NOT(ISNUMBER($M90)),NOT(ISNUMBER($G90)),$G90&lt;=0),"",$M90/$G90)</f>
        <v/>
      </c>
      <c r="O90" s="33" t="n"/>
      <c r="P90" s="33" t="n"/>
      <c r="Q90" s="41" t="n"/>
      <c r="R90" s="36" t="n"/>
      <c r="S90" s="37">
        <f>IF(NOT(ISNUMBER($M90)),"",$M90-IF(ISNUMBER($R90),$R90,0))</f>
        <v/>
      </c>
      <c r="T90" s="33" t="n"/>
      <c r="U90" s="51">
        <f>IF(COUNTA($B90,$C90,$D90,$G90,$H90)=0,"",IF(IF($B90=""," · Falta fecha","")&amp;IF($C90=""," · Falta proveedor","")&amp;IF(AND($D90&lt;&gt;"",COUNTIF(tblProductos[SKU],$D90)=0)," · SKU no existe","")&amp;IF($D90=""," · Falta SKU","")&amp;IF(OR($G90="",NOT(ISNUMBER($G90)),$G90&lt;=0)," · Cantidad inválida","")&amp;IF($H90=""," · Falta costo unitario","")&amp;IF(AND($P90="Pagado",$Q90="")," · Pago sin fecha","")&amp;IF(AND(ISNUMBER($R90),ISNUMBER($M90),$R90&gt;N($M90)+0.01)," · Pagado &gt; total","")&amp;IF(AND(ISNUMBER($R90),$R90&gt;0,$Q90="")," · Monto pagado sin fecha","")="","OK",MID(IF($B90=""," · Falta fecha","")&amp;IF($C90=""," · Falta proveedor","")&amp;IF(AND($D90&lt;&gt;"",COUNTIF(tblProductos[SKU],$D90)=0)," · SKU no existe","")&amp;IF($D90=""," · Falta SKU","")&amp;IF(OR($G90="",NOT(ISNUMBER($G90)),$G90&lt;=0)," · Cantidad inválida","")&amp;IF($H90=""," · Falta costo unitario","")&amp;IF(AND($P90="Pagado",$Q90="")," · Pago sin fecha","")&amp;IF(AND(ISNUMBER($R90),ISNUMBER($M90),$R90&gt;N($M90)+0.01)," · Pagado &gt; total","")&amp;IF(AND(ISNUMBER($R90),$R90&gt;0,$Q90="")," · Monto pagado sin fecha",""),4,900)))</f>
        <v/>
      </c>
    </row>
    <row r="91">
      <c r="A91" s="51">
        <f>IF(COUNTA($B91,$C91,$D91,$G91,$H91)=0,"","C-"&amp;TEXT(ROW()-6,"0000"))</f>
        <v/>
      </c>
      <c r="B91" s="41" t="n"/>
      <c r="C91" s="33" t="n"/>
      <c r="D91" s="33" t="n"/>
      <c r="E91" s="51">
        <f>IF($D91="","",IFERROR(IF(INDEX(tblProductos[Nombre del producto],MATCH($D91,tblProductos[SKU],0))="","",INDEX(tblProductos[Nombre del producto],MATCH($D91,tblProductos[SKU],0))),""))</f>
        <v/>
      </c>
      <c r="F91" s="51">
        <f>IF($D91="","",IFERROR(IF(INDEX(tblProductos[Categoría],MATCH($D91,tblProductos[SKU],0))="","",INDEX(tblProductos[Categoría],MATCH($D91,tblProductos[SKU],0))),""))</f>
        <v/>
      </c>
      <c r="G91" s="34" t="n"/>
      <c r="H91" s="36" t="n"/>
      <c r="I91" s="37">
        <f>IF(OR($G91="",$H91=""),"",$G91*$H91)</f>
        <v/>
      </c>
      <c r="J91" s="36" t="n"/>
      <c r="K91" s="36" t="n"/>
      <c r="L91" s="36" t="n"/>
      <c r="M91" s="37">
        <f>IF(NOT(ISNUMBER($I91)),"",$I91+SUM($J91:$L91))</f>
        <v/>
      </c>
      <c r="N91" s="37">
        <f>IF(OR(NOT(ISNUMBER($M91)),NOT(ISNUMBER($G91)),$G91&lt;=0),"",$M91/$G91)</f>
        <v/>
      </c>
      <c r="O91" s="33" t="n"/>
      <c r="P91" s="33" t="n"/>
      <c r="Q91" s="41" t="n"/>
      <c r="R91" s="36" t="n"/>
      <c r="S91" s="37">
        <f>IF(NOT(ISNUMBER($M91)),"",$M91-IF(ISNUMBER($R91),$R91,0))</f>
        <v/>
      </c>
      <c r="T91" s="33" t="n"/>
      <c r="U91" s="51">
        <f>IF(COUNTA($B91,$C91,$D91,$G91,$H91)=0,"",IF(IF($B91=""," · Falta fecha","")&amp;IF($C91=""," · Falta proveedor","")&amp;IF(AND($D91&lt;&gt;"",COUNTIF(tblProductos[SKU],$D91)=0)," · SKU no existe","")&amp;IF($D91=""," · Falta SKU","")&amp;IF(OR($G91="",NOT(ISNUMBER($G91)),$G91&lt;=0)," · Cantidad inválida","")&amp;IF($H91=""," · Falta costo unitario","")&amp;IF(AND($P91="Pagado",$Q91="")," · Pago sin fecha","")&amp;IF(AND(ISNUMBER($R91),ISNUMBER($M91),$R91&gt;N($M91)+0.01)," · Pagado &gt; total","")&amp;IF(AND(ISNUMBER($R91),$R91&gt;0,$Q91="")," · Monto pagado sin fecha","")="","OK",MID(IF($B91=""," · Falta fecha","")&amp;IF($C91=""," · Falta proveedor","")&amp;IF(AND($D91&lt;&gt;"",COUNTIF(tblProductos[SKU],$D91)=0)," · SKU no existe","")&amp;IF($D91=""," · Falta SKU","")&amp;IF(OR($G91="",NOT(ISNUMBER($G91)),$G91&lt;=0)," · Cantidad inválida","")&amp;IF($H91=""," · Falta costo unitario","")&amp;IF(AND($P91="Pagado",$Q91="")," · Pago sin fecha","")&amp;IF(AND(ISNUMBER($R91),ISNUMBER($M91),$R91&gt;N($M91)+0.01)," · Pagado &gt; total","")&amp;IF(AND(ISNUMBER($R91),$R91&gt;0,$Q91="")," · Monto pagado sin fecha",""),4,900)))</f>
        <v/>
      </c>
    </row>
    <row r="92">
      <c r="A92" s="51">
        <f>IF(COUNTA($B92,$C92,$D92,$G92,$H92)=0,"","C-"&amp;TEXT(ROW()-6,"0000"))</f>
        <v/>
      </c>
      <c r="B92" s="41" t="n"/>
      <c r="C92" s="33" t="n"/>
      <c r="D92" s="33" t="n"/>
      <c r="E92" s="51">
        <f>IF($D92="","",IFERROR(IF(INDEX(tblProductos[Nombre del producto],MATCH($D92,tblProductos[SKU],0))="","",INDEX(tblProductos[Nombre del producto],MATCH($D92,tblProductos[SKU],0))),""))</f>
        <v/>
      </c>
      <c r="F92" s="51">
        <f>IF($D92="","",IFERROR(IF(INDEX(tblProductos[Categoría],MATCH($D92,tblProductos[SKU],0))="","",INDEX(tblProductos[Categoría],MATCH($D92,tblProductos[SKU],0))),""))</f>
        <v/>
      </c>
      <c r="G92" s="34" t="n"/>
      <c r="H92" s="36" t="n"/>
      <c r="I92" s="37">
        <f>IF(OR($G92="",$H92=""),"",$G92*$H92)</f>
        <v/>
      </c>
      <c r="J92" s="36" t="n"/>
      <c r="K92" s="36" t="n"/>
      <c r="L92" s="36" t="n"/>
      <c r="M92" s="37">
        <f>IF(NOT(ISNUMBER($I92)),"",$I92+SUM($J92:$L92))</f>
        <v/>
      </c>
      <c r="N92" s="37">
        <f>IF(OR(NOT(ISNUMBER($M92)),NOT(ISNUMBER($G92)),$G92&lt;=0),"",$M92/$G92)</f>
        <v/>
      </c>
      <c r="O92" s="33" t="n"/>
      <c r="P92" s="33" t="n"/>
      <c r="Q92" s="41" t="n"/>
      <c r="R92" s="36" t="n"/>
      <c r="S92" s="37">
        <f>IF(NOT(ISNUMBER($M92)),"",$M92-IF(ISNUMBER($R92),$R92,0))</f>
        <v/>
      </c>
      <c r="T92" s="33" t="n"/>
      <c r="U92" s="51">
        <f>IF(COUNTA($B92,$C92,$D92,$G92,$H92)=0,"",IF(IF($B92=""," · Falta fecha","")&amp;IF($C92=""," · Falta proveedor","")&amp;IF(AND($D92&lt;&gt;"",COUNTIF(tblProductos[SKU],$D92)=0)," · SKU no existe","")&amp;IF($D92=""," · Falta SKU","")&amp;IF(OR($G92="",NOT(ISNUMBER($G92)),$G92&lt;=0)," · Cantidad inválida","")&amp;IF($H92=""," · Falta costo unitario","")&amp;IF(AND($P92="Pagado",$Q92="")," · Pago sin fecha","")&amp;IF(AND(ISNUMBER($R92),ISNUMBER($M92),$R92&gt;N($M92)+0.01)," · Pagado &gt; total","")&amp;IF(AND(ISNUMBER($R92),$R92&gt;0,$Q92="")," · Monto pagado sin fecha","")="","OK",MID(IF($B92=""," · Falta fecha","")&amp;IF($C92=""," · Falta proveedor","")&amp;IF(AND($D92&lt;&gt;"",COUNTIF(tblProductos[SKU],$D92)=0)," · SKU no existe","")&amp;IF($D92=""," · Falta SKU","")&amp;IF(OR($G92="",NOT(ISNUMBER($G92)),$G92&lt;=0)," · Cantidad inválida","")&amp;IF($H92=""," · Falta costo unitario","")&amp;IF(AND($P92="Pagado",$Q92="")," · Pago sin fecha","")&amp;IF(AND(ISNUMBER($R92),ISNUMBER($M92),$R92&gt;N($M92)+0.01)," · Pagado &gt; total","")&amp;IF(AND(ISNUMBER($R92),$R92&gt;0,$Q92="")," · Monto pagado sin fecha",""),4,900)))</f>
        <v/>
      </c>
    </row>
    <row r="93">
      <c r="A93" s="51">
        <f>IF(COUNTA($B93,$C93,$D93,$G93,$H93)=0,"","C-"&amp;TEXT(ROW()-6,"0000"))</f>
        <v/>
      </c>
      <c r="B93" s="41" t="n"/>
      <c r="C93" s="33" t="n"/>
      <c r="D93" s="33" t="n"/>
      <c r="E93" s="51">
        <f>IF($D93="","",IFERROR(IF(INDEX(tblProductos[Nombre del producto],MATCH($D93,tblProductos[SKU],0))="","",INDEX(tblProductos[Nombre del producto],MATCH($D93,tblProductos[SKU],0))),""))</f>
        <v/>
      </c>
      <c r="F93" s="51">
        <f>IF($D93="","",IFERROR(IF(INDEX(tblProductos[Categoría],MATCH($D93,tblProductos[SKU],0))="","",INDEX(tblProductos[Categoría],MATCH($D93,tblProductos[SKU],0))),""))</f>
        <v/>
      </c>
      <c r="G93" s="34" t="n"/>
      <c r="H93" s="36" t="n"/>
      <c r="I93" s="37">
        <f>IF(OR($G93="",$H93=""),"",$G93*$H93)</f>
        <v/>
      </c>
      <c r="J93" s="36" t="n"/>
      <c r="K93" s="36" t="n"/>
      <c r="L93" s="36" t="n"/>
      <c r="M93" s="37">
        <f>IF(NOT(ISNUMBER($I93)),"",$I93+SUM($J93:$L93))</f>
        <v/>
      </c>
      <c r="N93" s="37">
        <f>IF(OR(NOT(ISNUMBER($M93)),NOT(ISNUMBER($G93)),$G93&lt;=0),"",$M93/$G93)</f>
        <v/>
      </c>
      <c r="O93" s="33" t="n"/>
      <c r="P93" s="33" t="n"/>
      <c r="Q93" s="41" t="n"/>
      <c r="R93" s="36" t="n"/>
      <c r="S93" s="37">
        <f>IF(NOT(ISNUMBER($M93)),"",$M93-IF(ISNUMBER($R93),$R93,0))</f>
        <v/>
      </c>
      <c r="T93" s="33" t="n"/>
      <c r="U93" s="51">
        <f>IF(COUNTA($B93,$C93,$D93,$G93,$H93)=0,"",IF(IF($B93=""," · Falta fecha","")&amp;IF($C93=""," · Falta proveedor","")&amp;IF(AND($D93&lt;&gt;"",COUNTIF(tblProductos[SKU],$D93)=0)," · SKU no existe","")&amp;IF($D93=""," · Falta SKU","")&amp;IF(OR($G93="",NOT(ISNUMBER($G93)),$G93&lt;=0)," · Cantidad inválida","")&amp;IF($H93=""," · Falta costo unitario","")&amp;IF(AND($P93="Pagado",$Q93="")," · Pago sin fecha","")&amp;IF(AND(ISNUMBER($R93),ISNUMBER($M93),$R93&gt;N($M93)+0.01)," · Pagado &gt; total","")&amp;IF(AND(ISNUMBER($R93),$R93&gt;0,$Q93="")," · Monto pagado sin fecha","")="","OK",MID(IF($B93=""," · Falta fecha","")&amp;IF($C93=""," · Falta proveedor","")&amp;IF(AND($D93&lt;&gt;"",COUNTIF(tblProductos[SKU],$D93)=0)," · SKU no existe","")&amp;IF($D93=""," · Falta SKU","")&amp;IF(OR($G93="",NOT(ISNUMBER($G93)),$G93&lt;=0)," · Cantidad inválida","")&amp;IF($H93=""," · Falta costo unitario","")&amp;IF(AND($P93="Pagado",$Q93="")," · Pago sin fecha","")&amp;IF(AND(ISNUMBER($R93),ISNUMBER($M93),$R93&gt;N($M93)+0.01)," · Pagado &gt; total","")&amp;IF(AND(ISNUMBER($R93),$R93&gt;0,$Q93="")," · Monto pagado sin fecha",""),4,900)))</f>
        <v/>
      </c>
    </row>
    <row r="94">
      <c r="A94" s="51">
        <f>IF(COUNTA($B94,$C94,$D94,$G94,$H94)=0,"","C-"&amp;TEXT(ROW()-6,"0000"))</f>
        <v/>
      </c>
      <c r="B94" s="41" t="n"/>
      <c r="C94" s="33" t="n"/>
      <c r="D94" s="33" t="n"/>
      <c r="E94" s="51">
        <f>IF($D94="","",IFERROR(IF(INDEX(tblProductos[Nombre del producto],MATCH($D94,tblProductos[SKU],0))="","",INDEX(tblProductos[Nombre del producto],MATCH($D94,tblProductos[SKU],0))),""))</f>
        <v/>
      </c>
      <c r="F94" s="51">
        <f>IF($D94="","",IFERROR(IF(INDEX(tblProductos[Categoría],MATCH($D94,tblProductos[SKU],0))="","",INDEX(tblProductos[Categoría],MATCH($D94,tblProductos[SKU],0))),""))</f>
        <v/>
      </c>
      <c r="G94" s="34" t="n"/>
      <c r="H94" s="36" t="n"/>
      <c r="I94" s="37">
        <f>IF(OR($G94="",$H94=""),"",$G94*$H94)</f>
        <v/>
      </c>
      <c r="J94" s="36" t="n"/>
      <c r="K94" s="36" t="n"/>
      <c r="L94" s="36" t="n"/>
      <c r="M94" s="37">
        <f>IF(NOT(ISNUMBER($I94)),"",$I94+SUM($J94:$L94))</f>
        <v/>
      </c>
      <c r="N94" s="37">
        <f>IF(OR(NOT(ISNUMBER($M94)),NOT(ISNUMBER($G94)),$G94&lt;=0),"",$M94/$G94)</f>
        <v/>
      </c>
      <c r="O94" s="33" t="n"/>
      <c r="P94" s="33" t="n"/>
      <c r="Q94" s="41" t="n"/>
      <c r="R94" s="36" t="n"/>
      <c r="S94" s="37">
        <f>IF(NOT(ISNUMBER($M94)),"",$M94-IF(ISNUMBER($R94),$R94,0))</f>
        <v/>
      </c>
      <c r="T94" s="33" t="n"/>
      <c r="U94" s="51">
        <f>IF(COUNTA($B94,$C94,$D94,$G94,$H94)=0,"",IF(IF($B94=""," · Falta fecha","")&amp;IF($C94=""," · Falta proveedor","")&amp;IF(AND($D94&lt;&gt;"",COUNTIF(tblProductos[SKU],$D94)=0)," · SKU no existe","")&amp;IF($D94=""," · Falta SKU","")&amp;IF(OR($G94="",NOT(ISNUMBER($G94)),$G94&lt;=0)," · Cantidad inválida","")&amp;IF($H94=""," · Falta costo unitario","")&amp;IF(AND($P94="Pagado",$Q94="")," · Pago sin fecha","")&amp;IF(AND(ISNUMBER($R94),ISNUMBER($M94),$R94&gt;N($M94)+0.01)," · Pagado &gt; total","")&amp;IF(AND(ISNUMBER($R94),$R94&gt;0,$Q94="")," · Monto pagado sin fecha","")="","OK",MID(IF($B94=""," · Falta fecha","")&amp;IF($C94=""," · Falta proveedor","")&amp;IF(AND($D94&lt;&gt;"",COUNTIF(tblProductos[SKU],$D94)=0)," · SKU no existe","")&amp;IF($D94=""," · Falta SKU","")&amp;IF(OR($G94="",NOT(ISNUMBER($G94)),$G94&lt;=0)," · Cantidad inválida","")&amp;IF($H94=""," · Falta costo unitario","")&amp;IF(AND($P94="Pagado",$Q94="")," · Pago sin fecha","")&amp;IF(AND(ISNUMBER($R94),ISNUMBER($M94),$R94&gt;N($M94)+0.01)," · Pagado &gt; total","")&amp;IF(AND(ISNUMBER($R94),$R94&gt;0,$Q94="")," · Monto pagado sin fecha",""),4,900)))</f>
        <v/>
      </c>
    </row>
    <row r="95">
      <c r="A95" s="51">
        <f>IF(COUNTA($B95,$C95,$D95,$G95,$H95)=0,"","C-"&amp;TEXT(ROW()-6,"0000"))</f>
        <v/>
      </c>
      <c r="B95" s="41" t="n"/>
      <c r="C95" s="33" t="n"/>
      <c r="D95" s="33" t="n"/>
      <c r="E95" s="51">
        <f>IF($D95="","",IFERROR(IF(INDEX(tblProductos[Nombre del producto],MATCH($D95,tblProductos[SKU],0))="","",INDEX(tblProductos[Nombre del producto],MATCH($D95,tblProductos[SKU],0))),""))</f>
        <v/>
      </c>
      <c r="F95" s="51">
        <f>IF($D95="","",IFERROR(IF(INDEX(tblProductos[Categoría],MATCH($D95,tblProductos[SKU],0))="","",INDEX(tblProductos[Categoría],MATCH($D95,tblProductos[SKU],0))),""))</f>
        <v/>
      </c>
      <c r="G95" s="34" t="n"/>
      <c r="H95" s="36" t="n"/>
      <c r="I95" s="37">
        <f>IF(OR($G95="",$H95=""),"",$G95*$H95)</f>
        <v/>
      </c>
      <c r="J95" s="36" t="n"/>
      <c r="K95" s="36" t="n"/>
      <c r="L95" s="36" t="n"/>
      <c r="M95" s="37">
        <f>IF(NOT(ISNUMBER($I95)),"",$I95+SUM($J95:$L95))</f>
        <v/>
      </c>
      <c r="N95" s="37">
        <f>IF(OR(NOT(ISNUMBER($M95)),NOT(ISNUMBER($G95)),$G95&lt;=0),"",$M95/$G95)</f>
        <v/>
      </c>
      <c r="O95" s="33" t="n"/>
      <c r="P95" s="33" t="n"/>
      <c r="Q95" s="41" t="n"/>
      <c r="R95" s="36" t="n"/>
      <c r="S95" s="37">
        <f>IF(NOT(ISNUMBER($M95)),"",$M95-IF(ISNUMBER($R95),$R95,0))</f>
        <v/>
      </c>
      <c r="T95" s="33" t="n"/>
      <c r="U95" s="51">
        <f>IF(COUNTA($B95,$C95,$D95,$G95,$H95)=0,"",IF(IF($B95=""," · Falta fecha","")&amp;IF($C95=""," · Falta proveedor","")&amp;IF(AND($D95&lt;&gt;"",COUNTIF(tblProductos[SKU],$D95)=0)," · SKU no existe","")&amp;IF($D95=""," · Falta SKU","")&amp;IF(OR($G95="",NOT(ISNUMBER($G95)),$G95&lt;=0)," · Cantidad inválida","")&amp;IF($H95=""," · Falta costo unitario","")&amp;IF(AND($P95="Pagado",$Q95="")," · Pago sin fecha","")&amp;IF(AND(ISNUMBER($R95),ISNUMBER($M95),$R95&gt;N($M95)+0.01)," · Pagado &gt; total","")&amp;IF(AND(ISNUMBER($R95),$R95&gt;0,$Q95="")," · Monto pagado sin fecha","")="","OK",MID(IF($B95=""," · Falta fecha","")&amp;IF($C95=""," · Falta proveedor","")&amp;IF(AND($D95&lt;&gt;"",COUNTIF(tblProductos[SKU],$D95)=0)," · SKU no existe","")&amp;IF($D95=""," · Falta SKU","")&amp;IF(OR($G95="",NOT(ISNUMBER($G95)),$G95&lt;=0)," · Cantidad inválida","")&amp;IF($H95=""," · Falta costo unitario","")&amp;IF(AND($P95="Pagado",$Q95="")," · Pago sin fecha","")&amp;IF(AND(ISNUMBER($R95),ISNUMBER($M95),$R95&gt;N($M95)+0.01)," · Pagado &gt; total","")&amp;IF(AND(ISNUMBER($R95),$R95&gt;0,$Q95="")," · Monto pagado sin fecha",""),4,900)))</f>
        <v/>
      </c>
    </row>
    <row r="96">
      <c r="A96" s="51">
        <f>IF(COUNTA($B96,$C96,$D96,$G96,$H96)=0,"","C-"&amp;TEXT(ROW()-6,"0000"))</f>
        <v/>
      </c>
      <c r="B96" s="41" t="n"/>
      <c r="C96" s="33" t="n"/>
      <c r="D96" s="33" t="n"/>
      <c r="E96" s="51">
        <f>IF($D96="","",IFERROR(IF(INDEX(tblProductos[Nombre del producto],MATCH($D96,tblProductos[SKU],0))="","",INDEX(tblProductos[Nombre del producto],MATCH($D96,tblProductos[SKU],0))),""))</f>
        <v/>
      </c>
      <c r="F96" s="51">
        <f>IF($D96="","",IFERROR(IF(INDEX(tblProductos[Categoría],MATCH($D96,tblProductos[SKU],0))="","",INDEX(tblProductos[Categoría],MATCH($D96,tblProductos[SKU],0))),""))</f>
        <v/>
      </c>
      <c r="G96" s="34" t="n"/>
      <c r="H96" s="36" t="n"/>
      <c r="I96" s="37">
        <f>IF(OR($G96="",$H96=""),"",$G96*$H96)</f>
        <v/>
      </c>
      <c r="J96" s="36" t="n"/>
      <c r="K96" s="36" t="n"/>
      <c r="L96" s="36" t="n"/>
      <c r="M96" s="37">
        <f>IF(NOT(ISNUMBER($I96)),"",$I96+SUM($J96:$L96))</f>
        <v/>
      </c>
      <c r="N96" s="37">
        <f>IF(OR(NOT(ISNUMBER($M96)),NOT(ISNUMBER($G96)),$G96&lt;=0),"",$M96/$G96)</f>
        <v/>
      </c>
      <c r="O96" s="33" t="n"/>
      <c r="P96" s="33" t="n"/>
      <c r="Q96" s="41" t="n"/>
      <c r="R96" s="36" t="n"/>
      <c r="S96" s="37">
        <f>IF(NOT(ISNUMBER($M96)),"",$M96-IF(ISNUMBER($R96),$R96,0))</f>
        <v/>
      </c>
      <c r="T96" s="33" t="n"/>
      <c r="U96" s="51">
        <f>IF(COUNTA($B96,$C96,$D96,$G96,$H96)=0,"",IF(IF($B96=""," · Falta fecha","")&amp;IF($C96=""," · Falta proveedor","")&amp;IF(AND($D96&lt;&gt;"",COUNTIF(tblProductos[SKU],$D96)=0)," · SKU no existe","")&amp;IF($D96=""," · Falta SKU","")&amp;IF(OR($G96="",NOT(ISNUMBER($G96)),$G96&lt;=0)," · Cantidad inválida","")&amp;IF($H96=""," · Falta costo unitario","")&amp;IF(AND($P96="Pagado",$Q96="")," · Pago sin fecha","")&amp;IF(AND(ISNUMBER($R96),ISNUMBER($M96),$R96&gt;N($M96)+0.01)," · Pagado &gt; total","")&amp;IF(AND(ISNUMBER($R96),$R96&gt;0,$Q96="")," · Monto pagado sin fecha","")="","OK",MID(IF($B96=""," · Falta fecha","")&amp;IF($C96=""," · Falta proveedor","")&amp;IF(AND($D96&lt;&gt;"",COUNTIF(tblProductos[SKU],$D96)=0)," · SKU no existe","")&amp;IF($D96=""," · Falta SKU","")&amp;IF(OR($G96="",NOT(ISNUMBER($G96)),$G96&lt;=0)," · Cantidad inválida","")&amp;IF($H96=""," · Falta costo unitario","")&amp;IF(AND($P96="Pagado",$Q96="")," · Pago sin fecha","")&amp;IF(AND(ISNUMBER($R96),ISNUMBER($M96),$R96&gt;N($M96)+0.01)," · Pagado &gt; total","")&amp;IF(AND(ISNUMBER($R96),$R96&gt;0,$Q96="")," · Monto pagado sin fecha",""),4,900)))</f>
        <v/>
      </c>
    </row>
    <row r="97">
      <c r="A97" s="51">
        <f>IF(COUNTA($B97,$C97,$D97,$G97,$H97)=0,"","C-"&amp;TEXT(ROW()-6,"0000"))</f>
        <v/>
      </c>
      <c r="B97" s="41" t="n"/>
      <c r="C97" s="33" t="n"/>
      <c r="D97" s="33" t="n"/>
      <c r="E97" s="51">
        <f>IF($D97="","",IFERROR(IF(INDEX(tblProductos[Nombre del producto],MATCH($D97,tblProductos[SKU],0))="","",INDEX(tblProductos[Nombre del producto],MATCH($D97,tblProductos[SKU],0))),""))</f>
        <v/>
      </c>
      <c r="F97" s="51">
        <f>IF($D97="","",IFERROR(IF(INDEX(tblProductos[Categoría],MATCH($D97,tblProductos[SKU],0))="","",INDEX(tblProductos[Categoría],MATCH($D97,tblProductos[SKU],0))),""))</f>
        <v/>
      </c>
      <c r="G97" s="34" t="n"/>
      <c r="H97" s="36" t="n"/>
      <c r="I97" s="37">
        <f>IF(OR($G97="",$H97=""),"",$G97*$H97)</f>
        <v/>
      </c>
      <c r="J97" s="36" t="n"/>
      <c r="K97" s="36" t="n"/>
      <c r="L97" s="36" t="n"/>
      <c r="M97" s="37">
        <f>IF(NOT(ISNUMBER($I97)),"",$I97+SUM($J97:$L97))</f>
        <v/>
      </c>
      <c r="N97" s="37">
        <f>IF(OR(NOT(ISNUMBER($M97)),NOT(ISNUMBER($G97)),$G97&lt;=0),"",$M97/$G97)</f>
        <v/>
      </c>
      <c r="O97" s="33" t="n"/>
      <c r="P97" s="33" t="n"/>
      <c r="Q97" s="41" t="n"/>
      <c r="R97" s="36" t="n"/>
      <c r="S97" s="37">
        <f>IF(NOT(ISNUMBER($M97)),"",$M97-IF(ISNUMBER($R97),$R97,0))</f>
        <v/>
      </c>
      <c r="T97" s="33" t="n"/>
      <c r="U97" s="51">
        <f>IF(COUNTA($B97,$C97,$D97,$G97,$H97)=0,"",IF(IF($B97=""," · Falta fecha","")&amp;IF($C97=""," · Falta proveedor","")&amp;IF(AND($D97&lt;&gt;"",COUNTIF(tblProductos[SKU],$D97)=0)," · SKU no existe","")&amp;IF($D97=""," · Falta SKU","")&amp;IF(OR($G97="",NOT(ISNUMBER($G97)),$G97&lt;=0)," · Cantidad inválida","")&amp;IF($H97=""," · Falta costo unitario","")&amp;IF(AND($P97="Pagado",$Q97="")," · Pago sin fecha","")&amp;IF(AND(ISNUMBER($R97),ISNUMBER($M97),$R97&gt;N($M97)+0.01)," · Pagado &gt; total","")&amp;IF(AND(ISNUMBER($R97),$R97&gt;0,$Q97="")," · Monto pagado sin fecha","")="","OK",MID(IF($B97=""," · Falta fecha","")&amp;IF($C97=""," · Falta proveedor","")&amp;IF(AND($D97&lt;&gt;"",COUNTIF(tblProductos[SKU],$D97)=0)," · SKU no existe","")&amp;IF($D97=""," · Falta SKU","")&amp;IF(OR($G97="",NOT(ISNUMBER($G97)),$G97&lt;=0)," · Cantidad inválida","")&amp;IF($H97=""," · Falta costo unitario","")&amp;IF(AND($P97="Pagado",$Q97="")," · Pago sin fecha","")&amp;IF(AND(ISNUMBER($R97),ISNUMBER($M97),$R97&gt;N($M97)+0.01)," · Pagado &gt; total","")&amp;IF(AND(ISNUMBER($R97),$R97&gt;0,$Q97="")," · Monto pagado sin fecha",""),4,900)))</f>
        <v/>
      </c>
    </row>
    <row r="98">
      <c r="A98" s="51">
        <f>IF(COUNTA($B98,$C98,$D98,$G98,$H98)=0,"","C-"&amp;TEXT(ROW()-6,"0000"))</f>
        <v/>
      </c>
      <c r="B98" s="41" t="n"/>
      <c r="C98" s="33" t="n"/>
      <c r="D98" s="33" t="n"/>
      <c r="E98" s="51">
        <f>IF($D98="","",IFERROR(IF(INDEX(tblProductos[Nombre del producto],MATCH($D98,tblProductos[SKU],0))="","",INDEX(tblProductos[Nombre del producto],MATCH($D98,tblProductos[SKU],0))),""))</f>
        <v/>
      </c>
      <c r="F98" s="51">
        <f>IF($D98="","",IFERROR(IF(INDEX(tblProductos[Categoría],MATCH($D98,tblProductos[SKU],0))="","",INDEX(tblProductos[Categoría],MATCH($D98,tblProductos[SKU],0))),""))</f>
        <v/>
      </c>
      <c r="G98" s="34" t="n"/>
      <c r="H98" s="36" t="n"/>
      <c r="I98" s="37">
        <f>IF(OR($G98="",$H98=""),"",$G98*$H98)</f>
        <v/>
      </c>
      <c r="J98" s="36" t="n"/>
      <c r="K98" s="36" t="n"/>
      <c r="L98" s="36" t="n"/>
      <c r="M98" s="37">
        <f>IF(NOT(ISNUMBER($I98)),"",$I98+SUM($J98:$L98))</f>
        <v/>
      </c>
      <c r="N98" s="37">
        <f>IF(OR(NOT(ISNUMBER($M98)),NOT(ISNUMBER($G98)),$G98&lt;=0),"",$M98/$G98)</f>
        <v/>
      </c>
      <c r="O98" s="33" t="n"/>
      <c r="P98" s="33" t="n"/>
      <c r="Q98" s="41" t="n"/>
      <c r="R98" s="36" t="n"/>
      <c r="S98" s="37">
        <f>IF(NOT(ISNUMBER($M98)),"",$M98-IF(ISNUMBER($R98),$R98,0))</f>
        <v/>
      </c>
      <c r="T98" s="33" t="n"/>
      <c r="U98" s="51">
        <f>IF(COUNTA($B98,$C98,$D98,$G98,$H98)=0,"",IF(IF($B98=""," · Falta fecha","")&amp;IF($C98=""," · Falta proveedor","")&amp;IF(AND($D98&lt;&gt;"",COUNTIF(tblProductos[SKU],$D98)=0)," · SKU no existe","")&amp;IF($D98=""," · Falta SKU","")&amp;IF(OR($G98="",NOT(ISNUMBER($G98)),$G98&lt;=0)," · Cantidad inválida","")&amp;IF($H98=""," · Falta costo unitario","")&amp;IF(AND($P98="Pagado",$Q98="")," · Pago sin fecha","")&amp;IF(AND(ISNUMBER($R98),ISNUMBER($M98),$R98&gt;N($M98)+0.01)," · Pagado &gt; total","")&amp;IF(AND(ISNUMBER($R98),$R98&gt;0,$Q98="")," · Monto pagado sin fecha","")="","OK",MID(IF($B98=""," · Falta fecha","")&amp;IF($C98=""," · Falta proveedor","")&amp;IF(AND($D98&lt;&gt;"",COUNTIF(tblProductos[SKU],$D98)=0)," · SKU no existe","")&amp;IF($D98=""," · Falta SKU","")&amp;IF(OR($G98="",NOT(ISNUMBER($G98)),$G98&lt;=0)," · Cantidad inválida","")&amp;IF($H98=""," · Falta costo unitario","")&amp;IF(AND($P98="Pagado",$Q98="")," · Pago sin fecha","")&amp;IF(AND(ISNUMBER($R98),ISNUMBER($M98),$R98&gt;N($M98)+0.01)," · Pagado &gt; total","")&amp;IF(AND(ISNUMBER($R98),$R98&gt;0,$Q98="")," · Monto pagado sin fecha",""),4,900)))</f>
        <v/>
      </c>
    </row>
    <row r="99">
      <c r="A99" s="51">
        <f>IF(COUNTA($B99,$C99,$D99,$G99,$H99)=0,"","C-"&amp;TEXT(ROW()-6,"0000"))</f>
        <v/>
      </c>
      <c r="B99" s="41" t="n"/>
      <c r="C99" s="33" t="n"/>
      <c r="D99" s="33" t="n"/>
      <c r="E99" s="51">
        <f>IF($D99="","",IFERROR(IF(INDEX(tblProductos[Nombre del producto],MATCH($D99,tblProductos[SKU],0))="","",INDEX(tblProductos[Nombre del producto],MATCH($D99,tblProductos[SKU],0))),""))</f>
        <v/>
      </c>
      <c r="F99" s="51">
        <f>IF($D99="","",IFERROR(IF(INDEX(tblProductos[Categoría],MATCH($D99,tblProductos[SKU],0))="","",INDEX(tblProductos[Categoría],MATCH($D99,tblProductos[SKU],0))),""))</f>
        <v/>
      </c>
      <c r="G99" s="34" t="n"/>
      <c r="H99" s="36" t="n"/>
      <c r="I99" s="37">
        <f>IF(OR($G99="",$H99=""),"",$G99*$H99)</f>
        <v/>
      </c>
      <c r="J99" s="36" t="n"/>
      <c r="K99" s="36" t="n"/>
      <c r="L99" s="36" t="n"/>
      <c r="M99" s="37">
        <f>IF(NOT(ISNUMBER($I99)),"",$I99+SUM($J99:$L99))</f>
        <v/>
      </c>
      <c r="N99" s="37">
        <f>IF(OR(NOT(ISNUMBER($M99)),NOT(ISNUMBER($G99)),$G99&lt;=0),"",$M99/$G99)</f>
        <v/>
      </c>
      <c r="O99" s="33" t="n"/>
      <c r="P99" s="33" t="n"/>
      <c r="Q99" s="41" t="n"/>
      <c r="R99" s="36" t="n"/>
      <c r="S99" s="37">
        <f>IF(NOT(ISNUMBER($M99)),"",$M99-IF(ISNUMBER($R99),$R99,0))</f>
        <v/>
      </c>
      <c r="T99" s="33" t="n"/>
      <c r="U99" s="51">
        <f>IF(COUNTA($B99,$C99,$D99,$G99,$H99)=0,"",IF(IF($B99=""," · Falta fecha","")&amp;IF($C99=""," · Falta proveedor","")&amp;IF(AND($D99&lt;&gt;"",COUNTIF(tblProductos[SKU],$D99)=0)," · SKU no existe","")&amp;IF($D99=""," · Falta SKU","")&amp;IF(OR($G99="",NOT(ISNUMBER($G99)),$G99&lt;=0)," · Cantidad inválida","")&amp;IF($H99=""," · Falta costo unitario","")&amp;IF(AND($P99="Pagado",$Q99="")," · Pago sin fecha","")&amp;IF(AND(ISNUMBER($R99),ISNUMBER($M99),$R99&gt;N($M99)+0.01)," · Pagado &gt; total","")&amp;IF(AND(ISNUMBER($R99),$R99&gt;0,$Q99="")," · Monto pagado sin fecha","")="","OK",MID(IF($B99=""," · Falta fecha","")&amp;IF($C99=""," · Falta proveedor","")&amp;IF(AND($D99&lt;&gt;"",COUNTIF(tblProductos[SKU],$D99)=0)," · SKU no existe","")&amp;IF($D99=""," · Falta SKU","")&amp;IF(OR($G99="",NOT(ISNUMBER($G99)),$G99&lt;=0)," · Cantidad inválida","")&amp;IF($H99=""," · Falta costo unitario","")&amp;IF(AND($P99="Pagado",$Q99="")," · Pago sin fecha","")&amp;IF(AND(ISNUMBER($R99),ISNUMBER($M99),$R99&gt;N($M99)+0.01)," · Pagado &gt; total","")&amp;IF(AND(ISNUMBER($R99),$R99&gt;0,$Q99="")," · Monto pagado sin fecha",""),4,900)))</f>
        <v/>
      </c>
    </row>
    <row r="100">
      <c r="A100" s="51">
        <f>IF(COUNTA($B100,$C100,$D100,$G100,$H100)=0,"","C-"&amp;TEXT(ROW()-6,"0000"))</f>
        <v/>
      </c>
      <c r="B100" s="41" t="n"/>
      <c r="C100" s="33" t="n"/>
      <c r="D100" s="33" t="n"/>
      <c r="E100" s="51">
        <f>IF($D100="","",IFERROR(IF(INDEX(tblProductos[Nombre del producto],MATCH($D100,tblProductos[SKU],0))="","",INDEX(tblProductos[Nombre del producto],MATCH($D100,tblProductos[SKU],0))),""))</f>
        <v/>
      </c>
      <c r="F100" s="51">
        <f>IF($D100="","",IFERROR(IF(INDEX(tblProductos[Categoría],MATCH($D100,tblProductos[SKU],0))="","",INDEX(tblProductos[Categoría],MATCH($D100,tblProductos[SKU],0))),""))</f>
        <v/>
      </c>
      <c r="G100" s="34" t="n"/>
      <c r="H100" s="36" t="n"/>
      <c r="I100" s="37">
        <f>IF(OR($G100="",$H100=""),"",$G100*$H100)</f>
        <v/>
      </c>
      <c r="J100" s="36" t="n"/>
      <c r="K100" s="36" t="n"/>
      <c r="L100" s="36" t="n"/>
      <c r="M100" s="37">
        <f>IF(NOT(ISNUMBER($I100)),"",$I100+SUM($J100:$L100))</f>
        <v/>
      </c>
      <c r="N100" s="37">
        <f>IF(OR(NOT(ISNUMBER($M100)),NOT(ISNUMBER($G100)),$G100&lt;=0),"",$M100/$G100)</f>
        <v/>
      </c>
      <c r="O100" s="33" t="n"/>
      <c r="P100" s="33" t="n"/>
      <c r="Q100" s="41" t="n"/>
      <c r="R100" s="36" t="n"/>
      <c r="S100" s="37">
        <f>IF(NOT(ISNUMBER($M100)),"",$M100-IF(ISNUMBER($R100),$R100,0))</f>
        <v/>
      </c>
      <c r="T100" s="33" t="n"/>
      <c r="U100" s="51">
        <f>IF(COUNTA($B100,$C100,$D100,$G100,$H100)=0,"",IF(IF($B100=""," · Falta fecha","")&amp;IF($C100=""," · Falta proveedor","")&amp;IF(AND($D100&lt;&gt;"",COUNTIF(tblProductos[SKU],$D100)=0)," · SKU no existe","")&amp;IF($D100=""," · Falta SKU","")&amp;IF(OR($G100="",NOT(ISNUMBER($G100)),$G100&lt;=0)," · Cantidad inválida","")&amp;IF($H100=""," · Falta costo unitario","")&amp;IF(AND($P100="Pagado",$Q100="")," · Pago sin fecha","")&amp;IF(AND(ISNUMBER($R100),ISNUMBER($M100),$R100&gt;N($M100)+0.01)," · Pagado &gt; total","")&amp;IF(AND(ISNUMBER($R100),$R100&gt;0,$Q100="")," · Monto pagado sin fecha","")="","OK",MID(IF($B100=""," · Falta fecha","")&amp;IF($C100=""," · Falta proveedor","")&amp;IF(AND($D100&lt;&gt;"",COUNTIF(tblProductos[SKU],$D100)=0)," · SKU no existe","")&amp;IF($D100=""," · Falta SKU","")&amp;IF(OR($G100="",NOT(ISNUMBER($G100)),$G100&lt;=0)," · Cantidad inválida","")&amp;IF($H100=""," · Falta costo unitario","")&amp;IF(AND($P100="Pagado",$Q100="")," · Pago sin fecha","")&amp;IF(AND(ISNUMBER($R100),ISNUMBER($M100),$R100&gt;N($M100)+0.01)," · Pagado &gt; total","")&amp;IF(AND(ISNUMBER($R100),$R100&gt;0,$Q100="")," · Monto pagado sin fecha",""),4,900)))</f>
        <v/>
      </c>
    </row>
    <row r="101">
      <c r="A101" s="51">
        <f>IF(COUNTA($B101,$C101,$D101,$G101,$H101)=0,"","C-"&amp;TEXT(ROW()-6,"0000"))</f>
        <v/>
      </c>
      <c r="B101" s="41" t="n"/>
      <c r="C101" s="33" t="n"/>
      <c r="D101" s="33" t="n"/>
      <c r="E101" s="51">
        <f>IF($D101="","",IFERROR(IF(INDEX(tblProductos[Nombre del producto],MATCH($D101,tblProductos[SKU],0))="","",INDEX(tblProductos[Nombre del producto],MATCH($D101,tblProductos[SKU],0))),""))</f>
        <v/>
      </c>
      <c r="F101" s="51">
        <f>IF($D101="","",IFERROR(IF(INDEX(tblProductos[Categoría],MATCH($D101,tblProductos[SKU],0))="","",INDEX(tblProductos[Categoría],MATCH($D101,tblProductos[SKU],0))),""))</f>
        <v/>
      </c>
      <c r="G101" s="34" t="n"/>
      <c r="H101" s="36" t="n"/>
      <c r="I101" s="37">
        <f>IF(OR($G101="",$H101=""),"",$G101*$H101)</f>
        <v/>
      </c>
      <c r="J101" s="36" t="n"/>
      <c r="K101" s="36" t="n"/>
      <c r="L101" s="36" t="n"/>
      <c r="M101" s="37">
        <f>IF(NOT(ISNUMBER($I101)),"",$I101+SUM($J101:$L101))</f>
        <v/>
      </c>
      <c r="N101" s="37">
        <f>IF(OR(NOT(ISNUMBER($M101)),NOT(ISNUMBER($G101)),$G101&lt;=0),"",$M101/$G101)</f>
        <v/>
      </c>
      <c r="O101" s="33" t="n"/>
      <c r="P101" s="33" t="n"/>
      <c r="Q101" s="41" t="n"/>
      <c r="R101" s="36" t="n"/>
      <c r="S101" s="37">
        <f>IF(NOT(ISNUMBER($M101)),"",$M101-IF(ISNUMBER($R101),$R101,0))</f>
        <v/>
      </c>
      <c r="T101" s="33" t="n"/>
      <c r="U101" s="51">
        <f>IF(COUNTA($B101,$C101,$D101,$G101,$H101)=0,"",IF(IF($B101=""," · Falta fecha","")&amp;IF($C101=""," · Falta proveedor","")&amp;IF(AND($D101&lt;&gt;"",COUNTIF(tblProductos[SKU],$D101)=0)," · SKU no existe","")&amp;IF($D101=""," · Falta SKU","")&amp;IF(OR($G101="",NOT(ISNUMBER($G101)),$G101&lt;=0)," · Cantidad inválida","")&amp;IF($H101=""," · Falta costo unitario","")&amp;IF(AND($P101="Pagado",$Q101="")," · Pago sin fecha","")&amp;IF(AND(ISNUMBER($R101),ISNUMBER($M101),$R101&gt;N($M101)+0.01)," · Pagado &gt; total","")&amp;IF(AND(ISNUMBER($R101),$R101&gt;0,$Q101="")," · Monto pagado sin fecha","")="","OK",MID(IF($B101=""," · Falta fecha","")&amp;IF($C101=""," · Falta proveedor","")&amp;IF(AND($D101&lt;&gt;"",COUNTIF(tblProductos[SKU],$D101)=0)," · SKU no existe","")&amp;IF($D101=""," · Falta SKU","")&amp;IF(OR($G101="",NOT(ISNUMBER($G101)),$G101&lt;=0)," · Cantidad inválida","")&amp;IF($H101=""," · Falta costo unitario","")&amp;IF(AND($P101="Pagado",$Q101="")," · Pago sin fecha","")&amp;IF(AND(ISNUMBER($R101),ISNUMBER($M101),$R101&gt;N($M101)+0.01)," · Pagado &gt; total","")&amp;IF(AND(ISNUMBER($R101),$R101&gt;0,$Q101="")," · Monto pagado sin fecha",""),4,900)))</f>
        <v/>
      </c>
    </row>
    <row r="102">
      <c r="A102" s="51">
        <f>IF(COUNTA($B102,$C102,$D102,$G102,$H102)=0,"","C-"&amp;TEXT(ROW()-6,"0000"))</f>
        <v/>
      </c>
      <c r="B102" s="41" t="n"/>
      <c r="C102" s="33" t="n"/>
      <c r="D102" s="33" t="n"/>
      <c r="E102" s="51">
        <f>IF($D102="","",IFERROR(IF(INDEX(tblProductos[Nombre del producto],MATCH($D102,tblProductos[SKU],0))="","",INDEX(tblProductos[Nombre del producto],MATCH($D102,tblProductos[SKU],0))),""))</f>
        <v/>
      </c>
      <c r="F102" s="51">
        <f>IF($D102="","",IFERROR(IF(INDEX(tblProductos[Categoría],MATCH($D102,tblProductos[SKU],0))="","",INDEX(tblProductos[Categoría],MATCH($D102,tblProductos[SKU],0))),""))</f>
        <v/>
      </c>
      <c r="G102" s="34" t="n"/>
      <c r="H102" s="36" t="n"/>
      <c r="I102" s="37">
        <f>IF(OR($G102="",$H102=""),"",$G102*$H102)</f>
        <v/>
      </c>
      <c r="J102" s="36" t="n"/>
      <c r="K102" s="36" t="n"/>
      <c r="L102" s="36" t="n"/>
      <c r="M102" s="37">
        <f>IF(NOT(ISNUMBER($I102)),"",$I102+SUM($J102:$L102))</f>
        <v/>
      </c>
      <c r="N102" s="37">
        <f>IF(OR(NOT(ISNUMBER($M102)),NOT(ISNUMBER($G102)),$G102&lt;=0),"",$M102/$G102)</f>
        <v/>
      </c>
      <c r="O102" s="33" t="n"/>
      <c r="P102" s="33" t="n"/>
      <c r="Q102" s="41" t="n"/>
      <c r="R102" s="36" t="n"/>
      <c r="S102" s="37">
        <f>IF(NOT(ISNUMBER($M102)),"",$M102-IF(ISNUMBER($R102),$R102,0))</f>
        <v/>
      </c>
      <c r="T102" s="33" t="n"/>
      <c r="U102" s="51">
        <f>IF(COUNTA($B102,$C102,$D102,$G102,$H102)=0,"",IF(IF($B102=""," · Falta fecha","")&amp;IF($C102=""," · Falta proveedor","")&amp;IF(AND($D102&lt;&gt;"",COUNTIF(tblProductos[SKU],$D102)=0)," · SKU no existe","")&amp;IF($D102=""," · Falta SKU","")&amp;IF(OR($G102="",NOT(ISNUMBER($G102)),$G102&lt;=0)," · Cantidad inválida","")&amp;IF($H102=""," · Falta costo unitario","")&amp;IF(AND($P102="Pagado",$Q102="")," · Pago sin fecha","")&amp;IF(AND(ISNUMBER($R102),ISNUMBER($M102),$R102&gt;N($M102)+0.01)," · Pagado &gt; total","")&amp;IF(AND(ISNUMBER($R102),$R102&gt;0,$Q102="")," · Monto pagado sin fecha","")="","OK",MID(IF($B102=""," · Falta fecha","")&amp;IF($C102=""," · Falta proveedor","")&amp;IF(AND($D102&lt;&gt;"",COUNTIF(tblProductos[SKU],$D102)=0)," · SKU no existe","")&amp;IF($D102=""," · Falta SKU","")&amp;IF(OR($G102="",NOT(ISNUMBER($G102)),$G102&lt;=0)," · Cantidad inválida","")&amp;IF($H102=""," · Falta costo unitario","")&amp;IF(AND($P102="Pagado",$Q102="")," · Pago sin fecha","")&amp;IF(AND(ISNUMBER($R102),ISNUMBER($M102),$R102&gt;N($M102)+0.01)," · Pagado &gt; total","")&amp;IF(AND(ISNUMBER($R102),$R102&gt;0,$Q102="")," · Monto pagado sin fecha",""),4,900)))</f>
        <v/>
      </c>
    </row>
    <row r="103">
      <c r="A103" s="51">
        <f>IF(COUNTA($B103,$C103,$D103,$G103,$H103)=0,"","C-"&amp;TEXT(ROW()-6,"0000"))</f>
        <v/>
      </c>
      <c r="B103" s="41" t="n"/>
      <c r="C103" s="33" t="n"/>
      <c r="D103" s="33" t="n"/>
      <c r="E103" s="51">
        <f>IF($D103="","",IFERROR(IF(INDEX(tblProductos[Nombre del producto],MATCH($D103,tblProductos[SKU],0))="","",INDEX(tblProductos[Nombre del producto],MATCH($D103,tblProductos[SKU],0))),""))</f>
        <v/>
      </c>
      <c r="F103" s="51">
        <f>IF($D103="","",IFERROR(IF(INDEX(tblProductos[Categoría],MATCH($D103,tblProductos[SKU],0))="","",INDEX(tblProductos[Categoría],MATCH($D103,tblProductos[SKU],0))),""))</f>
        <v/>
      </c>
      <c r="G103" s="34" t="n"/>
      <c r="H103" s="36" t="n"/>
      <c r="I103" s="37">
        <f>IF(OR($G103="",$H103=""),"",$G103*$H103)</f>
        <v/>
      </c>
      <c r="J103" s="36" t="n"/>
      <c r="K103" s="36" t="n"/>
      <c r="L103" s="36" t="n"/>
      <c r="M103" s="37">
        <f>IF(NOT(ISNUMBER($I103)),"",$I103+SUM($J103:$L103))</f>
        <v/>
      </c>
      <c r="N103" s="37">
        <f>IF(OR(NOT(ISNUMBER($M103)),NOT(ISNUMBER($G103)),$G103&lt;=0),"",$M103/$G103)</f>
        <v/>
      </c>
      <c r="O103" s="33" t="n"/>
      <c r="P103" s="33" t="n"/>
      <c r="Q103" s="41" t="n"/>
      <c r="R103" s="36" t="n"/>
      <c r="S103" s="37">
        <f>IF(NOT(ISNUMBER($M103)),"",$M103-IF(ISNUMBER($R103),$R103,0))</f>
        <v/>
      </c>
      <c r="T103" s="33" t="n"/>
      <c r="U103" s="51">
        <f>IF(COUNTA($B103,$C103,$D103,$G103,$H103)=0,"",IF(IF($B103=""," · Falta fecha","")&amp;IF($C103=""," · Falta proveedor","")&amp;IF(AND($D103&lt;&gt;"",COUNTIF(tblProductos[SKU],$D103)=0)," · SKU no existe","")&amp;IF($D103=""," · Falta SKU","")&amp;IF(OR($G103="",NOT(ISNUMBER($G103)),$G103&lt;=0)," · Cantidad inválida","")&amp;IF($H103=""," · Falta costo unitario","")&amp;IF(AND($P103="Pagado",$Q103="")," · Pago sin fecha","")&amp;IF(AND(ISNUMBER($R103),ISNUMBER($M103),$R103&gt;N($M103)+0.01)," · Pagado &gt; total","")&amp;IF(AND(ISNUMBER($R103),$R103&gt;0,$Q103="")," · Monto pagado sin fecha","")="","OK",MID(IF($B103=""," · Falta fecha","")&amp;IF($C103=""," · Falta proveedor","")&amp;IF(AND($D103&lt;&gt;"",COUNTIF(tblProductos[SKU],$D103)=0)," · SKU no existe","")&amp;IF($D103=""," · Falta SKU","")&amp;IF(OR($G103="",NOT(ISNUMBER($G103)),$G103&lt;=0)," · Cantidad inválida","")&amp;IF($H103=""," · Falta costo unitario","")&amp;IF(AND($P103="Pagado",$Q103="")," · Pago sin fecha","")&amp;IF(AND(ISNUMBER($R103),ISNUMBER($M103),$R103&gt;N($M103)+0.01)," · Pagado &gt; total","")&amp;IF(AND(ISNUMBER($R103),$R103&gt;0,$Q103="")," · Monto pagado sin fecha",""),4,900)))</f>
        <v/>
      </c>
    </row>
    <row r="104">
      <c r="A104" s="51">
        <f>IF(COUNTA($B104,$C104,$D104,$G104,$H104)=0,"","C-"&amp;TEXT(ROW()-6,"0000"))</f>
        <v/>
      </c>
      <c r="B104" s="41" t="n"/>
      <c r="C104" s="33" t="n"/>
      <c r="D104" s="33" t="n"/>
      <c r="E104" s="51">
        <f>IF($D104="","",IFERROR(IF(INDEX(tblProductos[Nombre del producto],MATCH($D104,tblProductos[SKU],0))="","",INDEX(tblProductos[Nombre del producto],MATCH($D104,tblProductos[SKU],0))),""))</f>
        <v/>
      </c>
      <c r="F104" s="51">
        <f>IF($D104="","",IFERROR(IF(INDEX(tblProductos[Categoría],MATCH($D104,tblProductos[SKU],0))="","",INDEX(tblProductos[Categoría],MATCH($D104,tblProductos[SKU],0))),""))</f>
        <v/>
      </c>
      <c r="G104" s="34" t="n"/>
      <c r="H104" s="36" t="n"/>
      <c r="I104" s="37">
        <f>IF(OR($G104="",$H104=""),"",$G104*$H104)</f>
        <v/>
      </c>
      <c r="J104" s="36" t="n"/>
      <c r="K104" s="36" t="n"/>
      <c r="L104" s="36" t="n"/>
      <c r="M104" s="37">
        <f>IF(NOT(ISNUMBER($I104)),"",$I104+SUM($J104:$L104))</f>
        <v/>
      </c>
      <c r="N104" s="37">
        <f>IF(OR(NOT(ISNUMBER($M104)),NOT(ISNUMBER($G104)),$G104&lt;=0),"",$M104/$G104)</f>
        <v/>
      </c>
      <c r="O104" s="33" t="n"/>
      <c r="P104" s="33" t="n"/>
      <c r="Q104" s="41" t="n"/>
      <c r="R104" s="36" t="n"/>
      <c r="S104" s="37">
        <f>IF(NOT(ISNUMBER($M104)),"",$M104-IF(ISNUMBER($R104),$R104,0))</f>
        <v/>
      </c>
      <c r="T104" s="33" t="n"/>
      <c r="U104" s="51">
        <f>IF(COUNTA($B104,$C104,$D104,$G104,$H104)=0,"",IF(IF($B104=""," · Falta fecha","")&amp;IF($C104=""," · Falta proveedor","")&amp;IF(AND($D104&lt;&gt;"",COUNTIF(tblProductos[SKU],$D104)=0)," · SKU no existe","")&amp;IF($D104=""," · Falta SKU","")&amp;IF(OR($G104="",NOT(ISNUMBER($G104)),$G104&lt;=0)," · Cantidad inválida","")&amp;IF($H104=""," · Falta costo unitario","")&amp;IF(AND($P104="Pagado",$Q104="")," · Pago sin fecha","")&amp;IF(AND(ISNUMBER($R104),ISNUMBER($M104),$R104&gt;N($M104)+0.01)," · Pagado &gt; total","")&amp;IF(AND(ISNUMBER($R104),$R104&gt;0,$Q104="")," · Monto pagado sin fecha","")="","OK",MID(IF($B104=""," · Falta fecha","")&amp;IF($C104=""," · Falta proveedor","")&amp;IF(AND($D104&lt;&gt;"",COUNTIF(tblProductos[SKU],$D104)=0)," · SKU no existe","")&amp;IF($D104=""," · Falta SKU","")&amp;IF(OR($G104="",NOT(ISNUMBER($G104)),$G104&lt;=0)," · Cantidad inválida","")&amp;IF($H104=""," · Falta costo unitario","")&amp;IF(AND($P104="Pagado",$Q104="")," · Pago sin fecha","")&amp;IF(AND(ISNUMBER($R104),ISNUMBER($M104),$R104&gt;N($M104)+0.01)," · Pagado &gt; total","")&amp;IF(AND(ISNUMBER($R104),$R104&gt;0,$Q104="")," · Monto pagado sin fecha",""),4,900)))</f>
        <v/>
      </c>
    </row>
    <row r="105">
      <c r="A105" s="51">
        <f>IF(COUNTA($B105,$C105,$D105,$G105,$H105)=0,"","C-"&amp;TEXT(ROW()-6,"0000"))</f>
        <v/>
      </c>
      <c r="B105" s="41" t="n"/>
      <c r="C105" s="33" t="n"/>
      <c r="D105" s="33" t="n"/>
      <c r="E105" s="51">
        <f>IF($D105="","",IFERROR(IF(INDEX(tblProductos[Nombre del producto],MATCH($D105,tblProductos[SKU],0))="","",INDEX(tblProductos[Nombre del producto],MATCH($D105,tblProductos[SKU],0))),""))</f>
        <v/>
      </c>
      <c r="F105" s="51">
        <f>IF($D105="","",IFERROR(IF(INDEX(tblProductos[Categoría],MATCH($D105,tblProductos[SKU],0))="","",INDEX(tblProductos[Categoría],MATCH($D105,tblProductos[SKU],0))),""))</f>
        <v/>
      </c>
      <c r="G105" s="34" t="n"/>
      <c r="H105" s="36" t="n"/>
      <c r="I105" s="37">
        <f>IF(OR($G105="",$H105=""),"",$G105*$H105)</f>
        <v/>
      </c>
      <c r="J105" s="36" t="n"/>
      <c r="K105" s="36" t="n"/>
      <c r="L105" s="36" t="n"/>
      <c r="M105" s="37">
        <f>IF(NOT(ISNUMBER($I105)),"",$I105+SUM($J105:$L105))</f>
        <v/>
      </c>
      <c r="N105" s="37">
        <f>IF(OR(NOT(ISNUMBER($M105)),NOT(ISNUMBER($G105)),$G105&lt;=0),"",$M105/$G105)</f>
        <v/>
      </c>
      <c r="O105" s="33" t="n"/>
      <c r="P105" s="33" t="n"/>
      <c r="Q105" s="41" t="n"/>
      <c r="R105" s="36" t="n"/>
      <c r="S105" s="37">
        <f>IF(NOT(ISNUMBER($M105)),"",$M105-IF(ISNUMBER($R105),$R105,0))</f>
        <v/>
      </c>
      <c r="T105" s="33" t="n"/>
      <c r="U105" s="51">
        <f>IF(COUNTA($B105,$C105,$D105,$G105,$H105)=0,"",IF(IF($B105=""," · Falta fecha","")&amp;IF($C105=""," · Falta proveedor","")&amp;IF(AND($D105&lt;&gt;"",COUNTIF(tblProductos[SKU],$D105)=0)," · SKU no existe","")&amp;IF($D105=""," · Falta SKU","")&amp;IF(OR($G105="",NOT(ISNUMBER($G105)),$G105&lt;=0)," · Cantidad inválida","")&amp;IF($H105=""," · Falta costo unitario","")&amp;IF(AND($P105="Pagado",$Q105="")," · Pago sin fecha","")&amp;IF(AND(ISNUMBER($R105),ISNUMBER($M105),$R105&gt;N($M105)+0.01)," · Pagado &gt; total","")&amp;IF(AND(ISNUMBER($R105),$R105&gt;0,$Q105="")," · Monto pagado sin fecha","")="","OK",MID(IF($B105=""," · Falta fecha","")&amp;IF($C105=""," · Falta proveedor","")&amp;IF(AND($D105&lt;&gt;"",COUNTIF(tblProductos[SKU],$D105)=0)," · SKU no existe","")&amp;IF($D105=""," · Falta SKU","")&amp;IF(OR($G105="",NOT(ISNUMBER($G105)),$G105&lt;=0)," · Cantidad inválida","")&amp;IF($H105=""," · Falta costo unitario","")&amp;IF(AND($P105="Pagado",$Q105="")," · Pago sin fecha","")&amp;IF(AND(ISNUMBER($R105),ISNUMBER($M105),$R105&gt;N($M105)+0.01)," · Pagado &gt; total","")&amp;IF(AND(ISNUMBER($R105),$R105&gt;0,$Q105="")," · Monto pagado sin fecha",""),4,900)))</f>
        <v/>
      </c>
    </row>
    <row r="106">
      <c r="A106" s="51">
        <f>IF(COUNTA($B106,$C106,$D106,$G106,$H106)=0,"","C-"&amp;TEXT(ROW()-6,"0000"))</f>
        <v/>
      </c>
      <c r="B106" s="41" t="n"/>
      <c r="C106" s="33" t="n"/>
      <c r="D106" s="33" t="n"/>
      <c r="E106" s="51">
        <f>IF($D106="","",IFERROR(IF(INDEX(tblProductos[Nombre del producto],MATCH($D106,tblProductos[SKU],0))="","",INDEX(tblProductos[Nombre del producto],MATCH($D106,tblProductos[SKU],0))),""))</f>
        <v/>
      </c>
      <c r="F106" s="51">
        <f>IF($D106="","",IFERROR(IF(INDEX(tblProductos[Categoría],MATCH($D106,tblProductos[SKU],0))="","",INDEX(tblProductos[Categoría],MATCH($D106,tblProductos[SKU],0))),""))</f>
        <v/>
      </c>
      <c r="G106" s="34" t="n"/>
      <c r="H106" s="36" t="n"/>
      <c r="I106" s="37">
        <f>IF(OR($G106="",$H106=""),"",$G106*$H106)</f>
        <v/>
      </c>
      <c r="J106" s="36" t="n"/>
      <c r="K106" s="36" t="n"/>
      <c r="L106" s="36" t="n"/>
      <c r="M106" s="37">
        <f>IF(NOT(ISNUMBER($I106)),"",$I106+SUM($J106:$L106))</f>
        <v/>
      </c>
      <c r="N106" s="37">
        <f>IF(OR(NOT(ISNUMBER($M106)),NOT(ISNUMBER($G106)),$G106&lt;=0),"",$M106/$G106)</f>
        <v/>
      </c>
      <c r="O106" s="33" t="n"/>
      <c r="P106" s="33" t="n"/>
      <c r="Q106" s="41" t="n"/>
      <c r="R106" s="36" t="n"/>
      <c r="S106" s="37">
        <f>IF(NOT(ISNUMBER($M106)),"",$M106-IF(ISNUMBER($R106),$R106,0))</f>
        <v/>
      </c>
      <c r="T106" s="33" t="n"/>
      <c r="U106" s="51">
        <f>IF(COUNTA($B106,$C106,$D106,$G106,$H106)=0,"",IF(IF($B106=""," · Falta fecha","")&amp;IF($C106=""," · Falta proveedor","")&amp;IF(AND($D106&lt;&gt;"",COUNTIF(tblProductos[SKU],$D106)=0)," · SKU no existe","")&amp;IF($D106=""," · Falta SKU","")&amp;IF(OR($G106="",NOT(ISNUMBER($G106)),$G106&lt;=0)," · Cantidad inválida","")&amp;IF($H106=""," · Falta costo unitario","")&amp;IF(AND($P106="Pagado",$Q106="")," · Pago sin fecha","")&amp;IF(AND(ISNUMBER($R106),ISNUMBER($M106),$R106&gt;N($M106)+0.01)," · Pagado &gt; total","")&amp;IF(AND(ISNUMBER($R106),$R106&gt;0,$Q106="")," · Monto pagado sin fecha","")="","OK",MID(IF($B106=""," · Falta fecha","")&amp;IF($C106=""," · Falta proveedor","")&amp;IF(AND($D106&lt;&gt;"",COUNTIF(tblProductos[SKU],$D106)=0)," · SKU no existe","")&amp;IF($D106=""," · Falta SKU","")&amp;IF(OR($G106="",NOT(ISNUMBER($G106)),$G106&lt;=0)," · Cantidad inválida","")&amp;IF($H106=""," · Falta costo unitario","")&amp;IF(AND($P106="Pagado",$Q106="")," · Pago sin fecha","")&amp;IF(AND(ISNUMBER($R106),ISNUMBER($M106),$R106&gt;N($M106)+0.01)," · Pagado &gt; total","")&amp;IF(AND(ISNUMBER($R106),$R106&gt;0,$Q106="")," · Monto pagado sin fecha",""),4,900)))</f>
        <v/>
      </c>
    </row>
    <row r="107">
      <c r="A107" s="51">
        <f>IF(COUNTA($B107,$C107,$D107,$G107,$H107)=0,"","C-"&amp;TEXT(ROW()-6,"0000"))</f>
        <v/>
      </c>
      <c r="B107" s="41" t="n"/>
      <c r="C107" s="33" t="n"/>
      <c r="D107" s="33" t="n"/>
      <c r="E107" s="51">
        <f>IF($D107="","",IFERROR(IF(INDEX(tblProductos[Nombre del producto],MATCH($D107,tblProductos[SKU],0))="","",INDEX(tblProductos[Nombre del producto],MATCH($D107,tblProductos[SKU],0))),""))</f>
        <v/>
      </c>
      <c r="F107" s="51">
        <f>IF($D107="","",IFERROR(IF(INDEX(tblProductos[Categoría],MATCH($D107,tblProductos[SKU],0))="","",INDEX(tblProductos[Categoría],MATCH($D107,tblProductos[SKU],0))),""))</f>
        <v/>
      </c>
      <c r="G107" s="34" t="n"/>
      <c r="H107" s="36" t="n"/>
      <c r="I107" s="37">
        <f>IF(OR($G107="",$H107=""),"",$G107*$H107)</f>
        <v/>
      </c>
      <c r="J107" s="36" t="n"/>
      <c r="K107" s="36" t="n"/>
      <c r="L107" s="36" t="n"/>
      <c r="M107" s="37">
        <f>IF(NOT(ISNUMBER($I107)),"",$I107+SUM($J107:$L107))</f>
        <v/>
      </c>
      <c r="N107" s="37">
        <f>IF(OR(NOT(ISNUMBER($M107)),NOT(ISNUMBER($G107)),$G107&lt;=0),"",$M107/$G107)</f>
        <v/>
      </c>
      <c r="O107" s="33" t="n"/>
      <c r="P107" s="33" t="n"/>
      <c r="Q107" s="41" t="n"/>
      <c r="R107" s="36" t="n"/>
      <c r="S107" s="37">
        <f>IF(NOT(ISNUMBER($M107)),"",$M107-IF(ISNUMBER($R107),$R107,0))</f>
        <v/>
      </c>
      <c r="T107" s="33" t="n"/>
      <c r="U107" s="51">
        <f>IF(COUNTA($B107,$C107,$D107,$G107,$H107)=0,"",IF(IF($B107=""," · Falta fecha","")&amp;IF($C107=""," · Falta proveedor","")&amp;IF(AND($D107&lt;&gt;"",COUNTIF(tblProductos[SKU],$D107)=0)," · SKU no existe","")&amp;IF($D107=""," · Falta SKU","")&amp;IF(OR($G107="",NOT(ISNUMBER($G107)),$G107&lt;=0)," · Cantidad inválida","")&amp;IF($H107=""," · Falta costo unitario","")&amp;IF(AND($P107="Pagado",$Q107="")," · Pago sin fecha","")&amp;IF(AND(ISNUMBER($R107),ISNUMBER($M107),$R107&gt;N($M107)+0.01)," · Pagado &gt; total","")&amp;IF(AND(ISNUMBER($R107),$R107&gt;0,$Q107="")," · Monto pagado sin fecha","")="","OK",MID(IF($B107=""," · Falta fecha","")&amp;IF($C107=""," · Falta proveedor","")&amp;IF(AND($D107&lt;&gt;"",COUNTIF(tblProductos[SKU],$D107)=0)," · SKU no existe","")&amp;IF($D107=""," · Falta SKU","")&amp;IF(OR($G107="",NOT(ISNUMBER($G107)),$G107&lt;=0)," · Cantidad inválida","")&amp;IF($H107=""," · Falta costo unitario","")&amp;IF(AND($P107="Pagado",$Q107="")," · Pago sin fecha","")&amp;IF(AND(ISNUMBER($R107),ISNUMBER($M107),$R107&gt;N($M107)+0.01)," · Pagado &gt; total","")&amp;IF(AND(ISNUMBER($R107),$R107&gt;0,$Q107="")," · Monto pagado sin fecha",""),4,900)))</f>
        <v/>
      </c>
    </row>
    <row r="108">
      <c r="A108" s="51">
        <f>IF(COUNTA($B108,$C108,$D108,$G108,$H108)=0,"","C-"&amp;TEXT(ROW()-6,"0000"))</f>
        <v/>
      </c>
      <c r="B108" s="41" t="n"/>
      <c r="C108" s="33" t="n"/>
      <c r="D108" s="33" t="n"/>
      <c r="E108" s="51">
        <f>IF($D108="","",IFERROR(IF(INDEX(tblProductos[Nombre del producto],MATCH($D108,tblProductos[SKU],0))="","",INDEX(tblProductos[Nombre del producto],MATCH($D108,tblProductos[SKU],0))),""))</f>
        <v/>
      </c>
      <c r="F108" s="51">
        <f>IF($D108="","",IFERROR(IF(INDEX(tblProductos[Categoría],MATCH($D108,tblProductos[SKU],0))="","",INDEX(tblProductos[Categoría],MATCH($D108,tblProductos[SKU],0))),""))</f>
        <v/>
      </c>
      <c r="G108" s="34" t="n"/>
      <c r="H108" s="36" t="n"/>
      <c r="I108" s="37">
        <f>IF(OR($G108="",$H108=""),"",$G108*$H108)</f>
        <v/>
      </c>
      <c r="J108" s="36" t="n"/>
      <c r="K108" s="36" t="n"/>
      <c r="L108" s="36" t="n"/>
      <c r="M108" s="37">
        <f>IF(NOT(ISNUMBER($I108)),"",$I108+SUM($J108:$L108))</f>
        <v/>
      </c>
      <c r="N108" s="37">
        <f>IF(OR(NOT(ISNUMBER($M108)),NOT(ISNUMBER($G108)),$G108&lt;=0),"",$M108/$G108)</f>
        <v/>
      </c>
      <c r="O108" s="33" t="n"/>
      <c r="P108" s="33" t="n"/>
      <c r="Q108" s="41" t="n"/>
      <c r="R108" s="36" t="n"/>
      <c r="S108" s="37">
        <f>IF(NOT(ISNUMBER($M108)),"",$M108-IF(ISNUMBER($R108),$R108,0))</f>
        <v/>
      </c>
      <c r="T108" s="33" t="n"/>
      <c r="U108" s="51">
        <f>IF(COUNTA($B108,$C108,$D108,$G108,$H108)=0,"",IF(IF($B108=""," · Falta fecha","")&amp;IF($C108=""," · Falta proveedor","")&amp;IF(AND($D108&lt;&gt;"",COUNTIF(tblProductos[SKU],$D108)=0)," · SKU no existe","")&amp;IF($D108=""," · Falta SKU","")&amp;IF(OR($G108="",NOT(ISNUMBER($G108)),$G108&lt;=0)," · Cantidad inválida","")&amp;IF($H108=""," · Falta costo unitario","")&amp;IF(AND($P108="Pagado",$Q108="")," · Pago sin fecha","")&amp;IF(AND(ISNUMBER($R108),ISNUMBER($M108),$R108&gt;N($M108)+0.01)," · Pagado &gt; total","")&amp;IF(AND(ISNUMBER($R108),$R108&gt;0,$Q108="")," · Monto pagado sin fecha","")="","OK",MID(IF($B108=""," · Falta fecha","")&amp;IF($C108=""," · Falta proveedor","")&amp;IF(AND($D108&lt;&gt;"",COUNTIF(tblProductos[SKU],$D108)=0)," · SKU no existe","")&amp;IF($D108=""," · Falta SKU","")&amp;IF(OR($G108="",NOT(ISNUMBER($G108)),$G108&lt;=0)," · Cantidad inválida","")&amp;IF($H108=""," · Falta costo unitario","")&amp;IF(AND($P108="Pagado",$Q108="")," · Pago sin fecha","")&amp;IF(AND(ISNUMBER($R108),ISNUMBER($M108),$R108&gt;N($M108)+0.01)," · Pagado &gt; total","")&amp;IF(AND(ISNUMBER($R108),$R108&gt;0,$Q108="")," · Monto pagado sin fecha",""),4,900)))</f>
        <v/>
      </c>
    </row>
    <row r="109">
      <c r="A109" s="51">
        <f>IF(COUNTA($B109,$C109,$D109,$G109,$H109)=0,"","C-"&amp;TEXT(ROW()-6,"0000"))</f>
        <v/>
      </c>
      <c r="B109" s="41" t="n"/>
      <c r="C109" s="33" t="n"/>
      <c r="D109" s="33" t="n"/>
      <c r="E109" s="51">
        <f>IF($D109="","",IFERROR(IF(INDEX(tblProductos[Nombre del producto],MATCH($D109,tblProductos[SKU],0))="","",INDEX(tblProductos[Nombre del producto],MATCH($D109,tblProductos[SKU],0))),""))</f>
        <v/>
      </c>
      <c r="F109" s="51">
        <f>IF($D109="","",IFERROR(IF(INDEX(tblProductos[Categoría],MATCH($D109,tblProductos[SKU],0))="","",INDEX(tblProductos[Categoría],MATCH($D109,tblProductos[SKU],0))),""))</f>
        <v/>
      </c>
      <c r="G109" s="34" t="n"/>
      <c r="H109" s="36" t="n"/>
      <c r="I109" s="37">
        <f>IF(OR($G109="",$H109=""),"",$G109*$H109)</f>
        <v/>
      </c>
      <c r="J109" s="36" t="n"/>
      <c r="K109" s="36" t="n"/>
      <c r="L109" s="36" t="n"/>
      <c r="M109" s="37">
        <f>IF(NOT(ISNUMBER($I109)),"",$I109+SUM($J109:$L109))</f>
        <v/>
      </c>
      <c r="N109" s="37">
        <f>IF(OR(NOT(ISNUMBER($M109)),NOT(ISNUMBER($G109)),$G109&lt;=0),"",$M109/$G109)</f>
        <v/>
      </c>
      <c r="O109" s="33" t="n"/>
      <c r="P109" s="33" t="n"/>
      <c r="Q109" s="41" t="n"/>
      <c r="R109" s="36" t="n"/>
      <c r="S109" s="37">
        <f>IF(NOT(ISNUMBER($M109)),"",$M109-IF(ISNUMBER($R109),$R109,0))</f>
        <v/>
      </c>
      <c r="T109" s="33" t="n"/>
      <c r="U109" s="51">
        <f>IF(COUNTA($B109,$C109,$D109,$G109,$H109)=0,"",IF(IF($B109=""," · Falta fecha","")&amp;IF($C109=""," · Falta proveedor","")&amp;IF(AND($D109&lt;&gt;"",COUNTIF(tblProductos[SKU],$D109)=0)," · SKU no existe","")&amp;IF($D109=""," · Falta SKU","")&amp;IF(OR($G109="",NOT(ISNUMBER($G109)),$G109&lt;=0)," · Cantidad inválida","")&amp;IF($H109=""," · Falta costo unitario","")&amp;IF(AND($P109="Pagado",$Q109="")," · Pago sin fecha","")&amp;IF(AND(ISNUMBER($R109),ISNUMBER($M109),$R109&gt;N($M109)+0.01)," · Pagado &gt; total","")&amp;IF(AND(ISNUMBER($R109),$R109&gt;0,$Q109="")," · Monto pagado sin fecha","")="","OK",MID(IF($B109=""," · Falta fecha","")&amp;IF($C109=""," · Falta proveedor","")&amp;IF(AND($D109&lt;&gt;"",COUNTIF(tblProductos[SKU],$D109)=0)," · SKU no existe","")&amp;IF($D109=""," · Falta SKU","")&amp;IF(OR($G109="",NOT(ISNUMBER($G109)),$G109&lt;=0)," · Cantidad inválida","")&amp;IF($H109=""," · Falta costo unitario","")&amp;IF(AND($P109="Pagado",$Q109="")," · Pago sin fecha","")&amp;IF(AND(ISNUMBER($R109),ISNUMBER($M109),$R109&gt;N($M109)+0.01)," · Pagado &gt; total","")&amp;IF(AND(ISNUMBER($R109),$R109&gt;0,$Q109="")," · Monto pagado sin fecha",""),4,900)))</f>
        <v/>
      </c>
    </row>
    <row r="110">
      <c r="A110" s="51">
        <f>IF(COUNTA($B110,$C110,$D110,$G110,$H110)=0,"","C-"&amp;TEXT(ROW()-6,"0000"))</f>
        <v/>
      </c>
      <c r="B110" s="41" t="n"/>
      <c r="C110" s="33" t="n"/>
      <c r="D110" s="33" t="n"/>
      <c r="E110" s="51">
        <f>IF($D110="","",IFERROR(IF(INDEX(tblProductos[Nombre del producto],MATCH($D110,tblProductos[SKU],0))="","",INDEX(tblProductos[Nombre del producto],MATCH($D110,tblProductos[SKU],0))),""))</f>
        <v/>
      </c>
      <c r="F110" s="51">
        <f>IF($D110="","",IFERROR(IF(INDEX(tblProductos[Categoría],MATCH($D110,tblProductos[SKU],0))="","",INDEX(tblProductos[Categoría],MATCH($D110,tblProductos[SKU],0))),""))</f>
        <v/>
      </c>
      <c r="G110" s="34" t="n"/>
      <c r="H110" s="36" t="n"/>
      <c r="I110" s="37">
        <f>IF(OR($G110="",$H110=""),"",$G110*$H110)</f>
        <v/>
      </c>
      <c r="J110" s="36" t="n"/>
      <c r="K110" s="36" t="n"/>
      <c r="L110" s="36" t="n"/>
      <c r="M110" s="37">
        <f>IF(NOT(ISNUMBER($I110)),"",$I110+SUM($J110:$L110))</f>
        <v/>
      </c>
      <c r="N110" s="37">
        <f>IF(OR(NOT(ISNUMBER($M110)),NOT(ISNUMBER($G110)),$G110&lt;=0),"",$M110/$G110)</f>
        <v/>
      </c>
      <c r="O110" s="33" t="n"/>
      <c r="P110" s="33" t="n"/>
      <c r="Q110" s="41" t="n"/>
      <c r="R110" s="36" t="n"/>
      <c r="S110" s="37">
        <f>IF(NOT(ISNUMBER($M110)),"",$M110-IF(ISNUMBER($R110),$R110,0))</f>
        <v/>
      </c>
      <c r="T110" s="33" t="n"/>
      <c r="U110" s="51">
        <f>IF(COUNTA($B110,$C110,$D110,$G110,$H110)=0,"",IF(IF($B110=""," · Falta fecha","")&amp;IF($C110=""," · Falta proveedor","")&amp;IF(AND($D110&lt;&gt;"",COUNTIF(tblProductos[SKU],$D110)=0)," · SKU no existe","")&amp;IF($D110=""," · Falta SKU","")&amp;IF(OR($G110="",NOT(ISNUMBER($G110)),$G110&lt;=0)," · Cantidad inválida","")&amp;IF($H110=""," · Falta costo unitario","")&amp;IF(AND($P110="Pagado",$Q110="")," · Pago sin fecha","")&amp;IF(AND(ISNUMBER($R110),ISNUMBER($M110),$R110&gt;N($M110)+0.01)," · Pagado &gt; total","")&amp;IF(AND(ISNUMBER($R110),$R110&gt;0,$Q110="")," · Monto pagado sin fecha","")="","OK",MID(IF($B110=""," · Falta fecha","")&amp;IF($C110=""," · Falta proveedor","")&amp;IF(AND($D110&lt;&gt;"",COUNTIF(tblProductos[SKU],$D110)=0)," · SKU no existe","")&amp;IF($D110=""," · Falta SKU","")&amp;IF(OR($G110="",NOT(ISNUMBER($G110)),$G110&lt;=0)," · Cantidad inválida","")&amp;IF($H110=""," · Falta costo unitario","")&amp;IF(AND($P110="Pagado",$Q110="")," · Pago sin fecha","")&amp;IF(AND(ISNUMBER($R110),ISNUMBER($M110),$R110&gt;N($M110)+0.01)," · Pagado &gt; total","")&amp;IF(AND(ISNUMBER($R110),$R110&gt;0,$Q110="")," · Monto pagado sin fecha",""),4,900)))</f>
        <v/>
      </c>
    </row>
    <row r="111">
      <c r="A111" s="51">
        <f>IF(COUNTA($B111,$C111,$D111,$G111,$H111)=0,"","C-"&amp;TEXT(ROW()-6,"0000"))</f>
        <v/>
      </c>
      <c r="B111" s="41" t="n"/>
      <c r="C111" s="33" t="n"/>
      <c r="D111" s="33" t="n"/>
      <c r="E111" s="51">
        <f>IF($D111="","",IFERROR(IF(INDEX(tblProductos[Nombre del producto],MATCH($D111,tblProductos[SKU],0))="","",INDEX(tblProductos[Nombre del producto],MATCH($D111,tblProductos[SKU],0))),""))</f>
        <v/>
      </c>
      <c r="F111" s="51">
        <f>IF($D111="","",IFERROR(IF(INDEX(tblProductos[Categoría],MATCH($D111,tblProductos[SKU],0))="","",INDEX(tblProductos[Categoría],MATCH($D111,tblProductos[SKU],0))),""))</f>
        <v/>
      </c>
      <c r="G111" s="34" t="n"/>
      <c r="H111" s="36" t="n"/>
      <c r="I111" s="37">
        <f>IF(OR($G111="",$H111=""),"",$G111*$H111)</f>
        <v/>
      </c>
      <c r="J111" s="36" t="n"/>
      <c r="K111" s="36" t="n"/>
      <c r="L111" s="36" t="n"/>
      <c r="M111" s="37">
        <f>IF(NOT(ISNUMBER($I111)),"",$I111+SUM($J111:$L111))</f>
        <v/>
      </c>
      <c r="N111" s="37">
        <f>IF(OR(NOT(ISNUMBER($M111)),NOT(ISNUMBER($G111)),$G111&lt;=0),"",$M111/$G111)</f>
        <v/>
      </c>
      <c r="O111" s="33" t="n"/>
      <c r="P111" s="33" t="n"/>
      <c r="Q111" s="41" t="n"/>
      <c r="R111" s="36" t="n"/>
      <c r="S111" s="37">
        <f>IF(NOT(ISNUMBER($M111)),"",$M111-IF(ISNUMBER($R111),$R111,0))</f>
        <v/>
      </c>
      <c r="T111" s="33" t="n"/>
      <c r="U111" s="51">
        <f>IF(COUNTA($B111,$C111,$D111,$G111,$H111)=0,"",IF(IF($B111=""," · Falta fecha","")&amp;IF($C111=""," · Falta proveedor","")&amp;IF(AND($D111&lt;&gt;"",COUNTIF(tblProductos[SKU],$D111)=0)," · SKU no existe","")&amp;IF($D111=""," · Falta SKU","")&amp;IF(OR($G111="",NOT(ISNUMBER($G111)),$G111&lt;=0)," · Cantidad inválida","")&amp;IF($H111=""," · Falta costo unitario","")&amp;IF(AND($P111="Pagado",$Q111="")," · Pago sin fecha","")&amp;IF(AND(ISNUMBER($R111),ISNUMBER($M111),$R111&gt;N($M111)+0.01)," · Pagado &gt; total","")&amp;IF(AND(ISNUMBER($R111),$R111&gt;0,$Q111="")," · Monto pagado sin fecha","")="","OK",MID(IF($B111=""," · Falta fecha","")&amp;IF($C111=""," · Falta proveedor","")&amp;IF(AND($D111&lt;&gt;"",COUNTIF(tblProductos[SKU],$D111)=0)," · SKU no existe","")&amp;IF($D111=""," · Falta SKU","")&amp;IF(OR($G111="",NOT(ISNUMBER($G111)),$G111&lt;=0)," · Cantidad inválida","")&amp;IF($H111=""," · Falta costo unitario","")&amp;IF(AND($P111="Pagado",$Q111="")," · Pago sin fecha","")&amp;IF(AND(ISNUMBER($R111),ISNUMBER($M111),$R111&gt;N($M111)+0.01)," · Pagado &gt; total","")&amp;IF(AND(ISNUMBER($R111),$R111&gt;0,$Q111="")," · Monto pagado sin fecha",""),4,900)))</f>
        <v/>
      </c>
    </row>
    <row r="112">
      <c r="A112" s="51">
        <f>IF(COUNTA($B112,$C112,$D112,$G112,$H112)=0,"","C-"&amp;TEXT(ROW()-6,"0000"))</f>
        <v/>
      </c>
      <c r="B112" s="41" t="n"/>
      <c r="C112" s="33" t="n"/>
      <c r="D112" s="33" t="n"/>
      <c r="E112" s="51">
        <f>IF($D112="","",IFERROR(IF(INDEX(tblProductos[Nombre del producto],MATCH($D112,tblProductos[SKU],0))="","",INDEX(tblProductos[Nombre del producto],MATCH($D112,tblProductos[SKU],0))),""))</f>
        <v/>
      </c>
      <c r="F112" s="51">
        <f>IF($D112="","",IFERROR(IF(INDEX(tblProductos[Categoría],MATCH($D112,tblProductos[SKU],0))="","",INDEX(tblProductos[Categoría],MATCH($D112,tblProductos[SKU],0))),""))</f>
        <v/>
      </c>
      <c r="G112" s="34" t="n"/>
      <c r="H112" s="36" t="n"/>
      <c r="I112" s="37">
        <f>IF(OR($G112="",$H112=""),"",$G112*$H112)</f>
        <v/>
      </c>
      <c r="J112" s="36" t="n"/>
      <c r="K112" s="36" t="n"/>
      <c r="L112" s="36" t="n"/>
      <c r="M112" s="37">
        <f>IF(NOT(ISNUMBER($I112)),"",$I112+SUM($J112:$L112))</f>
        <v/>
      </c>
      <c r="N112" s="37">
        <f>IF(OR(NOT(ISNUMBER($M112)),NOT(ISNUMBER($G112)),$G112&lt;=0),"",$M112/$G112)</f>
        <v/>
      </c>
      <c r="O112" s="33" t="n"/>
      <c r="P112" s="33" t="n"/>
      <c r="Q112" s="41" t="n"/>
      <c r="R112" s="36" t="n"/>
      <c r="S112" s="37">
        <f>IF(NOT(ISNUMBER($M112)),"",$M112-IF(ISNUMBER($R112),$R112,0))</f>
        <v/>
      </c>
      <c r="T112" s="33" t="n"/>
      <c r="U112" s="51">
        <f>IF(COUNTA($B112,$C112,$D112,$G112,$H112)=0,"",IF(IF($B112=""," · Falta fecha","")&amp;IF($C112=""," · Falta proveedor","")&amp;IF(AND($D112&lt;&gt;"",COUNTIF(tblProductos[SKU],$D112)=0)," · SKU no existe","")&amp;IF($D112=""," · Falta SKU","")&amp;IF(OR($G112="",NOT(ISNUMBER($G112)),$G112&lt;=0)," · Cantidad inválida","")&amp;IF($H112=""," · Falta costo unitario","")&amp;IF(AND($P112="Pagado",$Q112="")," · Pago sin fecha","")&amp;IF(AND(ISNUMBER($R112),ISNUMBER($M112),$R112&gt;N($M112)+0.01)," · Pagado &gt; total","")&amp;IF(AND(ISNUMBER($R112),$R112&gt;0,$Q112="")," · Monto pagado sin fecha","")="","OK",MID(IF($B112=""," · Falta fecha","")&amp;IF($C112=""," · Falta proveedor","")&amp;IF(AND($D112&lt;&gt;"",COUNTIF(tblProductos[SKU],$D112)=0)," · SKU no existe","")&amp;IF($D112=""," · Falta SKU","")&amp;IF(OR($G112="",NOT(ISNUMBER($G112)),$G112&lt;=0)," · Cantidad inválida","")&amp;IF($H112=""," · Falta costo unitario","")&amp;IF(AND($P112="Pagado",$Q112="")," · Pago sin fecha","")&amp;IF(AND(ISNUMBER($R112),ISNUMBER($M112),$R112&gt;N($M112)+0.01)," · Pagado &gt; total","")&amp;IF(AND(ISNUMBER($R112),$R112&gt;0,$Q112="")," · Monto pagado sin fecha",""),4,900)))</f>
        <v/>
      </c>
    </row>
    <row r="113">
      <c r="A113" s="51">
        <f>IF(COUNTA($B113,$C113,$D113,$G113,$H113)=0,"","C-"&amp;TEXT(ROW()-6,"0000"))</f>
        <v/>
      </c>
      <c r="B113" s="41" t="n"/>
      <c r="C113" s="33" t="n"/>
      <c r="D113" s="33" t="n"/>
      <c r="E113" s="51">
        <f>IF($D113="","",IFERROR(IF(INDEX(tblProductos[Nombre del producto],MATCH($D113,tblProductos[SKU],0))="","",INDEX(tblProductos[Nombre del producto],MATCH($D113,tblProductos[SKU],0))),""))</f>
        <v/>
      </c>
      <c r="F113" s="51">
        <f>IF($D113="","",IFERROR(IF(INDEX(tblProductos[Categoría],MATCH($D113,tblProductos[SKU],0))="","",INDEX(tblProductos[Categoría],MATCH($D113,tblProductos[SKU],0))),""))</f>
        <v/>
      </c>
      <c r="G113" s="34" t="n"/>
      <c r="H113" s="36" t="n"/>
      <c r="I113" s="37">
        <f>IF(OR($G113="",$H113=""),"",$G113*$H113)</f>
        <v/>
      </c>
      <c r="J113" s="36" t="n"/>
      <c r="K113" s="36" t="n"/>
      <c r="L113" s="36" t="n"/>
      <c r="M113" s="37">
        <f>IF(NOT(ISNUMBER($I113)),"",$I113+SUM($J113:$L113))</f>
        <v/>
      </c>
      <c r="N113" s="37">
        <f>IF(OR(NOT(ISNUMBER($M113)),NOT(ISNUMBER($G113)),$G113&lt;=0),"",$M113/$G113)</f>
        <v/>
      </c>
      <c r="O113" s="33" t="n"/>
      <c r="P113" s="33" t="n"/>
      <c r="Q113" s="41" t="n"/>
      <c r="R113" s="36" t="n"/>
      <c r="S113" s="37">
        <f>IF(NOT(ISNUMBER($M113)),"",$M113-IF(ISNUMBER($R113),$R113,0))</f>
        <v/>
      </c>
      <c r="T113" s="33" t="n"/>
      <c r="U113" s="51">
        <f>IF(COUNTA($B113,$C113,$D113,$G113,$H113)=0,"",IF(IF($B113=""," · Falta fecha","")&amp;IF($C113=""," · Falta proveedor","")&amp;IF(AND($D113&lt;&gt;"",COUNTIF(tblProductos[SKU],$D113)=0)," · SKU no existe","")&amp;IF($D113=""," · Falta SKU","")&amp;IF(OR($G113="",NOT(ISNUMBER($G113)),$G113&lt;=0)," · Cantidad inválida","")&amp;IF($H113=""," · Falta costo unitario","")&amp;IF(AND($P113="Pagado",$Q113="")," · Pago sin fecha","")&amp;IF(AND(ISNUMBER($R113),ISNUMBER($M113),$R113&gt;N($M113)+0.01)," · Pagado &gt; total","")&amp;IF(AND(ISNUMBER($R113),$R113&gt;0,$Q113="")," · Monto pagado sin fecha","")="","OK",MID(IF($B113=""," · Falta fecha","")&amp;IF($C113=""," · Falta proveedor","")&amp;IF(AND($D113&lt;&gt;"",COUNTIF(tblProductos[SKU],$D113)=0)," · SKU no existe","")&amp;IF($D113=""," · Falta SKU","")&amp;IF(OR($G113="",NOT(ISNUMBER($G113)),$G113&lt;=0)," · Cantidad inválida","")&amp;IF($H113=""," · Falta costo unitario","")&amp;IF(AND($P113="Pagado",$Q113="")," · Pago sin fecha","")&amp;IF(AND(ISNUMBER($R113),ISNUMBER($M113),$R113&gt;N($M113)+0.01)," · Pagado &gt; total","")&amp;IF(AND(ISNUMBER($R113),$R113&gt;0,$Q113="")," · Monto pagado sin fecha",""),4,900)))</f>
        <v/>
      </c>
    </row>
    <row r="114">
      <c r="A114" s="51">
        <f>IF(COUNTA($B114,$C114,$D114,$G114,$H114)=0,"","C-"&amp;TEXT(ROW()-6,"0000"))</f>
        <v/>
      </c>
      <c r="B114" s="41" t="n"/>
      <c r="C114" s="33" t="n"/>
      <c r="D114" s="33" t="n"/>
      <c r="E114" s="51">
        <f>IF($D114="","",IFERROR(IF(INDEX(tblProductos[Nombre del producto],MATCH($D114,tblProductos[SKU],0))="","",INDEX(tblProductos[Nombre del producto],MATCH($D114,tblProductos[SKU],0))),""))</f>
        <v/>
      </c>
      <c r="F114" s="51">
        <f>IF($D114="","",IFERROR(IF(INDEX(tblProductos[Categoría],MATCH($D114,tblProductos[SKU],0))="","",INDEX(tblProductos[Categoría],MATCH($D114,tblProductos[SKU],0))),""))</f>
        <v/>
      </c>
      <c r="G114" s="34" t="n"/>
      <c r="H114" s="36" t="n"/>
      <c r="I114" s="37">
        <f>IF(OR($G114="",$H114=""),"",$G114*$H114)</f>
        <v/>
      </c>
      <c r="J114" s="36" t="n"/>
      <c r="K114" s="36" t="n"/>
      <c r="L114" s="36" t="n"/>
      <c r="M114" s="37">
        <f>IF(NOT(ISNUMBER($I114)),"",$I114+SUM($J114:$L114))</f>
        <v/>
      </c>
      <c r="N114" s="37">
        <f>IF(OR(NOT(ISNUMBER($M114)),NOT(ISNUMBER($G114)),$G114&lt;=0),"",$M114/$G114)</f>
        <v/>
      </c>
      <c r="O114" s="33" t="n"/>
      <c r="P114" s="33" t="n"/>
      <c r="Q114" s="41" t="n"/>
      <c r="R114" s="36" t="n"/>
      <c r="S114" s="37">
        <f>IF(NOT(ISNUMBER($M114)),"",$M114-IF(ISNUMBER($R114),$R114,0))</f>
        <v/>
      </c>
      <c r="T114" s="33" t="n"/>
      <c r="U114" s="51">
        <f>IF(COUNTA($B114,$C114,$D114,$G114,$H114)=0,"",IF(IF($B114=""," · Falta fecha","")&amp;IF($C114=""," · Falta proveedor","")&amp;IF(AND($D114&lt;&gt;"",COUNTIF(tblProductos[SKU],$D114)=0)," · SKU no existe","")&amp;IF($D114=""," · Falta SKU","")&amp;IF(OR($G114="",NOT(ISNUMBER($G114)),$G114&lt;=0)," · Cantidad inválida","")&amp;IF($H114=""," · Falta costo unitario","")&amp;IF(AND($P114="Pagado",$Q114="")," · Pago sin fecha","")&amp;IF(AND(ISNUMBER($R114),ISNUMBER($M114),$R114&gt;N($M114)+0.01)," · Pagado &gt; total","")&amp;IF(AND(ISNUMBER($R114),$R114&gt;0,$Q114="")," · Monto pagado sin fecha","")="","OK",MID(IF($B114=""," · Falta fecha","")&amp;IF($C114=""," · Falta proveedor","")&amp;IF(AND($D114&lt;&gt;"",COUNTIF(tblProductos[SKU],$D114)=0)," · SKU no existe","")&amp;IF($D114=""," · Falta SKU","")&amp;IF(OR($G114="",NOT(ISNUMBER($G114)),$G114&lt;=0)," · Cantidad inválida","")&amp;IF($H114=""," · Falta costo unitario","")&amp;IF(AND($P114="Pagado",$Q114="")," · Pago sin fecha","")&amp;IF(AND(ISNUMBER($R114),ISNUMBER($M114),$R114&gt;N($M114)+0.01)," · Pagado &gt; total","")&amp;IF(AND(ISNUMBER($R114),$R114&gt;0,$Q114="")," · Monto pagado sin fecha",""),4,900)))</f>
        <v/>
      </c>
    </row>
    <row r="115">
      <c r="A115" s="51">
        <f>IF(COUNTA($B115,$C115,$D115,$G115,$H115)=0,"","C-"&amp;TEXT(ROW()-6,"0000"))</f>
        <v/>
      </c>
      <c r="B115" s="41" t="n"/>
      <c r="C115" s="33" t="n"/>
      <c r="D115" s="33" t="n"/>
      <c r="E115" s="51">
        <f>IF($D115="","",IFERROR(IF(INDEX(tblProductos[Nombre del producto],MATCH($D115,tblProductos[SKU],0))="","",INDEX(tblProductos[Nombre del producto],MATCH($D115,tblProductos[SKU],0))),""))</f>
        <v/>
      </c>
      <c r="F115" s="51">
        <f>IF($D115="","",IFERROR(IF(INDEX(tblProductos[Categoría],MATCH($D115,tblProductos[SKU],0))="","",INDEX(tblProductos[Categoría],MATCH($D115,tblProductos[SKU],0))),""))</f>
        <v/>
      </c>
      <c r="G115" s="34" t="n"/>
      <c r="H115" s="36" t="n"/>
      <c r="I115" s="37">
        <f>IF(OR($G115="",$H115=""),"",$G115*$H115)</f>
        <v/>
      </c>
      <c r="J115" s="36" t="n"/>
      <c r="K115" s="36" t="n"/>
      <c r="L115" s="36" t="n"/>
      <c r="M115" s="37">
        <f>IF(NOT(ISNUMBER($I115)),"",$I115+SUM($J115:$L115))</f>
        <v/>
      </c>
      <c r="N115" s="37">
        <f>IF(OR(NOT(ISNUMBER($M115)),NOT(ISNUMBER($G115)),$G115&lt;=0),"",$M115/$G115)</f>
        <v/>
      </c>
      <c r="O115" s="33" t="n"/>
      <c r="P115" s="33" t="n"/>
      <c r="Q115" s="41" t="n"/>
      <c r="R115" s="36" t="n"/>
      <c r="S115" s="37">
        <f>IF(NOT(ISNUMBER($M115)),"",$M115-IF(ISNUMBER($R115),$R115,0))</f>
        <v/>
      </c>
      <c r="T115" s="33" t="n"/>
      <c r="U115" s="51">
        <f>IF(COUNTA($B115,$C115,$D115,$G115,$H115)=0,"",IF(IF($B115=""," · Falta fecha","")&amp;IF($C115=""," · Falta proveedor","")&amp;IF(AND($D115&lt;&gt;"",COUNTIF(tblProductos[SKU],$D115)=0)," · SKU no existe","")&amp;IF($D115=""," · Falta SKU","")&amp;IF(OR($G115="",NOT(ISNUMBER($G115)),$G115&lt;=0)," · Cantidad inválida","")&amp;IF($H115=""," · Falta costo unitario","")&amp;IF(AND($P115="Pagado",$Q115="")," · Pago sin fecha","")&amp;IF(AND(ISNUMBER($R115),ISNUMBER($M115),$R115&gt;N($M115)+0.01)," · Pagado &gt; total","")&amp;IF(AND(ISNUMBER($R115),$R115&gt;0,$Q115="")," · Monto pagado sin fecha","")="","OK",MID(IF($B115=""," · Falta fecha","")&amp;IF($C115=""," · Falta proveedor","")&amp;IF(AND($D115&lt;&gt;"",COUNTIF(tblProductos[SKU],$D115)=0)," · SKU no existe","")&amp;IF($D115=""," · Falta SKU","")&amp;IF(OR($G115="",NOT(ISNUMBER($G115)),$G115&lt;=0)," · Cantidad inválida","")&amp;IF($H115=""," · Falta costo unitario","")&amp;IF(AND($P115="Pagado",$Q115="")," · Pago sin fecha","")&amp;IF(AND(ISNUMBER($R115),ISNUMBER($M115),$R115&gt;N($M115)+0.01)," · Pagado &gt; total","")&amp;IF(AND(ISNUMBER($R115),$R115&gt;0,$Q115="")," · Monto pagado sin fecha",""),4,900)))</f>
        <v/>
      </c>
    </row>
    <row r="116">
      <c r="A116" s="51">
        <f>IF(COUNTA($B116,$C116,$D116,$G116,$H116)=0,"","C-"&amp;TEXT(ROW()-6,"0000"))</f>
        <v/>
      </c>
      <c r="B116" s="41" t="n"/>
      <c r="C116" s="33" t="n"/>
      <c r="D116" s="33" t="n"/>
      <c r="E116" s="51">
        <f>IF($D116="","",IFERROR(IF(INDEX(tblProductos[Nombre del producto],MATCH($D116,tblProductos[SKU],0))="","",INDEX(tblProductos[Nombre del producto],MATCH($D116,tblProductos[SKU],0))),""))</f>
        <v/>
      </c>
      <c r="F116" s="51">
        <f>IF($D116="","",IFERROR(IF(INDEX(tblProductos[Categoría],MATCH($D116,tblProductos[SKU],0))="","",INDEX(tblProductos[Categoría],MATCH($D116,tblProductos[SKU],0))),""))</f>
        <v/>
      </c>
      <c r="G116" s="34" t="n"/>
      <c r="H116" s="36" t="n"/>
      <c r="I116" s="37">
        <f>IF(OR($G116="",$H116=""),"",$G116*$H116)</f>
        <v/>
      </c>
      <c r="J116" s="36" t="n"/>
      <c r="K116" s="36" t="n"/>
      <c r="L116" s="36" t="n"/>
      <c r="M116" s="37">
        <f>IF(NOT(ISNUMBER($I116)),"",$I116+SUM($J116:$L116))</f>
        <v/>
      </c>
      <c r="N116" s="37">
        <f>IF(OR(NOT(ISNUMBER($M116)),NOT(ISNUMBER($G116)),$G116&lt;=0),"",$M116/$G116)</f>
        <v/>
      </c>
      <c r="O116" s="33" t="n"/>
      <c r="P116" s="33" t="n"/>
      <c r="Q116" s="41" t="n"/>
      <c r="R116" s="36" t="n"/>
      <c r="S116" s="37">
        <f>IF(NOT(ISNUMBER($M116)),"",$M116-IF(ISNUMBER($R116),$R116,0))</f>
        <v/>
      </c>
      <c r="T116" s="33" t="n"/>
      <c r="U116" s="51">
        <f>IF(COUNTA($B116,$C116,$D116,$G116,$H116)=0,"",IF(IF($B116=""," · Falta fecha","")&amp;IF($C116=""," · Falta proveedor","")&amp;IF(AND($D116&lt;&gt;"",COUNTIF(tblProductos[SKU],$D116)=0)," · SKU no existe","")&amp;IF($D116=""," · Falta SKU","")&amp;IF(OR($G116="",NOT(ISNUMBER($G116)),$G116&lt;=0)," · Cantidad inválida","")&amp;IF($H116=""," · Falta costo unitario","")&amp;IF(AND($P116="Pagado",$Q116="")," · Pago sin fecha","")&amp;IF(AND(ISNUMBER($R116),ISNUMBER($M116),$R116&gt;N($M116)+0.01)," · Pagado &gt; total","")&amp;IF(AND(ISNUMBER($R116),$R116&gt;0,$Q116="")," · Monto pagado sin fecha","")="","OK",MID(IF($B116=""," · Falta fecha","")&amp;IF($C116=""," · Falta proveedor","")&amp;IF(AND($D116&lt;&gt;"",COUNTIF(tblProductos[SKU],$D116)=0)," · SKU no existe","")&amp;IF($D116=""," · Falta SKU","")&amp;IF(OR($G116="",NOT(ISNUMBER($G116)),$G116&lt;=0)," · Cantidad inválida","")&amp;IF($H116=""," · Falta costo unitario","")&amp;IF(AND($P116="Pagado",$Q116="")," · Pago sin fecha","")&amp;IF(AND(ISNUMBER($R116),ISNUMBER($M116),$R116&gt;N($M116)+0.01)," · Pagado &gt; total","")&amp;IF(AND(ISNUMBER($R116),$R116&gt;0,$Q116="")," · Monto pagado sin fecha",""),4,900)))</f>
        <v/>
      </c>
    </row>
    <row r="117">
      <c r="A117" s="51">
        <f>IF(COUNTA($B117,$C117,$D117,$G117,$H117)=0,"","C-"&amp;TEXT(ROW()-6,"0000"))</f>
        <v/>
      </c>
      <c r="B117" s="41" t="n"/>
      <c r="C117" s="33" t="n"/>
      <c r="D117" s="33" t="n"/>
      <c r="E117" s="51">
        <f>IF($D117="","",IFERROR(IF(INDEX(tblProductos[Nombre del producto],MATCH($D117,tblProductos[SKU],0))="","",INDEX(tblProductos[Nombre del producto],MATCH($D117,tblProductos[SKU],0))),""))</f>
        <v/>
      </c>
      <c r="F117" s="51">
        <f>IF($D117="","",IFERROR(IF(INDEX(tblProductos[Categoría],MATCH($D117,tblProductos[SKU],0))="","",INDEX(tblProductos[Categoría],MATCH($D117,tblProductos[SKU],0))),""))</f>
        <v/>
      </c>
      <c r="G117" s="34" t="n"/>
      <c r="H117" s="36" t="n"/>
      <c r="I117" s="37">
        <f>IF(OR($G117="",$H117=""),"",$G117*$H117)</f>
        <v/>
      </c>
      <c r="J117" s="36" t="n"/>
      <c r="K117" s="36" t="n"/>
      <c r="L117" s="36" t="n"/>
      <c r="M117" s="37">
        <f>IF(NOT(ISNUMBER($I117)),"",$I117+SUM($J117:$L117))</f>
        <v/>
      </c>
      <c r="N117" s="37">
        <f>IF(OR(NOT(ISNUMBER($M117)),NOT(ISNUMBER($G117)),$G117&lt;=0),"",$M117/$G117)</f>
        <v/>
      </c>
      <c r="O117" s="33" t="n"/>
      <c r="P117" s="33" t="n"/>
      <c r="Q117" s="41" t="n"/>
      <c r="R117" s="36" t="n"/>
      <c r="S117" s="37">
        <f>IF(NOT(ISNUMBER($M117)),"",$M117-IF(ISNUMBER($R117),$R117,0))</f>
        <v/>
      </c>
      <c r="T117" s="33" t="n"/>
      <c r="U117" s="51">
        <f>IF(COUNTA($B117,$C117,$D117,$G117,$H117)=0,"",IF(IF($B117=""," · Falta fecha","")&amp;IF($C117=""," · Falta proveedor","")&amp;IF(AND($D117&lt;&gt;"",COUNTIF(tblProductos[SKU],$D117)=0)," · SKU no existe","")&amp;IF($D117=""," · Falta SKU","")&amp;IF(OR($G117="",NOT(ISNUMBER($G117)),$G117&lt;=0)," · Cantidad inválida","")&amp;IF($H117=""," · Falta costo unitario","")&amp;IF(AND($P117="Pagado",$Q117="")," · Pago sin fecha","")&amp;IF(AND(ISNUMBER($R117),ISNUMBER($M117),$R117&gt;N($M117)+0.01)," · Pagado &gt; total","")&amp;IF(AND(ISNUMBER($R117),$R117&gt;0,$Q117="")," · Monto pagado sin fecha","")="","OK",MID(IF($B117=""," · Falta fecha","")&amp;IF($C117=""," · Falta proveedor","")&amp;IF(AND($D117&lt;&gt;"",COUNTIF(tblProductos[SKU],$D117)=0)," · SKU no existe","")&amp;IF($D117=""," · Falta SKU","")&amp;IF(OR($G117="",NOT(ISNUMBER($G117)),$G117&lt;=0)," · Cantidad inválida","")&amp;IF($H117=""," · Falta costo unitario","")&amp;IF(AND($P117="Pagado",$Q117="")," · Pago sin fecha","")&amp;IF(AND(ISNUMBER($R117),ISNUMBER($M117),$R117&gt;N($M117)+0.01)," · Pagado &gt; total","")&amp;IF(AND(ISNUMBER($R117),$R117&gt;0,$Q117="")," · Monto pagado sin fecha",""),4,900)))</f>
        <v/>
      </c>
    </row>
    <row r="118">
      <c r="A118" s="51">
        <f>IF(COUNTA($B118,$C118,$D118,$G118,$H118)=0,"","C-"&amp;TEXT(ROW()-6,"0000"))</f>
        <v/>
      </c>
      <c r="B118" s="41" t="n"/>
      <c r="C118" s="33" t="n"/>
      <c r="D118" s="33" t="n"/>
      <c r="E118" s="51">
        <f>IF($D118="","",IFERROR(IF(INDEX(tblProductos[Nombre del producto],MATCH($D118,tblProductos[SKU],0))="","",INDEX(tblProductos[Nombre del producto],MATCH($D118,tblProductos[SKU],0))),""))</f>
        <v/>
      </c>
      <c r="F118" s="51">
        <f>IF($D118="","",IFERROR(IF(INDEX(tblProductos[Categoría],MATCH($D118,tblProductos[SKU],0))="","",INDEX(tblProductos[Categoría],MATCH($D118,tblProductos[SKU],0))),""))</f>
        <v/>
      </c>
      <c r="G118" s="34" t="n"/>
      <c r="H118" s="36" t="n"/>
      <c r="I118" s="37">
        <f>IF(OR($G118="",$H118=""),"",$G118*$H118)</f>
        <v/>
      </c>
      <c r="J118" s="36" t="n"/>
      <c r="K118" s="36" t="n"/>
      <c r="L118" s="36" t="n"/>
      <c r="M118" s="37">
        <f>IF(NOT(ISNUMBER($I118)),"",$I118+SUM($J118:$L118))</f>
        <v/>
      </c>
      <c r="N118" s="37">
        <f>IF(OR(NOT(ISNUMBER($M118)),NOT(ISNUMBER($G118)),$G118&lt;=0),"",$M118/$G118)</f>
        <v/>
      </c>
      <c r="O118" s="33" t="n"/>
      <c r="P118" s="33" t="n"/>
      <c r="Q118" s="41" t="n"/>
      <c r="R118" s="36" t="n"/>
      <c r="S118" s="37">
        <f>IF(NOT(ISNUMBER($M118)),"",$M118-IF(ISNUMBER($R118),$R118,0))</f>
        <v/>
      </c>
      <c r="T118" s="33" t="n"/>
      <c r="U118" s="51">
        <f>IF(COUNTA($B118,$C118,$D118,$G118,$H118)=0,"",IF(IF($B118=""," · Falta fecha","")&amp;IF($C118=""," · Falta proveedor","")&amp;IF(AND($D118&lt;&gt;"",COUNTIF(tblProductos[SKU],$D118)=0)," · SKU no existe","")&amp;IF($D118=""," · Falta SKU","")&amp;IF(OR($G118="",NOT(ISNUMBER($G118)),$G118&lt;=0)," · Cantidad inválida","")&amp;IF($H118=""," · Falta costo unitario","")&amp;IF(AND($P118="Pagado",$Q118="")," · Pago sin fecha","")&amp;IF(AND(ISNUMBER($R118),ISNUMBER($M118),$R118&gt;N($M118)+0.01)," · Pagado &gt; total","")&amp;IF(AND(ISNUMBER($R118),$R118&gt;0,$Q118="")," · Monto pagado sin fecha","")="","OK",MID(IF($B118=""," · Falta fecha","")&amp;IF($C118=""," · Falta proveedor","")&amp;IF(AND($D118&lt;&gt;"",COUNTIF(tblProductos[SKU],$D118)=0)," · SKU no existe","")&amp;IF($D118=""," · Falta SKU","")&amp;IF(OR($G118="",NOT(ISNUMBER($G118)),$G118&lt;=0)," · Cantidad inválida","")&amp;IF($H118=""," · Falta costo unitario","")&amp;IF(AND($P118="Pagado",$Q118="")," · Pago sin fecha","")&amp;IF(AND(ISNUMBER($R118),ISNUMBER($M118),$R118&gt;N($M118)+0.01)," · Pagado &gt; total","")&amp;IF(AND(ISNUMBER($R118),$R118&gt;0,$Q118="")," · Monto pagado sin fecha",""),4,900)))</f>
        <v/>
      </c>
    </row>
    <row r="119">
      <c r="A119" s="51">
        <f>IF(COUNTA($B119,$C119,$D119,$G119,$H119)=0,"","C-"&amp;TEXT(ROW()-6,"0000"))</f>
        <v/>
      </c>
      <c r="B119" s="41" t="n"/>
      <c r="C119" s="33" t="n"/>
      <c r="D119" s="33" t="n"/>
      <c r="E119" s="51">
        <f>IF($D119="","",IFERROR(IF(INDEX(tblProductos[Nombre del producto],MATCH($D119,tblProductos[SKU],0))="","",INDEX(tblProductos[Nombre del producto],MATCH($D119,tblProductos[SKU],0))),""))</f>
        <v/>
      </c>
      <c r="F119" s="51">
        <f>IF($D119="","",IFERROR(IF(INDEX(tblProductos[Categoría],MATCH($D119,tblProductos[SKU],0))="","",INDEX(tblProductos[Categoría],MATCH($D119,tblProductos[SKU],0))),""))</f>
        <v/>
      </c>
      <c r="G119" s="34" t="n"/>
      <c r="H119" s="36" t="n"/>
      <c r="I119" s="37">
        <f>IF(OR($G119="",$H119=""),"",$G119*$H119)</f>
        <v/>
      </c>
      <c r="J119" s="36" t="n"/>
      <c r="K119" s="36" t="n"/>
      <c r="L119" s="36" t="n"/>
      <c r="M119" s="37">
        <f>IF(NOT(ISNUMBER($I119)),"",$I119+SUM($J119:$L119))</f>
        <v/>
      </c>
      <c r="N119" s="37">
        <f>IF(OR(NOT(ISNUMBER($M119)),NOT(ISNUMBER($G119)),$G119&lt;=0),"",$M119/$G119)</f>
        <v/>
      </c>
      <c r="O119" s="33" t="n"/>
      <c r="P119" s="33" t="n"/>
      <c r="Q119" s="41" t="n"/>
      <c r="R119" s="36" t="n"/>
      <c r="S119" s="37">
        <f>IF(NOT(ISNUMBER($M119)),"",$M119-IF(ISNUMBER($R119),$R119,0))</f>
        <v/>
      </c>
      <c r="T119" s="33" t="n"/>
      <c r="U119" s="51">
        <f>IF(COUNTA($B119,$C119,$D119,$G119,$H119)=0,"",IF(IF($B119=""," · Falta fecha","")&amp;IF($C119=""," · Falta proveedor","")&amp;IF(AND($D119&lt;&gt;"",COUNTIF(tblProductos[SKU],$D119)=0)," · SKU no existe","")&amp;IF($D119=""," · Falta SKU","")&amp;IF(OR($G119="",NOT(ISNUMBER($G119)),$G119&lt;=0)," · Cantidad inválida","")&amp;IF($H119=""," · Falta costo unitario","")&amp;IF(AND($P119="Pagado",$Q119="")," · Pago sin fecha","")&amp;IF(AND(ISNUMBER($R119),ISNUMBER($M119),$R119&gt;N($M119)+0.01)," · Pagado &gt; total","")&amp;IF(AND(ISNUMBER($R119),$R119&gt;0,$Q119="")," · Monto pagado sin fecha","")="","OK",MID(IF($B119=""," · Falta fecha","")&amp;IF($C119=""," · Falta proveedor","")&amp;IF(AND($D119&lt;&gt;"",COUNTIF(tblProductos[SKU],$D119)=0)," · SKU no existe","")&amp;IF($D119=""," · Falta SKU","")&amp;IF(OR($G119="",NOT(ISNUMBER($G119)),$G119&lt;=0)," · Cantidad inválida","")&amp;IF($H119=""," · Falta costo unitario","")&amp;IF(AND($P119="Pagado",$Q119="")," · Pago sin fecha","")&amp;IF(AND(ISNUMBER($R119),ISNUMBER($M119),$R119&gt;N($M119)+0.01)," · Pagado &gt; total","")&amp;IF(AND(ISNUMBER($R119),$R119&gt;0,$Q119="")," · Monto pagado sin fecha",""),4,900)))</f>
        <v/>
      </c>
    </row>
    <row r="120">
      <c r="A120" s="51">
        <f>IF(COUNTA($B120,$C120,$D120,$G120,$H120)=0,"","C-"&amp;TEXT(ROW()-6,"0000"))</f>
        <v/>
      </c>
      <c r="B120" s="41" t="n"/>
      <c r="C120" s="33" t="n"/>
      <c r="D120" s="33" t="n"/>
      <c r="E120" s="51">
        <f>IF($D120="","",IFERROR(IF(INDEX(tblProductos[Nombre del producto],MATCH($D120,tblProductos[SKU],0))="","",INDEX(tblProductos[Nombre del producto],MATCH($D120,tblProductos[SKU],0))),""))</f>
        <v/>
      </c>
      <c r="F120" s="51">
        <f>IF($D120="","",IFERROR(IF(INDEX(tblProductos[Categoría],MATCH($D120,tblProductos[SKU],0))="","",INDEX(tblProductos[Categoría],MATCH($D120,tblProductos[SKU],0))),""))</f>
        <v/>
      </c>
      <c r="G120" s="34" t="n"/>
      <c r="H120" s="36" t="n"/>
      <c r="I120" s="37">
        <f>IF(OR($G120="",$H120=""),"",$G120*$H120)</f>
        <v/>
      </c>
      <c r="J120" s="36" t="n"/>
      <c r="K120" s="36" t="n"/>
      <c r="L120" s="36" t="n"/>
      <c r="M120" s="37">
        <f>IF(NOT(ISNUMBER($I120)),"",$I120+SUM($J120:$L120))</f>
        <v/>
      </c>
      <c r="N120" s="37">
        <f>IF(OR(NOT(ISNUMBER($M120)),NOT(ISNUMBER($G120)),$G120&lt;=0),"",$M120/$G120)</f>
        <v/>
      </c>
      <c r="O120" s="33" t="n"/>
      <c r="P120" s="33" t="n"/>
      <c r="Q120" s="41" t="n"/>
      <c r="R120" s="36" t="n"/>
      <c r="S120" s="37">
        <f>IF(NOT(ISNUMBER($M120)),"",$M120-IF(ISNUMBER($R120),$R120,0))</f>
        <v/>
      </c>
      <c r="T120" s="33" t="n"/>
      <c r="U120" s="51">
        <f>IF(COUNTA($B120,$C120,$D120,$G120,$H120)=0,"",IF(IF($B120=""," · Falta fecha","")&amp;IF($C120=""," · Falta proveedor","")&amp;IF(AND($D120&lt;&gt;"",COUNTIF(tblProductos[SKU],$D120)=0)," · SKU no existe","")&amp;IF($D120=""," · Falta SKU","")&amp;IF(OR($G120="",NOT(ISNUMBER($G120)),$G120&lt;=0)," · Cantidad inválida","")&amp;IF($H120=""," · Falta costo unitario","")&amp;IF(AND($P120="Pagado",$Q120="")," · Pago sin fecha","")&amp;IF(AND(ISNUMBER($R120),ISNUMBER($M120),$R120&gt;N($M120)+0.01)," · Pagado &gt; total","")&amp;IF(AND(ISNUMBER($R120),$R120&gt;0,$Q120="")," · Monto pagado sin fecha","")="","OK",MID(IF($B120=""," · Falta fecha","")&amp;IF($C120=""," · Falta proveedor","")&amp;IF(AND($D120&lt;&gt;"",COUNTIF(tblProductos[SKU],$D120)=0)," · SKU no existe","")&amp;IF($D120=""," · Falta SKU","")&amp;IF(OR($G120="",NOT(ISNUMBER($G120)),$G120&lt;=0)," · Cantidad inválida","")&amp;IF($H120=""," · Falta costo unitario","")&amp;IF(AND($P120="Pagado",$Q120="")," · Pago sin fecha","")&amp;IF(AND(ISNUMBER($R120),ISNUMBER($M120),$R120&gt;N($M120)+0.01)," · Pagado &gt; total","")&amp;IF(AND(ISNUMBER($R120),$R120&gt;0,$Q120="")," · Monto pagado sin fecha",""),4,900)))</f>
        <v/>
      </c>
    </row>
    <row r="121">
      <c r="A121" s="51">
        <f>IF(COUNTA($B121,$C121,$D121,$G121,$H121)=0,"","C-"&amp;TEXT(ROW()-6,"0000"))</f>
        <v/>
      </c>
      <c r="B121" s="41" t="n"/>
      <c r="C121" s="33" t="n"/>
      <c r="D121" s="33" t="n"/>
      <c r="E121" s="51">
        <f>IF($D121="","",IFERROR(IF(INDEX(tblProductos[Nombre del producto],MATCH($D121,tblProductos[SKU],0))="","",INDEX(tblProductos[Nombre del producto],MATCH($D121,tblProductos[SKU],0))),""))</f>
        <v/>
      </c>
      <c r="F121" s="51">
        <f>IF($D121="","",IFERROR(IF(INDEX(tblProductos[Categoría],MATCH($D121,tblProductos[SKU],0))="","",INDEX(tblProductos[Categoría],MATCH($D121,tblProductos[SKU],0))),""))</f>
        <v/>
      </c>
      <c r="G121" s="34" t="n"/>
      <c r="H121" s="36" t="n"/>
      <c r="I121" s="37">
        <f>IF(OR($G121="",$H121=""),"",$G121*$H121)</f>
        <v/>
      </c>
      <c r="J121" s="36" t="n"/>
      <c r="K121" s="36" t="n"/>
      <c r="L121" s="36" t="n"/>
      <c r="M121" s="37">
        <f>IF(NOT(ISNUMBER($I121)),"",$I121+SUM($J121:$L121))</f>
        <v/>
      </c>
      <c r="N121" s="37">
        <f>IF(OR(NOT(ISNUMBER($M121)),NOT(ISNUMBER($G121)),$G121&lt;=0),"",$M121/$G121)</f>
        <v/>
      </c>
      <c r="O121" s="33" t="n"/>
      <c r="P121" s="33" t="n"/>
      <c r="Q121" s="41" t="n"/>
      <c r="R121" s="36" t="n"/>
      <c r="S121" s="37">
        <f>IF(NOT(ISNUMBER($M121)),"",$M121-IF(ISNUMBER($R121),$R121,0))</f>
        <v/>
      </c>
      <c r="T121" s="33" t="n"/>
      <c r="U121" s="51">
        <f>IF(COUNTA($B121,$C121,$D121,$G121,$H121)=0,"",IF(IF($B121=""," · Falta fecha","")&amp;IF($C121=""," · Falta proveedor","")&amp;IF(AND($D121&lt;&gt;"",COUNTIF(tblProductos[SKU],$D121)=0)," · SKU no existe","")&amp;IF($D121=""," · Falta SKU","")&amp;IF(OR($G121="",NOT(ISNUMBER($G121)),$G121&lt;=0)," · Cantidad inválida","")&amp;IF($H121=""," · Falta costo unitario","")&amp;IF(AND($P121="Pagado",$Q121="")," · Pago sin fecha","")&amp;IF(AND(ISNUMBER($R121),ISNUMBER($M121),$R121&gt;N($M121)+0.01)," · Pagado &gt; total","")&amp;IF(AND(ISNUMBER($R121),$R121&gt;0,$Q121="")," · Monto pagado sin fecha","")="","OK",MID(IF($B121=""," · Falta fecha","")&amp;IF($C121=""," · Falta proveedor","")&amp;IF(AND($D121&lt;&gt;"",COUNTIF(tblProductos[SKU],$D121)=0)," · SKU no existe","")&amp;IF($D121=""," · Falta SKU","")&amp;IF(OR($G121="",NOT(ISNUMBER($G121)),$G121&lt;=0)," · Cantidad inválida","")&amp;IF($H121=""," · Falta costo unitario","")&amp;IF(AND($P121="Pagado",$Q121="")," · Pago sin fecha","")&amp;IF(AND(ISNUMBER($R121),ISNUMBER($M121),$R121&gt;N($M121)+0.01)," · Pagado &gt; total","")&amp;IF(AND(ISNUMBER($R121),$R121&gt;0,$Q121="")," · Monto pagado sin fecha",""),4,900)))</f>
        <v/>
      </c>
    </row>
    <row r="122">
      <c r="A122" s="51">
        <f>IF(COUNTA($B122,$C122,$D122,$G122,$H122)=0,"","C-"&amp;TEXT(ROW()-6,"0000"))</f>
        <v/>
      </c>
      <c r="B122" s="41" t="n"/>
      <c r="C122" s="33" t="n"/>
      <c r="D122" s="33" t="n"/>
      <c r="E122" s="51">
        <f>IF($D122="","",IFERROR(IF(INDEX(tblProductos[Nombre del producto],MATCH($D122,tblProductos[SKU],0))="","",INDEX(tblProductos[Nombre del producto],MATCH($D122,tblProductos[SKU],0))),""))</f>
        <v/>
      </c>
      <c r="F122" s="51">
        <f>IF($D122="","",IFERROR(IF(INDEX(tblProductos[Categoría],MATCH($D122,tblProductos[SKU],0))="","",INDEX(tblProductos[Categoría],MATCH($D122,tblProductos[SKU],0))),""))</f>
        <v/>
      </c>
      <c r="G122" s="34" t="n"/>
      <c r="H122" s="36" t="n"/>
      <c r="I122" s="37">
        <f>IF(OR($G122="",$H122=""),"",$G122*$H122)</f>
        <v/>
      </c>
      <c r="J122" s="36" t="n"/>
      <c r="K122" s="36" t="n"/>
      <c r="L122" s="36" t="n"/>
      <c r="M122" s="37">
        <f>IF(NOT(ISNUMBER($I122)),"",$I122+SUM($J122:$L122))</f>
        <v/>
      </c>
      <c r="N122" s="37">
        <f>IF(OR(NOT(ISNUMBER($M122)),NOT(ISNUMBER($G122)),$G122&lt;=0),"",$M122/$G122)</f>
        <v/>
      </c>
      <c r="O122" s="33" t="n"/>
      <c r="P122" s="33" t="n"/>
      <c r="Q122" s="41" t="n"/>
      <c r="R122" s="36" t="n"/>
      <c r="S122" s="37">
        <f>IF(NOT(ISNUMBER($M122)),"",$M122-IF(ISNUMBER($R122),$R122,0))</f>
        <v/>
      </c>
      <c r="T122" s="33" t="n"/>
      <c r="U122" s="51">
        <f>IF(COUNTA($B122,$C122,$D122,$G122,$H122)=0,"",IF(IF($B122=""," · Falta fecha","")&amp;IF($C122=""," · Falta proveedor","")&amp;IF(AND($D122&lt;&gt;"",COUNTIF(tblProductos[SKU],$D122)=0)," · SKU no existe","")&amp;IF($D122=""," · Falta SKU","")&amp;IF(OR($G122="",NOT(ISNUMBER($G122)),$G122&lt;=0)," · Cantidad inválida","")&amp;IF($H122=""," · Falta costo unitario","")&amp;IF(AND($P122="Pagado",$Q122="")," · Pago sin fecha","")&amp;IF(AND(ISNUMBER($R122),ISNUMBER($M122),$R122&gt;N($M122)+0.01)," · Pagado &gt; total","")&amp;IF(AND(ISNUMBER($R122),$R122&gt;0,$Q122="")," · Monto pagado sin fecha","")="","OK",MID(IF($B122=""," · Falta fecha","")&amp;IF($C122=""," · Falta proveedor","")&amp;IF(AND($D122&lt;&gt;"",COUNTIF(tblProductos[SKU],$D122)=0)," · SKU no existe","")&amp;IF($D122=""," · Falta SKU","")&amp;IF(OR($G122="",NOT(ISNUMBER($G122)),$G122&lt;=0)," · Cantidad inválida","")&amp;IF($H122=""," · Falta costo unitario","")&amp;IF(AND($P122="Pagado",$Q122="")," · Pago sin fecha","")&amp;IF(AND(ISNUMBER($R122),ISNUMBER($M122),$R122&gt;N($M122)+0.01)," · Pagado &gt; total","")&amp;IF(AND(ISNUMBER($R122),$R122&gt;0,$Q122="")," · Monto pagado sin fecha",""),4,900)))</f>
        <v/>
      </c>
    </row>
    <row r="123">
      <c r="A123" s="51">
        <f>IF(COUNTA($B123,$C123,$D123,$G123,$H123)=0,"","C-"&amp;TEXT(ROW()-6,"0000"))</f>
        <v/>
      </c>
      <c r="B123" s="41" t="n"/>
      <c r="C123" s="33" t="n"/>
      <c r="D123" s="33" t="n"/>
      <c r="E123" s="51">
        <f>IF($D123="","",IFERROR(IF(INDEX(tblProductos[Nombre del producto],MATCH($D123,tblProductos[SKU],0))="","",INDEX(tblProductos[Nombre del producto],MATCH($D123,tblProductos[SKU],0))),""))</f>
        <v/>
      </c>
      <c r="F123" s="51">
        <f>IF($D123="","",IFERROR(IF(INDEX(tblProductos[Categoría],MATCH($D123,tblProductos[SKU],0))="","",INDEX(tblProductos[Categoría],MATCH($D123,tblProductos[SKU],0))),""))</f>
        <v/>
      </c>
      <c r="G123" s="34" t="n"/>
      <c r="H123" s="36" t="n"/>
      <c r="I123" s="37">
        <f>IF(OR($G123="",$H123=""),"",$G123*$H123)</f>
        <v/>
      </c>
      <c r="J123" s="36" t="n"/>
      <c r="K123" s="36" t="n"/>
      <c r="L123" s="36" t="n"/>
      <c r="M123" s="37">
        <f>IF(NOT(ISNUMBER($I123)),"",$I123+SUM($J123:$L123))</f>
        <v/>
      </c>
      <c r="N123" s="37">
        <f>IF(OR(NOT(ISNUMBER($M123)),NOT(ISNUMBER($G123)),$G123&lt;=0),"",$M123/$G123)</f>
        <v/>
      </c>
      <c r="O123" s="33" t="n"/>
      <c r="P123" s="33" t="n"/>
      <c r="Q123" s="41" t="n"/>
      <c r="R123" s="36" t="n"/>
      <c r="S123" s="37">
        <f>IF(NOT(ISNUMBER($M123)),"",$M123-IF(ISNUMBER($R123),$R123,0))</f>
        <v/>
      </c>
      <c r="T123" s="33" t="n"/>
      <c r="U123" s="51">
        <f>IF(COUNTA($B123,$C123,$D123,$G123,$H123)=0,"",IF(IF($B123=""," · Falta fecha","")&amp;IF($C123=""," · Falta proveedor","")&amp;IF(AND($D123&lt;&gt;"",COUNTIF(tblProductos[SKU],$D123)=0)," · SKU no existe","")&amp;IF($D123=""," · Falta SKU","")&amp;IF(OR($G123="",NOT(ISNUMBER($G123)),$G123&lt;=0)," · Cantidad inválida","")&amp;IF($H123=""," · Falta costo unitario","")&amp;IF(AND($P123="Pagado",$Q123="")," · Pago sin fecha","")&amp;IF(AND(ISNUMBER($R123),ISNUMBER($M123),$R123&gt;N($M123)+0.01)," · Pagado &gt; total","")&amp;IF(AND(ISNUMBER($R123),$R123&gt;0,$Q123="")," · Monto pagado sin fecha","")="","OK",MID(IF($B123=""," · Falta fecha","")&amp;IF($C123=""," · Falta proveedor","")&amp;IF(AND($D123&lt;&gt;"",COUNTIF(tblProductos[SKU],$D123)=0)," · SKU no existe","")&amp;IF($D123=""," · Falta SKU","")&amp;IF(OR($G123="",NOT(ISNUMBER($G123)),$G123&lt;=0)," · Cantidad inválida","")&amp;IF($H123=""," · Falta costo unitario","")&amp;IF(AND($P123="Pagado",$Q123="")," · Pago sin fecha","")&amp;IF(AND(ISNUMBER($R123),ISNUMBER($M123),$R123&gt;N($M123)+0.01)," · Pagado &gt; total","")&amp;IF(AND(ISNUMBER($R123),$R123&gt;0,$Q123="")," · Monto pagado sin fecha",""),4,900)))</f>
        <v/>
      </c>
    </row>
    <row r="124">
      <c r="A124" s="51">
        <f>IF(COUNTA($B124,$C124,$D124,$G124,$H124)=0,"","C-"&amp;TEXT(ROW()-6,"0000"))</f>
        <v/>
      </c>
      <c r="B124" s="41" t="n"/>
      <c r="C124" s="33" t="n"/>
      <c r="D124" s="33" t="n"/>
      <c r="E124" s="51">
        <f>IF($D124="","",IFERROR(IF(INDEX(tblProductos[Nombre del producto],MATCH($D124,tblProductos[SKU],0))="","",INDEX(tblProductos[Nombre del producto],MATCH($D124,tblProductos[SKU],0))),""))</f>
        <v/>
      </c>
      <c r="F124" s="51">
        <f>IF($D124="","",IFERROR(IF(INDEX(tblProductos[Categoría],MATCH($D124,tblProductos[SKU],0))="","",INDEX(tblProductos[Categoría],MATCH($D124,tblProductos[SKU],0))),""))</f>
        <v/>
      </c>
      <c r="G124" s="34" t="n"/>
      <c r="H124" s="36" t="n"/>
      <c r="I124" s="37">
        <f>IF(OR($G124="",$H124=""),"",$G124*$H124)</f>
        <v/>
      </c>
      <c r="J124" s="36" t="n"/>
      <c r="K124" s="36" t="n"/>
      <c r="L124" s="36" t="n"/>
      <c r="M124" s="37">
        <f>IF(NOT(ISNUMBER($I124)),"",$I124+SUM($J124:$L124))</f>
        <v/>
      </c>
      <c r="N124" s="37">
        <f>IF(OR(NOT(ISNUMBER($M124)),NOT(ISNUMBER($G124)),$G124&lt;=0),"",$M124/$G124)</f>
        <v/>
      </c>
      <c r="O124" s="33" t="n"/>
      <c r="P124" s="33" t="n"/>
      <c r="Q124" s="41" t="n"/>
      <c r="R124" s="36" t="n"/>
      <c r="S124" s="37">
        <f>IF(NOT(ISNUMBER($M124)),"",$M124-IF(ISNUMBER($R124),$R124,0))</f>
        <v/>
      </c>
      <c r="T124" s="33" t="n"/>
      <c r="U124" s="51">
        <f>IF(COUNTA($B124,$C124,$D124,$G124,$H124)=0,"",IF(IF($B124=""," · Falta fecha","")&amp;IF($C124=""," · Falta proveedor","")&amp;IF(AND($D124&lt;&gt;"",COUNTIF(tblProductos[SKU],$D124)=0)," · SKU no existe","")&amp;IF($D124=""," · Falta SKU","")&amp;IF(OR($G124="",NOT(ISNUMBER($G124)),$G124&lt;=0)," · Cantidad inválida","")&amp;IF($H124=""," · Falta costo unitario","")&amp;IF(AND($P124="Pagado",$Q124="")," · Pago sin fecha","")&amp;IF(AND(ISNUMBER($R124),ISNUMBER($M124),$R124&gt;N($M124)+0.01)," · Pagado &gt; total","")&amp;IF(AND(ISNUMBER($R124),$R124&gt;0,$Q124="")," · Monto pagado sin fecha","")="","OK",MID(IF($B124=""," · Falta fecha","")&amp;IF($C124=""," · Falta proveedor","")&amp;IF(AND($D124&lt;&gt;"",COUNTIF(tblProductos[SKU],$D124)=0)," · SKU no existe","")&amp;IF($D124=""," · Falta SKU","")&amp;IF(OR($G124="",NOT(ISNUMBER($G124)),$G124&lt;=0)," · Cantidad inválida","")&amp;IF($H124=""," · Falta costo unitario","")&amp;IF(AND($P124="Pagado",$Q124="")," · Pago sin fecha","")&amp;IF(AND(ISNUMBER($R124),ISNUMBER($M124),$R124&gt;N($M124)+0.01)," · Pagado &gt; total","")&amp;IF(AND(ISNUMBER($R124),$R124&gt;0,$Q124="")," · Monto pagado sin fecha",""),4,900)))</f>
        <v/>
      </c>
    </row>
    <row r="125">
      <c r="A125" s="51">
        <f>IF(COUNTA($B125,$C125,$D125,$G125,$H125)=0,"","C-"&amp;TEXT(ROW()-6,"0000"))</f>
        <v/>
      </c>
      <c r="B125" s="41" t="n"/>
      <c r="C125" s="33" t="n"/>
      <c r="D125" s="33" t="n"/>
      <c r="E125" s="51">
        <f>IF($D125="","",IFERROR(IF(INDEX(tblProductos[Nombre del producto],MATCH($D125,tblProductos[SKU],0))="","",INDEX(tblProductos[Nombre del producto],MATCH($D125,tblProductos[SKU],0))),""))</f>
        <v/>
      </c>
      <c r="F125" s="51">
        <f>IF($D125="","",IFERROR(IF(INDEX(tblProductos[Categoría],MATCH($D125,tblProductos[SKU],0))="","",INDEX(tblProductos[Categoría],MATCH($D125,tblProductos[SKU],0))),""))</f>
        <v/>
      </c>
      <c r="G125" s="34" t="n"/>
      <c r="H125" s="36" t="n"/>
      <c r="I125" s="37">
        <f>IF(OR($G125="",$H125=""),"",$G125*$H125)</f>
        <v/>
      </c>
      <c r="J125" s="36" t="n"/>
      <c r="K125" s="36" t="n"/>
      <c r="L125" s="36" t="n"/>
      <c r="M125" s="37">
        <f>IF(NOT(ISNUMBER($I125)),"",$I125+SUM($J125:$L125))</f>
        <v/>
      </c>
      <c r="N125" s="37">
        <f>IF(OR(NOT(ISNUMBER($M125)),NOT(ISNUMBER($G125)),$G125&lt;=0),"",$M125/$G125)</f>
        <v/>
      </c>
      <c r="O125" s="33" t="n"/>
      <c r="P125" s="33" t="n"/>
      <c r="Q125" s="41" t="n"/>
      <c r="R125" s="36" t="n"/>
      <c r="S125" s="37">
        <f>IF(NOT(ISNUMBER($M125)),"",$M125-IF(ISNUMBER($R125),$R125,0))</f>
        <v/>
      </c>
      <c r="T125" s="33" t="n"/>
      <c r="U125" s="51">
        <f>IF(COUNTA($B125,$C125,$D125,$G125,$H125)=0,"",IF(IF($B125=""," · Falta fecha","")&amp;IF($C125=""," · Falta proveedor","")&amp;IF(AND($D125&lt;&gt;"",COUNTIF(tblProductos[SKU],$D125)=0)," · SKU no existe","")&amp;IF($D125=""," · Falta SKU","")&amp;IF(OR($G125="",NOT(ISNUMBER($G125)),$G125&lt;=0)," · Cantidad inválida","")&amp;IF($H125=""," · Falta costo unitario","")&amp;IF(AND($P125="Pagado",$Q125="")," · Pago sin fecha","")&amp;IF(AND(ISNUMBER($R125),ISNUMBER($M125),$R125&gt;N($M125)+0.01)," · Pagado &gt; total","")&amp;IF(AND(ISNUMBER($R125),$R125&gt;0,$Q125="")," · Monto pagado sin fecha","")="","OK",MID(IF($B125=""," · Falta fecha","")&amp;IF($C125=""," · Falta proveedor","")&amp;IF(AND($D125&lt;&gt;"",COUNTIF(tblProductos[SKU],$D125)=0)," · SKU no existe","")&amp;IF($D125=""," · Falta SKU","")&amp;IF(OR($G125="",NOT(ISNUMBER($G125)),$G125&lt;=0)," · Cantidad inválida","")&amp;IF($H125=""," · Falta costo unitario","")&amp;IF(AND($P125="Pagado",$Q125="")," · Pago sin fecha","")&amp;IF(AND(ISNUMBER($R125),ISNUMBER($M125),$R125&gt;N($M125)+0.01)," · Pagado &gt; total","")&amp;IF(AND(ISNUMBER($R125),$R125&gt;0,$Q125="")," · Monto pagado sin fecha",""),4,900)))</f>
        <v/>
      </c>
    </row>
    <row r="126">
      <c r="A126" s="51">
        <f>IF(COUNTA($B126,$C126,$D126,$G126,$H126)=0,"","C-"&amp;TEXT(ROW()-6,"0000"))</f>
        <v/>
      </c>
      <c r="B126" s="41" t="n"/>
      <c r="C126" s="33" t="n"/>
      <c r="D126" s="33" t="n"/>
      <c r="E126" s="51">
        <f>IF($D126="","",IFERROR(IF(INDEX(tblProductos[Nombre del producto],MATCH($D126,tblProductos[SKU],0))="","",INDEX(tblProductos[Nombre del producto],MATCH($D126,tblProductos[SKU],0))),""))</f>
        <v/>
      </c>
      <c r="F126" s="51">
        <f>IF($D126="","",IFERROR(IF(INDEX(tblProductos[Categoría],MATCH($D126,tblProductos[SKU],0))="","",INDEX(tblProductos[Categoría],MATCH($D126,tblProductos[SKU],0))),""))</f>
        <v/>
      </c>
      <c r="G126" s="34" t="n"/>
      <c r="H126" s="36" t="n"/>
      <c r="I126" s="37">
        <f>IF(OR($G126="",$H126=""),"",$G126*$H126)</f>
        <v/>
      </c>
      <c r="J126" s="36" t="n"/>
      <c r="K126" s="36" t="n"/>
      <c r="L126" s="36" t="n"/>
      <c r="M126" s="37">
        <f>IF(NOT(ISNUMBER($I126)),"",$I126+SUM($J126:$L126))</f>
        <v/>
      </c>
      <c r="N126" s="37">
        <f>IF(OR(NOT(ISNUMBER($M126)),NOT(ISNUMBER($G126)),$G126&lt;=0),"",$M126/$G126)</f>
        <v/>
      </c>
      <c r="O126" s="33" t="n"/>
      <c r="P126" s="33" t="n"/>
      <c r="Q126" s="41" t="n"/>
      <c r="R126" s="36" t="n"/>
      <c r="S126" s="37">
        <f>IF(NOT(ISNUMBER($M126)),"",$M126-IF(ISNUMBER($R126),$R126,0))</f>
        <v/>
      </c>
      <c r="T126" s="33" t="n"/>
      <c r="U126" s="51">
        <f>IF(COUNTA($B126,$C126,$D126,$G126,$H126)=0,"",IF(IF($B126=""," · Falta fecha","")&amp;IF($C126=""," · Falta proveedor","")&amp;IF(AND($D126&lt;&gt;"",COUNTIF(tblProductos[SKU],$D126)=0)," · SKU no existe","")&amp;IF($D126=""," · Falta SKU","")&amp;IF(OR($G126="",NOT(ISNUMBER($G126)),$G126&lt;=0)," · Cantidad inválida","")&amp;IF($H126=""," · Falta costo unitario","")&amp;IF(AND($P126="Pagado",$Q126="")," · Pago sin fecha","")&amp;IF(AND(ISNUMBER($R126),ISNUMBER($M126),$R126&gt;N($M126)+0.01)," · Pagado &gt; total","")&amp;IF(AND(ISNUMBER($R126),$R126&gt;0,$Q126="")," · Monto pagado sin fecha","")="","OK",MID(IF($B126=""," · Falta fecha","")&amp;IF($C126=""," · Falta proveedor","")&amp;IF(AND($D126&lt;&gt;"",COUNTIF(tblProductos[SKU],$D126)=0)," · SKU no existe","")&amp;IF($D126=""," · Falta SKU","")&amp;IF(OR($G126="",NOT(ISNUMBER($G126)),$G126&lt;=0)," · Cantidad inválida","")&amp;IF($H126=""," · Falta costo unitario","")&amp;IF(AND($P126="Pagado",$Q126="")," · Pago sin fecha","")&amp;IF(AND(ISNUMBER($R126),ISNUMBER($M126),$R126&gt;N($M126)+0.01)," · Pagado &gt; total","")&amp;IF(AND(ISNUMBER($R126),$R126&gt;0,$Q126="")," · Monto pagado sin fecha",""),4,900)))</f>
        <v/>
      </c>
    </row>
    <row r="127">
      <c r="A127" s="51">
        <f>IF(COUNTA($B127,$C127,$D127,$G127,$H127)=0,"","C-"&amp;TEXT(ROW()-6,"0000"))</f>
        <v/>
      </c>
      <c r="B127" s="41" t="n"/>
      <c r="C127" s="33" t="n"/>
      <c r="D127" s="33" t="n"/>
      <c r="E127" s="51">
        <f>IF($D127="","",IFERROR(IF(INDEX(tblProductos[Nombre del producto],MATCH($D127,tblProductos[SKU],0))="","",INDEX(tblProductos[Nombre del producto],MATCH($D127,tblProductos[SKU],0))),""))</f>
        <v/>
      </c>
      <c r="F127" s="51">
        <f>IF($D127="","",IFERROR(IF(INDEX(tblProductos[Categoría],MATCH($D127,tblProductos[SKU],0))="","",INDEX(tblProductos[Categoría],MATCH($D127,tblProductos[SKU],0))),""))</f>
        <v/>
      </c>
      <c r="G127" s="34" t="n"/>
      <c r="H127" s="36" t="n"/>
      <c r="I127" s="37">
        <f>IF(OR($G127="",$H127=""),"",$G127*$H127)</f>
        <v/>
      </c>
      <c r="J127" s="36" t="n"/>
      <c r="K127" s="36" t="n"/>
      <c r="L127" s="36" t="n"/>
      <c r="M127" s="37">
        <f>IF(NOT(ISNUMBER($I127)),"",$I127+SUM($J127:$L127))</f>
        <v/>
      </c>
      <c r="N127" s="37">
        <f>IF(OR(NOT(ISNUMBER($M127)),NOT(ISNUMBER($G127)),$G127&lt;=0),"",$M127/$G127)</f>
        <v/>
      </c>
      <c r="O127" s="33" t="n"/>
      <c r="P127" s="33" t="n"/>
      <c r="Q127" s="41" t="n"/>
      <c r="R127" s="36" t="n"/>
      <c r="S127" s="37">
        <f>IF(NOT(ISNUMBER($M127)),"",$M127-IF(ISNUMBER($R127),$R127,0))</f>
        <v/>
      </c>
      <c r="T127" s="33" t="n"/>
      <c r="U127" s="51">
        <f>IF(COUNTA($B127,$C127,$D127,$G127,$H127)=0,"",IF(IF($B127=""," · Falta fecha","")&amp;IF($C127=""," · Falta proveedor","")&amp;IF(AND($D127&lt;&gt;"",COUNTIF(tblProductos[SKU],$D127)=0)," · SKU no existe","")&amp;IF($D127=""," · Falta SKU","")&amp;IF(OR($G127="",NOT(ISNUMBER($G127)),$G127&lt;=0)," · Cantidad inválida","")&amp;IF($H127=""," · Falta costo unitario","")&amp;IF(AND($P127="Pagado",$Q127="")," · Pago sin fecha","")&amp;IF(AND(ISNUMBER($R127),ISNUMBER($M127),$R127&gt;N($M127)+0.01)," · Pagado &gt; total","")&amp;IF(AND(ISNUMBER($R127),$R127&gt;0,$Q127="")," · Monto pagado sin fecha","")="","OK",MID(IF($B127=""," · Falta fecha","")&amp;IF($C127=""," · Falta proveedor","")&amp;IF(AND($D127&lt;&gt;"",COUNTIF(tblProductos[SKU],$D127)=0)," · SKU no existe","")&amp;IF($D127=""," · Falta SKU","")&amp;IF(OR($G127="",NOT(ISNUMBER($G127)),$G127&lt;=0)," · Cantidad inválida","")&amp;IF($H127=""," · Falta costo unitario","")&amp;IF(AND($P127="Pagado",$Q127="")," · Pago sin fecha","")&amp;IF(AND(ISNUMBER($R127),ISNUMBER($M127),$R127&gt;N($M127)+0.01)," · Pagado &gt; total","")&amp;IF(AND(ISNUMBER($R127),$R127&gt;0,$Q127="")," · Monto pagado sin fecha",""),4,900)))</f>
        <v/>
      </c>
    </row>
    <row r="128">
      <c r="A128" s="51">
        <f>IF(COUNTA($B128,$C128,$D128,$G128,$H128)=0,"","C-"&amp;TEXT(ROW()-6,"0000"))</f>
        <v/>
      </c>
      <c r="B128" s="41" t="n"/>
      <c r="C128" s="33" t="n"/>
      <c r="D128" s="33" t="n"/>
      <c r="E128" s="51">
        <f>IF($D128="","",IFERROR(IF(INDEX(tblProductos[Nombre del producto],MATCH($D128,tblProductos[SKU],0))="","",INDEX(tblProductos[Nombre del producto],MATCH($D128,tblProductos[SKU],0))),""))</f>
        <v/>
      </c>
      <c r="F128" s="51">
        <f>IF($D128="","",IFERROR(IF(INDEX(tblProductos[Categoría],MATCH($D128,tblProductos[SKU],0))="","",INDEX(tblProductos[Categoría],MATCH($D128,tblProductos[SKU],0))),""))</f>
        <v/>
      </c>
      <c r="G128" s="34" t="n"/>
      <c r="H128" s="36" t="n"/>
      <c r="I128" s="37">
        <f>IF(OR($G128="",$H128=""),"",$G128*$H128)</f>
        <v/>
      </c>
      <c r="J128" s="36" t="n"/>
      <c r="K128" s="36" t="n"/>
      <c r="L128" s="36" t="n"/>
      <c r="M128" s="37">
        <f>IF(NOT(ISNUMBER($I128)),"",$I128+SUM($J128:$L128))</f>
        <v/>
      </c>
      <c r="N128" s="37">
        <f>IF(OR(NOT(ISNUMBER($M128)),NOT(ISNUMBER($G128)),$G128&lt;=0),"",$M128/$G128)</f>
        <v/>
      </c>
      <c r="O128" s="33" t="n"/>
      <c r="P128" s="33" t="n"/>
      <c r="Q128" s="41" t="n"/>
      <c r="R128" s="36" t="n"/>
      <c r="S128" s="37">
        <f>IF(NOT(ISNUMBER($M128)),"",$M128-IF(ISNUMBER($R128),$R128,0))</f>
        <v/>
      </c>
      <c r="T128" s="33" t="n"/>
      <c r="U128" s="51">
        <f>IF(COUNTA($B128,$C128,$D128,$G128,$H128)=0,"",IF(IF($B128=""," · Falta fecha","")&amp;IF($C128=""," · Falta proveedor","")&amp;IF(AND($D128&lt;&gt;"",COUNTIF(tblProductos[SKU],$D128)=0)," · SKU no existe","")&amp;IF($D128=""," · Falta SKU","")&amp;IF(OR($G128="",NOT(ISNUMBER($G128)),$G128&lt;=0)," · Cantidad inválida","")&amp;IF($H128=""," · Falta costo unitario","")&amp;IF(AND($P128="Pagado",$Q128="")," · Pago sin fecha","")&amp;IF(AND(ISNUMBER($R128),ISNUMBER($M128),$R128&gt;N($M128)+0.01)," · Pagado &gt; total","")&amp;IF(AND(ISNUMBER($R128),$R128&gt;0,$Q128="")," · Monto pagado sin fecha","")="","OK",MID(IF($B128=""," · Falta fecha","")&amp;IF($C128=""," · Falta proveedor","")&amp;IF(AND($D128&lt;&gt;"",COUNTIF(tblProductos[SKU],$D128)=0)," · SKU no existe","")&amp;IF($D128=""," · Falta SKU","")&amp;IF(OR($G128="",NOT(ISNUMBER($G128)),$G128&lt;=0)," · Cantidad inválida","")&amp;IF($H128=""," · Falta costo unitario","")&amp;IF(AND($P128="Pagado",$Q128="")," · Pago sin fecha","")&amp;IF(AND(ISNUMBER($R128),ISNUMBER($M128),$R128&gt;N($M128)+0.01)," · Pagado &gt; total","")&amp;IF(AND(ISNUMBER($R128),$R128&gt;0,$Q128="")," · Monto pagado sin fecha",""),4,900)))</f>
        <v/>
      </c>
    </row>
    <row r="129">
      <c r="A129" s="51">
        <f>IF(COUNTA($B129,$C129,$D129,$G129,$H129)=0,"","C-"&amp;TEXT(ROW()-6,"0000"))</f>
        <v/>
      </c>
      <c r="B129" s="41" t="n"/>
      <c r="C129" s="33" t="n"/>
      <c r="D129" s="33" t="n"/>
      <c r="E129" s="51">
        <f>IF($D129="","",IFERROR(IF(INDEX(tblProductos[Nombre del producto],MATCH($D129,tblProductos[SKU],0))="","",INDEX(tblProductos[Nombre del producto],MATCH($D129,tblProductos[SKU],0))),""))</f>
        <v/>
      </c>
      <c r="F129" s="51">
        <f>IF($D129="","",IFERROR(IF(INDEX(tblProductos[Categoría],MATCH($D129,tblProductos[SKU],0))="","",INDEX(tblProductos[Categoría],MATCH($D129,tblProductos[SKU],0))),""))</f>
        <v/>
      </c>
      <c r="G129" s="34" t="n"/>
      <c r="H129" s="36" t="n"/>
      <c r="I129" s="37">
        <f>IF(OR($G129="",$H129=""),"",$G129*$H129)</f>
        <v/>
      </c>
      <c r="J129" s="36" t="n"/>
      <c r="K129" s="36" t="n"/>
      <c r="L129" s="36" t="n"/>
      <c r="M129" s="37">
        <f>IF(NOT(ISNUMBER($I129)),"",$I129+SUM($J129:$L129))</f>
        <v/>
      </c>
      <c r="N129" s="37">
        <f>IF(OR(NOT(ISNUMBER($M129)),NOT(ISNUMBER($G129)),$G129&lt;=0),"",$M129/$G129)</f>
        <v/>
      </c>
      <c r="O129" s="33" t="n"/>
      <c r="P129" s="33" t="n"/>
      <c r="Q129" s="41" t="n"/>
      <c r="R129" s="36" t="n"/>
      <c r="S129" s="37">
        <f>IF(NOT(ISNUMBER($M129)),"",$M129-IF(ISNUMBER($R129),$R129,0))</f>
        <v/>
      </c>
      <c r="T129" s="33" t="n"/>
      <c r="U129" s="51">
        <f>IF(COUNTA($B129,$C129,$D129,$G129,$H129)=0,"",IF(IF($B129=""," · Falta fecha","")&amp;IF($C129=""," · Falta proveedor","")&amp;IF(AND($D129&lt;&gt;"",COUNTIF(tblProductos[SKU],$D129)=0)," · SKU no existe","")&amp;IF($D129=""," · Falta SKU","")&amp;IF(OR($G129="",NOT(ISNUMBER($G129)),$G129&lt;=0)," · Cantidad inválida","")&amp;IF($H129=""," · Falta costo unitario","")&amp;IF(AND($P129="Pagado",$Q129="")," · Pago sin fecha","")&amp;IF(AND(ISNUMBER($R129),ISNUMBER($M129),$R129&gt;N($M129)+0.01)," · Pagado &gt; total","")&amp;IF(AND(ISNUMBER($R129),$R129&gt;0,$Q129="")," · Monto pagado sin fecha","")="","OK",MID(IF($B129=""," · Falta fecha","")&amp;IF($C129=""," · Falta proveedor","")&amp;IF(AND($D129&lt;&gt;"",COUNTIF(tblProductos[SKU],$D129)=0)," · SKU no existe","")&amp;IF($D129=""," · Falta SKU","")&amp;IF(OR($G129="",NOT(ISNUMBER($G129)),$G129&lt;=0)," · Cantidad inválida","")&amp;IF($H129=""," · Falta costo unitario","")&amp;IF(AND($P129="Pagado",$Q129="")," · Pago sin fecha","")&amp;IF(AND(ISNUMBER($R129),ISNUMBER($M129),$R129&gt;N($M129)+0.01)," · Pagado &gt; total","")&amp;IF(AND(ISNUMBER($R129),$R129&gt;0,$Q129="")," · Monto pagado sin fecha",""),4,900)))</f>
        <v/>
      </c>
    </row>
    <row r="130">
      <c r="A130" s="51">
        <f>IF(COUNTA($B130,$C130,$D130,$G130,$H130)=0,"","C-"&amp;TEXT(ROW()-6,"0000"))</f>
        <v/>
      </c>
      <c r="B130" s="41" t="n"/>
      <c r="C130" s="33" t="n"/>
      <c r="D130" s="33" t="n"/>
      <c r="E130" s="51">
        <f>IF($D130="","",IFERROR(IF(INDEX(tblProductos[Nombre del producto],MATCH($D130,tblProductos[SKU],0))="","",INDEX(tblProductos[Nombre del producto],MATCH($D130,tblProductos[SKU],0))),""))</f>
        <v/>
      </c>
      <c r="F130" s="51">
        <f>IF($D130="","",IFERROR(IF(INDEX(tblProductos[Categoría],MATCH($D130,tblProductos[SKU],0))="","",INDEX(tblProductos[Categoría],MATCH($D130,tblProductos[SKU],0))),""))</f>
        <v/>
      </c>
      <c r="G130" s="34" t="n"/>
      <c r="H130" s="36" t="n"/>
      <c r="I130" s="37">
        <f>IF(OR($G130="",$H130=""),"",$G130*$H130)</f>
        <v/>
      </c>
      <c r="J130" s="36" t="n"/>
      <c r="K130" s="36" t="n"/>
      <c r="L130" s="36" t="n"/>
      <c r="M130" s="37">
        <f>IF(NOT(ISNUMBER($I130)),"",$I130+SUM($J130:$L130))</f>
        <v/>
      </c>
      <c r="N130" s="37">
        <f>IF(OR(NOT(ISNUMBER($M130)),NOT(ISNUMBER($G130)),$G130&lt;=0),"",$M130/$G130)</f>
        <v/>
      </c>
      <c r="O130" s="33" t="n"/>
      <c r="P130" s="33" t="n"/>
      <c r="Q130" s="41" t="n"/>
      <c r="R130" s="36" t="n"/>
      <c r="S130" s="37">
        <f>IF(NOT(ISNUMBER($M130)),"",$M130-IF(ISNUMBER($R130),$R130,0))</f>
        <v/>
      </c>
      <c r="T130" s="33" t="n"/>
      <c r="U130" s="51">
        <f>IF(COUNTA($B130,$C130,$D130,$G130,$H130)=0,"",IF(IF($B130=""," · Falta fecha","")&amp;IF($C130=""," · Falta proveedor","")&amp;IF(AND($D130&lt;&gt;"",COUNTIF(tblProductos[SKU],$D130)=0)," · SKU no existe","")&amp;IF($D130=""," · Falta SKU","")&amp;IF(OR($G130="",NOT(ISNUMBER($G130)),$G130&lt;=0)," · Cantidad inválida","")&amp;IF($H130=""," · Falta costo unitario","")&amp;IF(AND($P130="Pagado",$Q130="")," · Pago sin fecha","")&amp;IF(AND(ISNUMBER($R130),ISNUMBER($M130),$R130&gt;N($M130)+0.01)," · Pagado &gt; total","")&amp;IF(AND(ISNUMBER($R130),$R130&gt;0,$Q130="")," · Monto pagado sin fecha","")="","OK",MID(IF($B130=""," · Falta fecha","")&amp;IF($C130=""," · Falta proveedor","")&amp;IF(AND($D130&lt;&gt;"",COUNTIF(tblProductos[SKU],$D130)=0)," · SKU no existe","")&amp;IF($D130=""," · Falta SKU","")&amp;IF(OR($G130="",NOT(ISNUMBER($G130)),$G130&lt;=0)," · Cantidad inválida","")&amp;IF($H130=""," · Falta costo unitario","")&amp;IF(AND($P130="Pagado",$Q130="")," · Pago sin fecha","")&amp;IF(AND(ISNUMBER($R130),ISNUMBER($M130),$R130&gt;N($M130)+0.01)," · Pagado &gt; total","")&amp;IF(AND(ISNUMBER($R130),$R130&gt;0,$Q130="")," · Monto pagado sin fecha",""),4,900)))</f>
        <v/>
      </c>
    </row>
    <row r="131">
      <c r="A131" s="51">
        <f>IF(COUNTA($B131,$C131,$D131,$G131,$H131)=0,"","C-"&amp;TEXT(ROW()-6,"0000"))</f>
        <v/>
      </c>
      <c r="B131" s="41" t="n"/>
      <c r="C131" s="33" t="n"/>
      <c r="D131" s="33" t="n"/>
      <c r="E131" s="51">
        <f>IF($D131="","",IFERROR(IF(INDEX(tblProductos[Nombre del producto],MATCH($D131,tblProductos[SKU],0))="","",INDEX(tblProductos[Nombre del producto],MATCH($D131,tblProductos[SKU],0))),""))</f>
        <v/>
      </c>
      <c r="F131" s="51">
        <f>IF($D131="","",IFERROR(IF(INDEX(tblProductos[Categoría],MATCH($D131,tblProductos[SKU],0))="","",INDEX(tblProductos[Categoría],MATCH($D131,tblProductos[SKU],0))),""))</f>
        <v/>
      </c>
      <c r="G131" s="34" t="n"/>
      <c r="H131" s="36" t="n"/>
      <c r="I131" s="37">
        <f>IF(OR($G131="",$H131=""),"",$G131*$H131)</f>
        <v/>
      </c>
      <c r="J131" s="36" t="n"/>
      <c r="K131" s="36" t="n"/>
      <c r="L131" s="36" t="n"/>
      <c r="M131" s="37">
        <f>IF(NOT(ISNUMBER($I131)),"",$I131+SUM($J131:$L131))</f>
        <v/>
      </c>
      <c r="N131" s="37">
        <f>IF(OR(NOT(ISNUMBER($M131)),NOT(ISNUMBER($G131)),$G131&lt;=0),"",$M131/$G131)</f>
        <v/>
      </c>
      <c r="O131" s="33" t="n"/>
      <c r="P131" s="33" t="n"/>
      <c r="Q131" s="41" t="n"/>
      <c r="R131" s="36" t="n"/>
      <c r="S131" s="37">
        <f>IF(NOT(ISNUMBER($M131)),"",$M131-IF(ISNUMBER($R131),$R131,0))</f>
        <v/>
      </c>
      <c r="T131" s="33" t="n"/>
      <c r="U131" s="51">
        <f>IF(COUNTA($B131,$C131,$D131,$G131,$H131)=0,"",IF(IF($B131=""," · Falta fecha","")&amp;IF($C131=""," · Falta proveedor","")&amp;IF(AND($D131&lt;&gt;"",COUNTIF(tblProductos[SKU],$D131)=0)," · SKU no existe","")&amp;IF($D131=""," · Falta SKU","")&amp;IF(OR($G131="",NOT(ISNUMBER($G131)),$G131&lt;=0)," · Cantidad inválida","")&amp;IF($H131=""," · Falta costo unitario","")&amp;IF(AND($P131="Pagado",$Q131="")," · Pago sin fecha","")&amp;IF(AND(ISNUMBER($R131),ISNUMBER($M131),$R131&gt;N($M131)+0.01)," · Pagado &gt; total","")&amp;IF(AND(ISNUMBER($R131),$R131&gt;0,$Q131="")," · Monto pagado sin fecha","")="","OK",MID(IF($B131=""," · Falta fecha","")&amp;IF($C131=""," · Falta proveedor","")&amp;IF(AND($D131&lt;&gt;"",COUNTIF(tblProductos[SKU],$D131)=0)," · SKU no existe","")&amp;IF($D131=""," · Falta SKU","")&amp;IF(OR($G131="",NOT(ISNUMBER($G131)),$G131&lt;=0)," · Cantidad inválida","")&amp;IF($H131=""," · Falta costo unitario","")&amp;IF(AND($P131="Pagado",$Q131="")," · Pago sin fecha","")&amp;IF(AND(ISNUMBER($R131),ISNUMBER($M131),$R131&gt;N($M131)+0.01)," · Pagado &gt; total","")&amp;IF(AND(ISNUMBER($R131),$R131&gt;0,$Q131="")," · Monto pagado sin fecha",""),4,900)))</f>
        <v/>
      </c>
    </row>
    <row r="132">
      <c r="A132" s="51">
        <f>IF(COUNTA($B132,$C132,$D132,$G132,$H132)=0,"","C-"&amp;TEXT(ROW()-6,"0000"))</f>
        <v/>
      </c>
      <c r="B132" s="41" t="n"/>
      <c r="C132" s="33" t="n"/>
      <c r="D132" s="33" t="n"/>
      <c r="E132" s="51">
        <f>IF($D132="","",IFERROR(IF(INDEX(tblProductos[Nombre del producto],MATCH($D132,tblProductos[SKU],0))="","",INDEX(tblProductos[Nombre del producto],MATCH($D132,tblProductos[SKU],0))),""))</f>
        <v/>
      </c>
      <c r="F132" s="51">
        <f>IF($D132="","",IFERROR(IF(INDEX(tblProductos[Categoría],MATCH($D132,tblProductos[SKU],0))="","",INDEX(tblProductos[Categoría],MATCH($D132,tblProductos[SKU],0))),""))</f>
        <v/>
      </c>
      <c r="G132" s="34" t="n"/>
      <c r="H132" s="36" t="n"/>
      <c r="I132" s="37">
        <f>IF(OR($G132="",$H132=""),"",$G132*$H132)</f>
        <v/>
      </c>
      <c r="J132" s="36" t="n"/>
      <c r="K132" s="36" t="n"/>
      <c r="L132" s="36" t="n"/>
      <c r="M132" s="37">
        <f>IF(NOT(ISNUMBER($I132)),"",$I132+SUM($J132:$L132))</f>
        <v/>
      </c>
      <c r="N132" s="37">
        <f>IF(OR(NOT(ISNUMBER($M132)),NOT(ISNUMBER($G132)),$G132&lt;=0),"",$M132/$G132)</f>
        <v/>
      </c>
      <c r="O132" s="33" t="n"/>
      <c r="P132" s="33" t="n"/>
      <c r="Q132" s="41" t="n"/>
      <c r="R132" s="36" t="n"/>
      <c r="S132" s="37">
        <f>IF(NOT(ISNUMBER($M132)),"",$M132-IF(ISNUMBER($R132),$R132,0))</f>
        <v/>
      </c>
      <c r="T132" s="33" t="n"/>
      <c r="U132" s="51">
        <f>IF(COUNTA($B132,$C132,$D132,$G132,$H132)=0,"",IF(IF($B132=""," · Falta fecha","")&amp;IF($C132=""," · Falta proveedor","")&amp;IF(AND($D132&lt;&gt;"",COUNTIF(tblProductos[SKU],$D132)=0)," · SKU no existe","")&amp;IF($D132=""," · Falta SKU","")&amp;IF(OR($G132="",NOT(ISNUMBER($G132)),$G132&lt;=0)," · Cantidad inválida","")&amp;IF($H132=""," · Falta costo unitario","")&amp;IF(AND($P132="Pagado",$Q132="")," · Pago sin fecha","")&amp;IF(AND(ISNUMBER($R132),ISNUMBER($M132),$R132&gt;N($M132)+0.01)," · Pagado &gt; total","")&amp;IF(AND(ISNUMBER($R132),$R132&gt;0,$Q132="")," · Monto pagado sin fecha","")="","OK",MID(IF($B132=""," · Falta fecha","")&amp;IF($C132=""," · Falta proveedor","")&amp;IF(AND($D132&lt;&gt;"",COUNTIF(tblProductos[SKU],$D132)=0)," · SKU no existe","")&amp;IF($D132=""," · Falta SKU","")&amp;IF(OR($G132="",NOT(ISNUMBER($G132)),$G132&lt;=0)," · Cantidad inválida","")&amp;IF($H132=""," · Falta costo unitario","")&amp;IF(AND($P132="Pagado",$Q132="")," · Pago sin fecha","")&amp;IF(AND(ISNUMBER($R132),ISNUMBER($M132),$R132&gt;N($M132)+0.01)," · Pagado &gt; total","")&amp;IF(AND(ISNUMBER($R132),$R132&gt;0,$Q132="")," · Monto pagado sin fecha",""),4,900)))</f>
        <v/>
      </c>
    </row>
    <row r="133">
      <c r="A133" s="51">
        <f>IF(COUNTA($B133,$C133,$D133,$G133,$H133)=0,"","C-"&amp;TEXT(ROW()-6,"0000"))</f>
        <v/>
      </c>
      <c r="B133" s="41" t="n"/>
      <c r="C133" s="33" t="n"/>
      <c r="D133" s="33" t="n"/>
      <c r="E133" s="51">
        <f>IF($D133="","",IFERROR(IF(INDEX(tblProductos[Nombre del producto],MATCH($D133,tblProductos[SKU],0))="","",INDEX(tblProductos[Nombre del producto],MATCH($D133,tblProductos[SKU],0))),""))</f>
        <v/>
      </c>
      <c r="F133" s="51">
        <f>IF($D133="","",IFERROR(IF(INDEX(tblProductos[Categoría],MATCH($D133,tblProductos[SKU],0))="","",INDEX(tblProductos[Categoría],MATCH($D133,tblProductos[SKU],0))),""))</f>
        <v/>
      </c>
      <c r="G133" s="34" t="n"/>
      <c r="H133" s="36" t="n"/>
      <c r="I133" s="37">
        <f>IF(OR($G133="",$H133=""),"",$G133*$H133)</f>
        <v/>
      </c>
      <c r="J133" s="36" t="n"/>
      <c r="K133" s="36" t="n"/>
      <c r="L133" s="36" t="n"/>
      <c r="M133" s="37">
        <f>IF(NOT(ISNUMBER($I133)),"",$I133+SUM($J133:$L133))</f>
        <v/>
      </c>
      <c r="N133" s="37">
        <f>IF(OR(NOT(ISNUMBER($M133)),NOT(ISNUMBER($G133)),$G133&lt;=0),"",$M133/$G133)</f>
        <v/>
      </c>
      <c r="O133" s="33" t="n"/>
      <c r="P133" s="33" t="n"/>
      <c r="Q133" s="41" t="n"/>
      <c r="R133" s="36" t="n"/>
      <c r="S133" s="37">
        <f>IF(NOT(ISNUMBER($M133)),"",$M133-IF(ISNUMBER($R133),$R133,0))</f>
        <v/>
      </c>
      <c r="T133" s="33" t="n"/>
      <c r="U133" s="51">
        <f>IF(COUNTA($B133,$C133,$D133,$G133,$H133)=0,"",IF(IF($B133=""," · Falta fecha","")&amp;IF($C133=""," · Falta proveedor","")&amp;IF(AND($D133&lt;&gt;"",COUNTIF(tblProductos[SKU],$D133)=0)," · SKU no existe","")&amp;IF($D133=""," · Falta SKU","")&amp;IF(OR($G133="",NOT(ISNUMBER($G133)),$G133&lt;=0)," · Cantidad inválida","")&amp;IF($H133=""," · Falta costo unitario","")&amp;IF(AND($P133="Pagado",$Q133="")," · Pago sin fecha","")&amp;IF(AND(ISNUMBER($R133),ISNUMBER($M133),$R133&gt;N($M133)+0.01)," · Pagado &gt; total","")&amp;IF(AND(ISNUMBER($R133),$R133&gt;0,$Q133="")," · Monto pagado sin fecha","")="","OK",MID(IF($B133=""," · Falta fecha","")&amp;IF($C133=""," · Falta proveedor","")&amp;IF(AND($D133&lt;&gt;"",COUNTIF(tblProductos[SKU],$D133)=0)," · SKU no existe","")&amp;IF($D133=""," · Falta SKU","")&amp;IF(OR($G133="",NOT(ISNUMBER($G133)),$G133&lt;=0)," · Cantidad inválida","")&amp;IF($H133=""," · Falta costo unitario","")&amp;IF(AND($P133="Pagado",$Q133="")," · Pago sin fecha","")&amp;IF(AND(ISNUMBER($R133),ISNUMBER($M133),$R133&gt;N($M133)+0.01)," · Pagado &gt; total","")&amp;IF(AND(ISNUMBER($R133),$R133&gt;0,$Q133="")," · Monto pagado sin fecha",""),4,900)))</f>
        <v/>
      </c>
    </row>
    <row r="134">
      <c r="A134" s="51">
        <f>IF(COUNTA($B134,$C134,$D134,$G134,$H134)=0,"","C-"&amp;TEXT(ROW()-6,"0000"))</f>
        <v/>
      </c>
      <c r="B134" s="41" t="n"/>
      <c r="C134" s="33" t="n"/>
      <c r="D134" s="33" t="n"/>
      <c r="E134" s="51">
        <f>IF($D134="","",IFERROR(IF(INDEX(tblProductos[Nombre del producto],MATCH($D134,tblProductos[SKU],0))="","",INDEX(tblProductos[Nombre del producto],MATCH($D134,tblProductos[SKU],0))),""))</f>
        <v/>
      </c>
      <c r="F134" s="51">
        <f>IF($D134="","",IFERROR(IF(INDEX(tblProductos[Categoría],MATCH($D134,tblProductos[SKU],0))="","",INDEX(tblProductos[Categoría],MATCH($D134,tblProductos[SKU],0))),""))</f>
        <v/>
      </c>
      <c r="G134" s="34" t="n"/>
      <c r="H134" s="36" t="n"/>
      <c r="I134" s="37">
        <f>IF(OR($G134="",$H134=""),"",$G134*$H134)</f>
        <v/>
      </c>
      <c r="J134" s="36" t="n"/>
      <c r="K134" s="36" t="n"/>
      <c r="L134" s="36" t="n"/>
      <c r="M134" s="37">
        <f>IF(NOT(ISNUMBER($I134)),"",$I134+SUM($J134:$L134))</f>
        <v/>
      </c>
      <c r="N134" s="37">
        <f>IF(OR(NOT(ISNUMBER($M134)),NOT(ISNUMBER($G134)),$G134&lt;=0),"",$M134/$G134)</f>
        <v/>
      </c>
      <c r="O134" s="33" t="n"/>
      <c r="P134" s="33" t="n"/>
      <c r="Q134" s="41" t="n"/>
      <c r="R134" s="36" t="n"/>
      <c r="S134" s="37">
        <f>IF(NOT(ISNUMBER($M134)),"",$M134-IF(ISNUMBER($R134),$R134,0))</f>
        <v/>
      </c>
      <c r="T134" s="33" t="n"/>
      <c r="U134" s="51">
        <f>IF(COUNTA($B134,$C134,$D134,$G134,$H134)=0,"",IF(IF($B134=""," · Falta fecha","")&amp;IF($C134=""," · Falta proveedor","")&amp;IF(AND($D134&lt;&gt;"",COUNTIF(tblProductos[SKU],$D134)=0)," · SKU no existe","")&amp;IF($D134=""," · Falta SKU","")&amp;IF(OR($G134="",NOT(ISNUMBER($G134)),$G134&lt;=0)," · Cantidad inválida","")&amp;IF($H134=""," · Falta costo unitario","")&amp;IF(AND($P134="Pagado",$Q134="")," · Pago sin fecha","")&amp;IF(AND(ISNUMBER($R134),ISNUMBER($M134),$R134&gt;N($M134)+0.01)," · Pagado &gt; total","")&amp;IF(AND(ISNUMBER($R134),$R134&gt;0,$Q134="")," · Monto pagado sin fecha","")="","OK",MID(IF($B134=""," · Falta fecha","")&amp;IF($C134=""," · Falta proveedor","")&amp;IF(AND($D134&lt;&gt;"",COUNTIF(tblProductos[SKU],$D134)=0)," · SKU no existe","")&amp;IF($D134=""," · Falta SKU","")&amp;IF(OR($G134="",NOT(ISNUMBER($G134)),$G134&lt;=0)," · Cantidad inválida","")&amp;IF($H134=""," · Falta costo unitario","")&amp;IF(AND($P134="Pagado",$Q134="")," · Pago sin fecha","")&amp;IF(AND(ISNUMBER($R134),ISNUMBER($M134),$R134&gt;N($M134)+0.01)," · Pagado &gt; total","")&amp;IF(AND(ISNUMBER($R134),$R134&gt;0,$Q134="")," · Monto pagado sin fecha",""),4,900)))</f>
        <v/>
      </c>
    </row>
    <row r="135">
      <c r="A135" s="51">
        <f>IF(COUNTA($B135,$C135,$D135,$G135,$H135)=0,"","C-"&amp;TEXT(ROW()-6,"0000"))</f>
        <v/>
      </c>
      <c r="B135" s="41" t="n"/>
      <c r="C135" s="33" t="n"/>
      <c r="D135" s="33" t="n"/>
      <c r="E135" s="51">
        <f>IF($D135="","",IFERROR(IF(INDEX(tblProductos[Nombre del producto],MATCH($D135,tblProductos[SKU],0))="","",INDEX(tblProductos[Nombre del producto],MATCH($D135,tblProductos[SKU],0))),""))</f>
        <v/>
      </c>
      <c r="F135" s="51">
        <f>IF($D135="","",IFERROR(IF(INDEX(tblProductos[Categoría],MATCH($D135,tblProductos[SKU],0))="","",INDEX(tblProductos[Categoría],MATCH($D135,tblProductos[SKU],0))),""))</f>
        <v/>
      </c>
      <c r="G135" s="34" t="n"/>
      <c r="H135" s="36" t="n"/>
      <c r="I135" s="37">
        <f>IF(OR($G135="",$H135=""),"",$G135*$H135)</f>
        <v/>
      </c>
      <c r="J135" s="36" t="n"/>
      <c r="K135" s="36" t="n"/>
      <c r="L135" s="36" t="n"/>
      <c r="M135" s="37">
        <f>IF(NOT(ISNUMBER($I135)),"",$I135+SUM($J135:$L135))</f>
        <v/>
      </c>
      <c r="N135" s="37">
        <f>IF(OR(NOT(ISNUMBER($M135)),NOT(ISNUMBER($G135)),$G135&lt;=0),"",$M135/$G135)</f>
        <v/>
      </c>
      <c r="O135" s="33" t="n"/>
      <c r="P135" s="33" t="n"/>
      <c r="Q135" s="41" t="n"/>
      <c r="R135" s="36" t="n"/>
      <c r="S135" s="37">
        <f>IF(NOT(ISNUMBER($M135)),"",$M135-IF(ISNUMBER($R135),$R135,0))</f>
        <v/>
      </c>
      <c r="T135" s="33" t="n"/>
      <c r="U135" s="51">
        <f>IF(COUNTA($B135,$C135,$D135,$G135,$H135)=0,"",IF(IF($B135=""," · Falta fecha","")&amp;IF($C135=""," · Falta proveedor","")&amp;IF(AND($D135&lt;&gt;"",COUNTIF(tblProductos[SKU],$D135)=0)," · SKU no existe","")&amp;IF($D135=""," · Falta SKU","")&amp;IF(OR($G135="",NOT(ISNUMBER($G135)),$G135&lt;=0)," · Cantidad inválida","")&amp;IF($H135=""," · Falta costo unitario","")&amp;IF(AND($P135="Pagado",$Q135="")," · Pago sin fecha","")&amp;IF(AND(ISNUMBER($R135),ISNUMBER($M135),$R135&gt;N($M135)+0.01)," · Pagado &gt; total","")&amp;IF(AND(ISNUMBER($R135),$R135&gt;0,$Q135="")," · Monto pagado sin fecha","")="","OK",MID(IF($B135=""," · Falta fecha","")&amp;IF($C135=""," · Falta proveedor","")&amp;IF(AND($D135&lt;&gt;"",COUNTIF(tblProductos[SKU],$D135)=0)," · SKU no existe","")&amp;IF($D135=""," · Falta SKU","")&amp;IF(OR($G135="",NOT(ISNUMBER($G135)),$G135&lt;=0)," · Cantidad inválida","")&amp;IF($H135=""," · Falta costo unitario","")&amp;IF(AND($P135="Pagado",$Q135="")," · Pago sin fecha","")&amp;IF(AND(ISNUMBER($R135),ISNUMBER($M135),$R135&gt;N($M135)+0.01)," · Pagado &gt; total","")&amp;IF(AND(ISNUMBER($R135),$R135&gt;0,$Q135="")," · Monto pagado sin fecha",""),4,900)))</f>
        <v/>
      </c>
    </row>
    <row r="136">
      <c r="A136" s="51">
        <f>IF(COUNTA($B136,$C136,$D136,$G136,$H136)=0,"","C-"&amp;TEXT(ROW()-6,"0000"))</f>
        <v/>
      </c>
      <c r="B136" s="41" t="n"/>
      <c r="C136" s="33" t="n"/>
      <c r="D136" s="33" t="n"/>
      <c r="E136" s="51">
        <f>IF($D136="","",IFERROR(IF(INDEX(tblProductos[Nombre del producto],MATCH($D136,tblProductos[SKU],0))="","",INDEX(tblProductos[Nombre del producto],MATCH($D136,tblProductos[SKU],0))),""))</f>
        <v/>
      </c>
      <c r="F136" s="51">
        <f>IF($D136="","",IFERROR(IF(INDEX(tblProductos[Categoría],MATCH($D136,tblProductos[SKU],0))="","",INDEX(tblProductos[Categoría],MATCH($D136,tblProductos[SKU],0))),""))</f>
        <v/>
      </c>
      <c r="G136" s="34" t="n"/>
      <c r="H136" s="36" t="n"/>
      <c r="I136" s="37">
        <f>IF(OR($G136="",$H136=""),"",$G136*$H136)</f>
        <v/>
      </c>
      <c r="J136" s="36" t="n"/>
      <c r="K136" s="36" t="n"/>
      <c r="L136" s="36" t="n"/>
      <c r="M136" s="37">
        <f>IF(NOT(ISNUMBER($I136)),"",$I136+SUM($J136:$L136))</f>
        <v/>
      </c>
      <c r="N136" s="37">
        <f>IF(OR(NOT(ISNUMBER($M136)),NOT(ISNUMBER($G136)),$G136&lt;=0),"",$M136/$G136)</f>
        <v/>
      </c>
      <c r="O136" s="33" t="n"/>
      <c r="P136" s="33" t="n"/>
      <c r="Q136" s="41" t="n"/>
      <c r="R136" s="36" t="n"/>
      <c r="S136" s="37">
        <f>IF(NOT(ISNUMBER($M136)),"",$M136-IF(ISNUMBER($R136),$R136,0))</f>
        <v/>
      </c>
      <c r="T136" s="33" t="n"/>
      <c r="U136" s="51">
        <f>IF(COUNTA($B136,$C136,$D136,$G136,$H136)=0,"",IF(IF($B136=""," · Falta fecha","")&amp;IF($C136=""," · Falta proveedor","")&amp;IF(AND($D136&lt;&gt;"",COUNTIF(tblProductos[SKU],$D136)=0)," · SKU no existe","")&amp;IF($D136=""," · Falta SKU","")&amp;IF(OR($G136="",NOT(ISNUMBER($G136)),$G136&lt;=0)," · Cantidad inválida","")&amp;IF($H136=""," · Falta costo unitario","")&amp;IF(AND($P136="Pagado",$Q136="")," · Pago sin fecha","")&amp;IF(AND(ISNUMBER($R136),ISNUMBER($M136),$R136&gt;N($M136)+0.01)," · Pagado &gt; total","")&amp;IF(AND(ISNUMBER($R136),$R136&gt;0,$Q136="")," · Monto pagado sin fecha","")="","OK",MID(IF($B136=""," · Falta fecha","")&amp;IF($C136=""," · Falta proveedor","")&amp;IF(AND($D136&lt;&gt;"",COUNTIF(tblProductos[SKU],$D136)=0)," · SKU no existe","")&amp;IF($D136=""," · Falta SKU","")&amp;IF(OR($G136="",NOT(ISNUMBER($G136)),$G136&lt;=0)," · Cantidad inválida","")&amp;IF($H136=""," · Falta costo unitario","")&amp;IF(AND($P136="Pagado",$Q136="")," · Pago sin fecha","")&amp;IF(AND(ISNUMBER($R136),ISNUMBER($M136),$R136&gt;N($M136)+0.01)," · Pagado &gt; total","")&amp;IF(AND(ISNUMBER($R136),$R136&gt;0,$Q136="")," · Monto pagado sin fecha",""),4,900)))</f>
        <v/>
      </c>
    </row>
    <row r="137">
      <c r="A137" s="51">
        <f>IF(COUNTA($B137,$C137,$D137,$G137,$H137)=0,"","C-"&amp;TEXT(ROW()-6,"0000"))</f>
        <v/>
      </c>
      <c r="B137" s="41" t="n"/>
      <c r="C137" s="33" t="n"/>
      <c r="D137" s="33" t="n"/>
      <c r="E137" s="51">
        <f>IF($D137="","",IFERROR(IF(INDEX(tblProductos[Nombre del producto],MATCH($D137,tblProductos[SKU],0))="","",INDEX(tblProductos[Nombre del producto],MATCH($D137,tblProductos[SKU],0))),""))</f>
        <v/>
      </c>
      <c r="F137" s="51">
        <f>IF($D137="","",IFERROR(IF(INDEX(tblProductos[Categoría],MATCH($D137,tblProductos[SKU],0))="","",INDEX(tblProductos[Categoría],MATCH($D137,tblProductos[SKU],0))),""))</f>
        <v/>
      </c>
      <c r="G137" s="34" t="n"/>
      <c r="H137" s="36" t="n"/>
      <c r="I137" s="37">
        <f>IF(OR($G137="",$H137=""),"",$G137*$H137)</f>
        <v/>
      </c>
      <c r="J137" s="36" t="n"/>
      <c r="K137" s="36" t="n"/>
      <c r="L137" s="36" t="n"/>
      <c r="M137" s="37">
        <f>IF(NOT(ISNUMBER($I137)),"",$I137+SUM($J137:$L137))</f>
        <v/>
      </c>
      <c r="N137" s="37">
        <f>IF(OR(NOT(ISNUMBER($M137)),NOT(ISNUMBER($G137)),$G137&lt;=0),"",$M137/$G137)</f>
        <v/>
      </c>
      <c r="O137" s="33" t="n"/>
      <c r="P137" s="33" t="n"/>
      <c r="Q137" s="41" t="n"/>
      <c r="R137" s="36" t="n"/>
      <c r="S137" s="37">
        <f>IF(NOT(ISNUMBER($M137)),"",$M137-IF(ISNUMBER($R137),$R137,0))</f>
        <v/>
      </c>
      <c r="T137" s="33" t="n"/>
      <c r="U137" s="51">
        <f>IF(COUNTA($B137,$C137,$D137,$G137,$H137)=0,"",IF(IF($B137=""," · Falta fecha","")&amp;IF($C137=""," · Falta proveedor","")&amp;IF(AND($D137&lt;&gt;"",COUNTIF(tblProductos[SKU],$D137)=0)," · SKU no existe","")&amp;IF($D137=""," · Falta SKU","")&amp;IF(OR($G137="",NOT(ISNUMBER($G137)),$G137&lt;=0)," · Cantidad inválida","")&amp;IF($H137=""," · Falta costo unitario","")&amp;IF(AND($P137="Pagado",$Q137="")," · Pago sin fecha","")&amp;IF(AND(ISNUMBER($R137),ISNUMBER($M137),$R137&gt;N($M137)+0.01)," · Pagado &gt; total","")&amp;IF(AND(ISNUMBER($R137),$R137&gt;0,$Q137="")," · Monto pagado sin fecha","")="","OK",MID(IF($B137=""," · Falta fecha","")&amp;IF($C137=""," · Falta proveedor","")&amp;IF(AND($D137&lt;&gt;"",COUNTIF(tblProductos[SKU],$D137)=0)," · SKU no existe","")&amp;IF($D137=""," · Falta SKU","")&amp;IF(OR($G137="",NOT(ISNUMBER($G137)),$G137&lt;=0)," · Cantidad inválida","")&amp;IF($H137=""," · Falta costo unitario","")&amp;IF(AND($P137="Pagado",$Q137="")," · Pago sin fecha","")&amp;IF(AND(ISNUMBER($R137),ISNUMBER($M137),$R137&gt;N($M137)+0.01)," · Pagado &gt; total","")&amp;IF(AND(ISNUMBER($R137),$R137&gt;0,$Q137="")," · Monto pagado sin fecha",""),4,900)))</f>
        <v/>
      </c>
    </row>
    <row r="138">
      <c r="A138" s="51">
        <f>IF(COUNTA($B138,$C138,$D138,$G138,$H138)=0,"","C-"&amp;TEXT(ROW()-6,"0000"))</f>
        <v/>
      </c>
      <c r="B138" s="41" t="n"/>
      <c r="C138" s="33" t="n"/>
      <c r="D138" s="33" t="n"/>
      <c r="E138" s="51">
        <f>IF($D138="","",IFERROR(IF(INDEX(tblProductos[Nombre del producto],MATCH($D138,tblProductos[SKU],0))="","",INDEX(tblProductos[Nombre del producto],MATCH($D138,tblProductos[SKU],0))),""))</f>
        <v/>
      </c>
      <c r="F138" s="51">
        <f>IF($D138="","",IFERROR(IF(INDEX(tblProductos[Categoría],MATCH($D138,tblProductos[SKU],0))="","",INDEX(tblProductos[Categoría],MATCH($D138,tblProductos[SKU],0))),""))</f>
        <v/>
      </c>
      <c r="G138" s="34" t="n"/>
      <c r="H138" s="36" t="n"/>
      <c r="I138" s="37">
        <f>IF(OR($G138="",$H138=""),"",$G138*$H138)</f>
        <v/>
      </c>
      <c r="J138" s="36" t="n"/>
      <c r="K138" s="36" t="n"/>
      <c r="L138" s="36" t="n"/>
      <c r="M138" s="37">
        <f>IF(NOT(ISNUMBER($I138)),"",$I138+SUM($J138:$L138))</f>
        <v/>
      </c>
      <c r="N138" s="37">
        <f>IF(OR(NOT(ISNUMBER($M138)),NOT(ISNUMBER($G138)),$G138&lt;=0),"",$M138/$G138)</f>
        <v/>
      </c>
      <c r="O138" s="33" t="n"/>
      <c r="P138" s="33" t="n"/>
      <c r="Q138" s="41" t="n"/>
      <c r="R138" s="36" t="n"/>
      <c r="S138" s="37">
        <f>IF(NOT(ISNUMBER($M138)),"",$M138-IF(ISNUMBER($R138),$R138,0))</f>
        <v/>
      </c>
      <c r="T138" s="33" t="n"/>
      <c r="U138" s="51">
        <f>IF(COUNTA($B138,$C138,$D138,$G138,$H138)=0,"",IF(IF($B138=""," · Falta fecha","")&amp;IF($C138=""," · Falta proveedor","")&amp;IF(AND($D138&lt;&gt;"",COUNTIF(tblProductos[SKU],$D138)=0)," · SKU no existe","")&amp;IF($D138=""," · Falta SKU","")&amp;IF(OR($G138="",NOT(ISNUMBER($G138)),$G138&lt;=0)," · Cantidad inválida","")&amp;IF($H138=""," · Falta costo unitario","")&amp;IF(AND($P138="Pagado",$Q138="")," · Pago sin fecha","")&amp;IF(AND(ISNUMBER($R138),ISNUMBER($M138),$R138&gt;N($M138)+0.01)," · Pagado &gt; total","")&amp;IF(AND(ISNUMBER($R138),$R138&gt;0,$Q138="")," · Monto pagado sin fecha","")="","OK",MID(IF($B138=""," · Falta fecha","")&amp;IF($C138=""," · Falta proveedor","")&amp;IF(AND($D138&lt;&gt;"",COUNTIF(tblProductos[SKU],$D138)=0)," · SKU no existe","")&amp;IF($D138=""," · Falta SKU","")&amp;IF(OR($G138="",NOT(ISNUMBER($G138)),$G138&lt;=0)," · Cantidad inválida","")&amp;IF($H138=""," · Falta costo unitario","")&amp;IF(AND($P138="Pagado",$Q138="")," · Pago sin fecha","")&amp;IF(AND(ISNUMBER($R138),ISNUMBER($M138),$R138&gt;N($M138)+0.01)," · Pagado &gt; total","")&amp;IF(AND(ISNUMBER($R138),$R138&gt;0,$Q138="")," · Monto pagado sin fecha",""),4,900)))</f>
        <v/>
      </c>
    </row>
    <row r="139">
      <c r="A139" s="51">
        <f>IF(COUNTA($B139,$C139,$D139,$G139,$H139)=0,"","C-"&amp;TEXT(ROW()-6,"0000"))</f>
        <v/>
      </c>
      <c r="B139" s="41" t="n"/>
      <c r="C139" s="33" t="n"/>
      <c r="D139" s="33" t="n"/>
      <c r="E139" s="51">
        <f>IF($D139="","",IFERROR(IF(INDEX(tblProductos[Nombre del producto],MATCH($D139,tblProductos[SKU],0))="","",INDEX(tblProductos[Nombre del producto],MATCH($D139,tblProductos[SKU],0))),""))</f>
        <v/>
      </c>
      <c r="F139" s="51">
        <f>IF($D139="","",IFERROR(IF(INDEX(tblProductos[Categoría],MATCH($D139,tblProductos[SKU],0))="","",INDEX(tblProductos[Categoría],MATCH($D139,tblProductos[SKU],0))),""))</f>
        <v/>
      </c>
      <c r="G139" s="34" t="n"/>
      <c r="H139" s="36" t="n"/>
      <c r="I139" s="37">
        <f>IF(OR($G139="",$H139=""),"",$G139*$H139)</f>
        <v/>
      </c>
      <c r="J139" s="36" t="n"/>
      <c r="K139" s="36" t="n"/>
      <c r="L139" s="36" t="n"/>
      <c r="M139" s="37">
        <f>IF(NOT(ISNUMBER($I139)),"",$I139+SUM($J139:$L139))</f>
        <v/>
      </c>
      <c r="N139" s="37">
        <f>IF(OR(NOT(ISNUMBER($M139)),NOT(ISNUMBER($G139)),$G139&lt;=0),"",$M139/$G139)</f>
        <v/>
      </c>
      <c r="O139" s="33" t="n"/>
      <c r="P139" s="33" t="n"/>
      <c r="Q139" s="41" t="n"/>
      <c r="R139" s="36" t="n"/>
      <c r="S139" s="37">
        <f>IF(NOT(ISNUMBER($M139)),"",$M139-IF(ISNUMBER($R139),$R139,0))</f>
        <v/>
      </c>
      <c r="T139" s="33" t="n"/>
      <c r="U139" s="51">
        <f>IF(COUNTA($B139,$C139,$D139,$G139,$H139)=0,"",IF(IF($B139=""," · Falta fecha","")&amp;IF($C139=""," · Falta proveedor","")&amp;IF(AND($D139&lt;&gt;"",COUNTIF(tblProductos[SKU],$D139)=0)," · SKU no existe","")&amp;IF($D139=""," · Falta SKU","")&amp;IF(OR($G139="",NOT(ISNUMBER($G139)),$G139&lt;=0)," · Cantidad inválida","")&amp;IF($H139=""," · Falta costo unitario","")&amp;IF(AND($P139="Pagado",$Q139="")," · Pago sin fecha","")&amp;IF(AND(ISNUMBER($R139),ISNUMBER($M139),$R139&gt;N($M139)+0.01)," · Pagado &gt; total","")&amp;IF(AND(ISNUMBER($R139),$R139&gt;0,$Q139="")," · Monto pagado sin fecha","")="","OK",MID(IF($B139=""," · Falta fecha","")&amp;IF($C139=""," · Falta proveedor","")&amp;IF(AND($D139&lt;&gt;"",COUNTIF(tblProductos[SKU],$D139)=0)," · SKU no existe","")&amp;IF($D139=""," · Falta SKU","")&amp;IF(OR($G139="",NOT(ISNUMBER($G139)),$G139&lt;=0)," · Cantidad inválida","")&amp;IF($H139=""," · Falta costo unitario","")&amp;IF(AND($P139="Pagado",$Q139="")," · Pago sin fecha","")&amp;IF(AND(ISNUMBER($R139),ISNUMBER($M139),$R139&gt;N($M139)+0.01)," · Pagado &gt; total","")&amp;IF(AND(ISNUMBER($R139),$R139&gt;0,$Q139="")," · Monto pagado sin fecha",""),4,900)))</f>
        <v/>
      </c>
    </row>
    <row r="140">
      <c r="A140" s="51">
        <f>IF(COUNTA($B140,$C140,$D140,$G140,$H140)=0,"","C-"&amp;TEXT(ROW()-6,"0000"))</f>
        <v/>
      </c>
      <c r="B140" s="41" t="n"/>
      <c r="C140" s="33" t="n"/>
      <c r="D140" s="33" t="n"/>
      <c r="E140" s="51">
        <f>IF($D140="","",IFERROR(IF(INDEX(tblProductos[Nombre del producto],MATCH($D140,tblProductos[SKU],0))="","",INDEX(tblProductos[Nombre del producto],MATCH($D140,tblProductos[SKU],0))),""))</f>
        <v/>
      </c>
      <c r="F140" s="51">
        <f>IF($D140="","",IFERROR(IF(INDEX(tblProductos[Categoría],MATCH($D140,tblProductos[SKU],0))="","",INDEX(tblProductos[Categoría],MATCH($D140,tblProductos[SKU],0))),""))</f>
        <v/>
      </c>
      <c r="G140" s="34" t="n"/>
      <c r="H140" s="36" t="n"/>
      <c r="I140" s="37">
        <f>IF(OR($G140="",$H140=""),"",$G140*$H140)</f>
        <v/>
      </c>
      <c r="J140" s="36" t="n"/>
      <c r="K140" s="36" t="n"/>
      <c r="L140" s="36" t="n"/>
      <c r="M140" s="37">
        <f>IF(NOT(ISNUMBER($I140)),"",$I140+SUM($J140:$L140))</f>
        <v/>
      </c>
      <c r="N140" s="37">
        <f>IF(OR(NOT(ISNUMBER($M140)),NOT(ISNUMBER($G140)),$G140&lt;=0),"",$M140/$G140)</f>
        <v/>
      </c>
      <c r="O140" s="33" t="n"/>
      <c r="P140" s="33" t="n"/>
      <c r="Q140" s="41" t="n"/>
      <c r="R140" s="36" t="n"/>
      <c r="S140" s="37">
        <f>IF(NOT(ISNUMBER($M140)),"",$M140-IF(ISNUMBER($R140),$R140,0))</f>
        <v/>
      </c>
      <c r="T140" s="33" t="n"/>
      <c r="U140" s="51">
        <f>IF(COUNTA($B140,$C140,$D140,$G140,$H140)=0,"",IF(IF($B140=""," · Falta fecha","")&amp;IF($C140=""," · Falta proveedor","")&amp;IF(AND($D140&lt;&gt;"",COUNTIF(tblProductos[SKU],$D140)=0)," · SKU no existe","")&amp;IF($D140=""," · Falta SKU","")&amp;IF(OR($G140="",NOT(ISNUMBER($G140)),$G140&lt;=0)," · Cantidad inválida","")&amp;IF($H140=""," · Falta costo unitario","")&amp;IF(AND($P140="Pagado",$Q140="")," · Pago sin fecha","")&amp;IF(AND(ISNUMBER($R140),ISNUMBER($M140),$R140&gt;N($M140)+0.01)," · Pagado &gt; total","")&amp;IF(AND(ISNUMBER($R140),$R140&gt;0,$Q140="")," · Monto pagado sin fecha","")="","OK",MID(IF($B140=""," · Falta fecha","")&amp;IF($C140=""," · Falta proveedor","")&amp;IF(AND($D140&lt;&gt;"",COUNTIF(tblProductos[SKU],$D140)=0)," · SKU no existe","")&amp;IF($D140=""," · Falta SKU","")&amp;IF(OR($G140="",NOT(ISNUMBER($G140)),$G140&lt;=0)," · Cantidad inválida","")&amp;IF($H140=""," · Falta costo unitario","")&amp;IF(AND($P140="Pagado",$Q140="")," · Pago sin fecha","")&amp;IF(AND(ISNUMBER($R140),ISNUMBER($M140),$R140&gt;N($M140)+0.01)," · Pagado &gt; total","")&amp;IF(AND(ISNUMBER($R140),$R140&gt;0,$Q140="")," · Monto pagado sin fecha",""),4,900)))</f>
        <v/>
      </c>
    </row>
    <row r="141">
      <c r="A141" s="51">
        <f>IF(COUNTA($B141,$C141,$D141,$G141,$H141)=0,"","C-"&amp;TEXT(ROW()-6,"0000"))</f>
        <v/>
      </c>
      <c r="B141" s="41" t="n"/>
      <c r="C141" s="33" t="n"/>
      <c r="D141" s="33" t="n"/>
      <c r="E141" s="51">
        <f>IF($D141="","",IFERROR(IF(INDEX(tblProductos[Nombre del producto],MATCH($D141,tblProductos[SKU],0))="","",INDEX(tblProductos[Nombre del producto],MATCH($D141,tblProductos[SKU],0))),""))</f>
        <v/>
      </c>
      <c r="F141" s="51">
        <f>IF($D141="","",IFERROR(IF(INDEX(tblProductos[Categoría],MATCH($D141,tblProductos[SKU],0))="","",INDEX(tblProductos[Categoría],MATCH($D141,tblProductos[SKU],0))),""))</f>
        <v/>
      </c>
      <c r="G141" s="34" t="n"/>
      <c r="H141" s="36" t="n"/>
      <c r="I141" s="37">
        <f>IF(OR($G141="",$H141=""),"",$G141*$H141)</f>
        <v/>
      </c>
      <c r="J141" s="36" t="n"/>
      <c r="K141" s="36" t="n"/>
      <c r="L141" s="36" t="n"/>
      <c r="M141" s="37">
        <f>IF(NOT(ISNUMBER($I141)),"",$I141+SUM($J141:$L141))</f>
        <v/>
      </c>
      <c r="N141" s="37">
        <f>IF(OR(NOT(ISNUMBER($M141)),NOT(ISNUMBER($G141)),$G141&lt;=0),"",$M141/$G141)</f>
        <v/>
      </c>
      <c r="O141" s="33" t="n"/>
      <c r="P141" s="33" t="n"/>
      <c r="Q141" s="41" t="n"/>
      <c r="R141" s="36" t="n"/>
      <c r="S141" s="37">
        <f>IF(NOT(ISNUMBER($M141)),"",$M141-IF(ISNUMBER($R141),$R141,0))</f>
        <v/>
      </c>
      <c r="T141" s="33" t="n"/>
      <c r="U141" s="51">
        <f>IF(COUNTA($B141,$C141,$D141,$G141,$H141)=0,"",IF(IF($B141=""," · Falta fecha","")&amp;IF($C141=""," · Falta proveedor","")&amp;IF(AND($D141&lt;&gt;"",COUNTIF(tblProductos[SKU],$D141)=0)," · SKU no existe","")&amp;IF($D141=""," · Falta SKU","")&amp;IF(OR($G141="",NOT(ISNUMBER($G141)),$G141&lt;=0)," · Cantidad inválida","")&amp;IF($H141=""," · Falta costo unitario","")&amp;IF(AND($P141="Pagado",$Q141="")," · Pago sin fecha","")&amp;IF(AND(ISNUMBER($R141),ISNUMBER($M141),$R141&gt;N($M141)+0.01)," · Pagado &gt; total","")&amp;IF(AND(ISNUMBER($R141),$R141&gt;0,$Q141="")," · Monto pagado sin fecha","")="","OK",MID(IF($B141=""," · Falta fecha","")&amp;IF($C141=""," · Falta proveedor","")&amp;IF(AND($D141&lt;&gt;"",COUNTIF(tblProductos[SKU],$D141)=0)," · SKU no existe","")&amp;IF($D141=""," · Falta SKU","")&amp;IF(OR($G141="",NOT(ISNUMBER($G141)),$G141&lt;=0)," · Cantidad inválida","")&amp;IF($H141=""," · Falta costo unitario","")&amp;IF(AND($P141="Pagado",$Q141="")," · Pago sin fecha","")&amp;IF(AND(ISNUMBER($R141),ISNUMBER($M141),$R141&gt;N($M141)+0.01)," · Pagado &gt; total","")&amp;IF(AND(ISNUMBER($R141),$R141&gt;0,$Q141="")," · Monto pagado sin fecha",""),4,900)))</f>
        <v/>
      </c>
    </row>
    <row r="142">
      <c r="A142" s="51">
        <f>IF(COUNTA($B142,$C142,$D142,$G142,$H142)=0,"","C-"&amp;TEXT(ROW()-6,"0000"))</f>
        <v/>
      </c>
      <c r="B142" s="41" t="n"/>
      <c r="C142" s="33" t="n"/>
      <c r="D142" s="33" t="n"/>
      <c r="E142" s="51">
        <f>IF($D142="","",IFERROR(IF(INDEX(tblProductos[Nombre del producto],MATCH($D142,tblProductos[SKU],0))="","",INDEX(tblProductos[Nombre del producto],MATCH($D142,tblProductos[SKU],0))),""))</f>
        <v/>
      </c>
      <c r="F142" s="51">
        <f>IF($D142="","",IFERROR(IF(INDEX(tblProductos[Categoría],MATCH($D142,tblProductos[SKU],0))="","",INDEX(tblProductos[Categoría],MATCH($D142,tblProductos[SKU],0))),""))</f>
        <v/>
      </c>
      <c r="G142" s="34" t="n"/>
      <c r="H142" s="36" t="n"/>
      <c r="I142" s="37">
        <f>IF(OR($G142="",$H142=""),"",$G142*$H142)</f>
        <v/>
      </c>
      <c r="J142" s="36" t="n"/>
      <c r="K142" s="36" t="n"/>
      <c r="L142" s="36" t="n"/>
      <c r="M142" s="37">
        <f>IF(NOT(ISNUMBER($I142)),"",$I142+SUM($J142:$L142))</f>
        <v/>
      </c>
      <c r="N142" s="37">
        <f>IF(OR(NOT(ISNUMBER($M142)),NOT(ISNUMBER($G142)),$G142&lt;=0),"",$M142/$G142)</f>
        <v/>
      </c>
      <c r="O142" s="33" t="n"/>
      <c r="P142" s="33" t="n"/>
      <c r="Q142" s="41" t="n"/>
      <c r="R142" s="36" t="n"/>
      <c r="S142" s="37">
        <f>IF(NOT(ISNUMBER($M142)),"",$M142-IF(ISNUMBER($R142),$R142,0))</f>
        <v/>
      </c>
      <c r="T142" s="33" t="n"/>
      <c r="U142" s="51">
        <f>IF(COUNTA($B142,$C142,$D142,$G142,$H142)=0,"",IF(IF($B142=""," · Falta fecha","")&amp;IF($C142=""," · Falta proveedor","")&amp;IF(AND($D142&lt;&gt;"",COUNTIF(tblProductos[SKU],$D142)=0)," · SKU no existe","")&amp;IF($D142=""," · Falta SKU","")&amp;IF(OR($G142="",NOT(ISNUMBER($G142)),$G142&lt;=0)," · Cantidad inválida","")&amp;IF($H142=""," · Falta costo unitario","")&amp;IF(AND($P142="Pagado",$Q142="")," · Pago sin fecha","")&amp;IF(AND(ISNUMBER($R142),ISNUMBER($M142),$R142&gt;N($M142)+0.01)," · Pagado &gt; total","")&amp;IF(AND(ISNUMBER($R142),$R142&gt;0,$Q142="")," · Monto pagado sin fecha","")="","OK",MID(IF($B142=""," · Falta fecha","")&amp;IF($C142=""," · Falta proveedor","")&amp;IF(AND($D142&lt;&gt;"",COUNTIF(tblProductos[SKU],$D142)=0)," · SKU no existe","")&amp;IF($D142=""," · Falta SKU","")&amp;IF(OR($G142="",NOT(ISNUMBER($G142)),$G142&lt;=0)," · Cantidad inválida","")&amp;IF($H142=""," · Falta costo unitario","")&amp;IF(AND($P142="Pagado",$Q142="")," · Pago sin fecha","")&amp;IF(AND(ISNUMBER($R142),ISNUMBER($M142),$R142&gt;N($M142)+0.01)," · Pagado &gt; total","")&amp;IF(AND(ISNUMBER($R142),$R142&gt;0,$Q142="")," · Monto pagado sin fecha",""),4,900)))</f>
        <v/>
      </c>
    </row>
    <row r="143">
      <c r="A143" s="51">
        <f>IF(COUNTA($B143,$C143,$D143,$G143,$H143)=0,"","C-"&amp;TEXT(ROW()-6,"0000"))</f>
        <v/>
      </c>
      <c r="B143" s="41" t="n"/>
      <c r="C143" s="33" t="n"/>
      <c r="D143" s="33" t="n"/>
      <c r="E143" s="51">
        <f>IF($D143="","",IFERROR(IF(INDEX(tblProductos[Nombre del producto],MATCH($D143,tblProductos[SKU],0))="","",INDEX(tblProductos[Nombre del producto],MATCH($D143,tblProductos[SKU],0))),""))</f>
        <v/>
      </c>
      <c r="F143" s="51">
        <f>IF($D143="","",IFERROR(IF(INDEX(tblProductos[Categoría],MATCH($D143,tblProductos[SKU],0))="","",INDEX(tblProductos[Categoría],MATCH($D143,tblProductos[SKU],0))),""))</f>
        <v/>
      </c>
      <c r="G143" s="34" t="n"/>
      <c r="H143" s="36" t="n"/>
      <c r="I143" s="37">
        <f>IF(OR($G143="",$H143=""),"",$G143*$H143)</f>
        <v/>
      </c>
      <c r="J143" s="36" t="n"/>
      <c r="K143" s="36" t="n"/>
      <c r="L143" s="36" t="n"/>
      <c r="M143" s="37">
        <f>IF(NOT(ISNUMBER($I143)),"",$I143+SUM($J143:$L143))</f>
        <v/>
      </c>
      <c r="N143" s="37">
        <f>IF(OR(NOT(ISNUMBER($M143)),NOT(ISNUMBER($G143)),$G143&lt;=0),"",$M143/$G143)</f>
        <v/>
      </c>
      <c r="O143" s="33" t="n"/>
      <c r="P143" s="33" t="n"/>
      <c r="Q143" s="41" t="n"/>
      <c r="R143" s="36" t="n"/>
      <c r="S143" s="37">
        <f>IF(NOT(ISNUMBER($M143)),"",$M143-IF(ISNUMBER($R143),$R143,0))</f>
        <v/>
      </c>
      <c r="T143" s="33" t="n"/>
      <c r="U143" s="51">
        <f>IF(COUNTA($B143,$C143,$D143,$G143,$H143)=0,"",IF(IF($B143=""," · Falta fecha","")&amp;IF($C143=""," · Falta proveedor","")&amp;IF(AND($D143&lt;&gt;"",COUNTIF(tblProductos[SKU],$D143)=0)," · SKU no existe","")&amp;IF($D143=""," · Falta SKU","")&amp;IF(OR($G143="",NOT(ISNUMBER($G143)),$G143&lt;=0)," · Cantidad inválida","")&amp;IF($H143=""," · Falta costo unitario","")&amp;IF(AND($P143="Pagado",$Q143="")," · Pago sin fecha","")&amp;IF(AND(ISNUMBER($R143),ISNUMBER($M143),$R143&gt;N($M143)+0.01)," · Pagado &gt; total","")&amp;IF(AND(ISNUMBER($R143),$R143&gt;0,$Q143="")," · Monto pagado sin fecha","")="","OK",MID(IF($B143=""," · Falta fecha","")&amp;IF($C143=""," · Falta proveedor","")&amp;IF(AND($D143&lt;&gt;"",COUNTIF(tblProductos[SKU],$D143)=0)," · SKU no existe","")&amp;IF($D143=""," · Falta SKU","")&amp;IF(OR($G143="",NOT(ISNUMBER($G143)),$G143&lt;=0)," · Cantidad inválida","")&amp;IF($H143=""," · Falta costo unitario","")&amp;IF(AND($P143="Pagado",$Q143="")," · Pago sin fecha","")&amp;IF(AND(ISNUMBER($R143),ISNUMBER($M143),$R143&gt;N($M143)+0.01)," · Pagado &gt; total","")&amp;IF(AND(ISNUMBER($R143),$R143&gt;0,$Q143="")," · Monto pagado sin fecha",""),4,900)))</f>
        <v/>
      </c>
    </row>
    <row r="144">
      <c r="A144" s="51">
        <f>IF(COUNTA($B144,$C144,$D144,$G144,$H144)=0,"","C-"&amp;TEXT(ROW()-6,"0000"))</f>
        <v/>
      </c>
      <c r="B144" s="41" t="n"/>
      <c r="C144" s="33" t="n"/>
      <c r="D144" s="33" t="n"/>
      <c r="E144" s="51">
        <f>IF($D144="","",IFERROR(IF(INDEX(tblProductos[Nombre del producto],MATCH($D144,tblProductos[SKU],0))="","",INDEX(tblProductos[Nombre del producto],MATCH($D144,tblProductos[SKU],0))),""))</f>
        <v/>
      </c>
      <c r="F144" s="51">
        <f>IF($D144="","",IFERROR(IF(INDEX(tblProductos[Categoría],MATCH($D144,tblProductos[SKU],0))="","",INDEX(tblProductos[Categoría],MATCH($D144,tblProductos[SKU],0))),""))</f>
        <v/>
      </c>
      <c r="G144" s="34" t="n"/>
      <c r="H144" s="36" t="n"/>
      <c r="I144" s="37">
        <f>IF(OR($G144="",$H144=""),"",$G144*$H144)</f>
        <v/>
      </c>
      <c r="J144" s="36" t="n"/>
      <c r="K144" s="36" t="n"/>
      <c r="L144" s="36" t="n"/>
      <c r="M144" s="37">
        <f>IF(NOT(ISNUMBER($I144)),"",$I144+SUM($J144:$L144))</f>
        <v/>
      </c>
      <c r="N144" s="37">
        <f>IF(OR(NOT(ISNUMBER($M144)),NOT(ISNUMBER($G144)),$G144&lt;=0),"",$M144/$G144)</f>
        <v/>
      </c>
      <c r="O144" s="33" t="n"/>
      <c r="P144" s="33" t="n"/>
      <c r="Q144" s="41" t="n"/>
      <c r="R144" s="36" t="n"/>
      <c r="S144" s="37">
        <f>IF(NOT(ISNUMBER($M144)),"",$M144-IF(ISNUMBER($R144),$R144,0))</f>
        <v/>
      </c>
      <c r="T144" s="33" t="n"/>
      <c r="U144" s="51">
        <f>IF(COUNTA($B144,$C144,$D144,$G144,$H144)=0,"",IF(IF($B144=""," · Falta fecha","")&amp;IF($C144=""," · Falta proveedor","")&amp;IF(AND($D144&lt;&gt;"",COUNTIF(tblProductos[SKU],$D144)=0)," · SKU no existe","")&amp;IF($D144=""," · Falta SKU","")&amp;IF(OR($G144="",NOT(ISNUMBER($G144)),$G144&lt;=0)," · Cantidad inválida","")&amp;IF($H144=""," · Falta costo unitario","")&amp;IF(AND($P144="Pagado",$Q144="")," · Pago sin fecha","")&amp;IF(AND(ISNUMBER($R144),ISNUMBER($M144),$R144&gt;N($M144)+0.01)," · Pagado &gt; total","")&amp;IF(AND(ISNUMBER($R144),$R144&gt;0,$Q144="")," · Monto pagado sin fecha","")="","OK",MID(IF($B144=""," · Falta fecha","")&amp;IF($C144=""," · Falta proveedor","")&amp;IF(AND($D144&lt;&gt;"",COUNTIF(tblProductos[SKU],$D144)=0)," · SKU no existe","")&amp;IF($D144=""," · Falta SKU","")&amp;IF(OR($G144="",NOT(ISNUMBER($G144)),$G144&lt;=0)," · Cantidad inválida","")&amp;IF($H144=""," · Falta costo unitario","")&amp;IF(AND($P144="Pagado",$Q144="")," · Pago sin fecha","")&amp;IF(AND(ISNUMBER($R144),ISNUMBER($M144),$R144&gt;N($M144)+0.01)," · Pagado &gt; total","")&amp;IF(AND(ISNUMBER($R144),$R144&gt;0,$Q144="")," · Monto pagado sin fecha",""),4,900)))</f>
        <v/>
      </c>
    </row>
    <row r="145">
      <c r="A145" s="51">
        <f>IF(COUNTA($B145,$C145,$D145,$G145,$H145)=0,"","C-"&amp;TEXT(ROW()-6,"0000"))</f>
        <v/>
      </c>
      <c r="B145" s="41" t="n"/>
      <c r="C145" s="33" t="n"/>
      <c r="D145" s="33" t="n"/>
      <c r="E145" s="51">
        <f>IF($D145="","",IFERROR(IF(INDEX(tblProductos[Nombre del producto],MATCH($D145,tblProductos[SKU],0))="","",INDEX(tblProductos[Nombre del producto],MATCH($D145,tblProductos[SKU],0))),""))</f>
        <v/>
      </c>
      <c r="F145" s="51">
        <f>IF($D145="","",IFERROR(IF(INDEX(tblProductos[Categoría],MATCH($D145,tblProductos[SKU],0))="","",INDEX(tblProductos[Categoría],MATCH($D145,tblProductos[SKU],0))),""))</f>
        <v/>
      </c>
      <c r="G145" s="34" t="n"/>
      <c r="H145" s="36" t="n"/>
      <c r="I145" s="37">
        <f>IF(OR($G145="",$H145=""),"",$G145*$H145)</f>
        <v/>
      </c>
      <c r="J145" s="36" t="n"/>
      <c r="K145" s="36" t="n"/>
      <c r="L145" s="36" t="n"/>
      <c r="M145" s="37">
        <f>IF(NOT(ISNUMBER($I145)),"",$I145+SUM($J145:$L145))</f>
        <v/>
      </c>
      <c r="N145" s="37">
        <f>IF(OR(NOT(ISNUMBER($M145)),NOT(ISNUMBER($G145)),$G145&lt;=0),"",$M145/$G145)</f>
        <v/>
      </c>
      <c r="O145" s="33" t="n"/>
      <c r="P145" s="33" t="n"/>
      <c r="Q145" s="41" t="n"/>
      <c r="R145" s="36" t="n"/>
      <c r="S145" s="37">
        <f>IF(NOT(ISNUMBER($M145)),"",$M145-IF(ISNUMBER($R145),$R145,0))</f>
        <v/>
      </c>
      <c r="T145" s="33" t="n"/>
      <c r="U145" s="51">
        <f>IF(COUNTA($B145,$C145,$D145,$G145,$H145)=0,"",IF(IF($B145=""," · Falta fecha","")&amp;IF($C145=""," · Falta proveedor","")&amp;IF(AND($D145&lt;&gt;"",COUNTIF(tblProductos[SKU],$D145)=0)," · SKU no existe","")&amp;IF($D145=""," · Falta SKU","")&amp;IF(OR($G145="",NOT(ISNUMBER($G145)),$G145&lt;=0)," · Cantidad inválida","")&amp;IF($H145=""," · Falta costo unitario","")&amp;IF(AND($P145="Pagado",$Q145="")," · Pago sin fecha","")&amp;IF(AND(ISNUMBER($R145),ISNUMBER($M145),$R145&gt;N($M145)+0.01)," · Pagado &gt; total","")&amp;IF(AND(ISNUMBER($R145),$R145&gt;0,$Q145="")," · Monto pagado sin fecha","")="","OK",MID(IF($B145=""," · Falta fecha","")&amp;IF($C145=""," · Falta proveedor","")&amp;IF(AND($D145&lt;&gt;"",COUNTIF(tblProductos[SKU],$D145)=0)," · SKU no existe","")&amp;IF($D145=""," · Falta SKU","")&amp;IF(OR($G145="",NOT(ISNUMBER($G145)),$G145&lt;=0)," · Cantidad inválida","")&amp;IF($H145=""," · Falta costo unitario","")&amp;IF(AND($P145="Pagado",$Q145="")," · Pago sin fecha","")&amp;IF(AND(ISNUMBER($R145),ISNUMBER($M145),$R145&gt;N($M145)+0.01)," · Pagado &gt; total","")&amp;IF(AND(ISNUMBER($R145),$R145&gt;0,$Q145="")," · Monto pagado sin fecha",""),4,900)))</f>
        <v/>
      </c>
    </row>
    <row r="146">
      <c r="A146" s="51">
        <f>IF(COUNTA($B146,$C146,$D146,$G146,$H146)=0,"","C-"&amp;TEXT(ROW()-6,"0000"))</f>
        <v/>
      </c>
      <c r="B146" s="41" t="n"/>
      <c r="C146" s="33" t="n"/>
      <c r="D146" s="33" t="n"/>
      <c r="E146" s="51">
        <f>IF($D146="","",IFERROR(IF(INDEX(tblProductos[Nombre del producto],MATCH($D146,tblProductos[SKU],0))="","",INDEX(tblProductos[Nombre del producto],MATCH($D146,tblProductos[SKU],0))),""))</f>
        <v/>
      </c>
      <c r="F146" s="51">
        <f>IF($D146="","",IFERROR(IF(INDEX(tblProductos[Categoría],MATCH($D146,tblProductos[SKU],0))="","",INDEX(tblProductos[Categoría],MATCH($D146,tblProductos[SKU],0))),""))</f>
        <v/>
      </c>
      <c r="G146" s="34" t="n"/>
      <c r="H146" s="36" t="n"/>
      <c r="I146" s="37">
        <f>IF(OR($G146="",$H146=""),"",$G146*$H146)</f>
        <v/>
      </c>
      <c r="J146" s="36" t="n"/>
      <c r="K146" s="36" t="n"/>
      <c r="L146" s="36" t="n"/>
      <c r="M146" s="37">
        <f>IF(NOT(ISNUMBER($I146)),"",$I146+SUM($J146:$L146))</f>
        <v/>
      </c>
      <c r="N146" s="37">
        <f>IF(OR(NOT(ISNUMBER($M146)),NOT(ISNUMBER($G146)),$G146&lt;=0),"",$M146/$G146)</f>
        <v/>
      </c>
      <c r="O146" s="33" t="n"/>
      <c r="P146" s="33" t="n"/>
      <c r="Q146" s="41" t="n"/>
      <c r="R146" s="36" t="n"/>
      <c r="S146" s="37">
        <f>IF(NOT(ISNUMBER($M146)),"",$M146-IF(ISNUMBER($R146),$R146,0))</f>
        <v/>
      </c>
      <c r="T146" s="33" t="n"/>
      <c r="U146" s="51">
        <f>IF(COUNTA($B146,$C146,$D146,$G146,$H146)=0,"",IF(IF($B146=""," · Falta fecha","")&amp;IF($C146=""," · Falta proveedor","")&amp;IF(AND($D146&lt;&gt;"",COUNTIF(tblProductos[SKU],$D146)=0)," · SKU no existe","")&amp;IF($D146=""," · Falta SKU","")&amp;IF(OR($G146="",NOT(ISNUMBER($G146)),$G146&lt;=0)," · Cantidad inválida","")&amp;IF($H146=""," · Falta costo unitario","")&amp;IF(AND($P146="Pagado",$Q146="")," · Pago sin fecha","")&amp;IF(AND(ISNUMBER($R146),ISNUMBER($M146),$R146&gt;N($M146)+0.01)," · Pagado &gt; total","")&amp;IF(AND(ISNUMBER($R146),$R146&gt;0,$Q146="")," · Monto pagado sin fecha","")="","OK",MID(IF($B146=""," · Falta fecha","")&amp;IF($C146=""," · Falta proveedor","")&amp;IF(AND($D146&lt;&gt;"",COUNTIF(tblProductos[SKU],$D146)=0)," · SKU no existe","")&amp;IF($D146=""," · Falta SKU","")&amp;IF(OR($G146="",NOT(ISNUMBER($G146)),$G146&lt;=0)," · Cantidad inválida","")&amp;IF($H146=""," · Falta costo unitario","")&amp;IF(AND($P146="Pagado",$Q146="")," · Pago sin fecha","")&amp;IF(AND(ISNUMBER($R146),ISNUMBER($M146),$R146&gt;N($M146)+0.01)," · Pagado &gt; total","")&amp;IF(AND(ISNUMBER($R146),$R146&gt;0,$Q146="")," · Monto pagado sin fecha",""),4,900)))</f>
        <v/>
      </c>
    </row>
    <row r="147">
      <c r="A147" s="51">
        <f>IF(COUNTA($B147,$C147,$D147,$G147,$H147)=0,"","C-"&amp;TEXT(ROW()-6,"0000"))</f>
        <v/>
      </c>
      <c r="B147" s="41" t="n"/>
      <c r="C147" s="33" t="n"/>
      <c r="D147" s="33" t="n"/>
      <c r="E147" s="51">
        <f>IF($D147="","",IFERROR(IF(INDEX(tblProductos[Nombre del producto],MATCH($D147,tblProductos[SKU],0))="","",INDEX(tblProductos[Nombre del producto],MATCH($D147,tblProductos[SKU],0))),""))</f>
        <v/>
      </c>
      <c r="F147" s="51">
        <f>IF($D147="","",IFERROR(IF(INDEX(tblProductos[Categoría],MATCH($D147,tblProductos[SKU],0))="","",INDEX(tblProductos[Categoría],MATCH($D147,tblProductos[SKU],0))),""))</f>
        <v/>
      </c>
      <c r="G147" s="34" t="n"/>
      <c r="H147" s="36" t="n"/>
      <c r="I147" s="37">
        <f>IF(OR($G147="",$H147=""),"",$G147*$H147)</f>
        <v/>
      </c>
      <c r="J147" s="36" t="n"/>
      <c r="K147" s="36" t="n"/>
      <c r="L147" s="36" t="n"/>
      <c r="M147" s="37">
        <f>IF(NOT(ISNUMBER($I147)),"",$I147+SUM($J147:$L147))</f>
        <v/>
      </c>
      <c r="N147" s="37">
        <f>IF(OR(NOT(ISNUMBER($M147)),NOT(ISNUMBER($G147)),$G147&lt;=0),"",$M147/$G147)</f>
        <v/>
      </c>
      <c r="O147" s="33" t="n"/>
      <c r="P147" s="33" t="n"/>
      <c r="Q147" s="41" t="n"/>
      <c r="R147" s="36" t="n"/>
      <c r="S147" s="37">
        <f>IF(NOT(ISNUMBER($M147)),"",$M147-IF(ISNUMBER($R147),$R147,0))</f>
        <v/>
      </c>
      <c r="T147" s="33" t="n"/>
      <c r="U147" s="51">
        <f>IF(COUNTA($B147,$C147,$D147,$G147,$H147)=0,"",IF(IF($B147=""," · Falta fecha","")&amp;IF($C147=""," · Falta proveedor","")&amp;IF(AND($D147&lt;&gt;"",COUNTIF(tblProductos[SKU],$D147)=0)," · SKU no existe","")&amp;IF($D147=""," · Falta SKU","")&amp;IF(OR($G147="",NOT(ISNUMBER($G147)),$G147&lt;=0)," · Cantidad inválida","")&amp;IF($H147=""," · Falta costo unitario","")&amp;IF(AND($P147="Pagado",$Q147="")," · Pago sin fecha","")&amp;IF(AND(ISNUMBER($R147),ISNUMBER($M147),$R147&gt;N($M147)+0.01)," · Pagado &gt; total","")&amp;IF(AND(ISNUMBER($R147),$R147&gt;0,$Q147="")," · Monto pagado sin fecha","")="","OK",MID(IF($B147=""," · Falta fecha","")&amp;IF($C147=""," · Falta proveedor","")&amp;IF(AND($D147&lt;&gt;"",COUNTIF(tblProductos[SKU],$D147)=0)," · SKU no existe","")&amp;IF($D147=""," · Falta SKU","")&amp;IF(OR($G147="",NOT(ISNUMBER($G147)),$G147&lt;=0)," · Cantidad inválida","")&amp;IF($H147=""," · Falta costo unitario","")&amp;IF(AND($P147="Pagado",$Q147="")," · Pago sin fecha","")&amp;IF(AND(ISNUMBER($R147),ISNUMBER($M147),$R147&gt;N($M147)+0.01)," · Pagado &gt; total","")&amp;IF(AND(ISNUMBER($R147),$R147&gt;0,$Q147="")," · Monto pagado sin fecha",""),4,900)))</f>
        <v/>
      </c>
    </row>
    <row r="148">
      <c r="A148" s="51">
        <f>IF(COUNTA($B148,$C148,$D148,$G148,$H148)=0,"","C-"&amp;TEXT(ROW()-6,"0000"))</f>
        <v/>
      </c>
      <c r="B148" s="41" t="n"/>
      <c r="C148" s="33" t="n"/>
      <c r="D148" s="33" t="n"/>
      <c r="E148" s="51">
        <f>IF($D148="","",IFERROR(IF(INDEX(tblProductos[Nombre del producto],MATCH($D148,tblProductos[SKU],0))="","",INDEX(tblProductos[Nombre del producto],MATCH($D148,tblProductos[SKU],0))),""))</f>
        <v/>
      </c>
      <c r="F148" s="51">
        <f>IF($D148="","",IFERROR(IF(INDEX(tblProductos[Categoría],MATCH($D148,tblProductos[SKU],0))="","",INDEX(tblProductos[Categoría],MATCH($D148,tblProductos[SKU],0))),""))</f>
        <v/>
      </c>
      <c r="G148" s="34" t="n"/>
      <c r="H148" s="36" t="n"/>
      <c r="I148" s="37">
        <f>IF(OR($G148="",$H148=""),"",$G148*$H148)</f>
        <v/>
      </c>
      <c r="J148" s="36" t="n"/>
      <c r="K148" s="36" t="n"/>
      <c r="L148" s="36" t="n"/>
      <c r="M148" s="37">
        <f>IF(NOT(ISNUMBER($I148)),"",$I148+SUM($J148:$L148))</f>
        <v/>
      </c>
      <c r="N148" s="37">
        <f>IF(OR(NOT(ISNUMBER($M148)),NOT(ISNUMBER($G148)),$G148&lt;=0),"",$M148/$G148)</f>
        <v/>
      </c>
      <c r="O148" s="33" t="n"/>
      <c r="P148" s="33" t="n"/>
      <c r="Q148" s="41" t="n"/>
      <c r="R148" s="36" t="n"/>
      <c r="S148" s="37">
        <f>IF(NOT(ISNUMBER($M148)),"",$M148-IF(ISNUMBER($R148),$R148,0))</f>
        <v/>
      </c>
      <c r="T148" s="33" t="n"/>
      <c r="U148" s="51">
        <f>IF(COUNTA($B148,$C148,$D148,$G148,$H148)=0,"",IF(IF($B148=""," · Falta fecha","")&amp;IF($C148=""," · Falta proveedor","")&amp;IF(AND($D148&lt;&gt;"",COUNTIF(tblProductos[SKU],$D148)=0)," · SKU no existe","")&amp;IF($D148=""," · Falta SKU","")&amp;IF(OR($G148="",NOT(ISNUMBER($G148)),$G148&lt;=0)," · Cantidad inválida","")&amp;IF($H148=""," · Falta costo unitario","")&amp;IF(AND($P148="Pagado",$Q148="")," · Pago sin fecha","")&amp;IF(AND(ISNUMBER($R148),ISNUMBER($M148),$R148&gt;N($M148)+0.01)," · Pagado &gt; total","")&amp;IF(AND(ISNUMBER($R148),$R148&gt;0,$Q148="")," · Monto pagado sin fecha","")="","OK",MID(IF($B148=""," · Falta fecha","")&amp;IF($C148=""," · Falta proveedor","")&amp;IF(AND($D148&lt;&gt;"",COUNTIF(tblProductos[SKU],$D148)=0)," · SKU no existe","")&amp;IF($D148=""," · Falta SKU","")&amp;IF(OR($G148="",NOT(ISNUMBER($G148)),$G148&lt;=0)," · Cantidad inválida","")&amp;IF($H148=""," · Falta costo unitario","")&amp;IF(AND($P148="Pagado",$Q148="")," · Pago sin fecha","")&amp;IF(AND(ISNUMBER($R148),ISNUMBER($M148),$R148&gt;N($M148)+0.01)," · Pagado &gt; total","")&amp;IF(AND(ISNUMBER($R148),$R148&gt;0,$Q148="")," · Monto pagado sin fecha",""),4,900)))</f>
        <v/>
      </c>
    </row>
    <row r="149">
      <c r="A149" s="51">
        <f>IF(COUNTA($B149,$C149,$D149,$G149,$H149)=0,"","C-"&amp;TEXT(ROW()-6,"0000"))</f>
        <v/>
      </c>
      <c r="B149" s="41" t="n"/>
      <c r="C149" s="33" t="n"/>
      <c r="D149" s="33" t="n"/>
      <c r="E149" s="51">
        <f>IF($D149="","",IFERROR(IF(INDEX(tblProductos[Nombre del producto],MATCH($D149,tblProductos[SKU],0))="","",INDEX(tblProductos[Nombre del producto],MATCH($D149,tblProductos[SKU],0))),""))</f>
        <v/>
      </c>
      <c r="F149" s="51">
        <f>IF($D149="","",IFERROR(IF(INDEX(tblProductos[Categoría],MATCH($D149,tblProductos[SKU],0))="","",INDEX(tblProductos[Categoría],MATCH($D149,tblProductos[SKU],0))),""))</f>
        <v/>
      </c>
      <c r="G149" s="34" t="n"/>
      <c r="H149" s="36" t="n"/>
      <c r="I149" s="37">
        <f>IF(OR($G149="",$H149=""),"",$G149*$H149)</f>
        <v/>
      </c>
      <c r="J149" s="36" t="n"/>
      <c r="K149" s="36" t="n"/>
      <c r="L149" s="36" t="n"/>
      <c r="M149" s="37">
        <f>IF(NOT(ISNUMBER($I149)),"",$I149+SUM($J149:$L149))</f>
        <v/>
      </c>
      <c r="N149" s="37">
        <f>IF(OR(NOT(ISNUMBER($M149)),NOT(ISNUMBER($G149)),$G149&lt;=0),"",$M149/$G149)</f>
        <v/>
      </c>
      <c r="O149" s="33" t="n"/>
      <c r="P149" s="33" t="n"/>
      <c r="Q149" s="41" t="n"/>
      <c r="R149" s="36" t="n"/>
      <c r="S149" s="37">
        <f>IF(NOT(ISNUMBER($M149)),"",$M149-IF(ISNUMBER($R149),$R149,0))</f>
        <v/>
      </c>
      <c r="T149" s="33" t="n"/>
      <c r="U149" s="51">
        <f>IF(COUNTA($B149,$C149,$D149,$G149,$H149)=0,"",IF(IF($B149=""," · Falta fecha","")&amp;IF($C149=""," · Falta proveedor","")&amp;IF(AND($D149&lt;&gt;"",COUNTIF(tblProductos[SKU],$D149)=0)," · SKU no existe","")&amp;IF($D149=""," · Falta SKU","")&amp;IF(OR($G149="",NOT(ISNUMBER($G149)),$G149&lt;=0)," · Cantidad inválida","")&amp;IF($H149=""," · Falta costo unitario","")&amp;IF(AND($P149="Pagado",$Q149="")," · Pago sin fecha","")&amp;IF(AND(ISNUMBER($R149),ISNUMBER($M149),$R149&gt;N($M149)+0.01)," · Pagado &gt; total","")&amp;IF(AND(ISNUMBER($R149),$R149&gt;0,$Q149="")," · Monto pagado sin fecha","")="","OK",MID(IF($B149=""," · Falta fecha","")&amp;IF($C149=""," · Falta proveedor","")&amp;IF(AND($D149&lt;&gt;"",COUNTIF(tblProductos[SKU],$D149)=0)," · SKU no existe","")&amp;IF($D149=""," · Falta SKU","")&amp;IF(OR($G149="",NOT(ISNUMBER($G149)),$G149&lt;=0)," · Cantidad inválida","")&amp;IF($H149=""," · Falta costo unitario","")&amp;IF(AND($P149="Pagado",$Q149="")," · Pago sin fecha","")&amp;IF(AND(ISNUMBER($R149),ISNUMBER($M149),$R149&gt;N($M149)+0.01)," · Pagado &gt; total","")&amp;IF(AND(ISNUMBER($R149),$R149&gt;0,$Q149="")," · Monto pagado sin fecha",""),4,900)))</f>
        <v/>
      </c>
    </row>
    <row r="150">
      <c r="A150" s="51">
        <f>IF(COUNTA($B150,$C150,$D150,$G150,$H150)=0,"","C-"&amp;TEXT(ROW()-6,"0000"))</f>
        <v/>
      </c>
      <c r="B150" s="41" t="n"/>
      <c r="C150" s="33" t="n"/>
      <c r="D150" s="33" t="n"/>
      <c r="E150" s="51">
        <f>IF($D150="","",IFERROR(IF(INDEX(tblProductos[Nombre del producto],MATCH($D150,tblProductos[SKU],0))="","",INDEX(tblProductos[Nombre del producto],MATCH($D150,tblProductos[SKU],0))),""))</f>
        <v/>
      </c>
      <c r="F150" s="51">
        <f>IF($D150="","",IFERROR(IF(INDEX(tblProductos[Categoría],MATCH($D150,tblProductos[SKU],0))="","",INDEX(tblProductos[Categoría],MATCH($D150,tblProductos[SKU],0))),""))</f>
        <v/>
      </c>
      <c r="G150" s="34" t="n"/>
      <c r="H150" s="36" t="n"/>
      <c r="I150" s="37">
        <f>IF(OR($G150="",$H150=""),"",$G150*$H150)</f>
        <v/>
      </c>
      <c r="J150" s="36" t="n"/>
      <c r="K150" s="36" t="n"/>
      <c r="L150" s="36" t="n"/>
      <c r="M150" s="37">
        <f>IF(NOT(ISNUMBER($I150)),"",$I150+SUM($J150:$L150))</f>
        <v/>
      </c>
      <c r="N150" s="37">
        <f>IF(OR(NOT(ISNUMBER($M150)),NOT(ISNUMBER($G150)),$G150&lt;=0),"",$M150/$G150)</f>
        <v/>
      </c>
      <c r="O150" s="33" t="n"/>
      <c r="P150" s="33" t="n"/>
      <c r="Q150" s="41" t="n"/>
      <c r="R150" s="36" t="n"/>
      <c r="S150" s="37">
        <f>IF(NOT(ISNUMBER($M150)),"",$M150-IF(ISNUMBER($R150),$R150,0))</f>
        <v/>
      </c>
      <c r="T150" s="33" t="n"/>
      <c r="U150" s="51">
        <f>IF(COUNTA($B150,$C150,$D150,$G150,$H150)=0,"",IF(IF($B150=""," · Falta fecha","")&amp;IF($C150=""," · Falta proveedor","")&amp;IF(AND($D150&lt;&gt;"",COUNTIF(tblProductos[SKU],$D150)=0)," · SKU no existe","")&amp;IF($D150=""," · Falta SKU","")&amp;IF(OR($G150="",NOT(ISNUMBER($G150)),$G150&lt;=0)," · Cantidad inválida","")&amp;IF($H150=""," · Falta costo unitario","")&amp;IF(AND($P150="Pagado",$Q150="")," · Pago sin fecha","")&amp;IF(AND(ISNUMBER($R150),ISNUMBER($M150),$R150&gt;N($M150)+0.01)," · Pagado &gt; total","")&amp;IF(AND(ISNUMBER($R150),$R150&gt;0,$Q150="")," · Monto pagado sin fecha","")="","OK",MID(IF($B150=""," · Falta fecha","")&amp;IF($C150=""," · Falta proveedor","")&amp;IF(AND($D150&lt;&gt;"",COUNTIF(tblProductos[SKU],$D150)=0)," · SKU no existe","")&amp;IF($D150=""," · Falta SKU","")&amp;IF(OR($G150="",NOT(ISNUMBER($G150)),$G150&lt;=0)," · Cantidad inválida","")&amp;IF($H150=""," · Falta costo unitario","")&amp;IF(AND($P150="Pagado",$Q150="")," · Pago sin fecha","")&amp;IF(AND(ISNUMBER($R150),ISNUMBER($M150),$R150&gt;N($M150)+0.01)," · Pagado &gt; total","")&amp;IF(AND(ISNUMBER($R150),$R150&gt;0,$Q150="")," · Monto pagado sin fecha",""),4,900)))</f>
        <v/>
      </c>
    </row>
    <row r="151">
      <c r="A151" s="51">
        <f>IF(COUNTA($B151,$C151,$D151,$G151,$H151)=0,"","C-"&amp;TEXT(ROW()-6,"0000"))</f>
        <v/>
      </c>
      <c r="B151" s="41" t="n"/>
      <c r="C151" s="33" t="n"/>
      <c r="D151" s="33" t="n"/>
      <c r="E151" s="51">
        <f>IF($D151="","",IFERROR(IF(INDEX(tblProductos[Nombre del producto],MATCH($D151,tblProductos[SKU],0))="","",INDEX(tblProductos[Nombre del producto],MATCH($D151,tblProductos[SKU],0))),""))</f>
        <v/>
      </c>
      <c r="F151" s="51">
        <f>IF($D151="","",IFERROR(IF(INDEX(tblProductos[Categoría],MATCH($D151,tblProductos[SKU],0))="","",INDEX(tblProductos[Categoría],MATCH($D151,tblProductos[SKU],0))),""))</f>
        <v/>
      </c>
      <c r="G151" s="34" t="n"/>
      <c r="H151" s="36" t="n"/>
      <c r="I151" s="37">
        <f>IF(OR($G151="",$H151=""),"",$G151*$H151)</f>
        <v/>
      </c>
      <c r="J151" s="36" t="n"/>
      <c r="K151" s="36" t="n"/>
      <c r="L151" s="36" t="n"/>
      <c r="M151" s="37">
        <f>IF(NOT(ISNUMBER($I151)),"",$I151+SUM($J151:$L151))</f>
        <v/>
      </c>
      <c r="N151" s="37">
        <f>IF(OR(NOT(ISNUMBER($M151)),NOT(ISNUMBER($G151)),$G151&lt;=0),"",$M151/$G151)</f>
        <v/>
      </c>
      <c r="O151" s="33" t="n"/>
      <c r="P151" s="33" t="n"/>
      <c r="Q151" s="41" t="n"/>
      <c r="R151" s="36" t="n"/>
      <c r="S151" s="37">
        <f>IF(NOT(ISNUMBER($M151)),"",$M151-IF(ISNUMBER($R151),$R151,0))</f>
        <v/>
      </c>
      <c r="T151" s="33" t="n"/>
      <c r="U151" s="51">
        <f>IF(COUNTA($B151,$C151,$D151,$G151,$H151)=0,"",IF(IF($B151=""," · Falta fecha","")&amp;IF($C151=""," · Falta proveedor","")&amp;IF(AND($D151&lt;&gt;"",COUNTIF(tblProductos[SKU],$D151)=0)," · SKU no existe","")&amp;IF($D151=""," · Falta SKU","")&amp;IF(OR($G151="",NOT(ISNUMBER($G151)),$G151&lt;=0)," · Cantidad inválida","")&amp;IF($H151=""," · Falta costo unitario","")&amp;IF(AND($P151="Pagado",$Q151="")," · Pago sin fecha","")&amp;IF(AND(ISNUMBER($R151),ISNUMBER($M151),$R151&gt;N($M151)+0.01)," · Pagado &gt; total","")&amp;IF(AND(ISNUMBER($R151),$R151&gt;0,$Q151="")," · Monto pagado sin fecha","")="","OK",MID(IF($B151=""," · Falta fecha","")&amp;IF($C151=""," · Falta proveedor","")&amp;IF(AND($D151&lt;&gt;"",COUNTIF(tblProductos[SKU],$D151)=0)," · SKU no existe","")&amp;IF($D151=""," · Falta SKU","")&amp;IF(OR($G151="",NOT(ISNUMBER($G151)),$G151&lt;=0)," · Cantidad inválida","")&amp;IF($H151=""," · Falta costo unitario","")&amp;IF(AND($P151="Pagado",$Q151="")," · Pago sin fecha","")&amp;IF(AND(ISNUMBER($R151),ISNUMBER($M151),$R151&gt;N($M151)+0.01)," · Pagado &gt; total","")&amp;IF(AND(ISNUMBER($R151),$R151&gt;0,$Q151="")," · Monto pagado sin fecha",""),4,900)))</f>
        <v/>
      </c>
    </row>
    <row r="152">
      <c r="A152" s="51">
        <f>IF(COUNTA($B152,$C152,$D152,$G152,$H152)=0,"","C-"&amp;TEXT(ROW()-6,"0000"))</f>
        <v/>
      </c>
      <c r="B152" s="41" t="n"/>
      <c r="C152" s="33" t="n"/>
      <c r="D152" s="33" t="n"/>
      <c r="E152" s="51">
        <f>IF($D152="","",IFERROR(IF(INDEX(tblProductos[Nombre del producto],MATCH($D152,tblProductos[SKU],0))="","",INDEX(tblProductos[Nombre del producto],MATCH($D152,tblProductos[SKU],0))),""))</f>
        <v/>
      </c>
      <c r="F152" s="51">
        <f>IF($D152="","",IFERROR(IF(INDEX(tblProductos[Categoría],MATCH($D152,tblProductos[SKU],0))="","",INDEX(tblProductos[Categoría],MATCH($D152,tblProductos[SKU],0))),""))</f>
        <v/>
      </c>
      <c r="G152" s="34" t="n"/>
      <c r="H152" s="36" t="n"/>
      <c r="I152" s="37">
        <f>IF(OR($G152="",$H152=""),"",$G152*$H152)</f>
        <v/>
      </c>
      <c r="J152" s="36" t="n"/>
      <c r="K152" s="36" t="n"/>
      <c r="L152" s="36" t="n"/>
      <c r="M152" s="37">
        <f>IF(NOT(ISNUMBER($I152)),"",$I152+SUM($J152:$L152))</f>
        <v/>
      </c>
      <c r="N152" s="37">
        <f>IF(OR(NOT(ISNUMBER($M152)),NOT(ISNUMBER($G152)),$G152&lt;=0),"",$M152/$G152)</f>
        <v/>
      </c>
      <c r="O152" s="33" t="n"/>
      <c r="P152" s="33" t="n"/>
      <c r="Q152" s="41" t="n"/>
      <c r="R152" s="36" t="n"/>
      <c r="S152" s="37">
        <f>IF(NOT(ISNUMBER($M152)),"",$M152-IF(ISNUMBER($R152),$R152,0))</f>
        <v/>
      </c>
      <c r="T152" s="33" t="n"/>
      <c r="U152" s="51">
        <f>IF(COUNTA($B152,$C152,$D152,$G152,$H152)=0,"",IF(IF($B152=""," · Falta fecha","")&amp;IF($C152=""," · Falta proveedor","")&amp;IF(AND($D152&lt;&gt;"",COUNTIF(tblProductos[SKU],$D152)=0)," · SKU no existe","")&amp;IF($D152=""," · Falta SKU","")&amp;IF(OR($G152="",NOT(ISNUMBER($G152)),$G152&lt;=0)," · Cantidad inválida","")&amp;IF($H152=""," · Falta costo unitario","")&amp;IF(AND($P152="Pagado",$Q152="")," · Pago sin fecha","")&amp;IF(AND(ISNUMBER($R152),ISNUMBER($M152),$R152&gt;N($M152)+0.01)," · Pagado &gt; total","")&amp;IF(AND(ISNUMBER($R152),$R152&gt;0,$Q152="")," · Monto pagado sin fecha","")="","OK",MID(IF($B152=""," · Falta fecha","")&amp;IF($C152=""," · Falta proveedor","")&amp;IF(AND($D152&lt;&gt;"",COUNTIF(tblProductos[SKU],$D152)=0)," · SKU no existe","")&amp;IF($D152=""," · Falta SKU","")&amp;IF(OR($G152="",NOT(ISNUMBER($G152)),$G152&lt;=0)," · Cantidad inválida","")&amp;IF($H152=""," · Falta costo unitario","")&amp;IF(AND($P152="Pagado",$Q152="")," · Pago sin fecha","")&amp;IF(AND(ISNUMBER($R152),ISNUMBER($M152),$R152&gt;N($M152)+0.01)," · Pagado &gt; total","")&amp;IF(AND(ISNUMBER($R152),$R152&gt;0,$Q152="")," · Monto pagado sin fecha",""),4,900)))</f>
        <v/>
      </c>
    </row>
    <row r="153">
      <c r="A153" s="51">
        <f>IF(COUNTA($B153,$C153,$D153,$G153,$H153)=0,"","C-"&amp;TEXT(ROW()-6,"0000"))</f>
        <v/>
      </c>
      <c r="B153" s="41" t="n"/>
      <c r="C153" s="33" t="n"/>
      <c r="D153" s="33" t="n"/>
      <c r="E153" s="51">
        <f>IF($D153="","",IFERROR(IF(INDEX(tblProductos[Nombre del producto],MATCH($D153,tblProductos[SKU],0))="","",INDEX(tblProductos[Nombre del producto],MATCH($D153,tblProductos[SKU],0))),""))</f>
        <v/>
      </c>
      <c r="F153" s="51">
        <f>IF($D153="","",IFERROR(IF(INDEX(tblProductos[Categoría],MATCH($D153,tblProductos[SKU],0))="","",INDEX(tblProductos[Categoría],MATCH($D153,tblProductos[SKU],0))),""))</f>
        <v/>
      </c>
      <c r="G153" s="34" t="n"/>
      <c r="H153" s="36" t="n"/>
      <c r="I153" s="37">
        <f>IF(OR($G153="",$H153=""),"",$G153*$H153)</f>
        <v/>
      </c>
      <c r="J153" s="36" t="n"/>
      <c r="K153" s="36" t="n"/>
      <c r="L153" s="36" t="n"/>
      <c r="M153" s="37">
        <f>IF(NOT(ISNUMBER($I153)),"",$I153+SUM($J153:$L153))</f>
        <v/>
      </c>
      <c r="N153" s="37">
        <f>IF(OR(NOT(ISNUMBER($M153)),NOT(ISNUMBER($G153)),$G153&lt;=0),"",$M153/$G153)</f>
        <v/>
      </c>
      <c r="O153" s="33" t="n"/>
      <c r="P153" s="33" t="n"/>
      <c r="Q153" s="41" t="n"/>
      <c r="R153" s="36" t="n"/>
      <c r="S153" s="37">
        <f>IF(NOT(ISNUMBER($M153)),"",$M153-IF(ISNUMBER($R153),$R153,0))</f>
        <v/>
      </c>
      <c r="T153" s="33" t="n"/>
      <c r="U153" s="51">
        <f>IF(COUNTA($B153,$C153,$D153,$G153,$H153)=0,"",IF(IF($B153=""," · Falta fecha","")&amp;IF($C153=""," · Falta proveedor","")&amp;IF(AND($D153&lt;&gt;"",COUNTIF(tblProductos[SKU],$D153)=0)," · SKU no existe","")&amp;IF($D153=""," · Falta SKU","")&amp;IF(OR($G153="",NOT(ISNUMBER($G153)),$G153&lt;=0)," · Cantidad inválida","")&amp;IF($H153=""," · Falta costo unitario","")&amp;IF(AND($P153="Pagado",$Q153="")," · Pago sin fecha","")&amp;IF(AND(ISNUMBER($R153),ISNUMBER($M153),$R153&gt;N($M153)+0.01)," · Pagado &gt; total","")&amp;IF(AND(ISNUMBER($R153),$R153&gt;0,$Q153="")," · Monto pagado sin fecha","")="","OK",MID(IF($B153=""," · Falta fecha","")&amp;IF($C153=""," · Falta proveedor","")&amp;IF(AND($D153&lt;&gt;"",COUNTIF(tblProductos[SKU],$D153)=0)," · SKU no existe","")&amp;IF($D153=""," · Falta SKU","")&amp;IF(OR($G153="",NOT(ISNUMBER($G153)),$G153&lt;=0)," · Cantidad inválida","")&amp;IF($H153=""," · Falta costo unitario","")&amp;IF(AND($P153="Pagado",$Q153="")," · Pago sin fecha","")&amp;IF(AND(ISNUMBER($R153),ISNUMBER($M153),$R153&gt;N($M153)+0.01)," · Pagado &gt; total","")&amp;IF(AND(ISNUMBER($R153),$R153&gt;0,$Q153="")," · Monto pagado sin fecha",""),4,900)))</f>
        <v/>
      </c>
    </row>
    <row r="154">
      <c r="A154" s="51">
        <f>IF(COUNTA($B154,$C154,$D154,$G154,$H154)=0,"","C-"&amp;TEXT(ROW()-6,"0000"))</f>
        <v/>
      </c>
      <c r="B154" s="41" t="n"/>
      <c r="C154" s="33" t="n"/>
      <c r="D154" s="33" t="n"/>
      <c r="E154" s="51">
        <f>IF($D154="","",IFERROR(IF(INDEX(tblProductos[Nombre del producto],MATCH($D154,tblProductos[SKU],0))="","",INDEX(tblProductos[Nombre del producto],MATCH($D154,tblProductos[SKU],0))),""))</f>
        <v/>
      </c>
      <c r="F154" s="51">
        <f>IF($D154="","",IFERROR(IF(INDEX(tblProductos[Categoría],MATCH($D154,tblProductos[SKU],0))="","",INDEX(tblProductos[Categoría],MATCH($D154,tblProductos[SKU],0))),""))</f>
        <v/>
      </c>
      <c r="G154" s="34" t="n"/>
      <c r="H154" s="36" t="n"/>
      <c r="I154" s="37">
        <f>IF(OR($G154="",$H154=""),"",$G154*$H154)</f>
        <v/>
      </c>
      <c r="J154" s="36" t="n"/>
      <c r="K154" s="36" t="n"/>
      <c r="L154" s="36" t="n"/>
      <c r="M154" s="37">
        <f>IF(NOT(ISNUMBER($I154)),"",$I154+SUM($J154:$L154))</f>
        <v/>
      </c>
      <c r="N154" s="37">
        <f>IF(OR(NOT(ISNUMBER($M154)),NOT(ISNUMBER($G154)),$G154&lt;=0),"",$M154/$G154)</f>
        <v/>
      </c>
      <c r="O154" s="33" t="n"/>
      <c r="P154" s="33" t="n"/>
      <c r="Q154" s="41" t="n"/>
      <c r="R154" s="36" t="n"/>
      <c r="S154" s="37">
        <f>IF(NOT(ISNUMBER($M154)),"",$M154-IF(ISNUMBER($R154),$R154,0))</f>
        <v/>
      </c>
      <c r="T154" s="33" t="n"/>
      <c r="U154" s="51">
        <f>IF(COUNTA($B154,$C154,$D154,$G154,$H154)=0,"",IF(IF($B154=""," · Falta fecha","")&amp;IF($C154=""," · Falta proveedor","")&amp;IF(AND($D154&lt;&gt;"",COUNTIF(tblProductos[SKU],$D154)=0)," · SKU no existe","")&amp;IF($D154=""," · Falta SKU","")&amp;IF(OR($G154="",NOT(ISNUMBER($G154)),$G154&lt;=0)," · Cantidad inválida","")&amp;IF($H154=""," · Falta costo unitario","")&amp;IF(AND($P154="Pagado",$Q154="")," · Pago sin fecha","")&amp;IF(AND(ISNUMBER($R154),ISNUMBER($M154),$R154&gt;N($M154)+0.01)," · Pagado &gt; total","")&amp;IF(AND(ISNUMBER($R154),$R154&gt;0,$Q154="")," · Monto pagado sin fecha","")="","OK",MID(IF($B154=""," · Falta fecha","")&amp;IF($C154=""," · Falta proveedor","")&amp;IF(AND($D154&lt;&gt;"",COUNTIF(tblProductos[SKU],$D154)=0)," · SKU no existe","")&amp;IF($D154=""," · Falta SKU","")&amp;IF(OR($G154="",NOT(ISNUMBER($G154)),$G154&lt;=0)," · Cantidad inválida","")&amp;IF($H154=""," · Falta costo unitario","")&amp;IF(AND($P154="Pagado",$Q154="")," · Pago sin fecha","")&amp;IF(AND(ISNUMBER($R154),ISNUMBER($M154),$R154&gt;N($M154)+0.01)," · Pagado &gt; total","")&amp;IF(AND(ISNUMBER($R154),$R154&gt;0,$Q154="")," · Monto pagado sin fecha",""),4,900)))</f>
        <v/>
      </c>
    </row>
    <row r="155">
      <c r="A155" s="51">
        <f>IF(COUNTA($B155,$C155,$D155,$G155,$H155)=0,"","C-"&amp;TEXT(ROW()-6,"0000"))</f>
        <v/>
      </c>
      <c r="B155" s="41" t="n"/>
      <c r="C155" s="33" t="n"/>
      <c r="D155" s="33" t="n"/>
      <c r="E155" s="51">
        <f>IF($D155="","",IFERROR(IF(INDEX(tblProductos[Nombre del producto],MATCH($D155,tblProductos[SKU],0))="","",INDEX(tblProductos[Nombre del producto],MATCH($D155,tblProductos[SKU],0))),""))</f>
        <v/>
      </c>
      <c r="F155" s="51">
        <f>IF($D155="","",IFERROR(IF(INDEX(tblProductos[Categoría],MATCH($D155,tblProductos[SKU],0))="","",INDEX(tblProductos[Categoría],MATCH($D155,tblProductos[SKU],0))),""))</f>
        <v/>
      </c>
      <c r="G155" s="34" t="n"/>
      <c r="H155" s="36" t="n"/>
      <c r="I155" s="37">
        <f>IF(OR($G155="",$H155=""),"",$G155*$H155)</f>
        <v/>
      </c>
      <c r="J155" s="36" t="n"/>
      <c r="K155" s="36" t="n"/>
      <c r="L155" s="36" t="n"/>
      <c r="M155" s="37">
        <f>IF(NOT(ISNUMBER($I155)),"",$I155+SUM($J155:$L155))</f>
        <v/>
      </c>
      <c r="N155" s="37">
        <f>IF(OR(NOT(ISNUMBER($M155)),NOT(ISNUMBER($G155)),$G155&lt;=0),"",$M155/$G155)</f>
        <v/>
      </c>
      <c r="O155" s="33" t="n"/>
      <c r="P155" s="33" t="n"/>
      <c r="Q155" s="41" t="n"/>
      <c r="R155" s="36" t="n"/>
      <c r="S155" s="37">
        <f>IF(NOT(ISNUMBER($M155)),"",$M155-IF(ISNUMBER($R155),$R155,0))</f>
        <v/>
      </c>
      <c r="T155" s="33" t="n"/>
      <c r="U155" s="51">
        <f>IF(COUNTA($B155,$C155,$D155,$G155,$H155)=0,"",IF(IF($B155=""," · Falta fecha","")&amp;IF($C155=""," · Falta proveedor","")&amp;IF(AND($D155&lt;&gt;"",COUNTIF(tblProductos[SKU],$D155)=0)," · SKU no existe","")&amp;IF($D155=""," · Falta SKU","")&amp;IF(OR($G155="",NOT(ISNUMBER($G155)),$G155&lt;=0)," · Cantidad inválida","")&amp;IF($H155=""," · Falta costo unitario","")&amp;IF(AND($P155="Pagado",$Q155="")," · Pago sin fecha","")&amp;IF(AND(ISNUMBER($R155),ISNUMBER($M155),$R155&gt;N($M155)+0.01)," · Pagado &gt; total","")&amp;IF(AND(ISNUMBER($R155),$R155&gt;0,$Q155="")," · Monto pagado sin fecha","")="","OK",MID(IF($B155=""," · Falta fecha","")&amp;IF($C155=""," · Falta proveedor","")&amp;IF(AND($D155&lt;&gt;"",COUNTIF(tblProductos[SKU],$D155)=0)," · SKU no existe","")&amp;IF($D155=""," · Falta SKU","")&amp;IF(OR($G155="",NOT(ISNUMBER($G155)),$G155&lt;=0)," · Cantidad inválida","")&amp;IF($H155=""," · Falta costo unitario","")&amp;IF(AND($P155="Pagado",$Q155="")," · Pago sin fecha","")&amp;IF(AND(ISNUMBER($R155),ISNUMBER($M155),$R155&gt;N($M155)+0.01)," · Pagado &gt; total","")&amp;IF(AND(ISNUMBER($R155),$R155&gt;0,$Q155="")," · Monto pagado sin fecha",""),4,900)))</f>
        <v/>
      </c>
    </row>
    <row r="156">
      <c r="A156" s="51">
        <f>IF(COUNTA($B156,$C156,$D156,$G156,$H156)=0,"","C-"&amp;TEXT(ROW()-6,"0000"))</f>
        <v/>
      </c>
      <c r="B156" s="41" t="n"/>
      <c r="C156" s="33" t="n"/>
      <c r="D156" s="33" t="n"/>
      <c r="E156" s="51">
        <f>IF($D156="","",IFERROR(IF(INDEX(tblProductos[Nombre del producto],MATCH($D156,tblProductos[SKU],0))="","",INDEX(tblProductos[Nombre del producto],MATCH($D156,tblProductos[SKU],0))),""))</f>
        <v/>
      </c>
      <c r="F156" s="51">
        <f>IF($D156="","",IFERROR(IF(INDEX(tblProductos[Categoría],MATCH($D156,tblProductos[SKU],0))="","",INDEX(tblProductos[Categoría],MATCH($D156,tblProductos[SKU],0))),""))</f>
        <v/>
      </c>
      <c r="G156" s="34" t="n"/>
      <c r="H156" s="36" t="n"/>
      <c r="I156" s="37">
        <f>IF(OR($G156="",$H156=""),"",$G156*$H156)</f>
        <v/>
      </c>
      <c r="J156" s="36" t="n"/>
      <c r="K156" s="36" t="n"/>
      <c r="L156" s="36" t="n"/>
      <c r="M156" s="37">
        <f>IF(NOT(ISNUMBER($I156)),"",$I156+SUM($J156:$L156))</f>
        <v/>
      </c>
      <c r="N156" s="37">
        <f>IF(OR(NOT(ISNUMBER($M156)),NOT(ISNUMBER($G156)),$G156&lt;=0),"",$M156/$G156)</f>
        <v/>
      </c>
      <c r="O156" s="33" t="n"/>
      <c r="P156" s="33" t="n"/>
      <c r="Q156" s="41" t="n"/>
      <c r="R156" s="36" t="n"/>
      <c r="S156" s="37">
        <f>IF(NOT(ISNUMBER($M156)),"",$M156-IF(ISNUMBER($R156),$R156,0))</f>
        <v/>
      </c>
      <c r="T156" s="33" t="n"/>
      <c r="U156" s="51">
        <f>IF(COUNTA($B156,$C156,$D156,$G156,$H156)=0,"",IF(IF($B156=""," · Falta fecha","")&amp;IF($C156=""," · Falta proveedor","")&amp;IF(AND($D156&lt;&gt;"",COUNTIF(tblProductos[SKU],$D156)=0)," · SKU no existe","")&amp;IF($D156=""," · Falta SKU","")&amp;IF(OR($G156="",NOT(ISNUMBER($G156)),$G156&lt;=0)," · Cantidad inválida","")&amp;IF($H156=""," · Falta costo unitario","")&amp;IF(AND($P156="Pagado",$Q156="")," · Pago sin fecha","")&amp;IF(AND(ISNUMBER($R156),ISNUMBER($M156),$R156&gt;N($M156)+0.01)," · Pagado &gt; total","")&amp;IF(AND(ISNUMBER($R156),$R156&gt;0,$Q156="")," · Monto pagado sin fecha","")="","OK",MID(IF($B156=""," · Falta fecha","")&amp;IF($C156=""," · Falta proveedor","")&amp;IF(AND($D156&lt;&gt;"",COUNTIF(tblProductos[SKU],$D156)=0)," · SKU no existe","")&amp;IF($D156=""," · Falta SKU","")&amp;IF(OR($G156="",NOT(ISNUMBER($G156)),$G156&lt;=0)," · Cantidad inválida","")&amp;IF($H156=""," · Falta costo unitario","")&amp;IF(AND($P156="Pagado",$Q156="")," · Pago sin fecha","")&amp;IF(AND(ISNUMBER($R156),ISNUMBER($M156),$R156&gt;N($M156)+0.01)," · Pagado &gt; total","")&amp;IF(AND(ISNUMBER($R156),$R156&gt;0,$Q156="")," · Monto pagado sin fecha",""),4,900)))</f>
        <v/>
      </c>
    </row>
    <row r="157">
      <c r="A157" s="51">
        <f>IF(COUNTA($B157,$C157,$D157,$G157,$H157)=0,"","C-"&amp;TEXT(ROW()-6,"0000"))</f>
        <v/>
      </c>
      <c r="B157" s="41" t="n"/>
      <c r="C157" s="33" t="n"/>
      <c r="D157" s="33" t="n"/>
      <c r="E157" s="51">
        <f>IF($D157="","",IFERROR(IF(INDEX(tblProductos[Nombre del producto],MATCH($D157,tblProductos[SKU],0))="","",INDEX(tblProductos[Nombre del producto],MATCH($D157,tblProductos[SKU],0))),""))</f>
        <v/>
      </c>
      <c r="F157" s="51">
        <f>IF($D157="","",IFERROR(IF(INDEX(tblProductos[Categoría],MATCH($D157,tblProductos[SKU],0))="","",INDEX(tblProductos[Categoría],MATCH($D157,tblProductos[SKU],0))),""))</f>
        <v/>
      </c>
      <c r="G157" s="34" t="n"/>
      <c r="H157" s="36" t="n"/>
      <c r="I157" s="37">
        <f>IF(OR($G157="",$H157=""),"",$G157*$H157)</f>
        <v/>
      </c>
      <c r="J157" s="36" t="n"/>
      <c r="K157" s="36" t="n"/>
      <c r="L157" s="36" t="n"/>
      <c r="M157" s="37">
        <f>IF(NOT(ISNUMBER($I157)),"",$I157+SUM($J157:$L157))</f>
        <v/>
      </c>
      <c r="N157" s="37">
        <f>IF(OR(NOT(ISNUMBER($M157)),NOT(ISNUMBER($G157)),$G157&lt;=0),"",$M157/$G157)</f>
        <v/>
      </c>
      <c r="O157" s="33" t="n"/>
      <c r="P157" s="33" t="n"/>
      <c r="Q157" s="41" t="n"/>
      <c r="R157" s="36" t="n"/>
      <c r="S157" s="37">
        <f>IF(NOT(ISNUMBER($M157)),"",$M157-IF(ISNUMBER($R157),$R157,0))</f>
        <v/>
      </c>
      <c r="T157" s="33" t="n"/>
      <c r="U157" s="51">
        <f>IF(COUNTA($B157,$C157,$D157,$G157,$H157)=0,"",IF(IF($B157=""," · Falta fecha","")&amp;IF($C157=""," · Falta proveedor","")&amp;IF(AND($D157&lt;&gt;"",COUNTIF(tblProductos[SKU],$D157)=0)," · SKU no existe","")&amp;IF($D157=""," · Falta SKU","")&amp;IF(OR($G157="",NOT(ISNUMBER($G157)),$G157&lt;=0)," · Cantidad inválida","")&amp;IF($H157=""," · Falta costo unitario","")&amp;IF(AND($P157="Pagado",$Q157="")," · Pago sin fecha","")&amp;IF(AND(ISNUMBER($R157),ISNUMBER($M157),$R157&gt;N($M157)+0.01)," · Pagado &gt; total","")&amp;IF(AND(ISNUMBER($R157),$R157&gt;0,$Q157="")," · Monto pagado sin fecha","")="","OK",MID(IF($B157=""," · Falta fecha","")&amp;IF($C157=""," · Falta proveedor","")&amp;IF(AND($D157&lt;&gt;"",COUNTIF(tblProductos[SKU],$D157)=0)," · SKU no existe","")&amp;IF($D157=""," · Falta SKU","")&amp;IF(OR($G157="",NOT(ISNUMBER($G157)),$G157&lt;=0)," · Cantidad inválida","")&amp;IF($H157=""," · Falta costo unitario","")&amp;IF(AND($P157="Pagado",$Q157="")," · Pago sin fecha","")&amp;IF(AND(ISNUMBER($R157),ISNUMBER($M157),$R157&gt;N($M157)+0.01)," · Pagado &gt; total","")&amp;IF(AND(ISNUMBER($R157),$R157&gt;0,$Q157="")," · Monto pagado sin fecha",""),4,900)))</f>
        <v/>
      </c>
    </row>
    <row r="158">
      <c r="A158" s="51">
        <f>IF(COUNTA($B158,$C158,$D158,$G158,$H158)=0,"","C-"&amp;TEXT(ROW()-6,"0000"))</f>
        <v/>
      </c>
      <c r="B158" s="41" t="n"/>
      <c r="C158" s="33" t="n"/>
      <c r="D158" s="33" t="n"/>
      <c r="E158" s="51">
        <f>IF($D158="","",IFERROR(IF(INDEX(tblProductos[Nombre del producto],MATCH($D158,tblProductos[SKU],0))="","",INDEX(tblProductos[Nombre del producto],MATCH($D158,tblProductos[SKU],0))),""))</f>
        <v/>
      </c>
      <c r="F158" s="51">
        <f>IF($D158="","",IFERROR(IF(INDEX(tblProductos[Categoría],MATCH($D158,tblProductos[SKU],0))="","",INDEX(tblProductos[Categoría],MATCH($D158,tblProductos[SKU],0))),""))</f>
        <v/>
      </c>
      <c r="G158" s="34" t="n"/>
      <c r="H158" s="36" t="n"/>
      <c r="I158" s="37">
        <f>IF(OR($G158="",$H158=""),"",$G158*$H158)</f>
        <v/>
      </c>
      <c r="J158" s="36" t="n"/>
      <c r="K158" s="36" t="n"/>
      <c r="L158" s="36" t="n"/>
      <c r="M158" s="37">
        <f>IF(NOT(ISNUMBER($I158)),"",$I158+SUM($J158:$L158))</f>
        <v/>
      </c>
      <c r="N158" s="37">
        <f>IF(OR(NOT(ISNUMBER($M158)),NOT(ISNUMBER($G158)),$G158&lt;=0),"",$M158/$G158)</f>
        <v/>
      </c>
      <c r="O158" s="33" t="n"/>
      <c r="P158" s="33" t="n"/>
      <c r="Q158" s="41" t="n"/>
      <c r="R158" s="36" t="n"/>
      <c r="S158" s="37">
        <f>IF(NOT(ISNUMBER($M158)),"",$M158-IF(ISNUMBER($R158),$R158,0))</f>
        <v/>
      </c>
      <c r="T158" s="33" t="n"/>
      <c r="U158" s="51">
        <f>IF(COUNTA($B158,$C158,$D158,$G158,$H158)=0,"",IF(IF($B158=""," · Falta fecha","")&amp;IF($C158=""," · Falta proveedor","")&amp;IF(AND($D158&lt;&gt;"",COUNTIF(tblProductos[SKU],$D158)=0)," · SKU no existe","")&amp;IF($D158=""," · Falta SKU","")&amp;IF(OR($G158="",NOT(ISNUMBER($G158)),$G158&lt;=0)," · Cantidad inválida","")&amp;IF($H158=""," · Falta costo unitario","")&amp;IF(AND($P158="Pagado",$Q158="")," · Pago sin fecha","")&amp;IF(AND(ISNUMBER($R158),ISNUMBER($M158),$R158&gt;N($M158)+0.01)," · Pagado &gt; total","")&amp;IF(AND(ISNUMBER($R158),$R158&gt;0,$Q158="")," · Monto pagado sin fecha","")="","OK",MID(IF($B158=""," · Falta fecha","")&amp;IF($C158=""," · Falta proveedor","")&amp;IF(AND($D158&lt;&gt;"",COUNTIF(tblProductos[SKU],$D158)=0)," · SKU no existe","")&amp;IF($D158=""," · Falta SKU","")&amp;IF(OR($G158="",NOT(ISNUMBER($G158)),$G158&lt;=0)," · Cantidad inválida","")&amp;IF($H158=""," · Falta costo unitario","")&amp;IF(AND($P158="Pagado",$Q158="")," · Pago sin fecha","")&amp;IF(AND(ISNUMBER($R158),ISNUMBER($M158),$R158&gt;N($M158)+0.01)," · Pagado &gt; total","")&amp;IF(AND(ISNUMBER($R158),$R158&gt;0,$Q158="")," · Monto pagado sin fecha",""),4,900)))</f>
        <v/>
      </c>
    </row>
    <row r="159">
      <c r="A159" s="51">
        <f>IF(COUNTA($B159,$C159,$D159,$G159,$H159)=0,"","C-"&amp;TEXT(ROW()-6,"0000"))</f>
        <v/>
      </c>
      <c r="B159" s="41" t="n"/>
      <c r="C159" s="33" t="n"/>
      <c r="D159" s="33" t="n"/>
      <c r="E159" s="51">
        <f>IF($D159="","",IFERROR(IF(INDEX(tblProductos[Nombre del producto],MATCH($D159,tblProductos[SKU],0))="","",INDEX(tblProductos[Nombre del producto],MATCH($D159,tblProductos[SKU],0))),""))</f>
        <v/>
      </c>
      <c r="F159" s="51">
        <f>IF($D159="","",IFERROR(IF(INDEX(tblProductos[Categoría],MATCH($D159,tblProductos[SKU],0))="","",INDEX(tblProductos[Categoría],MATCH($D159,tblProductos[SKU],0))),""))</f>
        <v/>
      </c>
      <c r="G159" s="34" t="n"/>
      <c r="H159" s="36" t="n"/>
      <c r="I159" s="37">
        <f>IF(OR($G159="",$H159=""),"",$G159*$H159)</f>
        <v/>
      </c>
      <c r="J159" s="36" t="n"/>
      <c r="K159" s="36" t="n"/>
      <c r="L159" s="36" t="n"/>
      <c r="M159" s="37">
        <f>IF(NOT(ISNUMBER($I159)),"",$I159+SUM($J159:$L159))</f>
        <v/>
      </c>
      <c r="N159" s="37">
        <f>IF(OR(NOT(ISNUMBER($M159)),NOT(ISNUMBER($G159)),$G159&lt;=0),"",$M159/$G159)</f>
        <v/>
      </c>
      <c r="O159" s="33" t="n"/>
      <c r="P159" s="33" t="n"/>
      <c r="Q159" s="41" t="n"/>
      <c r="R159" s="36" t="n"/>
      <c r="S159" s="37">
        <f>IF(NOT(ISNUMBER($M159)),"",$M159-IF(ISNUMBER($R159),$R159,0))</f>
        <v/>
      </c>
      <c r="T159" s="33" t="n"/>
      <c r="U159" s="51">
        <f>IF(COUNTA($B159,$C159,$D159,$G159,$H159)=0,"",IF(IF($B159=""," · Falta fecha","")&amp;IF($C159=""," · Falta proveedor","")&amp;IF(AND($D159&lt;&gt;"",COUNTIF(tblProductos[SKU],$D159)=0)," · SKU no existe","")&amp;IF($D159=""," · Falta SKU","")&amp;IF(OR($G159="",NOT(ISNUMBER($G159)),$G159&lt;=0)," · Cantidad inválida","")&amp;IF($H159=""," · Falta costo unitario","")&amp;IF(AND($P159="Pagado",$Q159="")," · Pago sin fecha","")&amp;IF(AND(ISNUMBER($R159),ISNUMBER($M159),$R159&gt;N($M159)+0.01)," · Pagado &gt; total","")&amp;IF(AND(ISNUMBER($R159),$R159&gt;0,$Q159="")," · Monto pagado sin fecha","")="","OK",MID(IF($B159=""," · Falta fecha","")&amp;IF($C159=""," · Falta proveedor","")&amp;IF(AND($D159&lt;&gt;"",COUNTIF(tblProductos[SKU],$D159)=0)," · SKU no existe","")&amp;IF($D159=""," · Falta SKU","")&amp;IF(OR($G159="",NOT(ISNUMBER($G159)),$G159&lt;=0)," · Cantidad inválida","")&amp;IF($H159=""," · Falta costo unitario","")&amp;IF(AND($P159="Pagado",$Q159="")," · Pago sin fecha","")&amp;IF(AND(ISNUMBER($R159),ISNUMBER($M159),$R159&gt;N($M159)+0.01)," · Pagado &gt; total","")&amp;IF(AND(ISNUMBER($R159),$R159&gt;0,$Q159="")," · Monto pagado sin fecha",""),4,900)))</f>
        <v/>
      </c>
    </row>
    <row r="160">
      <c r="A160" s="51">
        <f>IF(COUNTA($B160,$C160,$D160,$G160,$H160)=0,"","C-"&amp;TEXT(ROW()-6,"0000"))</f>
        <v/>
      </c>
      <c r="B160" s="41" t="n"/>
      <c r="C160" s="33" t="n"/>
      <c r="D160" s="33" t="n"/>
      <c r="E160" s="51">
        <f>IF($D160="","",IFERROR(IF(INDEX(tblProductos[Nombre del producto],MATCH($D160,tblProductos[SKU],0))="","",INDEX(tblProductos[Nombre del producto],MATCH($D160,tblProductos[SKU],0))),""))</f>
        <v/>
      </c>
      <c r="F160" s="51">
        <f>IF($D160="","",IFERROR(IF(INDEX(tblProductos[Categoría],MATCH($D160,tblProductos[SKU],0))="","",INDEX(tblProductos[Categoría],MATCH($D160,tblProductos[SKU],0))),""))</f>
        <v/>
      </c>
      <c r="G160" s="34" t="n"/>
      <c r="H160" s="36" t="n"/>
      <c r="I160" s="37">
        <f>IF(OR($G160="",$H160=""),"",$G160*$H160)</f>
        <v/>
      </c>
      <c r="J160" s="36" t="n"/>
      <c r="K160" s="36" t="n"/>
      <c r="L160" s="36" t="n"/>
      <c r="M160" s="37">
        <f>IF(NOT(ISNUMBER($I160)),"",$I160+SUM($J160:$L160))</f>
        <v/>
      </c>
      <c r="N160" s="37">
        <f>IF(OR(NOT(ISNUMBER($M160)),NOT(ISNUMBER($G160)),$G160&lt;=0),"",$M160/$G160)</f>
        <v/>
      </c>
      <c r="O160" s="33" t="n"/>
      <c r="P160" s="33" t="n"/>
      <c r="Q160" s="41" t="n"/>
      <c r="R160" s="36" t="n"/>
      <c r="S160" s="37">
        <f>IF(NOT(ISNUMBER($M160)),"",$M160-IF(ISNUMBER($R160),$R160,0))</f>
        <v/>
      </c>
      <c r="T160" s="33" t="n"/>
      <c r="U160" s="51">
        <f>IF(COUNTA($B160,$C160,$D160,$G160,$H160)=0,"",IF(IF($B160=""," · Falta fecha","")&amp;IF($C160=""," · Falta proveedor","")&amp;IF(AND($D160&lt;&gt;"",COUNTIF(tblProductos[SKU],$D160)=0)," · SKU no existe","")&amp;IF($D160=""," · Falta SKU","")&amp;IF(OR($G160="",NOT(ISNUMBER($G160)),$G160&lt;=0)," · Cantidad inválida","")&amp;IF($H160=""," · Falta costo unitario","")&amp;IF(AND($P160="Pagado",$Q160="")," · Pago sin fecha","")&amp;IF(AND(ISNUMBER($R160),ISNUMBER($M160),$R160&gt;N($M160)+0.01)," · Pagado &gt; total","")&amp;IF(AND(ISNUMBER($R160),$R160&gt;0,$Q160="")," · Monto pagado sin fecha","")="","OK",MID(IF($B160=""," · Falta fecha","")&amp;IF($C160=""," · Falta proveedor","")&amp;IF(AND($D160&lt;&gt;"",COUNTIF(tblProductos[SKU],$D160)=0)," · SKU no existe","")&amp;IF($D160=""," · Falta SKU","")&amp;IF(OR($G160="",NOT(ISNUMBER($G160)),$G160&lt;=0)," · Cantidad inválida","")&amp;IF($H160=""," · Falta costo unitario","")&amp;IF(AND($P160="Pagado",$Q160="")," · Pago sin fecha","")&amp;IF(AND(ISNUMBER($R160),ISNUMBER($M160),$R160&gt;N($M160)+0.01)," · Pagado &gt; total","")&amp;IF(AND(ISNUMBER($R160),$R160&gt;0,$Q160="")," · Monto pagado sin fecha",""),4,900)))</f>
        <v/>
      </c>
    </row>
    <row r="161">
      <c r="A161" s="51">
        <f>IF(COUNTA($B161,$C161,$D161,$G161,$H161)=0,"","C-"&amp;TEXT(ROW()-6,"0000"))</f>
        <v/>
      </c>
      <c r="B161" s="41" t="n"/>
      <c r="C161" s="33" t="n"/>
      <c r="D161" s="33" t="n"/>
      <c r="E161" s="51">
        <f>IF($D161="","",IFERROR(IF(INDEX(tblProductos[Nombre del producto],MATCH($D161,tblProductos[SKU],0))="","",INDEX(tblProductos[Nombre del producto],MATCH($D161,tblProductos[SKU],0))),""))</f>
        <v/>
      </c>
      <c r="F161" s="51">
        <f>IF($D161="","",IFERROR(IF(INDEX(tblProductos[Categoría],MATCH($D161,tblProductos[SKU],0))="","",INDEX(tblProductos[Categoría],MATCH($D161,tblProductos[SKU],0))),""))</f>
        <v/>
      </c>
      <c r="G161" s="34" t="n"/>
      <c r="H161" s="36" t="n"/>
      <c r="I161" s="37">
        <f>IF(OR($G161="",$H161=""),"",$G161*$H161)</f>
        <v/>
      </c>
      <c r="J161" s="36" t="n"/>
      <c r="K161" s="36" t="n"/>
      <c r="L161" s="36" t="n"/>
      <c r="M161" s="37">
        <f>IF(NOT(ISNUMBER($I161)),"",$I161+SUM($J161:$L161))</f>
        <v/>
      </c>
      <c r="N161" s="37">
        <f>IF(OR(NOT(ISNUMBER($M161)),NOT(ISNUMBER($G161)),$G161&lt;=0),"",$M161/$G161)</f>
        <v/>
      </c>
      <c r="O161" s="33" t="n"/>
      <c r="P161" s="33" t="n"/>
      <c r="Q161" s="41" t="n"/>
      <c r="R161" s="36" t="n"/>
      <c r="S161" s="37">
        <f>IF(NOT(ISNUMBER($M161)),"",$M161-IF(ISNUMBER($R161),$R161,0))</f>
        <v/>
      </c>
      <c r="T161" s="33" t="n"/>
      <c r="U161" s="51">
        <f>IF(COUNTA($B161,$C161,$D161,$G161,$H161)=0,"",IF(IF($B161=""," · Falta fecha","")&amp;IF($C161=""," · Falta proveedor","")&amp;IF(AND($D161&lt;&gt;"",COUNTIF(tblProductos[SKU],$D161)=0)," · SKU no existe","")&amp;IF($D161=""," · Falta SKU","")&amp;IF(OR($G161="",NOT(ISNUMBER($G161)),$G161&lt;=0)," · Cantidad inválida","")&amp;IF($H161=""," · Falta costo unitario","")&amp;IF(AND($P161="Pagado",$Q161="")," · Pago sin fecha","")&amp;IF(AND(ISNUMBER($R161),ISNUMBER($M161),$R161&gt;N($M161)+0.01)," · Pagado &gt; total","")&amp;IF(AND(ISNUMBER($R161),$R161&gt;0,$Q161="")," · Monto pagado sin fecha","")="","OK",MID(IF($B161=""," · Falta fecha","")&amp;IF($C161=""," · Falta proveedor","")&amp;IF(AND($D161&lt;&gt;"",COUNTIF(tblProductos[SKU],$D161)=0)," · SKU no existe","")&amp;IF($D161=""," · Falta SKU","")&amp;IF(OR($G161="",NOT(ISNUMBER($G161)),$G161&lt;=0)," · Cantidad inválida","")&amp;IF($H161=""," · Falta costo unitario","")&amp;IF(AND($P161="Pagado",$Q161="")," · Pago sin fecha","")&amp;IF(AND(ISNUMBER($R161),ISNUMBER($M161),$R161&gt;N($M161)+0.01)," · Pagado &gt; total","")&amp;IF(AND(ISNUMBER($R161),$R161&gt;0,$Q161="")," · Monto pagado sin fecha",""),4,900)))</f>
        <v/>
      </c>
    </row>
    <row r="162">
      <c r="A162" s="51">
        <f>IF(COUNTA($B162,$C162,$D162,$G162,$H162)=0,"","C-"&amp;TEXT(ROW()-6,"0000"))</f>
        <v/>
      </c>
      <c r="B162" s="41" t="n"/>
      <c r="C162" s="33" t="n"/>
      <c r="D162" s="33" t="n"/>
      <c r="E162" s="51">
        <f>IF($D162="","",IFERROR(IF(INDEX(tblProductos[Nombre del producto],MATCH($D162,tblProductos[SKU],0))="","",INDEX(tblProductos[Nombre del producto],MATCH($D162,tblProductos[SKU],0))),""))</f>
        <v/>
      </c>
      <c r="F162" s="51">
        <f>IF($D162="","",IFERROR(IF(INDEX(tblProductos[Categoría],MATCH($D162,tblProductos[SKU],0))="","",INDEX(tblProductos[Categoría],MATCH($D162,tblProductos[SKU],0))),""))</f>
        <v/>
      </c>
      <c r="G162" s="34" t="n"/>
      <c r="H162" s="36" t="n"/>
      <c r="I162" s="37">
        <f>IF(OR($G162="",$H162=""),"",$G162*$H162)</f>
        <v/>
      </c>
      <c r="J162" s="36" t="n"/>
      <c r="K162" s="36" t="n"/>
      <c r="L162" s="36" t="n"/>
      <c r="M162" s="37">
        <f>IF(NOT(ISNUMBER($I162)),"",$I162+SUM($J162:$L162))</f>
        <v/>
      </c>
      <c r="N162" s="37">
        <f>IF(OR(NOT(ISNUMBER($M162)),NOT(ISNUMBER($G162)),$G162&lt;=0),"",$M162/$G162)</f>
        <v/>
      </c>
      <c r="O162" s="33" t="n"/>
      <c r="P162" s="33" t="n"/>
      <c r="Q162" s="41" t="n"/>
      <c r="R162" s="36" t="n"/>
      <c r="S162" s="37">
        <f>IF(NOT(ISNUMBER($M162)),"",$M162-IF(ISNUMBER($R162),$R162,0))</f>
        <v/>
      </c>
      <c r="T162" s="33" t="n"/>
      <c r="U162" s="51">
        <f>IF(COUNTA($B162,$C162,$D162,$G162,$H162)=0,"",IF(IF($B162=""," · Falta fecha","")&amp;IF($C162=""," · Falta proveedor","")&amp;IF(AND($D162&lt;&gt;"",COUNTIF(tblProductos[SKU],$D162)=0)," · SKU no existe","")&amp;IF($D162=""," · Falta SKU","")&amp;IF(OR($G162="",NOT(ISNUMBER($G162)),$G162&lt;=0)," · Cantidad inválida","")&amp;IF($H162=""," · Falta costo unitario","")&amp;IF(AND($P162="Pagado",$Q162="")," · Pago sin fecha","")&amp;IF(AND(ISNUMBER($R162),ISNUMBER($M162),$R162&gt;N($M162)+0.01)," · Pagado &gt; total","")&amp;IF(AND(ISNUMBER($R162),$R162&gt;0,$Q162="")," · Monto pagado sin fecha","")="","OK",MID(IF($B162=""," · Falta fecha","")&amp;IF($C162=""," · Falta proveedor","")&amp;IF(AND($D162&lt;&gt;"",COUNTIF(tblProductos[SKU],$D162)=0)," · SKU no existe","")&amp;IF($D162=""," · Falta SKU","")&amp;IF(OR($G162="",NOT(ISNUMBER($G162)),$G162&lt;=0)," · Cantidad inválida","")&amp;IF($H162=""," · Falta costo unitario","")&amp;IF(AND($P162="Pagado",$Q162="")," · Pago sin fecha","")&amp;IF(AND(ISNUMBER($R162),ISNUMBER($M162),$R162&gt;N($M162)+0.01)," · Pagado &gt; total","")&amp;IF(AND(ISNUMBER($R162),$R162&gt;0,$Q162="")," · Monto pagado sin fecha",""),4,900)))</f>
        <v/>
      </c>
    </row>
    <row r="163">
      <c r="A163" s="51">
        <f>IF(COUNTA($B163,$C163,$D163,$G163,$H163)=0,"","C-"&amp;TEXT(ROW()-6,"0000"))</f>
        <v/>
      </c>
      <c r="B163" s="41" t="n"/>
      <c r="C163" s="33" t="n"/>
      <c r="D163" s="33" t="n"/>
      <c r="E163" s="51">
        <f>IF($D163="","",IFERROR(IF(INDEX(tblProductos[Nombre del producto],MATCH($D163,tblProductos[SKU],0))="","",INDEX(tblProductos[Nombre del producto],MATCH($D163,tblProductos[SKU],0))),""))</f>
        <v/>
      </c>
      <c r="F163" s="51">
        <f>IF($D163="","",IFERROR(IF(INDEX(tblProductos[Categoría],MATCH($D163,tblProductos[SKU],0))="","",INDEX(tblProductos[Categoría],MATCH($D163,tblProductos[SKU],0))),""))</f>
        <v/>
      </c>
      <c r="G163" s="34" t="n"/>
      <c r="H163" s="36" t="n"/>
      <c r="I163" s="37">
        <f>IF(OR($G163="",$H163=""),"",$G163*$H163)</f>
        <v/>
      </c>
      <c r="J163" s="36" t="n"/>
      <c r="K163" s="36" t="n"/>
      <c r="L163" s="36" t="n"/>
      <c r="M163" s="37">
        <f>IF(NOT(ISNUMBER($I163)),"",$I163+SUM($J163:$L163))</f>
        <v/>
      </c>
      <c r="N163" s="37">
        <f>IF(OR(NOT(ISNUMBER($M163)),NOT(ISNUMBER($G163)),$G163&lt;=0),"",$M163/$G163)</f>
        <v/>
      </c>
      <c r="O163" s="33" t="n"/>
      <c r="P163" s="33" t="n"/>
      <c r="Q163" s="41" t="n"/>
      <c r="R163" s="36" t="n"/>
      <c r="S163" s="37">
        <f>IF(NOT(ISNUMBER($M163)),"",$M163-IF(ISNUMBER($R163),$R163,0))</f>
        <v/>
      </c>
      <c r="T163" s="33" t="n"/>
      <c r="U163" s="51">
        <f>IF(COUNTA($B163,$C163,$D163,$G163,$H163)=0,"",IF(IF($B163=""," · Falta fecha","")&amp;IF($C163=""," · Falta proveedor","")&amp;IF(AND($D163&lt;&gt;"",COUNTIF(tblProductos[SKU],$D163)=0)," · SKU no existe","")&amp;IF($D163=""," · Falta SKU","")&amp;IF(OR($G163="",NOT(ISNUMBER($G163)),$G163&lt;=0)," · Cantidad inválida","")&amp;IF($H163=""," · Falta costo unitario","")&amp;IF(AND($P163="Pagado",$Q163="")," · Pago sin fecha","")&amp;IF(AND(ISNUMBER($R163),ISNUMBER($M163),$R163&gt;N($M163)+0.01)," · Pagado &gt; total","")&amp;IF(AND(ISNUMBER($R163),$R163&gt;0,$Q163="")," · Monto pagado sin fecha","")="","OK",MID(IF($B163=""," · Falta fecha","")&amp;IF($C163=""," · Falta proveedor","")&amp;IF(AND($D163&lt;&gt;"",COUNTIF(tblProductos[SKU],$D163)=0)," · SKU no existe","")&amp;IF($D163=""," · Falta SKU","")&amp;IF(OR($G163="",NOT(ISNUMBER($G163)),$G163&lt;=0)," · Cantidad inválida","")&amp;IF($H163=""," · Falta costo unitario","")&amp;IF(AND($P163="Pagado",$Q163="")," · Pago sin fecha","")&amp;IF(AND(ISNUMBER($R163),ISNUMBER($M163),$R163&gt;N($M163)+0.01)," · Pagado &gt; total","")&amp;IF(AND(ISNUMBER($R163),$R163&gt;0,$Q163="")," · Monto pagado sin fecha",""),4,900)))</f>
        <v/>
      </c>
    </row>
    <row r="164">
      <c r="A164" s="51">
        <f>IF(COUNTA($B164,$C164,$D164,$G164,$H164)=0,"","C-"&amp;TEXT(ROW()-6,"0000"))</f>
        <v/>
      </c>
      <c r="B164" s="41" t="n"/>
      <c r="C164" s="33" t="n"/>
      <c r="D164" s="33" t="n"/>
      <c r="E164" s="51">
        <f>IF($D164="","",IFERROR(IF(INDEX(tblProductos[Nombre del producto],MATCH($D164,tblProductos[SKU],0))="","",INDEX(tblProductos[Nombre del producto],MATCH($D164,tblProductos[SKU],0))),""))</f>
        <v/>
      </c>
      <c r="F164" s="51">
        <f>IF($D164="","",IFERROR(IF(INDEX(tblProductos[Categoría],MATCH($D164,tblProductos[SKU],0))="","",INDEX(tblProductos[Categoría],MATCH($D164,tblProductos[SKU],0))),""))</f>
        <v/>
      </c>
      <c r="G164" s="34" t="n"/>
      <c r="H164" s="36" t="n"/>
      <c r="I164" s="37">
        <f>IF(OR($G164="",$H164=""),"",$G164*$H164)</f>
        <v/>
      </c>
      <c r="J164" s="36" t="n"/>
      <c r="K164" s="36" t="n"/>
      <c r="L164" s="36" t="n"/>
      <c r="M164" s="37">
        <f>IF(NOT(ISNUMBER($I164)),"",$I164+SUM($J164:$L164))</f>
        <v/>
      </c>
      <c r="N164" s="37">
        <f>IF(OR(NOT(ISNUMBER($M164)),NOT(ISNUMBER($G164)),$G164&lt;=0),"",$M164/$G164)</f>
        <v/>
      </c>
      <c r="O164" s="33" t="n"/>
      <c r="P164" s="33" t="n"/>
      <c r="Q164" s="41" t="n"/>
      <c r="R164" s="36" t="n"/>
      <c r="S164" s="37">
        <f>IF(NOT(ISNUMBER($M164)),"",$M164-IF(ISNUMBER($R164),$R164,0))</f>
        <v/>
      </c>
      <c r="T164" s="33" t="n"/>
      <c r="U164" s="51">
        <f>IF(COUNTA($B164,$C164,$D164,$G164,$H164)=0,"",IF(IF($B164=""," · Falta fecha","")&amp;IF($C164=""," · Falta proveedor","")&amp;IF(AND($D164&lt;&gt;"",COUNTIF(tblProductos[SKU],$D164)=0)," · SKU no existe","")&amp;IF($D164=""," · Falta SKU","")&amp;IF(OR($G164="",NOT(ISNUMBER($G164)),$G164&lt;=0)," · Cantidad inválida","")&amp;IF($H164=""," · Falta costo unitario","")&amp;IF(AND($P164="Pagado",$Q164="")," · Pago sin fecha","")&amp;IF(AND(ISNUMBER($R164),ISNUMBER($M164),$R164&gt;N($M164)+0.01)," · Pagado &gt; total","")&amp;IF(AND(ISNUMBER($R164),$R164&gt;0,$Q164="")," · Monto pagado sin fecha","")="","OK",MID(IF($B164=""," · Falta fecha","")&amp;IF($C164=""," · Falta proveedor","")&amp;IF(AND($D164&lt;&gt;"",COUNTIF(tblProductos[SKU],$D164)=0)," · SKU no existe","")&amp;IF($D164=""," · Falta SKU","")&amp;IF(OR($G164="",NOT(ISNUMBER($G164)),$G164&lt;=0)," · Cantidad inválida","")&amp;IF($H164=""," · Falta costo unitario","")&amp;IF(AND($P164="Pagado",$Q164="")," · Pago sin fecha","")&amp;IF(AND(ISNUMBER($R164),ISNUMBER($M164),$R164&gt;N($M164)+0.01)," · Pagado &gt; total","")&amp;IF(AND(ISNUMBER($R164),$R164&gt;0,$Q164="")," · Monto pagado sin fecha",""),4,900)))</f>
        <v/>
      </c>
    </row>
    <row r="165">
      <c r="A165" s="51">
        <f>IF(COUNTA($B165,$C165,$D165,$G165,$H165)=0,"","C-"&amp;TEXT(ROW()-6,"0000"))</f>
        <v/>
      </c>
      <c r="B165" s="41" t="n"/>
      <c r="C165" s="33" t="n"/>
      <c r="D165" s="33" t="n"/>
      <c r="E165" s="51">
        <f>IF($D165="","",IFERROR(IF(INDEX(tblProductos[Nombre del producto],MATCH($D165,tblProductos[SKU],0))="","",INDEX(tblProductos[Nombre del producto],MATCH($D165,tblProductos[SKU],0))),""))</f>
        <v/>
      </c>
      <c r="F165" s="51">
        <f>IF($D165="","",IFERROR(IF(INDEX(tblProductos[Categoría],MATCH($D165,tblProductos[SKU],0))="","",INDEX(tblProductos[Categoría],MATCH($D165,tblProductos[SKU],0))),""))</f>
        <v/>
      </c>
      <c r="G165" s="34" t="n"/>
      <c r="H165" s="36" t="n"/>
      <c r="I165" s="37">
        <f>IF(OR($G165="",$H165=""),"",$G165*$H165)</f>
        <v/>
      </c>
      <c r="J165" s="36" t="n"/>
      <c r="K165" s="36" t="n"/>
      <c r="L165" s="36" t="n"/>
      <c r="M165" s="37">
        <f>IF(NOT(ISNUMBER($I165)),"",$I165+SUM($J165:$L165))</f>
        <v/>
      </c>
      <c r="N165" s="37">
        <f>IF(OR(NOT(ISNUMBER($M165)),NOT(ISNUMBER($G165)),$G165&lt;=0),"",$M165/$G165)</f>
        <v/>
      </c>
      <c r="O165" s="33" t="n"/>
      <c r="P165" s="33" t="n"/>
      <c r="Q165" s="41" t="n"/>
      <c r="R165" s="36" t="n"/>
      <c r="S165" s="37">
        <f>IF(NOT(ISNUMBER($M165)),"",$M165-IF(ISNUMBER($R165),$R165,0))</f>
        <v/>
      </c>
      <c r="T165" s="33" t="n"/>
      <c r="U165" s="51">
        <f>IF(COUNTA($B165,$C165,$D165,$G165,$H165)=0,"",IF(IF($B165=""," · Falta fecha","")&amp;IF($C165=""," · Falta proveedor","")&amp;IF(AND($D165&lt;&gt;"",COUNTIF(tblProductos[SKU],$D165)=0)," · SKU no existe","")&amp;IF($D165=""," · Falta SKU","")&amp;IF(OR($G165="",NOT(ISNUMBER($G165)),$G165&lt;=0)," · Cantidad inválida","")&amp;IF($H165=""," · Falta costo unitario","")&amp;IF(AND($P165="Pagado",$Q165="")," · Pago sin fecha","")&amp;IF(AND(ISNUMBER($R165),ISNUMBER($M165),$R165&gt;N($M165)+0.01)," · Pagado &gt; total","")&amp;IF(AND(ISNUMBER($R165),$R165&gt;0,$Q165="")," · Monto pagado sin fecha","")="","OK",MID(IF($B165=""," · Falta fecha","")&amp;IF($C165=""," · Falta proveedor","")&amp;IF(AND($D165&lt;&gt;"",COUNTIF(tblProductos[SKU],$D165)=0)," · SKU no existe","")&amp;IF($D165=""," · Falta SKU","")&amp;IF(OR($G165="",NOT(ISNUMBER($G165)),$G165&lt;=0)," · Cantidad inválida","")&amp;IF($H165=""," · Falta costo unitario","")&amp;IF(AND($P165="Pagado",$Q165="")," · Pago sin fecha","")&amp;IF(AND(ISNUMBER($R165),ISNUMBER($M165),$R165&gt;N($M165)+0.01)," · Pagado &gt; total","")&amp;IF(AND(ISNUMBER($R165),$R165&gt;0,$Q165="")," · Monto pagado sin fecha",""),4,900)))</f>
        <v/>
      </c>
    </row>
    <row r="166">
      <c r="A166" s="51">
        <f>IF(COUNTA($B166,$C166,$D166,$G166,$H166)=0,"","C-"&amp;TEXT(ROW()-6,"0000"))</f>
        <v/>
      </c>
      <c r="B166" s="41" t="n"/>
      <c r="C166" s="33" t="n"/>
      <c r="D166" s="33" t="n"/>
      <c r="E166" s="51">
        <f>IF($D166="","",IFERROR(IF(INDEX(tblProductos[Nombre del producto],MATCH($D166,tblProductos[SKU],0))="","",INDEX(tblProductos[Nombre del producto],MATCH($D166,tblProductos[SKU],0))),""))</f>
        <v/>
      </c>
      <c r="F166" s="51">
        <f>IF($D166="","",IFERROR(IF(INDEX(tblProductos[Categoría],MATCH($D166,tblProductos[SKU],0))="","",INDEX(tblProductos[Categoría],MATCH($D166,tblProductos[SKU],0))),""))</f>
        <v/>
      </c>
      <c r="G166" s="34" t="n"/>
      <c r="H166" s="36" t="n"/>
      <c r="I166" s="37">
        <f>IF(OR($G166="",$H166=""),"",$G166*$H166)</f>
        <v/>
      </c>
      <c r="J166" s="36" t="n"/>
      <c r="K166" s="36" t="n"/>
      <c r="L166" s="36" t="n"/>
      <c r="M166" s="37">
        <f>IF(NOT(ISNUMBER($I166)),"",$I166+SUM($J166:$L166))</f>
        <v/>
      </c>
      <c r="N166" s="37">
        <f>IF(OR(NOT(ISNUMBER($M166)),NOT(ISNUMBER($G166)),$G166&lt;=0),"",$M166/$G166)</f>
        <v/>
      </c>
      <c r="O166" s="33" t="n"/>
      <c r="P166" s="33" t="n"/>
      <c r="Q166" s="41" t="n"/>
      <c r="R166" s="36" t="n"/>
      <c r="S166" s="37">
        <f>IF(NOT(ISNUMBER($M166)),"",$M166-IF(ISNUMBER($R166),$R166,0))</f>
        <v/>
      </c>
      <c r="T166" s="33" t="n"/>
      <c r="U166" s="51">
        <f>IF(COUNTA($B166,$C166,$D166,$G166,$H166)=0,"",IF(IF($B166=""," · Falta fecha","")&amp;IF($C166=""," · Falta proveedor","")&amp;IF(AND($D166&lt;&gt;"",COUNTIF(tblProductos[SKU],$D166)=0)," · SKU no existe","")&amp;IF($D166=""," · Falta SKU","")&amp;IF(OR($G166="",NOT(ISNUMBER($G166)),$G166&lt;=0)," · Cantidad inválida","")&amp;IF($H166=""," · Falta costo unitario","")&amp;IF(AND($P166="Pagado",$Q166="")," · Pago sin fecha","")&amp;IF(AND(ISNUMBER($R166),ISNUMBER($M166),$R166&gt;N($M166)+0.01)," · Pagado &gt; total","")&amp;IF(AND(ISNUMBER($R166),$R166&gt;0,$Q166="")," · Monto pagado sin fecha","")="","OK",MID(IF($B166=""," · Falta fecha","")&amp;IF($C166=""," · Falta proveedor","")&amp;IF(AND($D166&lt;&gt;"",COUNTIF(tblProductos[SKU],$D166)=0)," · SKU no existe","")&amp;IF($D166=""," · Falta SKU","")&amp;IF(OR($G166="",NOT(ISNUMBER($G166)),$G166&lt;=0)," · Cantidad inválida","")&amp;IF($H166=""," · Falta costo unitario","")&amp;IF(AND($P166="Pagado",$Q166="")," · Pago sin fecha","")&amp;IF(AND(ISNUMBER($R166),ISNUMBER($M166),$R166&gt;N($M166)+0.01)," · Pagado &gt; total","")&amp;IF(AND(ISNUMBER($R166),$R166&gt;0,$Q166="")," · Monto pagado sin fecha",""),4,900)))</f>
        <v/>
      </c>
    </row>
    <row r="167">
      <c r="A167" s="51">
        <f>IF(COUNTA($B167,$C167,$D167,$G167,$H167)=0,"","C-"&amp;TEXT(ROW()-6,"0000"))</f>
        <v/>
      </c>
      <c r="B167" s="41" t="n"/>
      <c r="C167" s="33" t="n"/>
      <c r="D167" s="33" t="n"/>
      <c r="E167" s="51">
        <f>IF($D167="","",IFERROR(IF(INDEX(tblProductos[Nombre del producto],MATCH($D167,tblProductos[SKU],0))="","",INDEX(tblProductos[Nombre del producto],MATCH($D167,tblProductos[SKU],0))),""))</f>
        <v/>
      </c>
      <c r="F167" s="51">
        <f>IF($D167="","",IFERROR(IF(INDEX(tblProductos[Categoría],MATCH($D167,tblProductos[SKU],0))="","",INDEX(tblProductos[Categoría],MATCH($D167,tblProductos[SKU],0))),""))</f>
        <v/>
      </c>
      <c r="G167" s="34" t="n"/>
      <c r="H167" s="36" t="n"/>
      <c r="I167" s="37">
        <f>IF(OR($G167="",$H167=""),"",$G167*$H167)</f>
        <v/>
      </c>
      <c r="J167" s="36" t="n"/>
      <c r="K167" s="36" t="n"/>
      <c r="L167" s="36" t="n"/>
      <c r="M167" s="37">
        <f>IF(NOT(ISNUMBER($I167)),"",$I167+SUM($J167:$L167))</f>
        <v/>
      </c>
      <c r="N167" s="37">
        <f>IF(OR(NOT(ISNUMBER($M167)),NOT(ISNUMBER($G167)),$G167&lt;=0),"",$M167/$G167)</f>
        <v/>
      </c>
      <c r="O167" s="33" t="n"/>
      <c r="P167" s="33" t="n"/>
      <c r="Q167" s="41" t="n"/>
      <c r="R167" s="36" t="n"/>
      <c r="S167" s="37">
        <f>IF(NOT(ISNUMBER($M167)),"",$M167-IF(ISNUMBER($R167),$R167,0))</f>
        <v/>
      </c>
      <c r="T167" s="33" t="n"/>
      <c r="U167" s="51">
        <f>IF(COUNTA($B167,$C167,$D167,$G167,$H167)=0,"",IF(IF($B167=""," · Falta fecha","")&amp;IF($C167=""," · Falta proveedor","")&amp;IF(AND($D167&lt;&gt;"",COUNTIF(tblProductos[SKU],$D167)=0)," · SKU no existe","")&amp;IF($D167=""," · Falta SKU","")&amp;IF(OR($G167="",NOT(ISNUMBER($G167)),$G167&lt;=0)," · Cantidad inválida","")&amp;IF($H167=""," · Falta costo unitario","")&amp;IF(AND($P167="Pagado",$Q167="")," · Pago sin fecha","")&amp;IF(AND(ISNUMBER($R167),ISNUMBER($M167),$R167&gt;N($M167)+0.01)," · Pagado &gt; total","")&amp;IF(AND(ISNUMBER($R167),$R167&gt;0,$Q167="")," · Monto pagado sin fecha","")="","OK",MID(IF($B167=""," · Falta fecha","")&amp;IF($C167=""," · Falta proveedor","")&amp;IF(AND($D167&lt;&gt;"",COUNTIF(tblProductos[SKU],$D167)=0)," · SKU no existe","")&amp;IF($D167=""," · Falta SKU","")&amp;IF(OR($G167="",NOT(ISNUMBER($G167)),$G167&lt;=0)," · Cantidad inválida","")&amp;IF($H167=""," · Falta costo unitario","")&amp;IF(AND($P167="Pagado",$Q167="")," · Pago sin fecha","")&amp;IF(AND(ISNUMBER($R167),ISNUMBER($M167),$R167&gt;N($M167)+0.01)," · Pagado &gt; total","")&amp;IF(AND(ISNUMBER($R167),$R167&gt;0,$Q167="")," · Monto pagado sin fecha",""),4,900)))</f>
        <v/>
      </c>
    </row>
    <row r="168">
      <c r="A168" s="51">
        <f>IF(COUNTA($B168,$C168,$D168,$G168,$H168)=0,"","C-"&amp;TEXT(ROW()-6,"0000"))</f>
        <v/>
      </c>
      <c r="B168" s="41" t="n"/>
      <c r="C168" s="33" t="n"/>
      <c r="D168" s="33" t="n"/>
      <c r="E168" s="51">
        <f>IF($D168="","",IFERROR(IF(INDEX(tblProductos[Nombre del producto],MATCH($D168,tblProductos[SKU],0))="","",INDEX(tblProductos[Nombre del producto],MATCH($D168,tblProductos[SKU],0))),""))</f>
        <v/>
      </c>
      <c r="F168" s="51">
        <f>IF($D168="","",IFERROR(IF(INDEX(tblProductos[Categoría],MATCH($D168,tblProductos[SKU],0))="","",INDEX(tblProductos[Categoría],MATCH($D168,tblProductos[SKU],0))),""))</f>
        <v/>
      </c>
      <c r="G168" s="34" t="n"/>
      <c r="H168" s="36" t="n"/>
      <c r="I168" s="37">
        <f>IF(OR($G168="",$H168=""),"",$G168*$H168)</f>
        <v/>
      </c>
      <c r="J168" s="36" t="n"/>
      <c r="K168" s="36" t="n"/>
      <c r="L168" s="36" t="n"/>
      <c r="M168" s="37">
        <f>IF(NOT(ISNUMBER($I168)),"",$I168+SUM($J168:$L168))</f>
        <v/>
      </c>
      <c r="N168" s="37">
        <f>IF(OR(NOT(ISNUMBER($M168)),NOT(ISNUMBER($G168)),$G168&lt;=0),"",$M168/$G168)</f>
        <v/>
      </c>
      <c r="O168" s="33" t="n"/>
      <c r="P168" s="33" t="n"/>
      <c r="Q168" s="41" t="n"/>
      <c r="R168" s="36" t="n"/>
      <c r="S168" s="37">
        <f>IF(NOT(ISNUMBER($M168)),"",$M168-IF(ISNUMBER($R168),$R168,0))</f>
        <v/>
      </c>
      <c r="T168" s="33" t="n"/>
      <c r="U168" s="51">
        <f>IF(COUNTA($B168,$C168,$D168,$G168,$H168)=0,"",IF(IF($B168=""," · Falta fecha","")&amp;IF($C168=""," · Falta proveedor","")&amp;IF(AND($D168&lt;&gt;"",COUNTIF(tblProductos[SKU],$D168)=0)," · SKU no existe","")&amp;IF($D168=""," · Falta SKU","")&amp;IF(OR($G168="",NOT(ISNUMBER($G168)),$G168&lt;=0)," · Cantidad inválida","")&amp;IF($H168=""," · Falta costo unitario","")&amp;IF(AND($P168="Pagado",$Q168="")," · Pago sin fecha","")&amp;IF(AND(ISNUMBER($R168),ISNUMBER($M168),$R168&gt;N($M168)+0.01)," · Pagado &gt; total","")&amp;IF(AND(ISNUMBER($R168),$R168&gt;0,$Q168="")," · Monto pagado sin fecha","")="","OK",MID(IF($B168=""," · Falta fecha","")&amp;IF($C168=""," · Falta proveedor","")&amp;IF(AND($D168&lt;&gt;"",COUNTIF(tblProductos[SKU],$D168)=0)," · SKU no existe","")&amp;IF($D168=""," · Falta SKU","")&amp;IF(OR($G168="",NOT(ISNUMBER($G168)),$G168&lt;=0)," · Cantidad inválida","")&amp;IF($H168=""," · Falta costo unitario","")&amp;IF(AND($P168="Pagado",$Q168="")," · Pago sin fecha","")&amp;IF(AND(ISNUMBER($R168),ISNUMBER($M168),$R168&gt;N($M168)+0.01)," · Pagado &gt; total","")&amp;IF(AND(ISNUMBER($R168),$R168&gt;0,$Q168="")," · Monto pagado sin fecha",""),4,900)))</f>
        <v/>
      </c>
    </row>
    <row r="169">
      <c r="A169" s="51">
        <f>IF(COUNTA($B169,$C169,$D169,$G169,$H169)=0,"","C-"&amp;TEXT(ROW()-6,"0000"))</f>
        <v/>
      </c>
      <c r="B169" s="41" t="n"/>
      <c r="C169" s="33" t="n"/>
      <c r="D169" s="33" t="n"/>
      <c r="E169" s="51">
        <f>IF($D169="","",IFERROR(IF(INDEX(tblProductos[Nombre del producto],MATCH($D169,tblProductos[SKU],0))="","",INDEX(tblProductos[Nombre del producto],MATCH($D169,tblProductos[SKU],0))),""))</f>
        <v/>
      </c>
      <c r="F169" s="51">
        <f>IF($D169="","",IFERROR(IF(INDEX(tblProductos[Categoría],MATCH($D169,tblProductos[SKU],0))="","",INDEX(tblProductos[Categoría],MATCH($D169,tblProductos[SKU],0))),""))</f>
        <v/>
      </c>
      <c r="G169" s="34" t="n"/>
      <c r="H169" s="36" t="n"/>
      <c r="I169" s="37">
        <f>IF(OR($G169="",$H169=""),"",$G169*$H169)</f>
        <v/>
      </c>
      <c r="J169" s="36" t="n"/>
      <c r="K169" s="36" t="n"/>
      <c r="L169" s="36" t="n"/>
      <c r="M169" s="37">
        <f>IF(NOT(ISNUMBER($I169)),"",$I169+SUM($J169:$L169))</f>
        <v/>
      </c>
      <c r="N169" s="37">
        <f>IF(OR(NOT(ISNUMBER($M169)),NOT(ISNUMBER($G169)),$G169&lt;=0),"",$M169/$G169)</f>
        <v/>
      </c>
      <c r="O169" s="33" t="n"/>
      <c r="P169" s="33" t="n"/>
      <c r="Q169" s="41" t="n"/>
      <c r="R169" s="36" t="n"/>
      <c r="S169" s="37">
        <f>IF(NOT(ISNUMBER($M169)),"",$M169-IF(ISNUMBER($R169),$R169,0))</f>
        <v/>
      </c>
      <c r="T169" s="33" t="n"/>
      <c r="U169" s="51">
        <f>IF(COUNTA($B169,$C169,$D169,$G169,$H169)=0,"",IF(IF($B169=""," · Falta fecha","")&amp;IF($C169=""," · Falta proveedor","")&amp;IF(AND($D169&lt;&gt;"",COUNTIF(tblProductos[SKU],$D169)=0)," · SKU no existe","")&amp;IF($D169=""," · Falta SKU","")&amp;IF(OR($G169="",NOT(ISNUMBER($G169)),$G169&lt;=0)," · Cantidad inválida","")&amp;IF($H169=""," · Falta costo unitario","")&amp;IF(AND($P169="Pagado",$Q169="")," · Pago sin fecha","")&amp;IF(AND(ISNUMBER($R169),ISNUMBER($M169),$R169&gt;N($M169)+0.01)," · Pagado &gt; total","")&amp;IF(AND(ISNUMBER($R169),$R169&gt;0,$Q169="")," · Monto pagado sin fecha","")="","OK",MID(IF($B169=""," · Falta fecha","")&amp;IF($C169=""," · Falta proveedor","")&amp;IF(AND($D169&lt;&gt;"",COUNTIF(tblProductos[SKU],$D169)=0)," · SKU no existe","")&amp;IF($D169=""," · Falta SKU","")&amp;IF(OR($G169="",NOT(ISNUMBER($G169)),$G169&lt;=0)," · Cantidad inválida","")&amp;IF($H169=""," · Falta costo unitario","")&amp;IF(AND($P169="Pagado",$Q169="")," · Pago sin fecha","")&amp;IF(AND(ISNUMBER($R169),ISNUMBER($M169),$R169&gt;N($M169)+0.01)," · Pagado &gt; total","")&amp;IF(AND(ISNUMBER($R169),$R169&gt;0,$Q169="")," · Monto pagado sin fecha",""),4,900)))</f>
        <v/>
      </c>
    </row>
    <row r="170">
      <c r="A170" s="51">
        <f>IF(COUNTA($B170,$C170,$D170,$G170,$H170)=0,"","C-"&amp;TEXT(ROW()-6,"0000"))</f>
        <v/>
      </c>
      <c r="B170" s="41" t="n"/>
      <c r="C170" s="33" t="n"/>
      <c r="D170" s="33" t="n"/>
      <c r="E170" s="51">
        <f>IF($D170="","",IFERROR(IF(INDEX(tblProductos[Nombre del producto],MATCH($D170,tblProductos[SKU],0))="","",INDEX(tblProductos[Nombre del producto],MATCH($D170,tblProductos[SKU],0))),""))</f>
        <v/>
      </c>
      <c r="F170" s="51">
        <f>IF($D170="","",IFERROR(IF(INDEX(tblProductos[Categoría],MATCH($D170,tblProductos[SKU],0))="","",INDEX(tblProductos[Categoría],MATCH($D170,tblProductos[SKU],0))),""))</f>
        <v/>
      </c>
      <c r="G170" s="34" t="n"/>
      <c r="H170" s="36" t="n"/>
      <c r="I170" s="37">
        <f>IF(OR($G170="",$H170=""),"",$G170*$H170)</f>
        <v/>
      </c>
      <c r="J170" s="36" t="n"/>
      <c r="K170" s="36" t="n"/>
      <c r="L170" s="36" t="n"/>
      <c r="M170" s="37">
        <f>IF(NOT(ISNUMBER($I170)),"",$I170+SUM($J170:$L170))</f>
        <v/>
      </c>
      <c r="N170" s="37">
        <f>IF(OR(NOT(ISNUMBER($M170)),NOT(ISNUMBER($G170)),$G170&lt;=0),"",$M170/$G170)</f>
        <v/>
      </c>
      <c r="O170" s="33" t="n"/>
      <c r="P170" s="33" t="n"/>
      <c r="Q170" s="41" t="n"/>
      <c r="R170" s="36" t="n"/>
      <c r="S170" s="37">
        <f>IF(NOT(ISNUMBER($M170)),"",$M170-IF(ISNUMBER($R170),$R170,0))</f>
        <v/>
      </c>
      <c r="T170" s="33" t="n"/>
      <c r="U170" s="51">
        <f>IF(COUNTA($B170,$C170,$D170,$G170,$H170)=0,"",IF(IF($B170=""," · Falta fecha","")&amp;IF($C170=""," · Falta proveedor","")&amp;IF(AND($D170&lt;&gt;"",COUNTIF(tblProductos[SKU],$D170)=0)," · SKU no existe","")&amp;IF($D170=""," · Falta SKU","")&amp;IF(OR($G170="",NOT(ISNUMBER($G170)),$G170&lt;=0)," · Cantidad inválida","")&amp;IF($H170=""," · Falta costo unitario","")&amp;IF(AND($P170="Pagado",$Q170="")," · Pago sin fecha","")&amp;IF(AND(ISNUMBER($R170),ISNUMBER($M170),$R170&gt;N($M170)+0.01)," · Pagado &gt; total","")&amp;IF(AND(ISNUMBER($R170),$R170&gt;0,$Q170="")," · Monto pagado sin fecha","")="","OK",MID(IF($B170=""," · Falta fecha","")&amp;IF($C170=""," · Falta proveedor","")&amp;IF(AND($D170&lt;&gt;"",COUNTIF(tblProductos[SKU],$D170)=0)," · SKU no existe","")&amp;IF($D170=""," · Falta SKU","")&amp;IF(OR($G170="",NOT(ISNUMBER($G170)),$G170&lt;=0)," · Cantidad inválida","")&amp;IF($H170=""," · Falta costo unitario","")&amp;IF(AND($P170="Pagado",$Q170="")," · Pago sin fecha","")&amp;IF(AND(ISNUMBER($R170),ISNUMBER($M170),$R170&gt;N($M170)+0.01)," · Pagado &gt; total","")&amp;IF(AND(ISNUMBER($R170),$R170&gt;0,$Q170="")," · Monto pagado sin fecha",""),4,900)))</f>
        <v/>
      </c>
    </row>
    <row r="171">
      <c r="A171" s="51">
        <f>IF(COUNTA($B171,$C171,$D171,$G171,$H171)=0,"","C-"&amp;TEXT(ROW()-6,"0000"))</f>
        <v/>
      </c>
      <c r="B171" s="41" t="n"/>
      <c r="C171" s="33" t="n"/>
      <c r="D171" s="33" t="n"/>
      <c r="E171" s="51">
        <f>IF($D171="","",IFERROR(IF(INDEX(tblProductos[Nombre del producto],MATCH($D171,tblProductos[SKU],0))="","",INDEX(tblProductos[Nombre del producto],MATCH($D171,tblProductos[SKU],0))),""))</f>
        <v/>
      </c>
      <c r="F171" s="51">
        <f>IF($D171="","",IFERROR(IF(INDEX(tblProductos[Categoría],MATCH($D171,tblProductos[SKU],0))="","",INDEX(tblProductos[Categoría],MATCH($D171,tblProductos[SKU],0))),""))</f>
        <v/>
      </c>
      <c r="G171" s="34" t="n"/>
      <c r="H171" s="36" t="n"/>
      <c r="I171" s="37">
        <f>IF(OR($G171="",$H171=""),"",$G171*$H171)</f>
        <v/>
      </c>
      <c r="J171" s="36" t="n"/>
      <c r="K171" s="36" t="n"/>
      <c r="L171" s="36" t="n"/>
      <c r="M171" s="37">
        <f>IF(NOT(ISNUMBER($I171)),"",$I171+SUM($J171:$L171))</f>
        <v/>
      </c>
      <c r="N171" s="37">
        <f>IF(OR(NOT(ISNUMBER($M171)),NOT(ISNUMBER($G171)),$G171&lt;=0),"",$M171/$G171)</f>
        <v/>
      </c>
      <c r="O171" s="33" t="n"/>
      <c r="P171" s="33" t="n"/>
      <c r="Q171" s="41" t="n"/>
      <c r="R171" s="36" t="n"/>
      <c r="S171" s="37">
        <f>IF(NOT(ISNUMBER($M171)),"",$M171-IF(ISNUMBER($R171),$R171,0))</f>
        <v/>
      </c>
      <c r="T171" s="33" t="n"/>
      <c r="U171" s="51">
        <f>IF(COUNTA($B171,$C171,$D171,$G171,$H171)=0,"",IF(IF($B171=""," · Falta fecha","")&amp;IF($C171=""," · Falta proveedor","")&amp;IF(AND($D171&lt;&gt;"",COUNTIF(tblProductos[SKU],$D171)=0)," · SKU no existe","")&amp;IF($D171=""," · Falta SKU","")&amp;IF(OR($G171="",NOT(ISNUMBER($G171)),$G171&lt;=0)," · Cantidad inválida","")&amp;IF($H171=""," · Falta costo unitario","")&amp;IF(AND($P171="Pagado",$Q171="")," · Pago sin fecha","")&amp;IF(AND(ISNUMBER($R171),ISNUMBER($M171),$R171&gt;N($M171)+0.01)," · Pagado &gt; total","")&amp;IF(AND(ISNUMBER($R171),$R171&gt;0,$Q171="")," · Monto pagado sin fecha","")="","OK",MID(IF($B171=""," · Falta fecha","")&amp;IF($C171=""," · Falta proveedor","")&amp;IF(AND($D171&lt;&gt;"",COUNTIF(tblProductos[SKU],$D171)=0)," · SKU no existe","")&amp;IF($D171=""," · Falta SKU","")&amp;IF(OR($G171="",NOT(ISNUMBER($G171)),$G171&lt;=0)," · Cantidad inválida","")&amp;IF($H171=""," · Falta costo unitario","")&amp;IF(AND($P171="Pagado",$Q171="")," · Pago sin fecha","")&amp;IF(AND(ISNUMBER($R171),ISNUMBER($M171),$R171&gt;N($M171)+0.01)," · Pagado &gt; total","")&amp;IF(AND(ISNUMBER($R171),$R171&gt;0,$Q171="")," · Monto pagado sin fecha",""),4,900)))</f>
        <v/>
      </c>
    </row>
    <row r="172">
      <c r="A172" s="51">
        <f>IF(COUNTA($B172,$C172,$D172,$G172,$H172)=0,"","C-"&amp;TEXT(ROW()-6,"0000"))</f>
        <v/>
      </c>
      <c r="B172" s="41" t="n"/>
      <c r="C172" s="33" t="n"/>
      <c r="D172" s="33" t="n"/>
      <c r="E172" s="51">
        <f>IF($D172="","",IFERROR(IF(INDEX(tblProductos[Nombre del producto],MATCH($D172,tblProductos[SKU],0))="","",INDEX(tblProductos[Nombre del producto],MATCH($D172,tblProductos[SKU],0))),""))</f>
        <v/>
      </c>
      <c r="F172" s="51">
        <f>IF($D172="","",IFERROR(IF(INDEX(tblProductos[Categoría],MATCH($D172,tblProductos[SKU],0))="","",INDEX(tblProductos[Categoría],MATCH($D172,tblProductos[SKU],0))),""))</f>
        <v/>
      </c>
      <c r="G172" s="34" t="n"/>
      <c r="H172" s="36" t="n"/>
      <c r="I172" s="37">
        <f>IF(OR($G172="",$H172=""),"",$G172*$H172)</f>
        <v/>
      </c>
      <c r="J172" s="36" t="n"/>
      <c r="K172" s="36" t="n"/>
      <c r="L172" s="36" t="n"/>
      <c r="M172" s="37">
        <f>IF(NOT(ISNUMBER($I172)),"",$I172+SUM($J172:$L172))</f>
        <v/>
      </c>
      <c r="N172" s="37">
        <f>IF(OR(NOT(ISNUMBER($M172)),NOT(ISNUMBER($G172)),$G172&lt;=0),"",$M172/$G172)</f>
        <v/>
      </c>
      <c r="O172" s="33" t="n"/>
      <c r="P172" s="33" t="n"/>
      <c r="Q172" s="41" t="n"/>
      <c r="R172" s="36" t="n"/>
      <c r="S172" s="37">
        <f>IF(NOT(ISNUMBER($M172)),"",$M172-IF(ISNUMBER($R172),$R172,0))</f>
        <v/>
      </c>
      <c r="T172" s="33" t="n"/>
      <c r="U172" s="51">
        <f>IF(COUNTA($B172,$C172,$D172,$G172,$H172)=0,"",IF(IF($B172=""," · Falta fecha","")&amp;IF($C172=""," · Falta proveedor","")&amp;IF(AND($D172&lt;&gt;"",COUNTIF(tblProductos[SKU],$D172)=0)," · SKU no existe","")&amp;IF($D172=""," · Falta SKU","")&amp;IF(OR($G172="",NOT(ISNUMBER($G172)),$G172&lt;=0)," · Cantidad inválida","")&amp;IF($H172=""," · Falta costo unitario","")&amp;IF(AND($P172="Pagado",$Q172="")," · Pago sin fecha","")&amp;IF(AND(ISNUMBER($R172),ISNUMBER($M172),$R172&gt;N($M172)+0.01)," · Pagado &gt; total","")&amp;IF(AND(ISNUMBER($R172),$R172&gt;0,$Q172="")," · Monto pagado sin fecha","")="","OK",MID(IF($B172=""," · Falta fecha","")&amp;IF($C172=""," · Falta proveedor","")&amp;IF(AND($D172&lt;&gt;"",COUNTIF(tblProductos[SKU],$D172)=0)," · SKU no existe","")&amp;IF($D172=""," · Falta SKU","")&amp;IF(OR($G172="",NOT(ISNUMBER($G172)),$G172&lt;=0)," · Cantidad inválida","")&amp;IF($H172=""," · Falta costo unitario","")&amp;IF(AND($P172="Pagado",$Q172="")," · Pago sin fecha","")&amp;IF(AND(ISNUMBER($R172),ISNUMBER($M172),$R172&gt;N($M172)+0.01)," · Pagado &gt; total","")&amp;IF(AND(ISNUMBER($R172),$R172&gt;0,$Q172="")," · Monto pagado sin fecha",""),4,900)))</f>
        <v/>
      </c>
    </row>
    <row r="173">
      <c r="A173" s="51">
        <f>IF(COUNTA($B173,$C173,$D173,$G173,$H173)=0,"","C-"&amp;TEXT(ROW()-6,"0000"))</f>
        <v/>
      </c>
      <c r="B173" s="41" t="n"/>
      <c r="C173" s="33" t="n"/>
      <c r="D173" s="33" t="n"/>
      <c r="E173" s="51">
        <f>IF($D173="","",IFERROR(IF(INDEX(tblProductos[Nombre del producto],MATCH($D173,tblProductos[SKU],0))="","",INDEX(tblProductos[Nombre del producto],MATCH($D173,tblProductos[SKU],0))),""))</f>
        <v/>
      </c>
      <c r="F173" s="51">
        <f>IF($D173="","",IFERROR(IF(INDEX(tblProductos[Categoría],MATCH($D173,tblProductos[SKU],0))="","",INDEX(tblProductos[Categoría],MATCH($D173,tblProductos[SKU],0))),""))</f>
        <v/>
      </c>
      <c r="G173" s="34" t="n"/>
      <c r="H173" s="36" t="n"/>
      <c r="I173" s="37">
        <f>IF(OR($G173="",$H173=""),"",$G173*$H173)</f>
        <v/>
      </c>
      <c r="J173" s="36" t="n"/>
      <c r="K173" s="36" t="n"/>
      <c r="L173" s="36" t="n"/>
      <c r="M173" s="37">
        <f>IF(NOT(ISNUMBER($I173)),"",$I173+SUM($J173:$L173))</f>
        <v/>
      </c>
      <c r="N173" s="37">
        <f>IF(OR(NOT(ISNUMBER($M173)),NOT(ISNUMBER($G173)),$G173&lt;=0),"",$M173/$G173)</f>
        <v/>
      </c>
      <c r="O173" s="33" t="n"/>
      <c r="P173" s="33" t="n"/>
      <c r="Q173" s="41" t="n"/>
      <c r="R173" s="36" t="n"/>
      <c r="S173" s="37">
        <f>IF(NOT(ISNUMBER($M173)),"",$M173-IF(ISNUMBER($R173),$R173,0))</f>
        <v/>
      </c>
      <c r="T173" s="33" t="n"/>
      <c r="U173" s="51">
        <f>IF(COUNTA($B173,$C173,$D173,$G173,$H173)=0,"",IF(IF($B173=""," · Falta fecha","")&amp;IF($C173=""," · Falta proveedor","")&amp;IF(AND($D173&lt;&gt;"",COUNTIF(tblProductos[SKU],$D173)=0)," · SKU no existe","")&amp;IF($D173=""," · Falta SKU","")&amp;IF(OR($G173="",NOT(ISNUMBER($G173)),$G173&lt;=0)," · Cantidad inválida","")&amp;IF($H173=""," · Falta costo unitario","")&amp;IF(AND($P173="Pagado",$Q173="")," · Pago sin fecha","")&amp;IF(AND(ISNUMBER($R173),ISNUMBER($M173),$R173&gt;N($M173)+0.01)," · Pagado &gt; total","")&amp;IF(AND(ISNUMBER($R173),$R173&gt;0,$Q173="")," · Monto pagado sin fecha","")="","OK",MID(IF($B173=""," · Falta fecha","")&amp;IF($C173=""," · Falta proveedor","")&amp;IF(AND($D173&lt;&gt;"",COUNTIF(tblProductos[SKU],$D173)=0)," · SKU no existe","")&amp;IF($D173=""," · Falta SKU","")&amp;IF(OR($G173="",NOT(ISNUMBER($G173)),$G173&lt;=0)," · Cantidad inválida","")&amp;IF($H173=""," · Falta costo unitario","")&amp;IF(AND($P173="Pagado",$Q173="")," · Pago sin fecha","")&amp;IF(AND(ISNUMBER($R173),ISNUMBER($M173),$R173&gt;N($M173)+0.01)," · Pagado &gt; total","")&amp;IF(AND(ISNUMBER($R173),$R173&gt;0,$Q173="")," · Monto pagado sin fecha",""),4,900)))</f>
        <v/>
      </c>
    </row>
    <row r="174">
      <c r="A174" s="51">
        <f>IF(COUNTA($B174,$C174,$D174,$G174,$H174)=0,"","C-"&amp;TEXT(ROW()-6,"0000"))</f>
        <v/>
      </c>
      <c r="B174" s="41" t="n"/>
      <c r="C174" s="33" t="n"/>
      <c r="D174" s="33" t="n"/>
      <c r="E174" s="51">
        <f>IF($D174="","",IFERROR(IF(INDEX(tblProductos[Nombre del producto],MATCH($D174,tblProductos[SKU],0))="","",INDEX(tblProductos[Nombre del producto],MATCH($D174,tblProductos[SKU],0))),""))</f>
        <v/>
      </c>
      <c r="F174" s="51">
        <f>IF($D174="","",IFERROR(IF(INDEX(tblProductos[Categoría],MATCH($D174,tblProductos[SKU],0))="","",INDEX(tblProductos[Categoría],MATCH($D174,tblProductos[SKU],0))),""))</f>
        <v/>
      </c>
      <c r="G174" s="34" t="n"/>
      <c r="H174" s="36" t="n"/>
      <c r="I174" s="37">
        <f>IF(OR($G174="",$H174=""),"",$G174*$H174)</f>
        <v/>
      </c>
      <c r="J174" s="36" t="n"/>
      <c r="K174" s="36" t="n"/>
      <c r="L174" s="36" t="n"/>
      <c r="M174" s="37">
        <f>IF(NOT(ISNUMBER($I174)),"",$I174+SUM($J174:$L174))</f>
        <v/>
      </c>
      <c r="N174" s="37">
        <f>IF(OR(NOT(ISNUMBER($M174)),NOT(ISNUMBER($G174)),$G174&lt;=0),"",$M174/$G174)</f>
        <v/>
      </c>
      <c r="O174" s="33" t="n"/>
      <c r="P174" s="33" t="n"/>
      <c r="Q174" s="41" t="n"/>
      <c r="R174" s="36" t="n"/>
      <c r="S174" s="37">
        <f>IF(NOT(ISNUMBER($M174)),"",$M174-IF(ISNUMBER($R174),$R174,0))</f>
        <v/>
      </c>
      <c r="T174" s="33" t="n"/>
      <c r="U174" s="51">
        <f>IF(COUNTA($B174,$C174,$D174,$G174,$H174)=0,"",IF(IF($B174=""," · Falta fecha","")&amp;IF($C174=""," · Falta proveedor","")&amp;IF(AND($D174&lt;&gt;"",COUNTIF(tblProductos[SKU],$D174)=0)," · SKU no existe","")&amp;IF($D174=""," · Falta SKU","")&amp;IF(OR($G174="",NOT(ISNUMBER($G174)),$G174&lt;=0)," · Cantidad inválida","")&amp;IF($H174=""," · Falta costo unitario","")&amp;IF(AND($P174="Pagado",$Q174="")," · Pago sin fecha","")&amp;IF(AND(ISNUMBER($R174),ISNUMBER($M174),$R174&gt;N($M174)+0.01)," · Pagado &gt; total","")&amp;IF(AND(ISNUMBER($R174),$R174&gt;0,$Q174="")," · Monto pagado sin fecha","")="","OK",MID(IF($B174=""," · Falta fecha","")&amp;IF($C174=""," · Falta proveedor","")&amp;IF(AND($D174&lt;&gt;"",COUNTIF(tblProductos[SKU],$D174)=0)," · SKU no existe","")&amp;IF($D174=""," · Falta SKU","")&amp;IF(OR($G174="",NOT(ISNUMBER($G174)),$G174&lt;=0)," · Cantidad inválida","")&amp;IF($H174=""," · Falta costo unitario","")&amp;IF(AND($P174="Pagado",$Q174="")," · Pago sin fecha","")&amp;IF(AND(ISNUMBER($R174),ISNUMBER($M174),$R174&gt;N($M174)+0.01)," · Pagado &gt; total","")&amp;IF(AND(ISNUMBER($R174),$R174&gt;0,$Q174="")," · Monto pagado sin fecha",""),4,900)))</f>
        <v/>
      </c>
    </row>
    <row r="175">
      <c r="A175" s="51">
        <f>IF(COUNTA($B175,$C175,$D175,$G175,$H175)=0,"","C-"&amp;TEXT(ROW()-6,"0000"))</f>
        <v/>
      </c>
      <c r="B175" s="41" t="n"/>
      <c r="C175" s="33" t="n"/>
      <c r="D175" s="33" t="n"/>
      <c r="E175" s="51">
        <f>IF($D175="","",IFERROR(IF(INDEX(tblProductos[Nombre del producto],MATCH($D175,tblProductos[SKU],0))="","",INDEX(tblProductos[Nombre del producto],MATCH($D175,tblProductos[SKU],0))),""))</f>
        <v/>
      </c>
      <c r="F175" s="51">
        <f>IF($D175="","",IFERROR(IF(INDEX(tblProductos[Categoría],MATCH($D175,tblProductos[SKU],0))="","",INDEX(tblProductos[Categoría],MATCH($D175,tblProductos[SKU],0))),""))</f>
        <v/>
      </c>
      <c r="G175" s="34" t="n"/>
      <c r="H175" s="36" t="n"/>
      <c r="I175" s="37">
        <f>IF(OR($G175="",$H175=""),"",$G175*$H175)</f>
        <v/>
      </c>
      <c r="J175" s="36" t="n"/>
      <c r="K175" s="36" t="n"/>
      <c r="L175" s="36" t="n"/>
      <c r="M175" s="37">
        <f>IF(NOT(ISNUMBER($I175)),"",$I175+SUM($J175:$L175))</f>
        <v/>
      </c>
      <c r="N175" s="37">
        <f>IF(OR(NOT(ISNUMBER($M175)),NOT(ISNUMBER($G175)),$G175&lt;=0),"",$M175/$G175)</f>
        <v/>
      </c>
      <c r="O175" s="33" t="n"/>
      <c r="P175" s="33" t="n"/>
      <c r="Q175" s="41" t="n"/>
      <c r="R175" s="36" t="n"/>
      <c r="S175" s="37">
        <f>IF(NOT(ISNUMBER($M175)),"",$M175-IF(ISNUMBER($R175),$R175,0))</f>
        <v/>
      </c>
      <c r="T175" s="33" t="n"/>
      <c r="U175" s="51">
        <f>IF(COUNTA($B175,$C175,$D175,$G175,$H175)=0,"",IF(IF($B175=""," · Falta fecha","")&amp;IF($C175=""," · Falta proveedor","")&amp;IF(AND($D175&lt;&gt;"",COUNTIF(tblProductos[SKU],$D175)=0)," · SKU no existe","")&amp;IF($D175=""," · Falta SKU","")&amp;IF(OR($G175="",NOT(ISNUMBER($G175)),$G175&lt;=0)," · Cantidad inválida","")&amp;IF($H175=""," · Falta costo unitario","")&amp;IF(AND($P175="Pagado",$Q175="")," · Pago sin fecha","")&amp;IF(AND(ISNUMBER($R175),ISNUMBER($M175),$R175&gt;N($M175)+0.01)," · Pagado &gt; total","")&amp;IF(AND(ISNUMBER($R175),$R175&gt;0,$Q175="")," · Monto pagado sin fecha","")="","OK",MID(IF($B175=""," · Falta fecha","")&amp;IF($C175=""," · Falta proveedor","")&amp;IF(AND($D175&lt;&gt;"",COUNTIF(tblProductos[SKU],$D175)=0)," · SKU no existe","")&amp;IF($D175=""," · Falta SKU","")&amp;IF(OR($G175="",NOT(ISNUMBER($G175)),$G175&lt;=0)," · Cantidad inválida","")&amp;IF($H175=""," · Falta costo unitario","")&amp;IF(AND($P175="Pagado",$Q175="")," · Pago sin fecha","")&amp;IF(AND(ISNUMBER($R175),ISNUMBER($M175),$R175&gt;N($M175)+0.01)," · Pagado &gt; total","")&amp;IF(AND(ISNUMBER($R175),$R175&gt;0,$Q175="")," · Monto pagado sin fecha",""),4,900)))</f>
        <v/>
      </c>
    </row>
    <row r="176">
      <c r="A176" s="51">
        <f>IF(COUNTA($B176,$C176,$D176,$G176,$H176)=0,"","C-"&amp;TEXT(ROW()-6,"0000"))</f>
        <v/>
      </c>
      <c r="B176" s="41" t="n"/>
      <c r="C176" s="33" t="n"/>
      <c r="D176" s="33" t="n"/>
      <c r="E176" s="51">
        <f>IF($D176="","",IFERROR(IF(INDEX(tblProductos[Nombre del producto],MATCH($D176,tblProductos[SKU],0))="","",INDEX(tblProductos[Nombre del producto],MATCH($D176,tblProductos[SKU],0))),""))</f>
        <v/>
      </c>
      <c r="F176" s="51">
        <f>IF($D176="","",IFERROR(IF(INDEX(tblProductos[Categoría],MATCH($D176,tblProductos[SKU],0))="","",INDEX(tblProductos[Categoría],MATCH($D176,tblProductos[SKU],0))),""))</f>
        <v/>
      </c>
      <c r="G176" s="34" t="n"/>
      <c r="H176" s="36" t="n"/>
      <c r="I176" s="37">
        <f>IF(OR($G176="",$H176=""),"",$G176*$H176)</f>
        <v/>
      </c>
      <c r="J176" s="36" t="n"/>
      <c r="K176" s="36" t="n"/>
      <c r="L176" s="36" t="n"/>
      <c r="M176" s="37">
        <f>IF(NOT(ISNUMBER($I176)),"",$I176+SUM($J176:$L176))</f>
        <v/>
      </c>
      <c r="N176" s="37">
        <f>IF(OR(NOT(ISNUMBER($M176)),NOT(ISNUMBER($G176)),$G176&lt;=0),"",$M176/$G176)</f>
        <v/>
      </c>
      <c r="O176" s="33" t="n"/>
      <c r="P176" s="33" t="n"/>
      <c r="Q176" s="41" t="n"/>
      <c r="R176" s="36" t="n"/>
      <c r="S176" s="37">
        <f>IF(NOT(ISNUMBER($M176)),"",$M176-IF(ISNUMBER($R176),$R176,0))</f>
        <v/>
      </c>
      <c r="T176" s="33" t="n"/>
      <c r="U176" s="51">
        <f>IF(COUNTA($B176,$C176,$D176,$G176,$H176)=0,"",IF(IF($B176=""," · Falta fecha","")&amp;IF($C176=""," · Falta proveedor","")&amp;IF(AND($D176&lt;&gt;"",COUNTIF(tblProductos[SKU],$D176)=0)," · SKU no existe","")&amp;IF($D176=""," · Falta SKU","")&amp;IF(OR($G176="",NOT(ISNUMBER($G176)),$G176&lt;=0)," · Cantidad inválida","")&amp;IF($H176=""," · Falta costo unitario","")&amp;IF(AND($P176="Pagado",$Q176="")," · Pago sin fecha","")&amp;IF(AND(ISNUMBER($R176),ISNUMBER($M176),$R176&gt;N($M176)+0.01)," · Pagado &gt; total","")&amp;IF(AND(ISNUMBER($R176),$R176&gt;0,$Q176="")," · Monto pagado sin fecha","")="","OK",MID(IF($B176=""," · Falta fecha","")&amp;IF($C176=""," · Falta proveedor","")&amp;IF(AND($D176&lt;&gt;"",COUNTIF(tblProductos[SKU],$D176)=0)," · SKU no existe","")&amp;IF($D176=""," · Falta SKU","")&amp;IF(OR($G176="",NOT(ISNUMBER($G176)),$G176&lt;=0)," · Cantidad inválida","")&amp;IF($H176=""," · Falta costo unitario","")&amp;IF(AND($P176="Pagado",$Q176="")," · Pago sin fecha","")&amp;IF(AND(ISNUMBER($R176),ISNUMBER($M176),$R176&gt;N($M176)+0.01)," · Pagado &gt; total","")&amp;IF(AND(ISNUMBER($R176),$R176&gt;0,$Q176="")," · Monto pagado sin fecha",""),4,900)))</f>
        <v/>
      </c>
    </row>
    <row r="177">
      <c r="A177" s="51">
        <f>IF(COUNTA($B177,$C177,$D177,$G177,$H177)=0,"","C-"&amp;TEXT(ROW()-6,"0000"))</f>
        <v/>
      </c>
      <c r="B177" s="41" t="n"/>
      <c r="C177" s="33" t="n"/>
      <c r="D177" s="33" t="n"/>
      <c r="E177" s="51">
        <f>IF($D177="","",IFERROR(IF(INDEX(tblProductos[Nombre del producto],MATCH($D177,tblProductos[SKU],0))="","",INDEX(tblProductos[Nombre del producto],MATCH($D177,tblProductos[SKU],0))),""))</f>
        <v/>
      </c>
      <c r="F177" s="51">
        <f>IF($D177="","",IFERROR(IF(INDEX(tblProductos[Categoría],MATCH($D177,tblProductos[SKU],0))="","",INDEX(tblProductos[Categoría],MATCH($D177,tblProductos[SKU],0))),""))</f>
        <v/>
      </c>
      <c r="G177" s="34" t="n"/>
      <c r="H177" s="36" t="n"/>
      <c r="I177" s="37">
        <f>IF(OR($G177="",$H177=""),"",$G177*$H177)</f>
        <v/>
      </c>
      <c r="J177" s="36" t="n"/>
      <c r="K177" s="36" t="n"/>
      <c r="L177" s="36" t="n"/>
      <c r="M177" s="37">
        <f>IF(NOT(ISNUMBER($I177)),"",$I177+SUM($J177:$L177))</f>
        <v/>
      </c>
      <c r="N177" s="37">
        <f>IF(OR(NOT(ISNUMBER($M177)),NOT(ISNUMBER($G177)),$G177&lt;=0),"",$M177/$G177)</f>
        <v/>
      </c>
      <c r="O177" s="33" t="n"/>
      <c r="P177" s="33" t="n"/>
      <c r="Q177" s="41" t="n"/>
      <c r="R177" s="36" t="n"/>
      <c r="S177" s="37">
        <f>IF(NOT(ISNUMBER($M177)),"",$M177-IF(ISNUMBER($R177),$R177,0))</f>
        <v/>
      </c>
      <c r="T177" s="33" t="n"/>
      <c r="U177" s="51">
        <f>IF(COUNTA($B177,$C177,$D177,$G177,$H177)=0,"",IF(IF($B177=""," · Falta fecha","")&amp;IF($C177=""," · Falta proveedor","")&amp;IF(AND($D177&lt;&gt;"",COUNTIF(tblProductos[SKU],$D177)=0)," · SKU no existe","")&amp;IF($D177=""," · Falta SKU","")&amp;IF(OR($G177="",NOT(ISNUMBER($G177)),$G177&lt;=0)," · Cantidad inválida","")&amp;IF($H177=""," · Falta costo unitario","")&amp;IF(AND($P177="Pagado",$Q177="")," · Pago sin fecha","")&amp;IF(AND(ISNUMBER($R177),ISNUMBER($M177),$R177&gt;N($M177)+0.01)," · Pagado &gt; total","")&amp;IF(AND(ISNUMBER($R177),$R177&gt;0,$Q177="")," · Monto pagado sin fecha","")="","OK",MID(IF($B177=""," · Falta fecha","")&amp;IF($C177=""," · Falta proveedor","")&amp;IF(AND($D177&lt;&gt;"",COUNTIF(tblProductos[SKU],$D177)=0)," · SKU no existe","")&amp;IF($D177=""," · Falta SKU","")&amp;IF(OR($G177="",NOT(ISNUMBER($G177)),$G177&lt;=0)," · Cantidad inválida","")&amp;IF($H177=""," · Falta costo unitario","")&amp;IF(AND($P177="Pagado",$Q177="")," · Pago sin fecha","")&amp;IF(AND(ISNUMBER($R177),ISNUMBER($M177),$R177&gt;N($M177)+0.01)," · Pagado &gt; total","")&amp;IF(AND(ISNUMBER($R177),$R177&gt;0,$Q177="")," · Monto pagado sin fecha",""),4,900)))</f>
        <v/>
      </c>
    </row>
    <row r="178">
      <c r="A178" s="51">
        <f>IF(COUNTA($B178,$C178,$D178,$G178,$H178)=0,"","C-"&amp;TEXT(ROW()-6,"0000"))</f>
        <v/>
      </c>
      <c r="B178" s="41" t="n"/>
      <c r="C178" s="33" t="n"/>
      <c r="D178" s="33" t="n"/>
      <c r="E178" s="51">
        <f>IF($D178="","",IFERROR(IF(INDEX(tblProductos[Nombre del producto],MATCH($D178,tblProductos[SKU],0))="","",INDEX(tblProductos[Nombre del producto],MATCH($D178,tblProductos[SKU],0))),""))</f>
        <v/>
      </c>
      <c r="F178" s="51">
        <f>IF($D178="","",IFERROR(IF(INDEX(tblProductos[Categoría],MATCH($D178,tblProductos[SKU],0))="","",INDEX(tblProductos[Categoría],MATCH($D178,tblProductos[SKU],0))),""))</f>
        <v/>
      </c>
      <c r="G178" s="34" t="n"/>
      <c r="H178" s="36" t="n"/>
      <c r="I178" s="37">
        <f>IF(OR($G178="",$H178=""),"",$G178*$H178)</f>
        <v/>
      </c>
      <c r="J178" s="36" t="n"/>
      <c r="K178" s="36" t="n"/>
      <c r="L178" s="36" t="n"/>
      <c r="M178" s="37">
        <f>IF(NOT(ISNUMBER($I178)),"",$I178+SUM($J178:$L178))</f>
        <v/>
      </c>
      <c r="N178" s="37">
        <f>IF(OR(NOT(ISNUMBER($M178)),NOT(ISNUMBER($G178)),$G178&lt;=0),"",$M178/$G178)</f>
        <v/>
      </c>
      <c r="O178" s="33" t="n"/>
      <c r="P178" s="33" t="n"/>
      <c r="Q178" s="41" t="n"/>
      <c r="R178" s="36" t="n"/>
      <c r="S178" s="37">
        <f>IF(NOT(ISNUMBER($M178)),"",$M178-IF(ISNUMBER($R178),$R178,0))</f>
        <v/>
      </c>
      <c r="T178" s="33" t="n"/>
      <c r="U178" s="51">
        <f>IF(COUNTA($B178,$C178,$D178,$G178,$H178)=0,"",IF(IF($B178=""," · Falta fecha","")&amp;IF($C178=""," · Falta proveedor","")&amp;IF(AND($D178&lt;&gt;"",COUNTIF(tblProductos[SKU],$D178)=0)," · SKU no existe","")&amp;IF($D178=""," · Falta SKU","")&amp;IF(OR($G178="",NOT(ISNUMBER($G178)),$G178&lt;=0)," · Cantidad inválida","")&amp;IF($H178=""," · Falta costo unitario","")&amp;IF(AND($P178="Pagado",$Q178="")," · Pago sin fecha","")&amp;IF(AND(ISNUMBER($R178),ISNUMBER($M178),$R178&gt;N($M178)+0.01)," · Pagado &gt; total","")&amp;IF(AND(ISNUMBER($R178),$R178&gt;0,$Q178="")," · Monto pagado sin fecha","")="","OK",MID(IF($B178=""," · Falta fecha","")&amp;IF($C178=""," · Falta proveedor","")&amp;IF(AND($D178&lt;&gt;"",COUNTIF(tblProductos[SKU],$D178)=0)," · SKU no existe","")&amp;IF($D178=""," · Falta SKU","")&amp;IF(OR($G178="",NOT(ISNUMBER($G178)),$G178&lt;=0)," · Cantidad inválida","")&amp;IF($H178=""," · Falta costo unitario","")&amp;IF(AND($P178="Pagado",$Q178="")," · Pago sin fecha","")&amp;IF(AND(ISNUMBER($R178),ISNUMBER($M178),$R178&gt;N($M178)+0.01)," · Pagado &gt; total","")&amp;IF(AND(ISNUMBER($R178),$R178&gt;0,$Q178="")," · Monto pagado sin fecha",""),4,900)))</f>
        <v/>
      </c>
    </row>
    <row r="179">
      <c r="A179" s="51">
        <f>IF(COUNTA($B179,$C179,$D179,$G179,$H179)=0,"","C-"&amp;TEXT(ROW()-6,"0000"))</f>
        <v/>
      </c>
      <c r="B179" s="41" t="n"/>
      <c r="C179" s="33" t="n"/>
      <c r="D179" s="33" t="n"/>
      <c r="E179" s="51">
        <f>IF($D179="","",IFERROR(IF(INDEX(tblProductos[Nombre del producto],MATCH($D179,tblProductos[SKU],0))="","",INDEX(tblProductos[Nombre del producto],MATCH($D179,tblProductos[SKU],0))),""))</f>
        <v/>
      </c>
      <c r="F179" s="51">
        <f>IF($D179="","",IFERROR(IF(INDEX(tblProductos[Categoría],MATCH($D179,tblProductos[SKU],0))="","",INDEX(tblProductos[Categoría],MATCH($D179,tblProductos[SKU],0))),""))</f>
        <v/>
      </c>
      <c r="G179" s="34" t="n"/>
      <c r="H179" s="36" t="n"/>
      <c r="I179" s="37">
        <f>IF(OR($G179="",$H179=""),"",$G179*$H179)</f>
        <v/>
      </c>
      <c r="J179" s="36" t="n"/>
      <c r="K179" s="36" t="n"/>
      <c r="L179" s="36" t="n"/>
      <c r="M179" s="37">
        <f>IF(NOT(ISNUMBER($I179)),"",$I179+SUM($J179:$L179))</f>
        <v/>
      </c>
      <c r="N179" s="37">
        <f>IF(OR(NOT(ISNUMBER($M179)),NOT(ISNUMBER($G179)),$G179&lt;=0),"",$M179/$G179)</f>
        <v/>
      </c>
      <c r="O179" s="33" t="n"/>
      <c r="P179" s="33" t="n"/>
      <c r="Q179" s="41" t="n"/>
      <c r="R179" s="36" t="n"/>
      <c r="S179" s="37">
        <f>IF(NOT(ISNUMBER($M179)),"",$M179-IF(ISNUMBER($R179),$R179,0))</f>
        <v/>
      </c>
      <c r="T179" s="33" t="n"/>
      <c r="U179" s="51">
        <f>IF(COUNTA($B179,$C179,$D179,$G179,$H179)=0,"",IF(IF($B179=""," · Falta fecha","")&amp;IF($C179=""," · Falta proveedor","")&amp;IF(AND($D179&lt;&gt;"",COUNTIF(tblProductos[SKU],$D179)=0)," · SKU no existe","")&amp;IF($D179=""," · Falta SKU","")&amp;IF(OR($G179="",NOT(ISNUMBER($G179)),$G179&lt;=0)," · Cantidad inválida","")&amp;IF($H179=""," · Falta costo unitario","")&amp;IF(AND($P179="Pagado",$Q179="")," · Pago sin fecha","")&amp;IF(AND(ISNUMBER($R179),ISNUMBER($M179),$R179&gt;N($M179)+0.01)," · Pagado &gt; total","")&amp;IF(AND(ISNUMBER($R179),$R179&gt;0,$Q179="")," · Monto pagado sin fecha","")="","OK",MID(IF($B179=""," · Falta fecha","")&amp;IF($C179=""," · Falta proveedor","")&amp;IF(AND($D179&lt;&gt;"",COUNTIF(tblProductos[SKU],$D179)=0)," · SKU no existe","")&amp;IF($D179=""," · Falta SKU","")&amp;IF(OR($G179="",NOT(ISNUMBER($G179)),$G179&lt;=0)," · Cantidad inválida","")&amp;IF($H179=""," · Falta costo unitario","")&amp;IF(AND($P179="Pagado",$Q179="")," · Pago sin fecha","")&amp;IF(AND(ISNUMBER($R179),ISNUMBER($M179),$R179&gt;N($M179)+0.01)," · Pagado &gt; total","")&amp;IF(AND(ISNUMBER($R179),$R179&gt;0,$Q179="")," · Monto pagado sin fecha",""),4,900)))</f>
        <v/>
      </c>
    </row>
    <row r="180">
      <c r="A180" s="51">
        <f>IF(COUNTA($B180,$C180,$D180,$G180,$H180)=0,"","C-"&amp;TEXT(ROW()-6,"0000"))</f>
        <v/>
      </c>
      <c r="B180" s="41" t="n"/>
      <c r="C180" s="33" t="n"/>
      <c r="D180" s="33" t="n"/>
      <c r="E180" s="51">
        <f>IF($D180="","",IFERROR(IF(INDEX(tblProductos[Nombre del producto],MATCH($D180,tblProductos[SKU],0))="","",INDEX(tblProductos[Nombre del producto],MATCH($D180,tblProductos[SKU],0))),""))</f>
        <v/>
      </c>
      <c r="F180" s="51">
        <f>IF($D180="","",IFERROR(IF(INDEX(tblProductos[Categoría],MATCH($D180,tblProductos[SKU],0))="","",INDEX(tblProductos[Categoría],MATCH($D180,tblProductos[SKU],0))),""))</f>
        <v/>
      </c>
      <c r="G180" s="34" t="n"/>
      <c r="H180" s="36" t="n"/>
      <c r="I180" s="37">
        <f>IF(OR($G180="",$H180=""),"",$G180*$H180)</f>
        <v/>
      </c>
      <c r="J180" s="36" t="n"/>
      <c r="K180" s="36" t="n"/>
      <c r="L180" s="36" t="n"/>
      <c r="M180" s="37">
        <f>IF(NOT(ISNUMBER($I180)),"",$I180+SUM($J180:$L180))</f>
        <v/>
      </c>
      <c r="N180" s="37">
        <f>IF(OR(NOT(ISNUMBER($M180)),NOT(ISNUMBER($G180)),$G180&lt;=0),"",$M180/$G180)</f>
        <v/>
      </c>
      <c r="O180" s="33" t="n"/>
      <c r="P180" s="33" t="n"/>
      <c r="Q180" s="41" t="n"/>
      <c r="R180" s="36" t="n"/>
      <c r="S180" s="37">
        <f>IF(NOT(ISNUMBER($M180)),"",$M180-IF(ISNUMBER($R180),$R180,0))</f>
        <v/>
      </c>
      <c r="T180" s="33" t="n"/>
      <c r="U180" s="51">
        <f>IF(COUNTA($B180,$C180,$D180,$G180,$H180)=0,"",IF(IF($B180=""," · Falta fecha","")&amp;IF($C180=""," · Falta proveedor","")&amp;IF(AND($D180&lt;&gt;"",COUNTIF(tblProductos[SKU],$D180)=0)," · SKU no existe","")&amp;IF($D180=""," · Falta SKU","")&amp;IF(OR($G180="",NOT(ISNUMBER($G180)),$G180&lt;=0)," · Cantidad inválida","")&amp;IF($H180=""," · Falta costo unitario","")&amp;IF(AND($P180="Pagado",$Q180="")," · Pago sin fecha","")&amp;IF(AND(ISNUMBER($R180),ISNUMBER($M180),$R180&gt;N($M180)+0.01)," · Pagado &gt; total","")&amp;IF(AND(ISNUMBER($R180),$R180&gt;0,$Q180="")," · Monto pagado sin fecha","")="","OK",MID(IF($B180=""," · Falta fecha","")&amp;IF($C180=""," · Falta proveedor","")&amp;IF(AND($D180&lt;&gt;"",COUNTIF(tblProductos[SKU],$D180)=0)," · SKU no existe","")&amp;IF($D180=""," · Falta SKU","")&amp;IF(OR($G180="",NOT(ISNUMBER($G180)),$G180&lt;=0)," · Cantidad inválida","")&amp;IF($H180=""," · Falta costo unitario","")&amp;IF(AND($P180="Pagado",$Q180="")," · Pago sin fecha","")&amp;IF(AND(ISNUMBER($R180),ISNUMBER($M180),$R180&gt;N($M180)+0.01)," · Pagado &gt; total","")&amp;IF(AND(ISNUMBER($R180),$R180&gt;0,$Q180="")," · Monto pagado sin fecha",""),4,900)))</f>
        <v/>
      </c>
    </row>
    <row r="181">
      <c r="A181" s="51">
        <f>IF(COUNTA($B181,$C181,$D181,$G181,$H181)=0,"","C-"&amp;TEXT(ROW()-6,"0000"))</f>
        <v/>
      </c>
      <c r="B181" s="41" t="n"/>
      <c r="C181" s="33" t="n"/>
      <c r="D181" s="33" t="n"/>
      <c r="E181" s="51">
        <f>IF($D181="","",IFERROR(IF(INDEX(tblProductos[Nombre del producto],MATCH($D181,tblProductos[SKU],0))="","",INDEX(tblProductos[Nombre del producto],MATCH($D181,tblProductos[SKU],0))),""))</f>
        <v/>
      </c>
      <c r="F181" s="51">
        <f>IF($D181="","",IFERROR(IF(INDEX(tblProductos[Categoría],MATCH($D181,tblProductos[SKU],0))="","",INDEX(tblProductos[Categoría],MATCH($D181,tblProductos[SKU],0))),""))</f>
        <v/>
      </c>
      <c r="G181" s="34" t="n"/>
      <c r="H181" s="36" t="n"/>
      <c r="I181" s="37">
        <f>IF(OR($G181="",$H181=""),"",$G181*$H181)</f>
        <v/>
      </c>
      <c r="J181" s="36" t="n"/>
      <c r="K181" s="36" t="n"/>
      <c r="L181" s="36" t="n"/>
      <c r="M181" s="37">
        <f>IF(NOT(ISNUMBER($I181)),"",$I181+SUM($J181:$L181))</f>
        <v/>
      </c>
      <c r="N181" s="37">
        <f>IF(OR(NOT(ISNUMBER($M181)),NOT(ISNUMBER($G181)),$G181&lt;=0),"",$M181/$G181)</f>
        <v/>
      </c>
      <c r="O181" s="33" t="n"/>
      <c r="P181" s="33" t="n"/>
      <c r="Q181" s="41" t="n"/>
      <c r="R181" s="36" t="n"/>
      <c r="S181" s="37">
        <f>IF(NOT(ISNUMBER($M181)),"",$M181-IF(ISNUMBER($R181),$R181,0))</f>
        <v/>
      </c>
      <c r="T181" s="33" t="n"/>
      <c r="U181" s="51">
        <f>IF(COUNTA($B181,$C181,$D181,$G181,$H181)=0,"",IF(IF($B181=""," · Falta fecha","")&amp;IF($C181=""," · Falta proveedor","")&amp;IF(AND($D181&lt;&gt;"",COUNTIF(tblProductos[SKU],$D181)=0)," · SKU no existe","")&amp;IF($D181=""," · Falta SKU","")&amp;IF(OR($G181="",NOT(ISNUMBER($G181)),$G181&lt;=0)," · Cantidad inválida","")&amp;IF($H181=""," · Falta costo unitario","")&amp;IF(AND($P181="Pagado",$Q181="")," · Pago sin fecha","")&amp;IF(AND(ISNUMBER($R181),ISNUMBER($M181),$R181&gt;N($M181)+0.01)," · Pagado &gt; total","")&amp;IF(AND(ISNUMBER($R181),$R181&gt;0,$Q181="")," · Monto pagado sin fecha","")="","OK",MID(IF($B181=""," · Falta fecha","")&amp;IF($C181=""," · Falta proveedor","")&amp;IF(AND($D181&lt;&gt;"",COUNTIF(tblProductos[SKU],$D181)=0)," · SKU no existe","")&amp;IF($D181=""," · Falta SKU","")&amp;IF(OR($G181="",NOT(ISNUMBER($G181)),$G181&lt;=0)," · Cantidad inválida","")&amp;IF($H181=""," · Falta costo unitario","")&amp;IF(AND($P181="Pagado",$Q181="")," · Pago sin fecha","")&amp;IF(AND(ISNUMBER($R181),ISNUMBER($M181),$R181&gt;N($M181)+0.01)," · Pagado &gt; total","")&amp;IF(AND(ISNUMBER($R181),$R181&gt;0,$Q181="")," · Monto pagado sin fecha",""),4,900)))</f>
        <v/>
      </c>
    </row>
    <row r="182">
      <c r="A182" s="51">
        <f>IF(COUNTA($B182,$C182,$D182,$G182,$H182)=0,"","C-"&amp;TEXT(ROW()-6,"0000"))</f>
        <v/>
      </c>
      <c r="B182" s="41" t="n"/>
      <c r="C182" s="33" t="n"/>
      <c r="D182" s="33" t="n"/>
      <c r="E182" s="51">
        <f>IF($D182="","",IFERROR(IF(INDEX(tblProductos[Nombre del producto],MATCH($D182,tblProductos[SKU],0))="","",INDEX(tblProductos[Nombre del producto],MATCH($D182,tblProductos[SKU],0))),""))</f>
        <v/>
      </c>
      <c r="F182" s="51">
        <f>IF($D182="","",IFERROR(IF(INDEX(tblProductos[Categoría],MATCH($D182,tblProductos[SKU],0))="","",INDEX(tblProductos[Categoría],MATCH($D182,tblProductos[SKU],0))),""))</f>
        <v/>
      </c>
      <c r="G182" s="34" t="n"/>
      <c r="H182" s="36" t="n"/>
      <c r="I182" s="37">
        <f>IF(OR($G182="",$H182=""),"",$G182*$H182)</f>
        <v/>
      </c>
      <c r="J182" s="36" t="n"/>
      <c r="K182" s="36" t="n"/>
      <c r="L182" s="36" t="n"/>
      <c r="M182" s="37">
        <f>IF(NOT(ISNUMBER($I182)),"",$I182+SUM($J182:$L182))</f>
        <v/>
      </c>
      <c r="N182" s="37">
        <f>IF(OR(NOT(ISNUMBER($M182)),NOT(ISNUMBER($G182)),$G182&lt;=0),"",$M182/$G182)</f>
        <v/>
      </c>
      <c r="O182" s="33" t="n"/>
      <c r="P182" s="33" t="n"/>
      <c r="Q182" s="41" t="n"/>
      <c r="R182" s="36" t="n"/>
      <c r="S182" s="37">
        <f>IF(NOT(ISNUMBER($M182)),"",$M182-IF(ISNUMBER($R182),$R182,0))</f>
        <v/>
      </c>
      <c r="T182" s="33" t="n"/>
      <c r="U182" s="51">
        <f>IF(COUNTA($B182,$C182,$D182,$G182,$H182)=0,"",IF(IF($B182=""," · Falta fecha","")&amp;IF($C182=""," · Falta proveedor","")&amp;IF(AND($D182&lt;&gt;"",COUNTIF(tblProductos[SKU],$D182)=0)," · SKU no existe","")&amp;IF($D182=""," · Falta SKU","")&amp;IF(OR($G182="",NOT(ISNUMBER($G182)),$G182&lt;=0)," · Cantidad inválida","")&amp;IF($H182=""," · Falta costo unitario","")&amp;IF(AND($P182="Pagado",$Q182="")," · Pago sin fecha","")&amp;IF(AND(ISNUMBER($R182),ISNUMBER($M182),$R182&gt;N($M182)+0.01)," · Pagado &gt; total","")&amp;IF(AND(ISNUMBER($R182),$R182&gt;0,$Q182="")," · Monto pagado sin fecha","")="","OK",MID(IF($B182=""," · Falta fecha","")&amp;IF($C182=""," · Falta proveedor","")&amp;IF(AND($D182&lt;&gt;"",COUNTIF(tblProductos[SKU],$D182)=0)," · SKU no existe","")&amp;IF($D182=""," · Falta SKU","")&amp;IF(OR($G182="",NOT(ISNUMBER($G182)),$G182&lt;=0)," · Cantidad inválida","")&amp;IF($H182=""," · Falta costo unitario","")&amp;IF(AND($P182="Pagado",$Q182="")," · Pago sin fecha","")&amp;IF(AND(ISNUMBER($R182),ISNUMBER($M182),$R182&gt;N($M182)+0.01)," · Pagado &gt; total","")&amp;IF(AND(ISNUMBER($R182),$R182&gt;0,$Q182="")," · Monto pagado sin fecha",""),4,900)))</f>
        <v/>
      </c>
    </row>
    <row r="183">
      <c r="A183" s="51">
        <f>IF(COUNTA($B183,$C183,$D183,$G183,$H183)=0,"","C-"&amp;TEXT(ROW()-6,"0000"))</f>
        <v/>
      </c>
      <c r="B183" s="41" t="n"/>
      <c r="C183" s="33" t="n"/>
      <c r="D183" s="33" t="n"/>
      <c r="E183" s="51">
        <f>IF($D183="","",IFERROR(IF(INDEX(tblProductos[Nombre del producto],MATCH($D183,tblProductos[SKU],0))="","",INDEX(tblProductos[Nombre del producto],MATCH($D183,tblProductos[SKU],0))),""))</f>
        <v/>
      </c>
      <c r="F183" s="51">
        <f>IF($D183="","",IFERROR(IF(INDEX(tblProductos[Categoría],MATCH($D183,tblProductos[SKU],0))="","",INDEX(tblProductos[Categoría],MATCH($D183,tblProductos[SKU],0))),""))</f>
        <v/>
      </c>
      <c r="G183" s="34" t="n"/>
      <c r="H183" s="36" t="n"/>
      <c r="I183" s="37">
        <f>IF(OR($G183="",$H183=""),"",$G183*$H183)</f>
        <v/>
      </c>
      <c r="J183" s="36" t="n"/>
      <c r="K183" s="36" t="n"/>
      <c r="L183" s="36" t="n"/>
      <c r="M183" s="37">
        <f>IF(NOT(ISNUMBER($I183)),"",$I183+SUM($J183:$L183))</f>
        <v/>
      </c>
      <c r="N183" s="37">
        <f>IF(OR(NOT(ISNUMBER($M183)),NOT(ISNUMBER($G183)),$G183&lt;=0),"",$M183/$G183)</f>
        <v/>
      </c>
      <c r="O183" s="33" t="n"/>
      <c r="P183" s="33" t="n"/>
      <c r="Q183" s="41" t="n"/>
      <c r="R183" s="36" t="n"/>
      <c r="S183" s="37">
        <f>IF(NOT(ISNUMBER($M183)),"",$M183-IF(ISNUMBER($R183),$R183,0))</f>
        <v/>
      </c>
      <c r="T183" s="33" t="n"/>
      <c r="U183" s="51">
        <f>IF(COUNTA($B183,$C183,$D183,$G183,$H183)=0,"",IF(IF($B183=""," · Falta fecha","")&amp;IF($C183=""," · Falta proveedor","")&amp;IF(AND($D183&lt;&gt;"",COUNTIF(tblProductos[SKU],$D183)=0)," · SKU no existe","")&amp;IF($D183=""," · Falta SKU","")&amp;IF(OR($G183="",NOT(ISNUMBER($G183)),$G183&lt;=0)," · Cantidad inválida","")&amp;IF($H183=""," · Falta costo unitario","")&amp;IF(AND($P183="Pagado",$Q183="")," · Pago sin fecha","")&amp;IF(AND(ISNUMBER($R183),ISNUMBER($M183),$R183&gt;N($M183)+0.01)," · Pagado &gt; total","")&amp;IF(AND(ISNUMBER($R183),$R183&gt;0,$Q183="")," · Monto pagado sin fecha","")="","OK",MID(IF($B183=""," · Falta fecha","")&amp;IF($C183=""," · Falta proveedor","")&amp;IF(AND($D183&lt;&gt;"",COUNTIF(tblProductos[SKU],$D183)=0)," · SKU no existe","")&amp;IF($D183=""," · Falta SKU","")&amp;IF(OR($G183="",NOT(ISNUMBER($G183)),$G183&lt;=0)," · Cantidad inválida","")&amp;IF($H183=""," · Falta costo unitario","")&amp;IF(AND($P183="Pagado",$Q183="")," · Pago sin fecha","")&amp;IF(AND(ISNUMBER($R183),ISNUMBER($M183),$R183&gt;N($M183)+0.01)," · Pagado &gt; total","")&amp;IF(AND(ISNUMBER($R183),$R183&gt;0,$Q183="")," · Monto pagado sin fecha",""),4,900)))</f>
        <v/>
      </c>
    </row>
    <row r="184">
      <c r="A184" s="51">
        <f>IF(COUNTA($B184,$C184,$D184,$G184,$H184)=0,"","C-"&amp;TEXT(ROW()-6,"0000"))</f>
        <v/>
      </c>
      <c r="B184" s="41" t="n"/>
      <c r="C184" s="33" t="n"/>
      <c r="D184" s="33" t="n"/>
      <c r="E184" s="51">
        <f>IF($D184="","",IFERROR(IF(INDEX(tblProductos[Nombre del producto],MATCH($D184,tblProductos[SKU],0))="","",INDEX(tblProductos[Nombre del producto],MATCH($D184,tblProductos[SKU],0))),""))</f>
        <v/>
      </c>
      <c r="F184" s="51">
        <f>IF($D184="","",IFERROR(IF(INDEX(tblProductos[Categoría],MATCH($D184,tblProductos[SKU],0))="","",INDEX(tblProductos[Categoría],MATCH($D184,tblProductos[SKU],0))),""))</f>
        <v/>
      </c>
      <c r="G184" s="34" t="n"/>
      <c r="H184" s="36" t="n"/>
      <c r="I184" s="37">
        <f>IF(OR($G184="",$H184=""),"",$G184*$H184)</f>
        <v/>
      </c>
      <c r="J184" s="36" t="n"/>
      <c r="K184" s="36" t="n"/>
      <c r="L184" s="36" t="n"/>
      <c r="M184" s="37">
        <f>IF(NOT(ISNUMBER($I184)),"",$I184+SUM($J184:$L184))</f>
        <v/>
      </c>
      <c r="N184" s="37">
        <f>IF(OR(NOT(ISNUMBER($M184)),NOT(ISNUMBER($G184)),$G184&lt;=0),"",$M184/$G184)</f>
        <v/>
      </c>
      <c r="O184" s="33" t="n"/>
      <c r="P184" s="33" t="n"/>
      <c r="Q184" s="41" t="n"/>
      <c r="R184" s="36" t="n"/>
      <c r="S184" s="37">
        <f>IF(NOT(ISNUMBER($M184)),"",$M184-IF(ISNUMBER($R184),$R184,0))</f>
        <v/>
      </c>
      <c r="T184" s="33" t="n"/>
      <c r="U184" s="51">
        <f>IF(COUNTA($B184,$C184,$D184,$G184,$H184)=0,"",IF(IF($B184=""," · Falta fecha","")&amp;IF($C184=""," · Falta proveedor","")&amp;IF(AND($D184&lt;&gt;"",COUNTIF(tblProductos[SKU],$D184)=0)," · SKU no existe","")&amp;IF($D184=""," · Falta SKU","")&amp;IF(OR($G184="",NOT(ISNUMBER($G184)),$G184&lt;=0)," · Cantidad inválida","")&amp;IF($H184=""," · Falta costo unitario","")&amp;IF(AND($P184="Pagado",$Q184="")," · Pago sin fecha","")&amp;IF(AND(ISNUMBER($R184),ISNUMBER($M184),$R184&gt;N($M184)+0.01)," · Pagado &gt; total","")&amp;IF(AND(ISNUMBER($R184),$R184&gt;0,$Q184="")," · Monto pagado sin fecha","")="","OK",MID(IF($B184=""," · Falta fecha","")&amp;IF($C184=""," · Falta proveedor","")&amp;IF(AND($D184&lt;&gt;"",COUNTIF(tblProductos[SKU],$D184)=0)," · SKU no existe","")&amp;IF($D184=""," · Falta SKU","")&amp;IF(OR($G184="",NOT(ISNUMBER($G184)),$G184&lt;=0)," · Cantidad inválida","")&amp;IF($H184=""," · Falta costo unitario","")&amp;IF(AND($P184="Pagado",$Q184="")," · Pago sin fecha","")&amp;IF(AND(ISNUMBER($R184),ISNUMBER($M184),$R184&gt;N($M184)+0.01)," · Pagado &gt; total","")&amp;IF(AND(ISNUMBER($R184),$R184&gt;0,$Q184="")," · Monto pagado sin fecha",""),4,900)))</f>
        <v/>
      </c>
    </row>
    <row r="185">
      <c r="A185" s="51">
        <f>IF(COUNTA($B185,$C185,$D185,$G185,$H185)=0,"","C-"&amp;TEXT(ROW()-6,"0000"))</f>
        <v/>
      </c>
      <c r="B185" s="41" t="n"/>
      <c r="C185" s="33" t="n"/>
      <c r="D185" s="33" t="n"/>
      <c r="E185" s="51">
        <f>IF($D185="","",IFERROR(IF(INDEX(tblProductos[Nombre del producto],MATCH($D185,tblProductos[SKU],0))="","",INDEX(tblProductos[Nombre del producto],MATCH($D185,tblProductos[SKU],0))),""))</f>
        <v/>
      </c>
      <c r="F185" s="51">
        <f>IF($D185="","",IFERROR(IF(INDEX(tblProductos[Categoría],MATCH($D185,tblProductos[SKU],0))="","",INDEX(tblProductos[Categoría],MATCH($D185,tblProductos[SKU],0))),""))</f>
        <v/>
      </c>
      <c r="G185" s="34" t="n"/>
      <c r="H185" s="36" t="n"/>
      <c r="I185" s="37">
        <f>IF(OR($G185="",$H185=""),"",$G185*$H185)</f>
        <v/>
      </c>
      <c r="J185" s="36" t="n"/>
      <c r="K185" s="36" t="n"/>
      <c r="L185" s="36" t="n"/>
      <c r="M185" s="37">
        <f>IF(NOT(ISNUMBER($I185)),"",$I185+SUM($J185:$L185))</f>
        <v/>
      </c>
      <c r="N185" s="37">
        <f>IF(OR(NOT(ISNUMBER($M185)),NOT(ISNUMBER($G185)),$G185&lt;=0),"",$M185/$G185)</f>
        <v/>
      </c>
      <c r="O185" s="33" t="n"/>
      <c r="P185" s="33" t="n"/>
      <c r="Q185" s="41" t="n"/>
      <c r="R185" s="36" t="n"/>
      <c r="S185" s="37">
        <f>IF(NOT(ISNUMBER($M185)),"",$M185-IF(ISNUMBER($R185),$R185,0))</f>
        <v/>
      </c>
      <c r="T185" s="33" t="n"/>
      <c r="U185" s="51">
        <f>IF(COUNTA($B185,$C185,$D185,$G185,$H185)=0,"",IF(IF($B185=""," · Falta fecha","")&amp;IF($C185=""," · Falta proveedor","")&amp;IF(AND($D185&lt;&gt;"",COUNTIF(tblProductos[SKU],$D185)=0)," · SKU no existe","")&amp;IF($D185=""," · Falta SKU","")&amp;IF(OR($G185="",NOT(ISNUMBER($G185)),$G185&lt;=0)," · Cantidad inválida","")&amp;IF($H185=""," · Falta costo unitario","")&amp;IF(AND($P185="Pagado",$Q185="")," · Pago sin fecha","")&amp;IF(AND(ISNUMBER($R185),ISNUMBER($M185),$R185&gt;N($M185)+0.01)," · Pagado &gt; total","")&amp;IF(AND(ISNUMBER($R185),$R185&gt;0,$Q185="")," · Monto pagado sin fecha","")="","OK",MID(IF($B185=""," · Falta fecha","")&amp;IF($C185=""," · Falta proveedor","")&amp;IF(AND($D185&lt;&gt;"",COUNTIF(tblProductos[SKU],$D185)=0)," · SKU no existe","")&amp;IF($D185=""," · Falta SKU","")&amp;IF(OR($G185="",NOT(ISNUMBER($G185)),$G185&lt;=0)," · Cantidad inválida","")&amp;IF($H185=""," · Falta costo unitario","")&amp;IF(AND($P185="Pagado",$Q185="")," · Pago sin fecha","")&amp;IF(AND(ISNUMBER($R185),ISNUMBER($M185),$R185&gt;N($M185)+0.01)," · Pagado &gt; total","")&amp;IF(AND(ISNUMBER($R185),$R185&gt;0,$Q185="")," · Monto pagado sin fecha",""),4,900)))</f>
        <v/>
      </c>
    </row>
    <row r="186">
      <c r="A186" s="51">
        <f>IF(COUNTA($B186,$C186,$D186,$G186,$H186)=0,"","C-"&amp;TEXT(ROW()-6,"0000"))</f>
        <v/>
      </c>
      <c r="B186" s="41" t="n"/>
      <c r="C186" s="33" t="n"/>
      <c r="D186" s="33" t="n"/>
      <c r="E186" s="51">
        <f>IF($D186="","",IFERROR(IF(INDEX(tblProductos[Nombre del producto],MATCH($D186,tblProductos[SKU],0))="","",INDEX(tblProductos[Nombre del producto],MATCH($D186,tblProductos[SKU],0))),""))</f>
        <v/>
      </c>
      <c r="F186" s="51">
        <f>IF($D186="","",IFERROR(IF(INDEX(tblProductos[Categoría],MATCH($D186,tblProductos[SKU],0))="","",INDEX(tblProductos[Categoría],MATCH($D186,tblProductos[SKU],0))),""))</f>
        <v/>
      </c>
      <c r="G186" s="34" t="n"/>
      <c r="H186" s="36" t="n"/>
      <c r="I186" s="37">
        <f>IF(OR($G186="",$H186=""),"",$G186*$H186)</f>
        <v/>
      </c>
      <c r="J186" s="36" t="n"/>
      <c r="K186" s="36" t="n"/>
      <c r="L186" s="36" t="n"/>
      <c r="M186" s="37">
        <f>IF(NOT(ISNUMBER($I186)),"",$I186+SUM($J186:$L186))</f>
        <v/>
      </c>
      <c r="N186" s="37">
        <f>IF(OR(NOT(ISNUMBER($M186)),NOT(ISNUMBER($G186)),$G186&lt;=0),"",$M186/$G186)</f>
        <v/>
      </c>
      <c r="O186" s="33" t="n"/>
      <c r="P186" s="33" t="n"/>
      <c r="Q186" s="41" t="n"/>
      <c r="R186" s="36" t="n"/>
      <c r="S186" s="37">
        <f>IF(NOT(ISNUMBER($M186)),"",$M186-IF(ISNUMBER($R186),$R186,0))</f>
        <v/>
      </c>
      <c r="T186" s="33" t="n"/>
      <c r="U186" s="51">
        <f>IF(COUNTA($B186,$C186,$D186,$G186,$H186)=0,"",IF(IF($B186=""," · Falta fecha","")&amp;IF($C186=""," · Falta proveedor","")&amp;IF(AND($D186&lt;&gt;"",COUNTIF(tblProductos[SKU],$D186)=0)," · SKU no existe","")&amp;IF($D186=""," · Falta SKU","")&amp;IF(OR($G186="",NOT(ISNUMBER($G186)),$G186&lt;=0)," · Cantidad inválida","")&amp;IF($H186=""," · Falta costo unitario","")&amp;IF(AND($P186="Pagado",$Q186="")," · Pago sin fecha","")&amp;IF(AND(ISNUMBER($R186),ISNUMBER($M186),$R186&gt;N($M186)+0.01)," · Pagado &gt; total","")&amp;IF(AND(ISNUMBER($R186),$R186&gt;0,$Q186="")," · Monto pagado sin fecha","")="","OK",MID(IF($B186=""," · Falta fecha","")&amp;IF($C186=""," · Falta proveedor","")&amp;IF(AND($D186&lt;&gt;"",COUNTIF(tblProductos[SKU],$D186)=0)," · SKU no existe","")&amp;IF($D186=""," · Falta SKU","")&amp;IF(OR($G186="",NOT(ISNUMBER($G186)),$G186&lt;=0)," · Cantidad inválida","")&amp;IF($H186=""," · Falta costo unitario","")&amp;IF(AND($P186="Pagado",$Q186="")," · Pago sin fecha","")&amp;IF(AND(ISNUMBER($R186),ISNUMBER($M186),$R186&gt;N($M186)+0.01)," · Pagado &gt; total","")&amp;IF(AND(ISNUMBER($R186),$R186&gt;0,$Q186="")," · Monto pagado sin fecha",""),4,900)))</f>
        <v/>
      </c>
    </row>
    <row r="187">
      <c r="A187" s="51">
        <f>IF(COUNTA($B187,$C187,$D187,$G187,$H187)=0,"","C-"&amp;TEXT(ROW()-6,"0000"))</f>
        <v/>
      </c>
      <c r="B187" s="41" t="n"/>
      <c r="C187" s="33" t="n"/>
      <c r="D187" s="33" t="n"/>
      <c r="E187" s="51">
        <f>IF($D187="","",IFERROR(IF(INDEX(tblProductos[Nombre del producto],MATCH($D187,tblProductos[SKU],0))="","",INDEX(tblProductos[Nombre del producto],MATCH($D187,tblProductos[SKU],0))),""))</f>
        <v/>
      </c>
      <c r="F187" s="51">
        <f>IF($D187="","",IFERROR(IF(INDEX(tblProductos[Categoría],MATCH($D187,tblProductos[SKU],0))="","",INDEX(tblProductos[Categoría],MATCH($D187,tblProductos[SKU],0))),""))</f>
        <v/>
      </c>
      <c r="G187" s="34" t="n"/>
      <c r="H187" s="36" t="n"/>
      <c r="I187" s="37">
        <f>IF(OR($G187="",$H187=""),"",$G187*$H187)</f>
        <v/>
      </c>
      <c r="J187" s="36" t="n"/>
      <c r="K187" s="36" t="n"/>
      <c r="L187" s="36" t="n"/>
      <c r="M187" s="37">
        <f>IF(NOT(ISNUMBER($I187)),"",$I187+SUM($J187:$L187))</f>
        <v/>
      </c>
      <c r="N187" s="37">
        <f>IF(OR(NOT(ISNUMBER($M187)),NOT(ISNUMBER($G187)),$G187&lt;=0),"",$M187/$G187)</f>
        <v/>
      </c>
      <c r="O187" s="33" t="n"/>
      <c r="P187" s="33" t="n"/>
      <c r="Q187" s="41" t="n"/>
      <c r="R187" s="36" t="n"/>
      <c r="S187" s="37">
        <f>IF(NOT(ISNUMBER($M187)),"",$M187-IF(ISNUMBER($R187),$R187,0))</f>
        <v/>
      </c>
      <c r="T187" s="33" t="n"/>
      <c r="U187" s="51">
        <f>IF(COUNTA($B187,$C187,$D187,$G187,$H187)=0,"",IF(IF($B187=""," · Falta fecha","")&amp;IF($C187=""," · Falta proveedor","")&amp;IF(AND($D187&lt;&gt;"",COUNTIF(tblProductos[SKU],$D187)=0)," · SKU no existe","")&amp;IF($D187=""," · Falta SKU","")&amp;IF(OR($G187="",NOT(ISNUMBER($G187)),$G187&lt;=0)," · Cantidad inválida","")&amp;IF($H187=""," · Falta costo unitario","")&amp;IF(AND($P187="Pagado",$Q187="")," · Pago sin fecha","")&amp;IF(AND(ISNUMBER($R187),ISNUMBER($M187),$R187&gt;N($M187)+0.01)," · Pagado &gt; total","")&amp;IF(AND(ISNUMBER($R187),$R187&gt;0,$Q187="")," · Monto pagado sin fecha","")="","OK",MID(IF($B187=""," · Falta fecha","")&amp;IF($C187=""," · Falta proveedor","")&amp;IF(AND($D187&lt;&gt;"",COUNTIF(tblProductos[SKU],$D187)=0)," · SKU no existe","")&amp;IF($D187=""," · Falta SKU","")&amp;IF(OR($G187="",NOT(ISNUMBER($G187)),$G187&lt;=0)," · Cantidad inválida","")&amp;IF($H187=""," · Falta costo unitario","")&amp;IF(AND($P187="Pagado",$Q187="")," · Pago sin fecha","")&amp;IF(AND(ISNUMBER($R187),ISNUMBER($M187),$R187&gt;N($M187)+0.01)," · Pagado &gt; total","")&amp;IF(AND(ISNUMBER($R187),$R187&gt;0,$Q187="")," · Monto pagado sin fecha",""),4,900)))</f>
        <v/>
      </c>
    </row>
    <row r="188">
      <c r="A188" s="51">
        <f>IF(COUNTA($B188,$C188,$D188,$G188,$H188)=0,"","C-"&amp;TEXT(ROW()-6,"0000"))</f>
        <v/>
      </c>
      <c r="B188" s="41" t="n"/>
      <c r="C188" s="33" t="n"/>
      <c r="D188" s="33" t="n"/>
      <c r="E188" s="51">
        <f>IF($D188="","",IFERROR(IF(INDEX(tblProductos[Nombre del producto],MATCH($D188,tblProductos[SKU],0))="","",INDEX(tblProductos[Nombre del producto],MATCH($D188,tblProductos[SKU],0))),""))</f>
        <v/>
      </c>
      <c r="F188" s="51">
        <f>IF($D188="","",IFERROR(IF(INDEX(tblProductos[Categoría],MATCH($D188,tblProductos[SKU],0))="","",INDEX(tblProductos[Categoría],MATCH($D188,tblProductos[SKU],0))),""))</f>
        <v/>
      </c>
      <c r="G188" s="34" t="n"/>
      <c r="H188" s="36" t="n"/>
      <c r="I188" s="37">
        <f>IF(OR($G188="",$H188=""),"",$G188*$H188)</f>
        <v/>
      </c>
      <c r="J188" s="36" t="n"/>
      <c r="K188" s="36" t="n"/>
      <c r="L188" s="36" t="n"/>
      <c r="M188" s="37">
        <f>IF(NOT(ISNUMBER($I188)),"",$I188+SUM($J188:$L188))</f>
        <v/>
      </c>
      <c r="N188" s="37">
        <f>IF(OR(NOT(ISNUMBER($M188)),NOT(ISNUMBER($G188)),$G188&lt;=0),"",$M188/$G188)</f>
        <v/>
      </c>
      <c r="O188" s="33" t="n"/>
      <c r="P188" s="33" t="n"/>
      <c r="Q188" s="41" t="n"/>
      <c r="R188" s="36" t="n"/>
      <c r="S188" s="37">
        <f>IF(NOT(ISNUMBER($M188)),"",$M188-IF(ISNUMBER($R188),$R188,0))</f>
        <v/>
      </c>
      <c r="T188" s="33" t="n"/>
      <c r="U188" s="51">
        <f>IF(COUNTA($B188,$C188,$D188,$G188,$H188)=0,"",IF(IF($B188=""," · Falta fecha","")&amp;IF($C188=""," · Falta proveedor","")&amp;IF(AND($D188&lt;&gt;"",COUNTIF(tblProductos[SKU],$D188)=0)," · SKU no existe","")&amp;IF($D188=""," · Falta SKU","")&amp;IF(OR($G188="",NOT(ISNUMBER($G188)),$G188&lt;=0)," · Cantidad inválida","")&amp;IF($H188=""," · Falta costo unitario","")&amp;IF(AND($P188="Pagado",$Q188="")," · Pago sin fecha","")&amp;IF(AND(ISNUMBER($R188),ISNUMBER($M188),$R188&gt;N($M188)+0.01)," · Pagado &gt; total","")&amp;IF(AND(ISNUMBER($R188),$R188&gt;0,$Q188="")," · Monto pagado sin fecha","")="","OK",MID(IF($B188=""," · Falta fecha","")&amp;IF($C188=""," · Falta proveedor","")&amp;IF(AND($D188&lt;&gt;"",COUNTIF(tblProductos[SKU],$D188)=0)," · SKU no existe","")&amp;IF($D188=""," · Falta SKU","")&amp;IF(OR($G188="",NOT(ISNUMBER($G188)),$G188&lt;=0)," · Cantidad inválida","")&amp;IF($H188=""," · Falta costo unitario","")&amp;IF(AND($P188="Pagado",$Q188="")," · Pago sin fecha","")&amp;IF(AND(ISNUMBER($R188),ISNUMBER($M188),$R188&gt;N($M188)+0.01)," · Pagado &gt; total","")&amp;IF(AND(ISNUMBER($R188),$R188&gt;0,$Q188="")," · Monto pagado sin fecha",""),4,900)))</f>
        <v/>
      </c>
    </row>
    <row r="189">
      <c r="A189" s="51">
        <f>IF(COUNTA($B189,$C189,$D189,$G189,$H189)=0,"","C-"&amp;TEXT(ROW()-6,"0000"))</f>
        <v/>
      </c>
      <c r="B189" s="41" t="n"/>
      <c r="C189" s="33" t="n"/>
      <c r="D189" s="33" t="n"/>
      <c r="E189" s="51">
        <f>IF($D189="","",IFERROR(IF(INDEX(tblProductos[Nombre del producto],MATCH($D189,tblProductos[SKU],0))="","",INDEX(tblProductos[Nombre del producto],MATCH($D189,tblProductos[SKU],0))),""))</f>
        <v/>
      </c>
      <c r="F189" s="51">
        <f>IF($D189="","",IFERROR(IF(INDEX(tblProductos[Categoría],MATCH($D189,tblProductos[SKU],0))="","",INDEX(tblProductos[Categoría],MATCH($D189,tblProductos[SKU],0))),""))</f>
        <v/>
      </c>
      <c r="G189" s="34" t="n"/>
      <c r="H189" s="36" t="n"/>
      <c r="I189" s="37">
        <f>IF(OR($G189="",$H189=""),"",$G189*$H189)</f>
        <v/>
      </c>
      <c r="J189" s="36" t="n"/>
      <c r="K189" s="36" t="n"/>
      <c r="L189" s="36" t="n"/>
      <c r="M189" s="37">
        <f>IF(NOT(ISNUMBER($I189)),"",$I189+SUM($J189:$L189))</f>
        <v/>
      </c>
      <c r="N189" s="37">
        <f>IF(OR(NOT(ISNUMBER($M189)),NOT(ISNUMBER($G189)),$G189&lt;=0),"",$M189/$G189)</f>
        <v/>
      </c>
      <c r="O189" s="33" t="n"/>
      <c r="P189" s="33" t="n"/>
      <c r="Q189" s="41" t="n"/>
      <c r="R189" s="36" t="n"/>
      <c r="S189" s="37">
        <f>IF(NOT(ISNUMBER($M189)),"",$M189-IF(ISNUMBER($R189),$R189,0))</f>
        <v/>
      </c>
      <c r="T189" s="33" t="n"/>
      <c r="U189" s="51">
        <f>IF(COUNTA($B189,$C189,$D189,$G189,$H189)=0,"",IF(IF($B189=""," · Falta fecha","")&amp;IF($C189=""," · Falta proveedor","")&amp;IF(AND($D189&lt;&gt;"",COUNTIF(tblProductos[SKU],$D189)=0)," · SKU no existe","")&amp;IF($D189=""," · Falta SKU","")&amp;IF(OR($G189="",NOT(ISNUMBER($G189)),$G189&lt;=0)," · Cantidad inválida","")&amp;IF($H189=""," · Falta costo unitario","")&amp;IF(AND($P189="Pagado",$Q189="")," · Pago sin fecha","")&amp;IF(AND(ISNUMBER($R189),ISNUMBER($M189),$R189&gt;N($M189)+0.01)," · Pagado &gt; total","")&amp;IF(AND(ISNUMBER($R189),$R189&gt;0,$Q189="")," · Monto pagado sin fecha","")="","OK",MID(IF($B189=""," · Falta fecha","")&amp;IF($C189=""," · Falta proveedor","")&amp;IF(AND($D189&lt;&gt;"",COUNTIF(tblProductos[SKU],$D189)=0)," · SKU no existe","")&amp;IF($D189=""," · Falta SKU","")&amp;IF(OR($G189="",NOT(ISNUMBER($G189)),$G189&lt;=0)," · Cantidad inválida","")&amp;IF($H189=""," · Falta costo unitario","")&amp;IF(AND($P189="Pagado",$Q189="")," · Pago sin fecha","")&amp;IF(AND(ISNUMBER($R189),ISNUMBER($M189),$R189&gt;N($M189)+0.01)," · Pagado &gt; total","")&amp;IF(AND(ISNUMBER($R189),$R189&gt;0,$Q189="")," · Monto pagado sin fecha",""),4,900)))</f>
        <v/>
      </c>
    </row>
    <row r="190">
      <c r="A190" s="51">
        <f>IF(COUNTA($B190,$C190,$D190,$G190,$H190)=0,"","C-"&amp;TEXT(ROW()-6,"0000"))</f>
        <v/>
      </c>
      <c r="B190" s="41" t="n"/>
      <c r="C190" s="33" t="n"/>
      <c r="D190" s="33" t="n"/>
      <c r="E190" s="51">
        <f>IF($D190="","",IFERROR(IF(INDEX(tblProductos[Nombre del producto],MATCH($D190,tblProductos[SKU],0))="","",INDEX(tblProductos[Nombre del producto],MATCH($D190,tblProductos[SKU],0))),""))</f>
        <v/>
      </c>
      <c r="F190" s="51">
        <f>IF($D190="","",IFERROR(IF(INDEX(tblProductos[Categoría],MATCH($D190,tblProductos[SKU],0))="","",INDEX(tblProductos[Categoría],MATCH($D190,tblProductos[SKU],0))),""))</f>
        <v/>
      </c>
      <c r="G190" s="34" t="n"/>
      <c r="H190" s="36" t="n"/>
      <c r="I190" s="37">
        <f>IF(OR($G190="",$H190=""),"",$G190*$H190)</f>
        <v/>
      </c>
      <c r="J190" s="36" t="n"/>
      <c r="K190" s="36" t="n"/>
      <c r="L190" s="36" t="n"/>
      <c r="M190" s="37">
        <f>IF(NOT(ISNUMBER($I190)),"",$I190+SUM($J190:$L190))</f>
        <v/>
      </c>
      <c r="N190" s="37">
        <f>IF(OR(NOT(ISNUMBER($M190)),NOT(ISNUMBER($G190)),$G190&lt;=0),"",$M190/$G190)</f>
        <v/>
      </c>
      <c r="O190" s="33" t="n"/>
      <c r="P190" s="33" t="n"/>
      <c r="Q190" s="41" t="n"/>
      <c r="R190" s="36" t="n"/>
      <c r="S190" s="37">
        <f>IF(NOT(ISNUMBER($M190)),"",$M190-IF(ISNUMBER($R190),$R190,0))</f>
        <v/>
      </c>
      <c r="T190" s="33" t="n"/>
      <c r="U190" s="51">
        <f>IF(COUNTA($B190,$C190,$D190,$G190,$H190)=0,"",IF(IF($B190=""," · Falta fecha","")&amp;IF($C190=""," · Falta proveedor","")&amp;IF(AND($D190&lt;&gt;"",COUNTIF(tblProductos[SKU],$D190)=0)," · SKU no existe","")&amp;IF($D190=""," · Falta SKU","")&amp;IF(OR($G190="",NOT(ISNUMBER($G190)),$G190&lt;=0)," · Cantidad inválida","")&amp;IF($H190=""," · Falta costo unitario","")&amp;IF(AND($P190="Pagado",$Q190="")," · Pago sin fecha","")&amp;IF(AND(ISNUMBER($R190),ISNUMBER($M190),$R190&gt;N($M190)+0.01)," · Pagado &gt; total","")&amp;IF(AND(ISNUMBER($R190),$R190&gt;0,$Q190="")," · Monto pagado sin fecha","")="","OK",MID(IF($B190=""," · Falta fecha","")&amp;IF($C190=""," · Falta proveedor","")&amp;IF(AND($D190&lt;&gt;"",COUNTIF(tblProductos[SKU],$D190)=0)," · SKU no existe","")&amp;IF($D190=""," · Falta SKU","")&amp;IF(OR($G190="",NOT(ISNUMBER($G190)),$G190&lt;=0)," · Cantidad inválida","")&amp;IF($H190=""," · Falta costo unitario","")&amp;IF(AND($P190="Pagado",$Q190="")," · Pago sin fecha","")&amp;IF(AND(ISNUMBER($R190),ISNUMBER($M190),$R190&gt;N($M190)+0.01)," · Pagado &gt; total","")&amp;IF(AND(ISNUMBER($R190),$R190&gt;0,$Q190="")," · Monto pagado sin fecha",""),4,900)))</f>
        <v/>
      </c>
    </row>
    <row r="191">
      <c r="A191" s="51">
        <f>IF(COUNTA($B191,$C191,$D191,$G191,$H191)=0,"","C-"&amp;TEXT(ROW()-6,"0000"))</f>
        <v/>
      </c>
      <c r="B191" s="41" t="n"/>
      <c r="C191" s="33" t="n"/>
      <c r="D191" s="33" t="n"/>
      <c r="E191" s="51">
        <f>IF($D191="","",IFERROR(IF(INDEX(tblProductos[Nombre del producto],MATCH($D191,tblProductos[SKU],0))="","",INDEX(tblProductos[Nombre del producto],MATCH($D191,tblProductos[SKU],0))),""))</f>
        <v/>
      </c>
      <c r="F191" s="51">
        <f>IF($D191="","",IFERROR(IF(INDEX(tblProductos[Categoría],MATCH($D191,tblProductos[SKU],0))="","",INDEX(tblProductos[Categoría],MATCH($D191,tblProductos[SKU],0))),""))</f>
        <v/>
      </c>
      <c r="G191" s="34" t="n"/>
      <c r="H191" s="36" t="n"/>
      <c r="I191" s="37">
        <f>IF(OR($G191="",$H191=""),"",$G191*$H191)</f>
        <v/>
      </c>
      <c r="J191" s="36" t="n"/>
      <c r="K191" s="36" t="n"/>
      <c r="L191" s="36" t="n"/>
      <c r="M191" s="37">
        <f>IF(NOT(ISNUMBER($I191)),"",$I191+SUM($J191:$L191))</f>
        <v/>
      </c>
      <c r="N191" s="37">
        <f>IF(OR(NOT(ISNUMBER($M191)),NOT(ISNUMBER($G191)),$G191&lt;=0),"",$M191/$G191)</f>
        <v/>
      </c>
      <c r="O191" s="33" t="n"/>
      <c r="P191" s="33" t="n"/>
      <c r="Q191" s="41" t="n"/>
      <c r="R191" s="36" t="n"/>
      <c r="S191" s="37">
        <f>IF(NOT(ISNUMBER($M191)),"",$M191-IF(ISNUMBER($R191),$R191,0))</f>
        <v/>
      </c>
      <c r="T191" s="33" t="n"/>
      <c r="U191" s="51">
        <f>IF(COUNTA($B191,$C191,$D191,$G191,$H191)=0,"",IF(IF($B191=""," · Falta fecha","")&amp;IF($C191=""," · Falta proveedor","")&amp;IF(AND($D191&lt;&gt;"",COUNTIF(tblProductos[SKU],$D191)=0)," · SKU no existe","")&amp;IF($D191=""," · Falta SKU","")&amp;IF(OR($G191="",NOT(ISNUMBER($G191)),$G191&lt;=0)," · Cantidad inválida","")&amp;IF($H191=""," · Falta costo unitario","")&amp;IF(AND($P191="Pagado",$Q191="")," · Pago sin fecha","")&amp;IF(AND(ISNUMBER($R191),ISNUMBER($M191),$R191&gt;N($M191)+0.01)," · Pagado &gt; total","")&amp;IF(AND(ISNUMBER($R191),$R191&gt;0,$Q191="")," · Monto pagado sin fecha","")="","OK",MID(IF($B191=""," · Falta fecha","")&amp;IF($C191=""," · Falta proveedor","")&amp;IF(AND($D191&lt;&gt;"",COUNTIF(tblProductos[SKU],$D191)=0)," · SKU no existe","")&amp;IF($D191=""," · Falta SKU","")&amp;IF(OR($G191="",NOT(ISNUMBER($G191)),$G191&lt;=0)," · Cantidad inválida","")&amp;IF($H191=""," · Falta costo unitario","")&amp;IF(AND($P191="Pagado",$Q191="")," · Pago sin fecha","")&amp;IF(AND(ISNUMBER($R191),ISNUMBER($M191),$R191&gt;N($M191)+0.01)," · Pagado &gt; total","")&amp;IF(AND(ISNUMBER($R191),$R191&gt;0,$Q191="")," · Monto pagado sin fecha",""),4,900)))</f>
        <v/>
      </c>
    </row>
    <row r="192">
      <c r="A192" s="51">
        <f>IF(COUNTA($B192,$C192,$D192,$G192,$H192)=0,"","C-"&amp;TEXT(ROW()-6,"0000"))</f>
        <v/>
      </c>
      <c r="B192" s="41" t="n"/>
      <c r="C192" s="33" t="n"/>
      <c r="D192" s="33" t="n"/>
      <c r="E192" s="51">
        <f>IF($D192="","",IFERROR(IF(INDEX(tblProductos[Nombre del producto],MATCH($D192,tblProductos[SKU],0))="","",INDEX(tblProductos[Nombre del producto],MATCH($D192,tblProductos[SKU],0))),""))</f>
        <v/>
      </c>
      <c r="F192" s="51">
        <f>IF($D192="","",IFERROR(IF(INDEX(tblProductos[Categoría],MATCH($D192,tblProductos[SKU],0))="","",INDEX(tblProductos[Categoría],MATCH($D192,tblProductos[SKU],0))),""))</f>
        <v/>
      </c>
      <c r="G192" s="34" t="n"/>
      <c r="H192" s="36" t="n"/>
      <c r="I192" s="37">
        <f>IF(OR($G192="",$H192=""),"",$G192*$H192)</f>
        <v/>
      </c>
      <c r="J192" s="36" t="n"/>
      <c r="K192" s="36" t="n"/>
      <c r="L192" s="36" t="n"/>
      <c r="M192" s="37">
        <f>IF(NOT(ISNUMBER($I192)),"",$I192+SUM($J192:$L192))</f>
        <v/>
      </c>
      <c r="N192" s="37">
        <f>IF(OR(NOT(ISNUMBER($M192)),NOT(ISNUMBER($G192)),$G192&lt;=0),"",$M192/$G192)</f>
        <v/>
      </c>
      <c r="O192" s="33" t="n"/>
      <c r="P192" s="33" t="n"/>
      <c r="Q192" s="41" t="n"/>
      <c r="R192" s="36" t="n"/>
      <c r="S192" s="37">
        <f>IF(NOT(ISNUMBER($M192)),"",$M192-IF(ISNUMBER($R192),$R192,0))</f>
        <v/>
      </c>
      <c r="T192" s="33" t="n"/>
      <c r="U192" s="51">
        <f>IF(COUNTA($B192,$C192,$D192,$G192,$H192)=0,"",IF(IF($B192=""," · Falta fecha","")&amp;IF($C192=""," · Falta proveedor","")&amp;IF(AND($D192&lt;&gt;"",COUNTIF(tblProductos[SKU],$D192)=0)," · SKU no existe","")&amp;IF($D192=""," · Falta SKU","")&amp;IF(OR($G192="",NOT(ISNUMBER($G192)),$G192&lt;=0)," · Cantidad inválida","")&amp;IF($H192=""," · Falta costo unitario","")&amp;IF(AND($P192="Pagado",$Q192="")," · Pago sin fecha","")&amp;IF(AND(ISNUMBER($R192),ISNUMBER($M192),$R192&gt;N($M192)+0.01)," · Pagado &gt; total","")&amp;IF(AND(ISNUMBER($R192),$R192&gt;0,$Q192="")," · Monto pagado sin fecha","")="","OK",MID(IF($B192=""," · Falta fecha","")&amp;IF($C192=""," · Falta proveedor","")&amp;IF(AND($D192&lt;&gt;"",COUNTIF(tblProductos[SKU],$D192)=0)," · SKU no existe","")&amp;IF($D192=""," · Falta SKU","")&amp;IF(OR($G192="",NOT(ISNUMBER($G192)),$G192&lt;=0)," · Cantidad inválida","")&amp;IF($H192=""," · Falta costo unitario","")&amp;IF(AND($P192="Pagado",$Q192="")," · Pago sin fecha","")&amp;IF(AND(ISNUMBER($R192),ISNUMBER($M192),$R192&gt;N($M192)+0.01)," · Pagado &gt; total","")&amp;IF(AND(ISNUMBER($R192),$R192&gt;0,$Q192="")," · Monto pagado sin fecha",""),4,900)))</f>
        <v/>
      </c>
    </row>
    <row r="193">
      <c r="A193" s="51">
        <f>IF(COUNTA($B193,$C193,$D193,$G193,$H193)=0,"","C-"&amp;TEXT(ROW()-6,"0000"))</f>
        <v/>
      </c>
      <c r="B193" s="41" t="n"/>
      <c r="C193" s="33" t="n"/>
      <c r="D193" s="33" t="n"/>
      <c r="E193" s="51">
        <f>IF($D193="","",IFERROR(IF(INDEX(tblProductos[Nombre del producto],MATCH($D193,tblProductos[SKU],0))="","",INDEX(tblProductos[Nombre del producto],MATCH($D193,tblProductos[SKU],0))),""))</f>
        <v/>
      </c>
      <c r="F193" s="51">
        <f>IF($D193="","",IFERROR(IF(INDEX(tblProductos[Categoría],MATCH($D193,tblProductos[SKU],0))="","",INDEX(tblProductos[Categoría],MATCH($D193,tblProductos[SKU],0))),""))</f>
        <v/>
      </c>
      <c r="G193" s="34" t="n"/>
      <c r="H193" s="36" t="n"/>
      <c r="I193" s="37">
        <f>IF(OR($G193="",$H193=""),"",$G193*$H193)</f>
        <v/>
      </c>
      <c r="J193" s="36" t="n"/>
      <c r="K193" s="36" t="n"/>
      <c r="L193" s="36" t="n"/>
      <c r="M193" s="37">
        <f>IF(NOT(ISNUMBER($I193)),"",$I193+SUM($J193:$L193))</f>
        <v/>
      </c>
      <c r="N193" s="37">
        <f>IF(OR(NOT(ISNUMBER($M193)),NOT(ISNUMBER($G193)),$G193&lt;=0),"",$M193/$G193)</f>
        <v/>
      </c>
      <c r="O193" s="33" t="n"/>
      <c r="P193" s="33" t="n"/>
      <c r="Q193" s="41" t="n"/>
      <c r="R193" s="36" t="n"/>
      <c r="S193" s="37">
        <f>IF(NOT(ISNUMBER($M193)),"",$M193-IF(ISNUMBER($R193),$R193,0))</f>
        <v/>
      </c>
      <c r="T193" s="33" t="n"/>
      <c r="U193" s="51">
        <f>IF(COUNTA($B193,$C193,$D193,$G193,$H193)=0,"",IF(IF($B193=""," · Falta fecha","")&amp;IF($C193=""," · Falta proveedor","")&amp;IF(AND($D193&lt;&gt;"",COUNTIF(tblProductos[SKU],$D193)=0)," · SKU no existe","")&amp;IF($D193=""," · Falta SKU","")&amp;IF(OR($G193="",NOT(ISNUMBER($G193)),$G193&lt;=0)," · Cantidad inválida","")&amp;IF($H193=""," · Falta costo unitario","")&amp;IF(AND($P193="Pagado",$Q193="")," · Pago sin fecha","")&amp;IF(AND(ISNUMBER($R193),ISNUMBER($M193),$R193&gt;N($M193)+0.01)," · Pagado &gt; total","")&amp;IF(AND(ISNUMBER($R193),$R193&gt;0,$Q193="")," · Monto pagado sin fecha","")="","OK",MID(IF($B193=""," · Falta fecha","")&amp;IF($C193=""," · Falta proveedor","")&amp;IF(AND($D193&lt;&gt;"",COUNTIF(tblProductos[SKU],$D193)=0)," · SKU no existe","")&amp;IF($D193=""," · Falta SKU","")&amp;IF(OR($G193="",NOT(ISNUMBER($G193)),$G193&lt;=0)," · Cantidad inválida","")&amp;IF($H193=""," · Falta costo unitario","")&amp;IF(AND($P193="Pagado",$Q193="")," · Pago sin fecha","")&amp;IF(AND(ISNUMBER($R193),ISNUMBER($M193),$R193&gt;N($M193)+0.01)," · Pagado &gt; total","")&amp;IF(AND(ISNUMBER($R193),$R193&gt;0,$Q193="")," · Monto pagado sin fecha",""),4,900)))</f>
        <v/>
      </c>
    </row>
    <row r="194">
      <c r="A194" s="51">
        <f>IF(COUNTA($B194,$C194,$D194,$G194,$H194)=0,"","C-"&amp;TEXT(ROW()-6,"0000"))</f>
        <v/>
      </c>
      <c r="B194" s="41" t="n"/>
      <c r="C194" s="33" t="n"/>
      <c r="D194" s="33" t="n"/>
      <c r="E194" s="51">
        <f>IF($D194="","",IFERROR(IF(INDEX(tblProductos[Nombre del producto],MATCH($D194,tblProductos[SKU],0))="","",INDEX(tblProductos[Nombre del producto],MATCH($D194,tblProductos[SKU],0))),""))</f>
        <v/>
      </c>
      <c r="F194" s="51">
        <f>IF($D194="","",IFERROR(IF(INDEX(tblProductos[Categoría],MATCH($D194,tblProductos[SKU],0))="","",INDEX(tblProductos[Categoría],MATCH($D194,tblProductos[SKU],0))),""))</f>
        <v/>
      </c>
      <c r="G194" s="34" t="n"/>
      <c r="H194" s="36" t="n"/>
      <c r="I194" s="37">
        <f>IF(OR($G194="",$H194=""),"",$G194*$H194)</f>
        <v/>
      </c>
      <c r="J194" s="36" t="n"/>
      <c r="K194" s="36" t="n"/>
      <c r="L194" s="36" t="n"/>
      <c r="M194" s="37">
        <f>IF(NOT(ISNUMBER($I194)),"",$I194+SUM($J194:$L194))</f>
        <v/>
      </c>
      <c r="N194" s="37">
        <f>IF(OR(NOT(ISNUMBER($M194)),NOT(ISNUMBER($G194)),$G194&lt;=0),"",$M194/$G194)</f>
        <v/>
      </c>
      <c r="O194" s="33" t="n"/>
      <c r="P194" s="33" t="n"/>
      <c r="Q194" s="41" t="n"/>
      <c r="R194" s="36" t="n"/>
      <c r="S194" s="37">
        <f>IF(NOT(ISNUMBER($M194)),"",$M194-IF(ISNUMBER($R194),$R194,0))</f>
        <v/>
      </c>
      <c r="T194" s="33" t="n"/>
      <c r="U194" s="51">
        <f>IF(COUNTA($B194,$C194,$D194,$G194,$H194)=0,"",IF(IF($B194=""," · Falta fecha","")&amp;IF($C194=""," · Falta proveedor","")&amp;IF(AND($D194&lt;&gt;"",COUNTIF(tblProductos[SKU],$D194)=0)," · SKU no existe","")&amp;IF($D194=""," · Falta SKU","")&amp;IF(OR($G194="",NOT(ISNUMBER($G194)),$G194&lt;=0)," · Cantidad inválida","")&amp;IF($H194=""," · Falta costo unitario","")&amp;IF(AND($P194="Pagado",$Q194="")," · Pago sin fecha","")&amp;IF(AND(ISNUMBER($R194),ISNUMBER($M194),$R194&gt;N($M194)+0.01)," · Pagado &gt; total","")&amp;IF(AND(ISNUMBER($R194),$R194&gt;0,$Q194="")," · Monto pagado sin fecha","")="","OK",MID(IF($B194=""," · Falta fecha","")&amp;IF($C194=""," · Falta proveedor","")&amp;IF(AND($D194&lt;&gt;"",COUNTIF(tblProductos[SKU],$D194)=0)," · SKU no existe","")&amp;IF($D194=""," · Falta SKU","")&amp;IF(OR($G194="",NOT(ISNUMBER($G194)),$G194&lt;=0)," · Cantidad inválida","")&amp;IF($H194=""," · Falta costo unitario","")&amp;IF(AND($P194="Pagado",$Q194="")," · Pago sin fecha","")&amp;IF(AND(ISNUMBER($R194),ISNUMBER($M194),$R194&gt;N($M194)+0.01)," · Pagado &gt; total","")&amp;IF(AND(ISNUMBER($R194),$R194&gt;0,$Q194="")," · Monto pagado sin fecha",""),4,900)))</f>
        <v/>
      </c>
    </row>
    <row r="195">
      <c r="A195" s="51">
        <f>IF(COUNTA($B195,$C195,$D195,$G195,$H195)=0,"","C-"&amp;TEXT(ROW()-6,"0000"))</f>
        <v/>
      </c>
      <c r="B195" s="41" t="n"/>
      <c r="C195" s="33" t="n"/>
      <c r="D195" s="33" t="n"/>
      <c r="E195" s="51">
        <f>IF($D195="","",IFERROR(IF(INDEX(tblProductos[Nombre del producto],MATCH($D195,tblProductos[SKU],0))="","",INDEX(tblProductos[Nombre del producto],MATCH($D195,tblProductos[SKU],0))),""))</f>
        <v/>
      </c>
      <c r="F195" s="51">
        <f>IF($D195="","",IFERROR(IF(INDEX(tblProductos[Categoría],MATCH($D195,tblProductos[SKU],0))="","",INDEX(tblProductos[Categoría],MATCH($D195,tblProductos[SKU],0))),""))</f>
        <v/>
      </c>
      <c r="G195" s="34" t="n"/>
      <c r="H195" s="36" t="n"/>
      <c r="I195" s="37">
        <f>IF(OR($G195="",$H195=""),"",$G195*$H195)</f>
        <v/>
      </c>
      <c r="J195" s="36" t="n"/>
      <c r="K195" s="36" t="n"/>
      <c r="L195" s="36" t="n"/>
      <c r="M195" s="37">
        <f>IF(NOT(ISNUMBER($I195)),"",$I195+SUM($J195:$L195))</f>
        <v/>
      </c>
      <c r="N195" s="37">
        <f>IF(OR(NOT(ISNUMBER($M195)),NOT(ISNUMBER($G195)),$G195&lt;=0),"",$M195/$G195)</f>
        <v/>
      </c>
      <c r="O195" s="33" t="n"/>
      <c r="P195" s="33" t="n"/>
      <c r="Q195" s="41" t="n"/>
      <c r="R195" s="36" t="n"/>
      <c r="S195" s="37">
        <f>IF(NOT(ISNUMBER($M195)),"",$M195-IF(ISNUMBER($R195),$R195,0))</f>
        <v/>
      </c>
      <c r="T195" s="33" t="n"/>
      <c r="U195" s="51">
        <f>IF(COUNTA($B195,$C195,$D195,$G195,$H195)=0,"",IF(IF($B195=""," · Falta fecha","")&amp;IF($C195=""," · Falta proveedor","")&amp;IF(AND($D195&lt;&gt;"",COUNTIF(tblProductos[SKU],$D195)=0)," · SKU no existe","")&amp;IF($D195=""," · Falta SKU","")&amp;IF(OR($G195="",NOT(ISNUMBER($G195)),$G195&lt;=0)," · Cantidad inválida","")&amp;IF($H195=""," · Falta costo unitario","")&amp;IF(AND($P195="Pagado",$Q195="")," · Pago sin fecha","")&amp;IF(AND(ISNUMBER($R195),ISNUMBER($M195),$R195&gt;N($M195)+0.01)," · Pagado &gt; total","")&amp;IF(AND(ISNUMBER($R195),$R195&gt;0,$Q195="")," · Monto pagado sin fecha","")="","OK",MID(IF($B195=""," · Falta fecha","")&amp;IF($C195=""," · Falta proveedor","")&amp;IF(AND($D195&lt;&gt;"",COUNTIF(tblProductos[SKU],$D195)=0)," · SKU no existe","")&amp;IF($D195=""," · Falta SKU","")&amp;IF(OR($G195="",NOT(ISNUMBER($G195)),$G195&lt;=0)," · Cantidad inválida","")&amp;IF($H195=""," · Falta costo unitario","")&amp;IF(AND($P195="Pagado",$Q195="")," · Pago sin fecha","")&amp;IF(AND(ISNUMBER($R195),ISNUMBER($M195),$R195&gt;N($M195)+0.01)," · Pagado &gt; total","")&amp;IF(AND(ISNUMBER($R195),$R195&gt;0,$Q195="")," · Monto pagado sin fecha",""),4,900)))</f>
        <v/>
      </c>
    </row>
    <row r="196">
      <c r="A196" s="51">
        <f>IF(COUNTA($B196,$C196,$D196,$G196,$H196)=0,"","C-"&amp;TEXT(ROW()-6,"0000"))</f>
        <v/>
      </c>
      <c r="B196" s="41" t="n"/>
      <c r="C196" s="33" t="n"/>
      <c r="D196" s="33" t="n"/>
      <c r="E196" s="51">
        <f>IF($D196="","",IFERROR(IF(INDEX(tblProductos[Nombre del producto],MATCH($D196,tblProductos[SKU],0))="","",INDEX(tblProductos[Nombre del producto],MATCH($D196,tblProductos[SKU],0))),""))</f>
        <v/>
      </c>
      <c r="F196" s="51">
        <f>IF($D196="","",IFERROR(IF(INDEX(tblProductos[Categoría],MATCH($D196,tblProductos[SKU],0))="","",INDEX(tblProductos[Categoría],MATCH($D196,tblProductos[SKU],0))),""))</f>
        <v/>
      </c>
      <c r="G196" s="34" t="n"/>
      <c r="H196" s="36" t="n"/>
      <c r="I196" s="37">
        <f>IF(OR($G196="",$H196=""),"",$G196*$H196)</f>
        <v/>
      </c>
      <c r="J196" s="36" t="n"/>
      <c r="K196" s="36" t="n"/>
      <c r="L196" s="36" t="n"/>
      <c r="M196" s="37">
        <f>IF(NOT(ISNUMBER($I196)),"",$I196+SUM($J196:$L196))</f>
        <v/>
      </c>
      <c r="N196" s="37">
        <f>IF(OR(NOT(ISNUMBER($M196)),NOT(ISNUMBER($G196)),$G196&lt;=0),"",$M196/$G196)</f>
        <v/>
      </c>
      <c r="O196" s="33" t="n"/>
      <c r="P196" s="33" t="n"/>
      <c r="Q196" s="41" t="n"/>
      <c r="R196" s="36" t="n"/>
      <c r="S196" s="37">
        <f>IF(NOT(ISNUMBER($M196)),"",$M196-IF(ISNUMBER($R196),$R196,0))</f>
        <v/>
      </c>
      <c r="T196" s="33" t="n"/>
      <c r="U196" s="51">
        <f>IF(COUNTA($B196,$C196,$D196,$G196,$H196)=0,"",IF(IF($B196=""," · Falta fecha","")&amp;IF($C196=""," · Falta proveedor","")&amp;IF(AND($D196&lt;&gt;"",COUNTIF(tblProductos[SKU],$D196)=0)," · SKU no existe","")&amp;IF($D196=""," · Falta SKU","")&amp;IF(OR($G196="",NOT(ISNUMBER($G196)),$G196&lt;=0)," · Cantidad inválida","")&amp;IF($H196=""," · Falta costo unitario","")&amp;IF(AND($P196="Pagado",$Q196="")," · Pago sin fecha","")&amp;IF(AND(ISNUMBER($R196),ISNUMBER($M196),$R196&gt;N($M196)+0.01)," · Pagado &gt; total","")&amp;IF(AND(ISNUMBER($R196),$R196&gt;0,$Q196="")," · Monto pagado sin fecha","")="","OK",MID(IF($B196=""," · Falta fecha","")&amp;IF($C196=""," · Falta proveedor","")&amp;IF(AND($D196&lt;&gt;"",COUNTIF(tblProductos[SKU],$D196)=0)," · SKU no existe","")&amp;IF($D196=""," · Falta SKU","")&amp;IF(OR($G196="",NOT(ISNUMBER($G196)),$G196&lt;=0)," · Cantidad inválida","")&amp;IF($H196=""," · Falta costo unitario","")&amp;IF(AND($P196="Pagado",$Q196="")," · Pago sin fecha","")&amp;IF(AND(ISNUMBER($R196),ISNUMBER($M196),$R196&gt;N($M196)+0.01)," · Pagado &gt; total","")&amp;IF(AND(ISNUMBER($R196),$R196&gt;0,$Q196="")," · Monto pagado sin fecha",""),4,900)))</f>
        <v/>
      </c>
    </row>
    <row r="197">
      <c r="A197" s="51">
        <f>IF(COUNTA($B197,$C197,$D197,$G197,$H197)=0,"","C-"&amp;TEXT(ROW()-6,"0000"))</f>
        <v/>
      </c>
      <c r="B197" s="41" t="n"/>
      <c r="C197" s="33" t="n"/>
      <c r="D197" s="33" t="n"/>
      <c r="E197" s="51">
        <f>IF($D197="","",IFERROR(IF(INDEX(tblProductos[Nombre del producto],MATCH($D197,tblProductos[SKU],0))="","",INDEX(tblProductos[Nombre del producto],MATCH($D197,tblProductos[SKU],0))),""))</f>
        <v/>
      </c>
      <c r="F197" s="51">
        <f>IF($D197="","",IFERROR(IF(INDEX(tblProductos[Categoría],MATCH($D197,tblProductos[SKU],0))="","",INDEX(tblProductos[Categoría],MATCH($D197,tblProductos[SKU],0))),""))</f>
        <v/>
      </c>
      <c r="G197" s="34" t="n"/>
      <c r="H197" s="36" t="n"/>
      <c r="I197" s="37">
        <f>IF(OR($G197="",$H197=""),"",$G197*$H197)</f>
        <v/>
      </c>
      <c r="J197" s="36" t="n"/>
      <c r="K197" s="36" t="n"/>
      <c r="L197" s="36" t="n"/>
      <c r="M197" s="37">
        <f>IF(NOT(ISNUMBER($I197)),"",$I197+SUM($J197:$L197))</f>
        <v/>
      </c>
      <c r="N197" s="37">
        <f>IF(OR(NOT(ISNUMBER($M197)),NOT(ISNUMBER($G197)),$G197&lt;=0),"",$M197/$G197)</f>
        <v/>
      </c>
      <c r="O197" s="33" t="n"/>
      <c r="P197" s="33" t="n"/>
      <c r="Q197" s="41" t="n"/>
      <c r="R197" s="36" t="n"/>
      <c r="S197" s="37">
        <f>IF(NOT(ISNUMBER($M197)),"",$M197-IF(ISNUMBER($R197),$R197,0))</f>
        <v/>
      </c>
      <c r="T197" s="33" t="n"/>
      <c r="U197" s="51">
        <f>IF(COUNTA($B197,$C197,$D197,$G197,$H197)=0,"",IF(IF($B197=""," · Falta fecha","")&amp;IF($C197=""," · Falta proveedor","")&amp;IF(AND($D197&lt;&gt;"",COUNTIF(tblProductos[SKU],$D197)=0)," · SKU no existe","")&amp;IF($D197=""," · Falta SKU","")&amp;IF(OR($G197="",NOT(ISNUMBER($G197)),$G197&lt;=0)," · Cantidad inválida","")&amp;IF($H197=""," · Falta costo unitario","")&amp;IF(AND($P197="Pagado",$Q197="")," · Pago sin fecha","")&amp;IF(AND(ISNUMBER($R197),ISNUMBER($M197),$R197&gt;N($M197)+0.01)," · Pagado &gt; total","")&amp;IF(AND(ISNUMBER($R197),$R197&gt;0,$Q197="")," · Monto pagado sin fecha","")="","OK",MID(IF($B197=""," · Falta fecha","")&amp;IF($C197=""," · Falta proveedor","")&amp;IF(AND($D197&lt;&gt;"",COUNTIF(tblProductos[SKU],$D197)=0)," · SKU no existe","")&amp;IF($D197=""," · Falta SKU","")&amp;IF(OR($G197="",NOT(ISNUMBER($G197)),$G197&lt;=0)," · Cantidad inválida","")&amp;IF($H197=""," · Falta costo unitario","")&amp;IF(AND($P197="Pagado",$Q197="")," · Pago sin fecha","")&amp;IF(AND(ISNUMBER($R197),ISNUMBER($M197),$R197&gt;N($M197)+0.01)," · Pagado &gt; total","")&amp;IF(AND(ISNUMBER($R197),$R197&gt;0,$Q197="")," · Monto pagado sin fecha",""),4,900)))</f>
        <v/>
      </c>
    </row>
    <row r="198">
      <c r="A198" s="51">
        <f>IF(COUNTA($B198,$C198,$D198,$G198,$H198)=0,"","C-"&amp;TEXT(ROW()-6,"0000"))</f>
        <v/>
      </c>
      <c r="B198" s="41" t="n"/>
      <c r="C198" s="33" t="n"/>
      <c r="D198" s="33" t="n"/>
      <c r="E198" s="51">
        <f>IF($D198="","",IFERROR(IF(INDEX(tblProductos[Nombre del producto],MATCH($D198,tblProductos[SKU],0))="","",INDEX(tblProductos[Nombre del producto],MATCH($D198,tblProductos[SKU],0))),""))</f>
        <v/>
      </c>
      <c r="F198" s="51">
        <f>IF($D198="","",IFERROR(IF(INDEX(tblProductos[Categoría],MATCH($D198,tblProductos[SKU],0))="","",INDEX(tblProductos[Categoría],MATCH($D198,tblProductos[SKU],0))),""))</f>
        <v/>
      </c>
      <c r="G198" s="34" t="n"/>
      <c r="H198" s="36" t="n"/>
      <c r="I198" s="37">
        <f>IF(OR($G198="",$H198=""),"",$G198*$H198)</f>
        <v/>
      </c>
      <c r="J198" s="36" t="n"/>
      <c r="K198" s="36" t="n"/>
      <c r="L198" s="36" t="n"/>
      <c r="M198" s="37">
        <f>IF(NOT(ISNUMBER($I198)),"",$I198+SUM($J198:$L198))</f>
        <v/>
      </c>
      <c r="N198" s="37">
        <f>IF(OR(NOT(ISNUMBER($M198)),NOT(ISNUMBER($G198)),$G198&lt;=0),"",$M198/$G198)</f>
        <v/>
      </c>
      <c r="O198" s="33" t="n"/>
      <c r="P198" s="33" t="n"/>
      <c r="Q198" s="41" t="n"/>
      <c r="R198" s="36" t="n"/>
      <c r="S198" s="37">
        <f>IF(NOT(ISNUMBER($M198)),"",$M198-IF(ISNUMBER($R198),$R198,0))</f>
        <v/>
      </c>
      <c r="T198" s="33" t="n"/>
      <c r="U198" s="51">
        <f>IF(COUNTA($B198,$C198,$D198,$G198,$H198)=0,"",IF(IF($B198=""," · Falta fecha","")&amp;IF($C198=""," · Falta proveedor","")&amp;IF(AND($D198&lt;&gt;"",COUNTIF(tblProductos[SKU],$D198)=0)," · SKU no existe","")&amp;IF($D198=""," · Falta SKU","")&amp;IF(OR($G198="",NOT(ISNUMBER($G198)),$G198&lt;=0)," · Cantidad inválida","")&amp;IF($H198=""," · Falta costo unitario","")&amp;IF(AND($P198="Pagado",$Q198="")," · Pago sin fecha","")&amp;IF(AND(ISNUMBER($R198),ISNUMBER($M198),$R198&gt;N($M198)+0.01)," · Pagado &gt; total","")&amp;IF(AND(ISNUMBER($R198),$R198&gt;0,$Q198="")," · Monto pagado sin fecha","")="","OK",MID(IF($B198=""," · Falta fecha","")&amp;IF($C198=""," · Falta proveedor","")&amp;IF(AND($D198&lt;&gt;"",COUNTIF(tblProductos[SKU],$D198)=0)," · SKU no existe","")&amp;IF($D198=""," · Falta SKU","")&amp;IF(OR($G198="",NOT(ISNUMBER($G198)),$G198&lt;=0)," · Cantidad inválida","")&amp;IF($H198=""," · Falta costo unitario","")&amp;IF(AND($P198="Pagado",$Q198="")," · Pago sin fecha","")&amp;IF(AND(ISNUMBER($R198),ISNUMBER($M198),$R198&gt;N($M198)+0.01)," · Pagado &gt; total","")&amp;IF(AND(ISNUMBER($R198),$R198&gt;0,$Q198="")," · Monto pagado sin fecha",""),4,900)))</f>
        <v/>
      </c>
    </row>
    <row r="199">
      <c r="A199" s="51">
        <f>IF(COUNTA($B199,$C199,$D199,$G199,$H199)=0,"","C-"&amp;TEXT(ROW()-6,"0000"))</f>
        <v/>
      </c>
      <c r="B199" s="41" t="n"/>
      <c r="C199" s="33" t="n"/>
      <c r="D199" s="33" t="n"/>
      <c r="E199" s="51">
        <f>IF($D199="","",IFERROR(IF(INDEX(tblProductos[Nombre del producto],MATCH($D199,tblProductos[SKU],0))="","",INDEX(tblProductos[Nombre del producto],MATCH($D199,tblProductos[SKU],0))),""))</f>
        <v/>
      </c>
      <c r="F199" s="51">
        <f>IF($D199="","",IFERROR(IF(INDEX(tblProductos[Categoría],MATCH($D199,tblProductos[SKU],0))="","",INDEX(tblProductos[Categoría],MATCH($D199,tblProductos[SKU],0))),""))</f>
        <v/>
      </c>
      <c r="G199" s="34" t="n"/>
      <c r="H199" s="36" t="n"/>
      <c r="I199" s="37">
        <f>IF(OR($G199="",$H199=""),"",$G199*$H199)</f>
        <v/>
      </c>
      <c r="J199" s="36" t="n"/>
      <c r="K199" s="36" t="n"/>
      <c r="L199" s="36" t="n"/>
      <c r="M199" s="37">
        <f>IF(NOT(ISNUMBER($I199)),"",$I199+SUM($J199:$L199))</f>
        <v/>
      </c>
      <c r="N199" s="37">
        <f>IF(OR(NOT(ISNUMBER($M199)),NOT(ISNUMBER($G199)),$G199&lt;=0),"",$M199/$G199)</f>
        <v/>
      </c>
      <c r="O199" s="33" t="n"/>
      <c r="P199" s="33" t="n"/>
      <c r="Q199" s="41" t="n"/>
      <c r="R199" s="36" t="n"/>
      <c r="S199" s="37">
        <f>IF(NOT(ISNUMBER($M199)),"",$M199-IF(ISNUMBER($R199),$R199,0))</f>
        <v/>
      </c>
      <c r="T199" s="33" t="n"/>
      <c r="U199" s="51">
        <f>IF(COUNTA($B199,$C199,$D199,$G199,$H199)=0,"",IF(IF($B199=""," · Falta fecha","")&amp;IF($C199=""," · Falta proveedor","")&amp;IF(AND($D199&lt;&gt;"",COUNTIF(tblProductos[SKU],$D199)=0)," · SKU no existe","")&amp;IF($D199=""," · Falta SKU","")&amp;IF(OR($G199="",NOT(ISNUMBER($G199)),$G199&lt;=0)," · Cantidad inválida","")&amp;IF($H199=""," · Falta costo unitario","")&amp;IF(AND($P199="Pagado",$Q199="")," · Pago sin fecha","")&amp;IF(AND(ISNUMBER($R199),ISNUMBER($M199),$R199&gt;N($M199)+0.01)," · Pagado &gt; total","")&amp;IF(AND(ISNUMBER($R199),$R199&gt;0,$Q199="")," · Monto pagado sin fecha","")="","OK",MID(IF($B199=""," · Falta fecha","")&amp;IF($C199=""," · Falta proveedor","")&amp;IF(AND($D199&lt;&gt;"",COUNTIF(tblProductos[SKU],$D199)=0)," · SKU no existe","")&amp;IF($D199=""," · Falta SKU","")&amp;IF(OR($G199="",NOT(ISNUMBER($G199)),$G199&lt;=0)," · Cantidad inválida","")&amp;IF($H199=""," · Falta costo unitario","")&amp;IF(AND($P199="Pagado",$Q199="")," · Pago sin fecha","")&amp;IF(AND(ISNUMBER($R199),ISNUMBER($M199),$R199&gt;N($M199)+0.01)," · Pagado &gt; total","")&amp;IF(AND(ISNUMBER($R199),$R199&gt;0,$Q199="")," · Monto pagado sin fecha",""),4,900)))</f>
        <v/>
      </c>
    </row>
    <row r="200">
      <c r="A200" s="51">
        <f>IF(COUNTA($B200,$C200,$D200,$G200,$H200)=0,"","C-"&amp;TEXT(ROW()-6,"0000"))</f>
        <v/>
      </c>
      <c r="B200" s="41" t="n"/>
      <c r="C200" s="33" t="n"/>
      <c r="D200" s="33" t="n"/>
      <c r="E200" s="51">
        <f>IF($D200="","",IFERROR(IF(INDEX(tblProductos[Nombre del producto],MATCH($D200,tblProductos[SKU],0))="","",INDEX(tblProductos[Nombre del producto],MATCH($D200,tblProductos[SKU],0))),""))</f>
        <v/>
      </c>
      <c r="F200" s="51">
        <f>IF($D200="","",IFERROR(IF(INDEX(tblProductos[Categoría],MATCH($D200,tblProductos[SKU],0))="","",INDEX(tblProductos[Categoría],MATCH($D200,tblProductos[SKU],0))),""))</f>
        <v/>
      </c>
      <c r="G200" s="34" t="n"/>
      <c r="H200" s="36" t="n"/>
      <c r="I200" s="37">
        <f>IF(OR($G200="",$H200=""),"",$G200*$H200)</f>
        <v/>
      </c>
      <c r="J200" s="36" t="n"/>
      <c r="K200" s="36" t="n"/>
      <c r="L200" s="36" t="n"/>
      <c r="M200" s="37">
        <f>IF(NOT(ISNUMBER($I200)),"",$I200+SUM($J200:$L200))</f>
        <v/>
      </c>
      <c r="N200" s="37">
        <f>IF(OR(NOT(ISNUMBER($M200)),NOT(ISNUMBER($G200)),$G200&lt;=0),"",$M200/$G200)</f>
        <v/>
      </c>
      <c r="O200" s="33" t="n"/>
      <c r="P200" s="33" t="n"/>
      <c r="Q200" s="41" t="n"/>
      <c r="R200" s="36" t="n"/>
      <c r="S200" s="37">
        <f>IF(NOT(ISNUMBER($M200)),"",$M200-IF(ISNUMBER($R200),$R200,0))</f>
        <v/>
      </c>
      <c r="T200" s="33" t="n"/>
      <c r="U200" s="51">
        <f>IF(COUNTA($B200,$C200,$D200,$G200,$H200)=0,"",IF(IF($B200=""," · Falta fecha","")&amp;IF($C200=""," · Falta proveedor","")&amp;IF(AND($D200&lt;&gt;"",COUNTIF(tblProductos[SKU],$D200)=0)," · SKU no existe","")&amp;IF($D200=""," · Falta SKU","")&amp;IF(OR($G200="",NOT(ISNUMBER($G200)),$G200&lt;=0)," · Cantidad inválida","")&amp;IF($H200=""," · Falta costo unitario","")&amp;IF(AND($P200="Pagado",$Q200="")," · Pago sin fecha","")&amp;IF(AND(ISNUMBER($R200),ISNUMBER($M200),$R200&gt;N($M200)+0.01)," · Pagado &gt; total","")&amp;IF(AND(ISNUMBER($R200),$R200&gt;0,$Q200="")," · Monto pagado sin fecha","")="","OK",MID(IF($B200=""," · Falta fecha","")&amp;IF($C200=""," · Falta proveedor","")&amp;IF(AND($D200&lt;&gt;"",COUNTIF(tblProductos[SKU],$D200)=0)," · SKU no existe","")&amp;IF($D200=""," · Falta SKU","")&amp;IF(OR($G200="",NOT(ISNUMBER($G200)),$G200&lt;=0)," · Cantidad inválida","")&amp;IF($H200=""," · Falta costo unitario","")&amp;IF(AND($P200="Pagado",$Q200="")," · Pago sin fecha","")&amp;IF(AND(ISNUMBER($R200),ISNUMBER($M200),$R200&gt;N($M200)+0.01)," · Pagado &gt; total","")&amp;IF(AND(ISNUMBER($R200),$R200&gt;0,$Q200="")," · Monto pagado sin fecha",""),4,900)))</f>
        <v/>
      </c>
    </row>
    <row r="201">
      <c r="A201" s="51">
        <f>IF(COUNTA($B201,$C201,$D201,$G201,$H201)=0,"","C-"&amp;TEXT(ROW()-6,"0000"))</f>
        <v/>
      </c>
      <c r="B201" s="41" t="n"/>
      <c r="C201" s="33" t="n"/>
      <c r="D201" s="33" t="n"/>
      <c r="E201" s="51">
        <f>IF($D201="","",IFERROR(IF(INDEX(tblProductos[Nombre del producto],MATCH($D201,tblProductos[SKU],0))="","",INDEX(tblProductos[Nombre del producto],MATCH($D201,tblProductos[SKU],0))),""))</f>
        <v/>
      </c>
      <c r="F201" s="51">
        <f>IF($D201="","",IFERROR(IF(INDEX(tblProductos[Categoría],MATCH($D201,tblProductos[SKU],0))="","",INDEX(tblProductos[Categoría],MATCH($D201,tblProductos[SKU],0))),""))</f>
        <v/>
      </c>
      <c r="G201" s="34" t="n"/>
      <c r="H201" s="36" t="n"/>
      <c r="I201" s="37">
        <f>IF(OR($G201="",$H201=""),"",$G201*$H201)</f>
        <v/>
      </c>
      <c r="J201" s="36" t="n"/>
      <c r="K201" s="36" t="n"/>
      <c r="L201" s="36" t="n"/>
      <c r="M201" s="37">
        <f>IF(NOT(ISNUMBER($I201)),"",$I201+SUM($J201:$L201))</f>
        <v/>
      </c>
      <c r="N201" s="37">
        <f>IF(OR(NOT(ISNUMBER($M201)),NOT(ISNUMBER($G201)),$G201&lt;=0),"",$M201/$G201)</f>
        <v/>
      </c>
      <c r="O201" s="33" t="n"/>
      <c r="P201" s="33" t="n"/>
      <c r="Q201" s="41" t="n"/>
      <c r="R201" s="36" t="n"/>
      <c r="S201" s="37">
        <f>IF(NOT(ISNUMBER($M201)),"",$M201-IF(ISNUMBER($R201),$R201,0))</f>
        <v/>
      </c>
      <c r="T201" s="33" t="n"/>
      <c r="U201" s="51">
        <f>IF(COUNTA($B201,$C201,$D201,$G201,$H201)=0,"",IF(IF($B201=""," · Falta fecha","")&amp;IF($C201=""," · Falta proveedor","")&amp;IF(AND($D201&lt;&gt;"",COUNTIF(tblProductos[SKU],$D201)=0)," · SKU no existe","")&amp;IF($D201=""," · Falta SKU","")&amp;IF(OR($G201="",NOT(ISNUMBER($G201)),$G201&lt;=0)," · Cantidad inválida","")&amp;IF($H201=""," · Falta costo unitario","")&amp;IF(AND($P201="Pagado",$Q201="")," · Pago sin fecha","")&amp;IF(AND(ISNUMBER($R201),ISNUMBER($M201),$R201&gt;N($M201)+0.01)," · Pagado &gt; total","")&amp;IF(AND(ISNUMBER($R201),$R201&gt;0,$Q201="")," · Monto pagado sin fecha","")="","OK",MID(IF($B201=""," · Falta fecha","")&amp;IF($C201=""," · Falta proveedor","")&amp;IF(AND($D201&lt;&gt;"",COUNTIF(tblProductos[SKU],$D201)=0)," · SKU no existe","")&amp;IF($D201=""," · Falta SKU","")&amp;IF(OR($G201="",NOT(ISNUMBER($G201)),$G201&lt;=0)," · Cantidad inválida","")&amp;IF($H201=""," · Falta costo unitario","")&amp;IF(AND($P201="Pagado",$Q201="")," · Pago sin fecha","")&amp;IF(AND(ISNUMBER($R201),ISNUMBER($M201),$R201&gt;N($M201)+0.01)," · Pagado &gt; total","")&amp;IF(AND(ISNUMBER($R201),$R201&gt;0,$Q201="")," · Monto pagado sin fecha",""),4,900)))</f>
        <v/>
      </c>
    </row>
    <row r="202">
      <c r="A202" s="51">
        <f>IF(COUNTA($B202,$C202,$D202,$G202,$H202)=0,"","C-"&amp;TEXT(ROW()-6,"0000"))</f>
        <v/>
      </c>
      <c r="B202" s="41" t="n"/>
      <c r="C202" s="33" t="n"/>
      <c r="D202" s="33" t="n"/>
      <c r="E202" s="51">
        <f>IF($D202="","",IFERROR(IF(INDEX(tblProductos[Nombre del producto],MATCH($D202,tblProductos[SKU],0))="","",INDEX(tblProductos[Nombre del producto],MATCH($D202,tblProductos[SKU],0))),""))</f>
        <v/>
      </c>
      <c r="F202" s="51">
        <f>IF($D202="","",IFERROR(IF(INDEX(tblProductos[Categoría],MATCH($D202,tblProductos[SKU],0))="","",INDEX(tblProductos[Categoría],MATCH($D202,tblProductos[SKU],0))),""))</f>
        <v/>
      </c>
      <c r="G202" s="34" t="n"/>
      <c r="H202" s="36" t="n"/>
      <c r="I202" s="37">
        <f>IF(OR($G202="",$H202=""),"",$G202*$H202)</f>
        <v/>
      </c>
      <c r="J202" s="36" t="n"/>
      <c r="K202" s="36" t="n"/>
      <c r="L202" s="36" t="n"/>
      <c r="M202" s="37">
        <f>IF(NOT(ISNUMBER($I202)),"",$I202+SUM($J202:$L202))</f>
        <v/>
      </c>
      <c r="N202" s="37">
        <f>IF(OR(NOT(ISNUMBER($M202)),NOT(ISNUMBER($G202)),$G202&lt;=0),"",$M202/$G202)</f>
        <v/>
      </c>
      <c r="O202" s="33" t="n"/>
      <c r="P202" s="33" t="n"/>
      <c r="Q202" s="41" t="n"/>
      <c r="R202" s="36" t="n"/>
      <c r="S202" s="37">
        <f>IF(NOT(ISNUMBER($M202)),"",$M202-IF(ISNUMBER($R202),$R202,0))</f>
        <v/>
      </c>
      <c r="T202" s="33" t="n"/>
      <c r="U202" s="51">
        <f>IF(COUNTA($B202,$C202,$D202,$G202,$H202)=0,"",IF(IF($B202=""," · Falta fecha","")&amp;IF($C202=""," · Falta proveedor","")&amp;IF(AND($D202&lt;&gt;"",COUNTIF(tblProductos[SKU],$D202)=0)," · SKU no existe","")&amp;IF($D202=""," · Falta SKU","")&amp;IF(OR($G202="",NOT(ISNUMBER($G202)),$G202&lt;=0)," · Cantidad inválida","")&amp;IF($H202=""," · Falta costo unitario","")&amp;IF(AND($P202="Pagado",$Q202="")," · Pago sin fecha","")&amp;IF(AND(ISNUMBER($R202),ISNUMBER($M202),$R202&gt;N($M202)+0.01)," · Pagado &gt; total","")&amp;IF(AND(ISNUMBER($R202),$R202&gt;0,$Q202="")," · Monto pagado sin fecha","")="","OK",MID(IF($B202=""," · Falta fecha","")&amp;IF($C202=""," · Falta proveedor","")&amp;IF(AND($D202&lt;&gt;"",COUNTIF(tblProductos[SKU],$D202)=0)," · SKU no existe","")&amp;IF($D202=""," · Falta SKU","")&amp;IF(OR($G202="",NOT(ISNUMBER($G202)),$G202&lt;=0)," · Cantidad inválida","")&amp;IF($H202=""," · Falta costo unitario","")&amp;IF(AND($P202="Pagado",$Q202="")," · Pago sin fecha","")&amp;IF(AND(ISNUMBER($R202),ISNUMBER($M202),$R202&gt;N($M202)+0.01)," · Pagado &gt; total","")&amp;IF(AND(ISNUMBER($R202),$R202&gt;0,$Q202="")," · Monto pagado sin fecha",""),4,900)))</f>
        <v/>
      </c>
    </row>
    <row r="203">
      <c r="A203" s="51">
        <f>IF(COUNTA($B203,$C203,$D203,$G203,$H203)=0,"","C-"&amp;TEXT(ROW()-6,"0000"))</f>
        <v/>
      </c>
      <c r="B203" s="41" t="n"/>
      <c r="C203" s="33" t="n"/>
      <c r="D203" s="33" t="n"/>
      <c r="E203" s="51">
        <f>IF($D203="","",IFERROR(IF(INDEX(tblProductos[Nombre del producto],MATCH($D203,tblProductos[SKU],0))="","",INDEX(tblProductos[Nombre del producto],MATCH($D203,tblProductos[SKU],0))),""))</f>
        <v/>
      </c>
      <c r="F203" s="51">
        <f>IF($D203="","",IFERROR(IF(INDEX(tblProductos[Categoría],MATCH($D203,tblProductos[SKU],0))="","",INDEX(tblProductos[Categoría],MATCH($D203,tblProductos[SKU],0))),""))</f>
        <v/>
      </c>
      <c r="G203" s="34" t="n"/>
      <c r="H203" s="36" t="n"/>
      <c r="I203" s="37">
        <f>IF(OR($G203="",$H203=""),"",$G203*$H203)</f>
        <v/>
      </c>
      <c r="J203" s="36" t="n"/>
      <c r="K203" s="36" t="n"/>
      <c r="L203" s="36" t="n"/>
      <c r="M203" s="37">
        <f>IF(NOT(ISNUMBER($I203)),"",$I203+SUM($J203:$L203))</f>
        <v/>
      </c>
      <c r="N203" s="37">
        <f>IF(OR(NOT(ISNUMBER($M203)),NOT(ISNUMBER($G203)),$G203&lt;=0),"",$M203/$G203)</f>
        <v/>
      </c>
      <c r="O203" s="33" t="n"/>
      <c r="P203" s="33" t="n"/>
      <c r="Q203" s="41" t="n"/>
      <c r="R203" s="36" t="n"/>
      <c r="S203" s="37">
        <f>IF(NOT(ISNUMBER($M203)),"",$M203-IF(ISNUMBER($R203),$R203,0))</f>
        <v/>
      </c>
      <c r="T203" s="33" t="n"/>
      <c r="U203" s="51">
        <f>IF(COUNTA($B203,$C203,$D203,$G203,$H203)=0,"",IF(IF($B203=""," · Falta fecha","")&amp;IF($C203=""," · Falta proveedor","")&amp;IF(AND($D203&lt;&gt;"",COUNTIF(tblProductos[SKU],$D203)=0)," · SKU no existe","")&amp;IF($D203=""," · Falta SKU","")&amp;IF(OR($G203="",NOT(ISNUMBER($G203)),$G203&lt;=0)," · Cantidad inválida","")&amp;IF($H203=""," · Falta costo unitario","")&amp;IF(AND($P203="Pagado",$Q203="")," · Pago sin fecha","")&amp;IF(AND(ISNUMBER($R203),ISNUMBER($M203),$R203&gt;N($M203)+0.01)," · Pagado &gt; total","")&amp;IF(AND(ISNUMBER($R203),$R203&gt;0,$Q203="")," · Monto pagado sin fecha","")="","OK",MID(IF($B203=""," · Falta fecha","")&amp;IF($C203=""," · Falta proveedor","")&amp;IF(AND($D203&lt;&gt;"",COUNTIF(tblProductos[SKU],$D203)=0)," · SKU no existe","")&amp;IF($D203=""," · Falta SKU","")&amp;IF(OR($G203="",NOT(ISNUMBER($G203)),$G203&lt;=0)," · Cantidad inválida","")&amp;IF($H203=""," · Falta costo unitario","")&amp;IF(AND($P203="Pagado",$Q203="")," · Pago sin fecha","")&amp;IF(AND(ISNUMBER($R203),ISNUMBER($M203),$R203&gt;N($M203)+0.01)," · Pagado &gt; total","")&amp;IF(AND(ISNUMBER($R203),$R203&gt;0,$Q203="")," · Monto pagado sin fecha",""),4,900)))</f>
        <v/>
      </c>
    </row>
    <row r="204">
      <c r="A204" s="51">
        <f>IF(COUNTA($B204,$C204,$D204,$G204,$H204)=0,"","C-"&amp;TEXT(ROW()-6,"0000"))</f>
        <v/>
      </c>
      <c r="B204" s="41" t="n"/>
      <c r="C204" s="33" t="n"/>
      <c r="D204" s="33" t="n"/>
      <c r="E204" s="51">
        <f>IF($D204="","",IFERROR(IF(INDEX(tblProductos[Nombre del producto],MATCH($D204,tblProductos[SKU],0))="","",INDEX(tblProductos[Nombre del producto],MATCH($D204,tblProductos[SKU],0))),""))</f>
        <v/>
      </c>
      <c r="F204" s="51">
        <f>IF($D204="","",IFERROR(IF(INDEX(tblProductos[Categoría],MATCH($D204,tblProductos[SKU],0))="","",INDEX(tblProductos[Categoría],MATCH($D204,tblProductos[SKU],0))),""))</f>
        <v/>
      </c>
      <c r="G204" s="34" t="n"/>
      <c r="H204" s="36" t="n"/>
      <c r="I204" s="37">
        <f>IF(OR($G204="",$H204=""),"",$G204*$H204)</f>
        <v/>
      </c>
      <c r="J204" s="36" t="n"/>
      <c r="K204" s="36" t="n"/>
      <c r="L204" s="36" t="n"/>
      <c r="M204" s="37">
        <f>IF(NOT(ISNUMBER($I204)),"",$I204+SUM($J204:$L204))</f>
        <v/>
      </c>
      <c r="N204" s="37">
        <f>IF(OR(NOT(ISNUMBER($M204)),NOT(ISNUMBER($G204)),$G204&lt;=0),"",$M204/$G204)</f>
        <v/>
      </c>
      <c r="O204" s="33" t="n"/>
      <c r="P204" s="33" t="n"/>
      <c r="Q204" s="41" t="n"/>
      <c r="R204" s="36" t="n"/>
      <c r="S204" s="37">
        <f>IF(NOT(ISNUMBER($M204)),"",$M204-IF(ISNUMBER($R204),$R204,0))</f>
        <v/>
      </c>
      <c r="T204" s="33" t="n"/>
      <c r="U204" s="51">
        <f>IF(COUNTA($B204,$C204,$D204,$G204,$H204)=0,"",IF(IF($B204=""," · Falta fecha","")&amp;IF($C204=""," · Falta proveedor","")&amp;IF(AND($D204&lt;&gt;"",COUNTIF(tblProductos[SKU],$D204)=0)," · SKU no existe","")&amp;IF($D204=""," · Falta SKU","")&amp;IF(OR($G204="",NOT(ISNUMBER($G204)),$G204&lt;=0)," · Cantidad inválida","")&amp;IF($H204=""," · Falta costo unitario","")&amp;IF(AND($P204="Pagado",$Q204="")," · Pago sin fecha","")&amp;IF(AND(ISNUMBER($R204),ISNUMBER($M204),$R204&gt;N($M204)+0.01)," · Pagado &gt; total","")&amp;IF(AND(ISNUMBER($R204),$R204&gt;0,$Q204="")," · Monto pagado sin fecha","")="","OK",MID(IF($B204=""," · Falta fecha","")&amp;IF($C204=""," · Falta proveedor","")&amp;IF(AND($D204&lt;&gt;"",COUNTIF(tblProductos[SKU],$D204)=0)," · SKU no existe","")&amp;IF($D204=""," · Falta SKU","")&amp;IF(OR($G204="",NOT(ISNUMBER($G204)),$G204&lt;=0)," · Cantidad inválida","")&amp;IF($H204=""," · Falta costo unitario","")&amp;IF(AND($P204="Pagado",$Q204="")," · Pago sin fecha","")&amp;IF(AND(ISNUMBER($R204),ISNUMBER($M204),$R204&gt;N($M204)+0.01)," · Pagado &gt; total","")&amp;IF(AND(ISNUMBER($R204),$R204&gt;0,$Q204="")," · Monto pagado sin fecha",""),4,900)))</f>
        <v/>
      </c>
    </row>
    <row r="205">
      <c r="A205" s="51">
        <f>IF(COUNTA($B205,$C205,$D205,$G205,$H205)=0,"","C-"&amp;TEXT(ROW()-6,"0000"))</f>
        <v/>
      </c>
      <c r="B205" s="41" t="n"/>
      <c r="C205" s="33" t="n"/>
      <c r="D205" s="33" t="n"/>
      <c r="E205" s="51">
        <f>IF($D205="","",IFERROR(IF(INDEX(tblProductos[Nombre del producto],MATCH($D205,tblProductos[SKU],0))="","",INDEX(tblProductos[Nombre del producto],MATCH($D205,tblProductos[SKU],0))),""))</f>
        <v/>
      </c>
      <c r="F205" s="51">
        <f>IF($D205="","",IFERROR(IF(INDEX(tblProductos[Categoría],MATCH($D205,tblProductos[SKU],0))="","",INDEX(tblProductos[Categoría],MATCH($D205,tblProductos[SKU],0))),""))</f>
        <v/>
      </c>
      <c r="G205" s="34" t="n"/>
      <c r="H205" s="36" t="n"/>
      <c r="I205" s="37">
        <f>IF(OR($G205="",$H205=""),"",$G205*$H205)</f>
        <v/>
      </c>
      <c r="J205" s="36" t="n"/>
      <c r="K205" s="36" t="n"/>
      <c r="L205" s="36" t="n"/>
      <c r="M205" s="37">
        <f>IF(NOT(ISNUMBER($I205)),"",$I205+SUM($J205:$L205))</f>
        <v/>
      </c>
      <c r="N205" s="37">
        <f>IF(OR(NOT(ISNUMBER($M205)),NOT(ISNUMBER($G205)),$G205&lt;=0),"",$M205/$G205)</f>
        <v/>
      </c>
      <c r="O205" s="33" t="n"/>
      <c r="P205" s="33" t="n"/>
      <c r="Q205" s="41" t="n"/>
      <c r="R205" s="36" t="n"/>
      <c r="S205" s="37">
        <f>IF(NOT(ISNUMBER($M205)),"",$M205-IF(ISNUMBER($R205),$R205,0))</f>
        <v/>
      </c>
      <c r="T205" s="33" t="n"/>
      <c r="U205" s="51">
        <f>IF(COUNTA($B205,$C205,$D205,$G205,$H205)=0,"",IF(IF($B205=""," · Falta fecha","")&amp;IF($C205=""," · Falta proveedor","")&amp;IF(AND($D205&lt;&gt;"",COUNTIF(tblProductos[SKU],$D205)=0)," · SKU no existe","")&amp;IF($D205=""," · Falta SKU","")&amp;IF(OR($G205="",NOT(ISNUMBER($G205)),$G205&lt;=0)," · Cantidad inválida","")&amp;IF($H205=""," · Falta costo unitario","")&amp;IF(AND($P205="Pagado",$Q205="")," · Pago sin fecha","")&amp;IF(AND(ISNUMBER($R205),ISNUMBER($M205),$R205&gt;N($M205)+0.01)," · Pagado &gt; total","")&amp;IF(AND(ISNUMBER($R205),$R205&gt;0,$Q205="")," · Monto pagado sin fecha","")="","OK",MID(IF($B205=""," · Falta fecha","")&amp;IF($C205=""," · Falta proveedor","")&amp;IF(AND($D205&lt;&gt;"",COUNTIF(tblProductos[SKU],$D205)=0)," · SKU no existe","")&amp;IF($D205=""," · Falta SKU","")&amp;IF(OR($G205="",NOT(ISNUMBER($G205)),$G205&lt;=0)," · Cantidad inválida","")&amp;IF($H205=""," · Falta costo unitario","")&amp;IF(AND($P205="Pagado",$Q205="")," · Pago sin fecha","")&amp;IF(AND(ISNUMBER($R205),ISNUMBER($M205),$R205&gt;N($M205)+0.01)," · Pagado &gt; total","")&amp;IF(AND(ISNUMBER($R205),$R205&gt;0,$Q205="")," · Monto pagado sin fecha",""),4,900)))</f>
        <v/>
      </c>
    </row>
    <row r="206">
      <c r="A206" s="51">
        <f>IF(COUNTA($B206,$C206,$D206,$G206,$H206)=0,"","C-"&amp;TEXT(ROW()-6,"0000"))</f>
        <v/>
      </c>
      <c r="B206" s="41" t="n"/>
      <c r="C206" s="33" t="n"/>
      <c r="D206" s="33" t="n"/>
      <c r="E206" s="51">
        <f>IF($D206="","",IFERROR(IF(INDEX(tblProductos[Nombre del producto],MATCH($D206,tblProductos[SKU],0))="","",INDEX(tblProductos[Nombre del producto],MATCH($D206,tblProductos[SKU],0))),""))</f>
        <v/>
      </c>
      <c r="F206" s="51">
        <f>IF($D206="","",IFERROR(IF(INDEX(tblProductos[Categoría],MATCH($D206,tblProductos[SKU],0))="","",INDEX(tblProductos[Categoría],MATCH($D206,tblProductos[SKU],0))),""))</f>
        <v/>
      </c>
      <c r="G206" s="34" t="n"/>
      <c r="H206" s="36" t="n"/>
      <c r="I206" s="37">
        <f>IF(OR($G206="",$H206=""),"",$G206*$H206)</f>
        <v/>
      </c>
      <c r="J206" s="36" t="n"/>
      <c r="K206" s="36" t="n"/>
      <c r="L206" s="36" t="n"/>
      <c r="M206" s="37">
        <f>IF(NOT(ISNUMBER($I206)),"",$I206+SUM($J206:$L206))</f>
        <v/>
      </c>
      <c r="N206" s="37">
        <f>IF(OR(NOT(ISNUMBER($M206)),NOT(ISNUMBER($G206)),$G206&lt;=0),"",$M206/$G206)</f>
        <v/>
      </c>
      <c r="O206" s="33" t="n"/>
      <c r="P206" s="33" t="n"/>
      <c r="Q206" s="41" t="n"/>
      <c r="R206" s="36" t="n"/>
      <c r="S206" s="37">
        <f>IF(NOT(ISNUMBER($M206)),"",$M206-IF(ISNUMBER($R206),$R206,0))</f>
        <v/>
      </c>
      <c r="T206" s="33" t="n"/>
      <c r="U206" s="51">
        <f>IF(COUNTA($B206,$C206,$D206,$G206,$H206)=0,"",IF(IF($B206=""," · Falta fecha","")&amp;IF($C206=""," · Falta proveedor","")&amp;IF(AND($D206&lt;&gt;"",COUNTIF(tblProductos[SKU],$D206)=0)," · SKU no existe","")&amp;IF($D206=""," · Falta SKU","")&amp;IF(OR($G206="",NOT(ISNUMBER($G206)),$G206&lt;=0)," · Cantidad inválida","")&amp;IF($H206=""," · Falta costo unitario","")&amp;IF(AND($P206="Pagado",$Q206="")," · Pago sin fecha","")&amp;IF(AND(ISNUMBER($R206),ISNUMBER($M206),$R206&gt;N($M206)+0.01)," · Pagado &gt; total","")&amp;IF(AND(ISNUMBER($R206),$R206&gt;0,$Q206="")," · Monto pagado sin fecha","")="","OK",MID(IF($B206=""," · Falta fecha","")&amp;IF($C206=""," · Falta proveedor","")&amp;IF(AND($D206&lt;&gt;"",COUNTIF(tblProductos[SKU],$D206)=0)," · SKU no existe","")&amp;IF($D206=""," · Falta SKU","")&amp;IF(OR($G206="",NOT(ISNUMBER($G206)),$G206&lt;=0)," · Cantidad inválida","")&amp;IF($H206=""," · Falta costo unitario","")&amp;IF(AND($P206="Pagado",$Q206="")," · Pago sin fecha","")&amp;IF(AND(ISNUMBER($R206),ISNUMBER($M206),$R206&gt;N($M206)+0.01)," · Pagado &gt; total","")&amp;IF(AND(ISNUMBER($R206),$R206&gt;0,$Q206="")," · Monto pagado sin fecha",""),4,900)))</f>
        <v/>
      </c>
    </row>
    <row r="207">
      <c r="A207" s="51">
        <f>IF(COUNTA($B207,$C207,$D207,$G207,$H207)=0,"","C-"&amp;TEXT(ROW()-6,"0000"))</f>
        <v/>
      </c>
      <c r="B207" s="41" t="n"/>
      <c r="C207" s="33" t="n"/>
      <c r="D207" s="33" t="n"/>
      <c r="E207" s="51">
        <f>IF($D207="","",IFERROR(IF(INDEX(tblProductos[Nombre del producto],MATCH($D207,tblProductos[SKU],0))="","",INDEX(tblProductos[Nombre del producto],MATCH($D207,tblProductos[SKU],0))),""))</f>
        <v/>
      </c>
      <c r="F207" s="51">
        <f>IF($D207="","",IFERROR(IF(INDEX(tblProductos[Categoría],MATCH($D207,tblProductos[SKU],0))="","",INDEX(tblProductos[Categoría],MATCH($D207,tblProductos[SKU],0))),""))</f>
        <v/>
      </c>
      <c r="G207" s="34" t="n"/>
      <c r="H207" s="36" t="n"/>
      <c r="I207" s="37">
        <f>IF(OR($G207="",$H207=""),"",$G207*$H207)</f>
        <v/>
      </c>
      <c r="J207" s="36" t="n"/>
      <c r="K207" s="36" t="n"/>
      <c r="L207" s="36" t="n"/>
      <c r="M207" s="37">
        <f>IF(NOT(ISNUMBER($I207)),"",$I207+SUM($J207:$L207))</f>
        <v/>
      </c>
      <c r="N207" s="37">
        <f>IF(OR(NOT(ISNUMBER($M207)),NOT(ISNUMBER($G207)),$G207&lt;=0),"",$M207/$G207)</f>
        <v/>
      </c>
      <c r="O207" s="33" t="n"/>
      <c r="P207" s="33" t="n"/>
      <c r="Q207" s="41" t="n"/>
      <c r="R207" s="36" t="n"/>
      <c r="S207" s="37">
        <f>IF(NOT(ISNUMBER($M207)),"",$M207-IF(ISNUMBER($R207),$R207,0))</f>
        <v/>
      </c>
      <c r="T207" s="33" t="n"/>
      <c r="U207" s="51">
        <f>IF(COUNTA($B207,$C207,$D207,$G207,$H207)=0,"",IF(IF($B207=""," · Falta fecha","")&amp;IF($C207=""," · Falta proveedor","")&amp;IF(AND($D207&lt;&gt;"",COUNTIF(tblProductos[SKU],$D207)=0)," · SKU no existe","")&amp;IF($D207=""," · Falta SKU","")&amp;IF(OR($G207="",NOT(ISNUMBER($G207)),$G207&lt;=0)," · Cantidad inválida","")&amp;IF($H207=""," · Falta costo unitario","")&amp;IF(AND($P207="Pagado",$Q207="")," · Pago sin fecha","")&amp;IF(AND(ISNUMBER($R207),ISNUMBER($M207),$R207&gt;N($M207)+0.01)," · Pagado &gt; total","")&amp;IF(AND(ISNUMBER($R207),$R207&gt;0,$Q207="")," · Monto pagado sin fecha","")="","OK",MID(IF($B207=""," · Falta fecha","")&amp;IF($C207=""," · Falta proveedor","")&amp;IF(AND($D207&lt;&gt;"",COUNTIF(tblProductos[SKU],$D207)=0)," · SKU no existe","")&amp;IF($D207=""," · Falta SKU","")&amp;IF(OR($G207="",NOT(ISNUMBER($G207)),$G207&lt;=0)," · Cantidad inválida","")&amp;IF($H207=""," · Falta costo unitario","")&amp;IF(AND($P207="Pagado",$Q207="")," · Pago sin fecha","")&amp;IF(AND(ISNUMBER($R207),ISNUMBER($M207),$R207&gt;N($M207)+0.01)," · Pagado &gt; total","")&amp;IF(AND(ISNUMBER($R207),$R207&gt;0,$Q207="")," · Monto pagado sin fecha",""),4,900)))</f>
        <v/>
      </c>
    </row>
    <row r="208">
      <c r="A208" s="51">
        <f>IF(COUNTA($B208,$C208,$D208,$G208,$H208)=0,"","C-"&amp;TEXT(ROW()-6,"0000"))</f>
        <v/>
      </c>
      <c r="B208" s="41" t="n"/>
      <c r="C208" s="33" t="n"/>
      <c r="D208" s="33" t="n"/>
      <c r="E208" s="51">
        <f>IF($D208="","",IFERROR(IF(INDEX(tblProductos[Nombre del producto],MATCH($D208,tblProductos[SKU],0))="","",INDEX(tblProductos[Nombre del producto],MATCH($D208,tblProductos[SKU],0))),""))</f>
        <v/>
      </c>
      <c r="F208" s="51">
        <f>IF($D208="","",IFERROR(IF(INDEX(tblProductos[Categoría],MATCH($D208,tblProductos[SKU],0))="","",INDEX(tblProductos[Categoría],MATCH($D208,tblProductos[SKU],0))),""))</f>
        <v/>
      </c>
      <c r="G208" s="34" t="n"/>
      <c r="H208" s="36" t="n"/>
      <c r="I208" s="37">
        <f>IF(OR($G208="",$H208=""),"",$G208*$H208)</f>
        <v/>
      </c>
      <c r="J208" s="36" t="n"/>
      <c r="K208" s="36" t="n"/>
      <c r="L208" s="36" t="n"/>
      <c r="M208" s="37">
        <f>IF(NOT(ISNUMBER($I208)),"",$I208+SUM($J208:$L208))</f>
        <v/>
      </c>
      <c r="N208" s="37">
        <f>IF(OR(NOT(ISNUMBER($M208)),NOT(ISNUMBER($G208)),$G208&lt;=0),"",$M208/$G208)</f>
        <v/>
      </c>
      <c r="O208" s="33" t="n"/>
      <c r="P208" s="33" t="n"/>
      <c r="Q208" s="41" t="n"/>
      <c r="R208" s="36" t="n"/>
      <c r="S208" s="37">
        <f>IF(NOT(ISNUMBER($M208)),"",$M208-IF(ISNUMBER($R208),$R208,0))</f>
        <v/>
      </c>
      <c r="T208" s="33" t="n"/>
      <c r="U208" s="51">
        <f>IF(COUNTA($B208,$C208,$D208,$G208,$H208)=0,"",IF(IF($B208=""," · Falta fecha","")&amp;IF($C208=""," · Falta proveedor","")&amp;IF(AND($D208&lt;&gt;"",COUNTIF(tblProductos[SKU],$D208)=0)," · SKU no existe","")&amp;IF($D208=""," · Falta SKU","")&amp;IF(OR($G208="",NOT(ISNUMBER($G208)),$G208&lt;=0)," · Cantidad inválida","")&amp;IF($H208=""," · Falta costo unitario","")&amp;IF(AND($P208="Pagado",$Q208="")," · Pago sin fecha","")&amp;IF(AND(ISNUMBER($R208),ISNUMBER($M208),$R208&gt;N($M208)+0.01)," · Pagado &gt; total","")&amp;IF(AND(ISNUMBER($R208),$R208&gt;0,$Q208="")," · Monto pagado sin fecha","")="","OK",MID(IF($B208=""," · Falta fecha","")&amp;IF($C208=""," · Falta proveedor","")&amp;IF(AND($D208&lt;&gt;"",COUNTIF(tblProductos[SKU],$D208)=0)," · SKU no existe","")&amp;IF($D208=""," · Falta SKU","")&amp;IF(OR($G208="",NOT(ISNUMBER($G208)),$G208&lt;=0)," · Cantidad inválida","")&amp;IF($H208=""," · Falta costo unitario","")&amp;IF(AND($P208="Pagado",$Q208="")," · Pago sin fecha","")&amp;IF(AND(ISNUMBER($R208),ISNUMBER($M208),$R208&gt;N($M208)+0.01)," · Pagado &gt; total","")&amp;IF(AND(ISNUMBER($R208),$R208&gt;0,$Q208="")," · Monto pagado sin fecha",""),4,900)))</f>
        <v/>
      </c>
    </row>
    <row r="209">
      <c r="A209" s="51">
        <f>IF(COUNTA($B209,$C209,$D209,$G209,$H209)=0,"","C-"&amp;TEXT(ROW()-6,"0000"))</f>
        <v/>
      </c>
      <c r="B209" s="41" t="n"/>
      <c r="C209" s="33" t="n"/>
      <c r="D209" s="33" t="n"/>
      <c r="E209" s="51">
        <f>IF($D209="","",IFERROR(IF(INDEX(tblProductos[Nombre del producto],MATCH($D209,tblProductos[SKU],0))="","",INDEX(tblProductos[Nombre del producto],MATCH($D209,tblProductos[SKU],0))),""))</f>
        <v/>
      </c>
      <c r="F209" s="51">
        <f>IF($D209="","",IFERROR(IF(INDEX(tblProductos[Categoría],MATCH($D209,tblProductos[SKU],0))="","",INDEX(tblProductos[Categoría],MATCH($D209,tblProductos[SKU],0))),""))</f>
        <v/>
      </c>
      <c r="G209" s="34" t="n"/>
      <c r="H209" s="36" t="n"/>
      <c r="I209" s="37">
        <f>IF(OR($G209="",$H209=""),"",$G209*$H209)</f>
        <v/>
      </c>
      <c r="J209" s="36" t="n"/>
      <c r="K209" s="36" t="n"/>
      <c r="L209" s="36" t="n"/>
      <c r="M209" s="37">
        <f>IF(NOT(ISNUMBER($I209)),"",$I209+SUM($J209:$L209))</f>
        <v/>
      </c>
      <c r="N209" s="37">
        <f>IF(OR(NOT(ISNUMBER($M209)),NOT(ISNUMBER($G209)),$G209&lt;=0),"",$M209/$G209)</f>
        <v/>
      </c>
      <c r="O209" s="33" t="n"/>
      <c r="P209" s="33" t="n"/>
      <c r="Q209" s="41" t="n"/>
      <c r="R209" s="36" t="n"/>
      <c r="S209" s="37">
        <f>IF(NOT(ISNUMBER($M209)),"",$M209-IF(ISNUMBER($R209),$R209,0))</f>
        <v/>
      </c>
      <c r="T209" s="33" t="n"/>
      <c r="U209" s="51">
        <f>IF(COUNTA($B209,$C209,$D209,$G209,$H209)=0,"",IF(IF($B209=""," · Falta fecha","")&amp;IF($C209=""," · Falta proveedor","")&amp;IF(AND($D209&lt;&gt;"",COUNTIF(tblProductos[SKU],$D209)=0)," · SKU no existe","")&amp;IF($D209=""," · Falta SKU","")&amp;IF(OR($G209="",NOT(ISNUMBER($G209)),$G209&lt;=0)," · Cantidad inválida","")&amp;IF($H209=""," · Falta costo unitario","")&amp;IF(AND($P209="Pagado",$Q209="")," · Pago sin fecha","")&amp;IF(AND(ISNUMBER($R209),ISNUMBER($M209),$R209&gt;N($M209)+0.01)," · Pagado &gt; total","")&amp;IF(AND(ISNUMBER($R209),$R209&gt;0,$Q209="")," · Monto pagado sin fecha","")="","OK",MID(IF($B209=""," · Falta fecha","")&amp;IF($C209=""," · Falta proveedor","")&amp;IF(AND($D209&lt;&gt;"",COUNTIF(tblProductos[SKU],$D209)=0)," · SKU no existe","")&amp;IF($D209=""," · Falta SKU","")&amp;IF(OR($G209="",NOT(ISNUMBER($G209)),$G209&lt;=0)," · Cantidad inválida","")&amp;IF($H209=""," · Falta costo unitario","")&amp;IF(AND($P209="Pagado",$Q209="")," · Pago sin fecha","")&amp;IF(AND(ISNUMBER($R209),ISNUMBER($M209),$R209&gt;N($M209)+0.01)," · Pagado &gt; total","")&amp;IF(AND(ISNUMBER($R209),$R209&gt;0,$Q209="")," · Monto pagado sin fecha",""),4,900)))</f>
        <v/>
      </c>
    </row>
    <row r="210">
      <c r="A210" s="51">
        <f>IF(COUNTA($B210,$C210,$D210,$G210,$H210)=0,"","C-"&amp;TEXT(ROW()-6,"0000"))</f>
        <v/>
      </c>
      <c r="B210" s="41" t="n"/>
      <c r="C210" s="33" t="n"/>
      <c r="D210" s="33" t="n"/>
      <c r="E210" s="51">
        <f>IF($D210="","",IFERROR(IF(INDEX(tblProductos[Nombre del producto],MATCH($D210,tblProductos[SKU],0))="","",INDEX(tblProductos[Nombre del producto],MATCH($D210,tblProductos[SKU],0))),""))</f>
        <v/>
      </c>
      <c r="F210" s="51">
        <f>IF($D210="","",IFERROR(IF(INDEX(tblProductos[Categoría],MATCH($D210,tblProductos[SKU],0))="","",INDEX(tblProductos[Categoría],MATCH($D210,tblProductos[SKU],0))),""))</f>
        <v/>
      </c>
      <c r="G210" s="34" t="n"/>
      <c r="H210" s="36" t="n"/>
      <c r="I210" s="37">
        <f>IF(OR($G210="",$H210=""),"",$G210*$H210)</f>
        <v/>
      </c>
      <c r="J210" s="36" t="n"/>
      <c r="K210" s="36" t="n"/>
      <c r="L210" s="36" t="n"/>
      <c r="M210" s="37">
        <f>IF(NOT(ISNUMBER($I210)),"",$I210+SUM($J210:$L210))</f>
        <v/>
      </c>
      <c r="N210" s="37">
        <f>IF(OR(NOT(ISNUMBER($M210)),NOT(ISNUMBER($G210)),$G210&lt;=0),"",$M210/$G210)</f>
        <v/>
      </c>
      <c r="O210" s="33" t="n"/>
      <c r="P210" s="33" t="n"/>
      <c r="Q210" s="41" t="n"/>
      <c r="R210" s="36" t="n"/>
      <c r="S210" s="37">
        <f>IF(NOT(ISNUMBER($M210)),"",$M210-IF(ISNUMBER($R210),$R210,0))</f>
        <v/>
      </c>
      <c r="T210" s="33" t="n"/>
      <c r="U210" s="51">
        <f>IF(COUNTA($B210,$C210,$D210,$G210,$H210)=0,"",IF(IF($B210=""," · Falta fecha","")&amp;IF($C210=""," · Falta proveedor","")&amp;IF(AND($D210&lt;&gt;"",COUNTIF(tblProductos[SKU],$D210)=0)," · SKU no existe","")&amp;IF($D210=""," · Falta SKU","")&amp;IF(OR($G210="",NOT(ISNUMBER($G210)),$G210&lt;=0)," · Cantidad inválida","")&amp;IF($H210=""," · Falta costo unitario","")&amp;IF(AND($P210="Pagado",$Q210="")," · Pago sin fecha","")&amp;IF(AND(ISNUMBER($R210),ISNUMBER($M210),$R210&gt;N($M210)+0.01)," · Pagado &gt; total","")&amp;IF(AND(ISNUMBER($R210),$R210&gt;0,$Q210="")," · Monto pagado sin fecha","")="","OK",MID(IF($B210=""," · Falta fecha","")&amp;IF($C210=""," · Falta proveedor","")&amp;IF(AND($D210&lt;&gt;"",COUNTIF(tblProductos[SKU],$D210)=0)," · SKU no existe","")&amp;IF($D210=""," · Falta SKU","")&amp;IF(OR($G210="",NOT(ISNUMBER($G210)),$G210&lt;=0)," · Cantidad inválida","")&amp;IF($H210=""," · Falta costo unitario","")&amp;IF(AND($P210="Pagado",$Q210="")," · Pago sin fecha","")&amp;IF(AND(ISNUMBER($R210),ISNUMBER($M210),$R210&gt;N($M210)+0.01)," · Pagado &gt; total","")&amp;IF(AND(ISNUMBER($R210),$R210&gt;0,$Q210="")," · Monto pagado sin fecha",""),4,900)))</f>
        <v/>
      </c>
    </row>
    <row r="211">
      <c r="A211" s="51">
        <f>IF(COUNTA($B211,$C211,$D211,$G211,$H211)=0,"","C-"&amp;TEXT(ROW()-6,"0000"))</f>
        <v/>
      </c>
      <c r="B211" s="41" t="n"/>
      <c r="C211" s="33" t="n"/>
      <c r="D211" s="33" t="n"/>
      <c r="E211" s="51">
        <f>IF($D211="","",IFERROR(IF(INDEX(tblProductos[Nombre del producto],MATCH($D211,tblProductos[SKU],0))="","",INDEX(tblProductos[Nombre del producto],MATCH($D211,tblProductos[SKU],0))),""))</f>
        <v/>
      </c>
      <c r="F211" s="51">
        <f>IF($D211="","",IFERROR(IF(INDEX(tblProductos[Categoría],MATCH($D211,tblProductos[SKU],0))="","",INDEX(tblProductos[Categoría],MATCH($D211,tblProductos[SKU],0))),""))</f>
        <v/>
      </c>
      <c r="G211" s="34" t="n"/>
      <c r="H211" s="36" t="n"/>
      <c r="I211" s="37">
        <f>IF(OR($G211="",$H211=""),"",$G211*$H211)</f>
        <v/>
      </c>
      <c r="J211" s="36" t="n"/>
      <c r="K211" s="36" t="n"/>
      <c r="L211" s="36" t="n"/>
      <c r="M211" s="37">
        <f>IF(NOT(ISNUMBER($I211)),"",$I211+SUM($J211:$L211))</f>
        <v/>
      </c>
      <c r="N211" s="37">
        <f>IF(OR(NOT(ISNUMBER($M211)),NOT(ISNUMBER($G211)),$G211&lt;=0),"",$M211/$G211)</f>
        <v/>
      </c>
      <c r="O211" s="33" t="n"/>
      <c r="P211" s="33" t="n"/>
      <c r="Q211" s="41" t="n"/>
      <c r="R211" s="36" t="n"/>
      <c r="S211" s="37">
        <f>IF(NOT(ISNUMBER($M211)),"",$M211-IF(ISNUMBER($R211),$R211,0))</f>
        <v/>
      </c>
      <c r="T211" s="33" t="n"/>
      <c r="U211" s="51">
        <f>IF(COUNTA($B211,$C211,$D211,$G211,$H211)=0,"",IF(IF($B211=""," · Falta fecha","")&amp;IF($C211=""," · Falta proveedor","")&amp;IF(AND($D211&lt;&gt;"",COUNTIF(tblProductos[SKU],$D211)=0)," · SKU no existe","")&amp;IF($D211=""," · Falta SKU","")&amp;IF(OR($G211="",NOT(ISNUMBER($G211)),$G211&lt;=0)," · Cantidad inválida","")&amp;IF($H211=""," · Falta costo unitario","")&amp;IF(AND($P211="Pagado",$Q211="")," · Pago sin fecha","")&amp;IF(AND(ISNUMBER($R211),ISNUMBER($M211),$R211&gt;N($M211)+0.01)," · Pagado &gt; total","")&amp;IF(AND(ISNUMBER($R211),$R211&gt;0,$Q211="")," · Monto pagado sin fecha","")="","OK",MID(IF($B211=""," · Falta fecha","")&amp;IF($C211=""," · Falta proveedor","")&amp;IF(AND($D211&lt;&gt;"",COUNTIF(tblProductos[SKU],$D211)=0)," · SKU no existe","")&amp;IF($D211=""," · Falta SKU","")&amp;IF(OR($G211="",NOT(ISNUMBER($G211)),$G211&lt;=0)," · Cantidad inválida","")&amp;IF($H211=""," · Falta costo unitario","")&amp;IF(AND($P211="Pagado",$Q211="")," · Pago sin fecha","")&amp;IF(AND(ISNUMBER($R211),ISNUMBER($M211),$R211&gt;N($M211)+0.01)," · Pagado &gt; total","")&amp;IF(AND(ISNUMBER($R211),$R211&gt;0,$Q211="")," · Monto pagado sin fecha",""),4,900)))</f>
        <v/>
      </c>
    </row>
    <row r="212">
      <c r="A212" s="51">
        <f>IF(COUNTA($B212,$C212,$D212,$G212,$H212)=0,"","C-"&amp;TEXT(ROW()-6,"0000"))</f>
        <v/>
      </c>
      <c r="B212" s="41" t="n"/>
      <c r="C212" s="33" t="n"/>
      <c r="D212" s="33" t="n"/>
      <c r="E212" s="51">
        <f>IF($D212="","",IFERROR(IF(INDEX(tblProductos[Nombre del producto],MATCH($D212,tblProductos[SKU],0))="","",INDEX(tblProductos[Nombre del producto],MATCH($D212,tblProductos[SKU],0))),""))</f>
        <v/>
      </c>
      <c r="F212" s="51">
        <f>IF($D212="","",IFERROR(IF(INDEX(tblProductos[Categoría],MATCH($D212,tblProductos[SKU],0))="","",INDEX(tblProductos[Categoría],MATCH($D212,tblProductos[SKU],0))),""))</f>
        <v/>
      </c>
      <c r="G212" s="34" t="n"/>
      <c r="H212" s="36" t="n"/>
      <c r="I212" s="37">
        <f>IF(OR($G212="",$H212=""),"",$G212*$H212)</f>
        <v/>
      </c>
      <c r="J212" s="36" t="n"/>
      <c r="K212" s="36" t="n"/>
      <c r="L212" s="36" t="n"/>
      <c r="M212" s="37">
        <f>IF(NOT(ISNUMBER($I212)),"",$I212+SUM($J212:$L212))</f>
        <v/>
      </c>
      <c r="N212" s="37">
        <f>IF(OR(NOT(ISNUMBER($M212)),NOT(ISNUMBER($G212)),$G212&lt;=0),"",$M212/$G212)</f>
        <v/>
      </c>
      <c r="O212" s="33" t="n"/>
      <c r="P212" s="33" t="n"/>
      <c r="Q212" s="41" t="n"/>
      <c r="R212" s="36" t="n"/>
      <c r="S212" s="37">
        <f>IF(NOT(ISNUMBER($M212)),"",$M212-IF(ISNUMBER($R212),$R212,0))</f>
        <v/>
      </c>
      <c r="T212" s="33" t="n"/>
      <c r="U212" s="51">
        <f>IF(COUNTA($B212,$C212,$D212,$G212,$H212)=0,"",IF(IF($B212=""," · Falta fecha","")&amp;IF($C212=""," · Falta proveedor","")&amp;IF(AND($D212&lt;&gt;"",COUNTIF(tblProductos[SKU],$D212)=0)," · SKU no existe","")&amp;IF($D212=""," · Falta SKU","")&amp;IF(OR($G212="",NOT(ISNUMBER($G212)),$G212&lt;=0)," · Cantidad inválida","")&amp;IF($H212=""," · Falta costo unitario","")&amp;IF(AND($P212="Pagado",$Q212="")," · Pago sin fecha","")&amp;IF(AND(ISNUMBER($R212),ISNUMBER($M212),$R212&gt;N($M212)+0.01)," · Pagado &gt; total","")&amp;IF(AND(ISNUMBER($R212),$R212&gt;0,$Q212="")," · Monto pagado sin fecha","")="","OK",MID(IF($B212=""," · Falta fecha","")&amp;IF($C212=""," · Falta proveedor","")&amp;IF(AND($D212&lt;&gt;"",COUNTIF(tblProductos[SKU],$D212)=0)," · SKU no existe","")&amp;IF($D212=""," · Falta SKU","")&amp;IF(OR($G212="",NOT(ISNUMBER($G212)),$G212&lt;=0)," · Cantidad inválida","")&amp;IF($H212=""," · Falta costo unitario","")&amp;IF(AND($P212="Pagado",$Q212="")," · Pago sin fecha","")&amp;IF(AND(ISNUMBER($R212),ISNUMBER($M212),$R212&gt;N($M212)+0.01)," · Pagado &gt; total","")&amp;IF(AND(ISNUMBER($R212),$R212&gt;0,$Q212="")," · Monto pagado sin fecha",""),4,900)))</f>
        <v/>
      </c>
    </row>
    <row r="213">
      <c r="A213" s="51">
        <f>IF(COUNTA($B213,$C213,$D213,$G213,$H213)=0,"","C-"&amp;TEXT(ROW()-6,"0000"))</f>
        <v/>
      </c>
      <c r="B213" s="41" t="n"/>
      <c r="C213" s="33" t="n"/>
      <c r="D213" s="33" t="n"/>
      <c r="E213" s="51">
        <f>IF($D213="","",IFERROR(IF(INDEX(tblProductos[Nombre del producto],MATCH($D213,tblProductos[SKU],0))="","",INDEX(tblProductos[Nombre del producto],MATCH($D213,tblProductos[SKU],0))),""))</f>
        <v/>
      </c>
      <c r="F213" s="51">
        <f>IF($D213="","",IFERROR(IF(INDEX(tblProductos[Categoría],MATCH($D213,tblProductos[SKU],0))="","",INDEX(tblProductos[Categoría],MATCH($D213,tblProductos[SKU],0))),""))</f>
        <v/>
      </c>
      <c r="G213" s="34" t="n"/>
      <c r="H213" s="36" t="n"/>
      <c r="I213" s="37">
        <f>IF(OR($G213="",$H213=""),"",$G213*$H213)</f>
        <v/>
      </c>
      <c r="J213" s="36" t="n"/>
      <c r="K213" s="36" t="n"/>
      <c r="L213" s="36" t="n"/>
      <c r="M213" s="37">
        <f>IF(NOT(ISNUMBER($I213)),"",$I213+SUM($J213:$L213))</f>
        <v/>
      </c>
      <c r="N213" s="37">
        <f>IF(OR(NOT(ISNUMBER($M213)),NOT(ISNUMBER($G213)),$G213&lt;=0),"",$M213/$G213)</f>
        <v/>
      </c>
      <c r="O213" s="33" t="n"/>
      <c r="P213" s="33" t="n"/>
      <c r="Q213" s="41" t="n"/>
      <c r="R213" s="36" t="n"/>
      <c r="S213" s="37">
        <f>IF(NOT(ISNUMBER($M213)),"",$M213-IF(ISNUMBER($R213),$R213,0))</f>
        <v/>
      </c>
      <c r="T213" s="33" t="n"/>
      <c r="U213" s="51">
        <f>IF(COUNTA($B213,$C213,$D213,$G213,$H213)=0,"",IF(IF($B213=""," · Falta fecha","")&amp;IF($C213=""," · Falta proveedor","")&amp;IF(AND($D213&lt;&gt;"",COUNTIF(tblProductos[SKU],$D213)=0)," · SKU no existe","")&amp;IF($D213=""," · Falta SKU","")&amp;IF(OR($G213="",NOT(ISNUMBER($G213)),$G213&lt;=0)," · Cantidad inválida","")&amp;IF($H213=""," · Falta costo unitario","")&amp;IF(AND($P213="Pagado",$Q213="")," · Pago sin fecha","")&amp;IF(AND(ISNUMBER($R213),ISNUMBER($M213),$R213&gt;N($M213)+0.01)," · Pagado &gt; total","")&amp;IF(AND(ISNUMBER($R213),$R213&gt;0,$Q213="")," · Monto pagado sin fecha","")="","OK",MID(IF($B213=""," · Falta fecha","")&amp;IF($C213=""," · Falta proveedor","")&amp;IF(AND($D213&lt;&gt;"",COUNTIF(tblProductos[SKU],$D213)=0)," · SKU no existe","")&amp;IF($D213=""," · Falta SKU","")&amp;IF(OR($G213="",NOT(ISNUMBER($G213)),$G213&lt;=0)," · Cantidad inválida","")&amp;IF($H213=""," · Falta costo unitario","")&amp;IF(AND($P213="Pagado",$Q213="")," · Pago sin fecha","")&amp;IF(AND(ISNUMBER($R213),ISNUMBER($M213),$R213&gt;N($M213)+0.01)," · Pagado &gt; total","")&amp;IF(AND(ISNUMBER($R213),$R213&gt;0,$Q213="")," · Monto pagado sin fecha",""),4,900)))</f>
        <v/>
      </c>
    </row>
    <row r="214">
      <c r="A214" s="51">
        <f>IF(COUNTA($B214,$C214,$D214,$G214,$H214)=0,"","C-"&amp;TEXT(ROW()-6,"0000"))</f>
        <v/>
      </c>
      <c r="B214" s="41" t="n"/>
      <c r="C214" s="33" t="n"/>
      <c r="D214" s="33" t="n"/>
      <c r="E214" s="51">
        <f>IF($D214="","",IFERROR(IF(INDEX(tblProductos[Nombre del producto],MATCH($D214,tblProductos[SKU],0))="","",INDEX(tblProductos[Nombre del producto],MATCH($D214,tblProductos[SKU],0))),""))</f>
        <v/>
      </c>
      <c r="F214" s="51">
        <f>IF($D214="","",IFERROR(IF(INDEX(tblProductos[Categoría],MATCH($D214,tblProductos[SKU],0))="","",INDEX(tblProductos[Categoría],MATCH($D214,tblProductos[SKU],0))),""))</f>
        <v/>
      </c>
      <c r="G214" s="34" t="n"/>
      <c r="H214" s="36" t="n"/>
      <c r="I214" s="37">
        <f>IF(OR($G214="",$H214=""),"",$G214*$H214)</f>
        <v/>
      </c>
      <c r="J214" s="36" t="n"/>
      <c r="K214" s="36" t="n"/>
      <c r="L214" s="36" t="n"/>
      <c r="M214" s="37">
        <f>IF(NOT(ISNUMBER($I214)),"",$I214+SUM($J214:$L214))</f>
        <v/>
      </c>
      <c r="N214" s="37">
        <f>IF(OR(NOT(ISNUMBER($M214)),NOT(ISNUMBER($G214)),$G214&lt;=0),"",$M214/$G214)</f>
        <v/>
      </c>
      <c r="O214" s="33" t="n"/>
      <c r="P214" s="33" t="n"/>
      <c r="Q214" s="41" t="n"/>
      <c r="R214" s="36" t="n"/>
      <c r="S214" s="37">
        <f>IF(NOT(ISNUMBER($M214)),"",$M214-IF(ISNUMBER($R214),$R214,0))</f>
        <v/>
      </c>
      <c r="T214" s="33" t="n"/>
      <c r="U214" s="51">
        <f>IF(COUNTA($B214,$C214,$D214,$G214,$H214)=0,"",IF(IF($B214=""," · Falta fecha","")&amp;IF($C214=""," · Falta proveedor","")&amp;IF(AND($D214&lt;&gt;"",COUNTIF(tblProductos[SKU],$D214)=0)," · SKU no existe","")&amp;IF($D214=""," · Falta SKU","")&amp;IF(OR($G214="",NOT(ISNUMBER($G214)),$G214&lt;=0)," · Cantidad inválida","")&amp;IF($H214=""," · Falta costo unitario","")&amp;IF(AND($P214="Pagado",$Q214="")," · Pago sin fecha","")&amp;IF(AND(ISNUMBER($R214),ISNUMBER($M214),$R214&gt;N($M214)+0.01)," · Pagado &gt; total","")&amp;IF(AND(ISNUMBER($R214),$R214&gt;0,$Q214="")," · Monto pagado sin fecha","")="","OK",MID(IF($B214=""," · Falta fecha","")&amp;IF($C214=""," · Falta proveedor","")&amp;IF(AND($D214&lt;&gt;"",COUNTIF(tblProductos[SKU],$D214)=0)," · SKU no existe","")&amp;IF($D214=""," · Falta SKU","")&amp;IF(OR($G214="",NOT(ISNUMBER($G214)),$G214&lt;=0)," · Cantidad inválida","")&amp;IF($H214=""," · Falta costo unitario","")&amp;IF(AND($P214="Pagado",$Q214="")," · Pago sin fecha","")&amp;IF(AND(ISNUMBER($R214),ISNUMBER($M214),$R214&gt;N($M214)+0.01)," · Pagado &gt; total","")&amp;IF(AND(ISNUMBER($R214),$R214&gt;0,$Q214="")," · Monto pagado sin fecha",""),4,900)))</f>
        <v/>
      </c>
    </row>
    <row r="215">
      <c r="A215" s="51">
        <f>IF(COUNTA($B215,$C215,$D215,$G215,$H215)=0,"","C-"&amp;TEXT(ROW()-6,"0000"))</f>
        <v/>
      </c>
      <c r="B215" s="41" t="n"/>
      <c r="C215" s="33" t="n"/>
      <c r="D215" s="33" t="n"/>
      <c r="E215" s="51">
        <f>IF($D215="","",IFERROR(IF(INDEX(tblProductos[Nombre del producto],MATCH($D215,tblProductos[SKU],0))="","",INDEX(tblProductos[Nombre del producto],MATCH($D215,tblProductos[SKU],0))),""))</f>
        <v/>
      </c>
      <c r="F215" s="51">
        <f>IF($D215="","",IFERROR(IF(INDEX(tblProductos[Categoría],MATCH($D215,tblProductos[SKU],0))="","",INDEX(tblProductos[Categoría],MATCH($D215,tblProductos[SKU],0))),""))</f>
        <v/>
      </c>
      <c r="G215" s="34" t="n"/>
      <c r="H215" s="36" t="n"/>
      <c r="I215" s="37">
        <f>IF(OR($G215="",$H215=""),"",$G215*$H215)</f>
        <v/>
      </c>
      <c r="J215" s="36" t="n"/>
      <c r="K215" s="36" t="n"/>
      <c r="L215" s="36" t="n"/>
      <c r="M215" s="37">
        <f>IF(NOT(ISNUMBER($I215)),"",$I215+SUM($J215:$L215))</f>
        <v/>
      </c>
      <c r="N215" s="37">
        <f>IF(OR(NOT(ISNUMBER($M215)),NOT(ISNUMBER($G215)),$G215&lt;=0),"",$M215/$G215)</f>
        <v/>
      </c>
      <c r="O215" s="33" t="n"/>
      <c r="P215" s="33" t="n"/>
      <c r="Q215" s="41" t="n"/>
      <c r="R215" s="36" t="n"/>
      <c r="S215" s="37">
        <f>IF(NOT(ISNUMBER($M215)),"",$M215-IF(ISNUMBER($R215),$R215,0))</f>
        <v/>
      </c>
      <c r="T215" s="33" t="n"/>
      <c r="U215" s="51">
        <f>IF(COUNTA($B215,$C215,$D215,$G215,$H215)=0,"",IF(IF($B215=""," · Falta fecha","")&amp;IF($C215=""," · Falta proveedor","")&amp;IF(AND($D215&lt;&gt;"",COUNTIF(tblProductos[SKU],$D215)=0)," · SKU no existe","")&amp;IF($D215=""," · Falta SKU","")&amp;IF(OR($G215="",NOT(ISNUMBER($G215)),$G215&lt;=0)," · Cantidad inválida","")&amp;IF($H215=""," · Falta costo unitario","")&amp;IF(AND($P215="Pagado",$Q215="")," · Pago sin fecha","")&amp;IF(AND(ISNUMBER($R215),ISNUMBER($M215),$R215&gt;N($M215)+0.01)," · Pagado &gt; total","")&amp;IF(AND(ISNUMBER($R215),$R215&gt;0,$Q215="")," · Monto pagado sin fecha","")="","OK",MID(IF($B215=""," · Falta fecha","")&amp;IF($C215=""," · Falta proveedor","")&amp;IF(AND($D215&lt;&gt;"",COUNTIF(tblProductos[SKU],$D215)=0)," · SKU no existe","")&amp;IF($D215=""," · Falta SKU","")&amp;IF(OR($G215="",NOT(ISNUMBER($G215)),$G215&lt;=0)," · Cantidad inválida","")&amp;IF($H215=""," · Falta costo unitario","")&amp;IF(AND($P215="Pagado",$Q215="")," · Pago sin fecha","")&amp;IF(AND(ISNUMBER($R215),ISNUMBER($M215),$R215&gt;N($M215)+0.01)," · Pagado &gt; total","")&amp;IF(AND(ISNUMBER($R215),$R215&gt;0,$Q215="")," · Monto pagado sin fecha",""),4,900)))</f>
        <v/>
      </c>
    </row>
    <row r="216">
      <c r="A216" s="51">
        <f>IF(COUNTA($B216,$C216,$D216,$G216,$H216)=0,"","C-"&amp;TEXT(ROW()-6,"0000"))</f>
        <v/>
      </c>
      <c r="B216" s="41" t="n"/>
      <c r="C216" s="33" t="n"/>
      <c r="D216" s="33" t="n"/>
      <c r="E216" s="51">
        <f>IF($D216="","",IFERROR(IF(INDEX(tblProductos[Nombre del producto],MATCH($D216,tblProductos[SKU],0))="","",INDEX(tblProductos[Nombre del producto],MATCH($D216,tblProductos[SKU],0))),""))</f>
        <v/>
      </c>
      <c r="F216" s="51">
        <f>IF($D216="","",IFERROR(IF(INDEX(tblProductos[Categoría],MATCH($D216,tblProductos[SKU],0))="","",INDEX(tblProductos[Categoría],MATCH($D216,tblProductos[SKU],0))),""))</f>
        <v/>
      </c>
      <c r="G216" s="34" t="n"/>
      <c r="H216" s="36" t="n"/>
      <c r="I216" s="37">
        <f>IF(OR($G216="",$H216=""),"",$G216*$H216)</f>
        <v/>
      </c>
      <c r="J216" s="36" t="n"/>
      <c r="K216" s="36" t="n"/>
      <c r="L216" s="36" t="n"/>
      <c r="M216" s="37">
        <f>IF(NOT(ISNUMBER($I216)),"",$I216+SUM($J216:$L216))</f>
        <v/>
      </c>
      <c r="N216" s="37">
        <f>IF(OR(NOT(ISNUMBER($M216)),NOT(ISNUMBER($G216)),$G216&lt;=0),"",$M216/$G216)</f>
        <v/>
      </c>
      <c r="O216" s="33" t="n"/>
      <c r="P216" s="33" t="n"/>
      <c r="Q216" s="41" t="n"/>
      <c r="R216" s="36" t="n"/>
      <c r="S216" s="37">
        <f>IF(NOT(ISNUMBER($M216)),"",$M216-IF(ISNUMBER($R216),$R216,0))</f>
        <v/>
      </c>
      <c r="T216" s="33" t="n"/>
      <c r="U216" s="51">
        <f>IF(COUNTA($B216,$C216,$D216,$G216,$H216)=0,"",IF(IF($B216=""," · Falta fecha","")&amp;IF($C216=""," · Falta proveedor","")&amp;IF(AND($D216&lt;&gt;"",COUNTIF(tblProductos[SKU],$D216)=0)," · SKU no existe","")&amp;IF($D216=""," · Falta SKU","")&amp;IF(OR($G216="",NOT(ISNUMBER($G216)),$G216&lt;=0)," · Cantidad inválida","")&amp;IF($H216=""," · Falta costo unitario","")&amp;IF(AND($P216="Pagado",$Q216="")," · Pago sin fecha","")&amp;IF(AND(ISNUMBER($R216),ISNUMBER($M216),$R216&gt;N($M216)+0.01)," · Pagado &gt; total","")&amp;IF(AND(ISNUMBER($R216),$R216&gt;0,$Q216="")," · Monto pagado sin fecha","")="","OK",MID(IF($B216=""," · Falta fecha","")&amp;IF($C216=""," · Falta proveedor","")&amp;IF(AND($D216&lt;&gt;"",COUNTIF(tblProductos[SKU],$D216)=0)," · SKU no existe","")&amp;IF($D216=""," · Falta SKU","")&amp;IF(OR($G216="",NOT(ISNUMBER($G216)),$G216&lt;=0)," · Cantidad inválida","")&amp;IF($H216=""," · Falta costo unitario","")&amp;IF(AND($P216="Pagado",$Q216="")," · Pago sin fecha","")&amp;IF(AND(ISNUMBER($R216),ISNUMBER($M216),$R216&gt;N($M216)+0.01)," · Pagado &gt; total","")&amp;IF(AND(ISNUMBER($R216),$R216&gt;0,$Q216="")," · Monto pagado sin fecha",""),4,900)))</f>
        <v/>
      </c>
    </row>
    <row r="217">
      <c r="A217" s="51">
        <f>IF(COUNTA($B217,$C217,$D217,$G217,$H217)=0,"","C-"&amp;TEXT(ROW()-6,"0000"))</f>
        <v/>
      </c>
      <c r="B217" s="41" t="n"/>
      <c r="C217" s="33" t="n"/>
      <c r="D217" s="33" t="n"/>
      <c r="E217" s="51">
        <f>IF($D217="","",IFERROR(IF(INDEX(tblProductos[Nombre del producto],MATCH($D217,tblProductos[SKU],0))="","",INDEX(tblProductos[Nombre del producto],MATCH($D217,tblProductos[SKU],0))),""))</f>
        <v/>
      </c>
      <c r="F217" s="51">
        <f>IF($D217="","",IFERROR(IF(INDEX(tblProductos[Categoría],MATCH($D217,tblProductos[SKU],0))="","",INDEX(tblProductos[Categoría],MATCH($D217,tblProductos[SKU],0))),""))</f>
        <v/>
      </c>
      <c r="G217" s="34" t="n"/>
      <c r="H217" s="36" t="n"/>
      <c r="I217" s="37">
        <f>IF(OR($G217="",$H217=""),"",$G217*$H217)</f>
        <v/>
      </c>
      <c r="J217" s="36" t="n"/>
      <c r="K217" s="36" t="n"/>
      <c r="L217" s="36" t="n"/>
      <c r="M217" s="37">
        <f>IF(NOT(ISNUMBER($I217)),"",$I217+SUM($J217:$L217))</f>
        <v/>
      </c>
      <c r="N217" s="37">
        <f>IF(OR(NOT(ISNUMBER($M217)),NOT(ISNUMBER($G217)),$G217&lt;=0),"",$M217/$G217)</f>
        <v/>
      </c>
      <c r="O217" s="33" t="n"/>
      <c r="P217" s="33" t="n"/>
      <c r="Q217" s="41" t="n"/>
      <c r="R217" s="36" t="n"/>
      <c r="S217" s="37">
        <f>IF(NOT(ISNUMBER($M217)),"",$M217-IF(ISNUMBER($R217),$R217,0))</f>
        <v/>
      </c>
      <c r="T217" s="33" t="n"/>
      <c r="U217" s="51">
        <f>IF(COUNTA($B217,$C217,$D217,$G217,$H217)=0,"",IF(IF($B217=""," · Falta fecha","")&amp;IF($C217=""," · Falta proveedor","")&amp;IF(AND($D217&lt;&gt;"",COUNTIF(tblProductos[SKU],$D217)=0)," · SKU no existe","")&amp;IF($D217=""," · Falta SKU","")&amp;IF(OR($G217="",NOT(ISNUMBER($G217)),$G217&lt;=0)," · Cantidad inválida","")&amp;IF($H217=""," · Falta costo unitario","")&amp;IF(AND($P217="Pagado",$Q217="")," · Pago sin fecha","")&amp;IF(AND(ISNUMBER($R217),ISNUMBER($M217),$R217&gt;N($M217)+0.01)," · Pagado &gt; total","")&amp;IF(AND(ISNUMBER($R217),$R217&gt;0,$Q217="")," · Monto pagado sin fecha","")="","OK",MID(IF($B217=""," · Falta fecha","")&amp;IF($C217=""," · Falta proveedor","")&amp;IF(AND($D217&lt;&gt;"",COUNTIF(tblProductos[SKU],$D217)=0)," · SKU no existe","")&amp;IF($D217=""," · Falta SKU","")&amp;IF(OR($G217="",NOT(ISNUMBER($G217)),$G217&lt;=0)," · Cantidad inválida","")&amp;IF($H217=""," · Falta costo unitario","")&amp;IF(AND($P217="Pagado",$Q217="")," · Pago sin fecha","")&amp;IF(AND(ISNUMBER($R217),ISNUMBER($M217),$R217&gt;N($M217)+0.01)," · Pagado &gt; total","")&amp;IF(AND(ISNUMBER($R217),$R217&gt;0,$Q217="")," · Monto pagado sin fecha",""),4,900)))</f>
        <v/>
      </c>
    </row>
    <row r="218">
      <c r="A218" s="51">
        <f>IF(COUNTA($B218,$C218,$D218,$G218,$H218)=0,"","C-"&amp;TEXT(ROW()-6,"0000"))</f>
        <v/>
      </c>
      <c r="B218" s="41" t="n"/>
      <c r="C218" s="33" t="n"/>
      <c r="D218" s="33" t="n"/>
      <c r="E218" s="51">
        <f>IF($D218="","",IFERROR(IF(INDEX(tblProductos[Nombre del producto],MATCH($D218,tblProductos[SKU],0))="","",INDEX(tblProductos[Nombre del producto],MATCH($D218,tblProductos[SKU],0))),""))</f>
        <v/>
      </c>
      <c r="F218" s="51">
        <f>IF($D218="","",IFERROR(IF(INDEX(tblProductos[Categoría],MATCH($D218,tblProductos[SKU],0))="","",INDEX(tblProductos[Categoría],MATCH($D218,tblProductos[SKU],0))),""))</f>
        <v/>
      </c>
      <c r="G218" s="34" t="n"/>
      <c r="H218" s="36" t="n"/>
      <c r="I218" s="37">
        <f>IF(OR($G218="",$H218=""),"",$G218*$H218)</f>
        <v/>
      </c>
      <c r="J218" s="36" t="n"/>
      <c r="K218" s="36" t="n"/>
      <c r="L218" s="36" t="n"/>
      <c r="M218" s="37">
        <f>IF(NOT(ISNUMBER($I218)),"",$I218+SUM($J218:$L218))</f>
        <v/>
      </c>
      <c r="N218" s="37">
        <f>IF(OR(NOT(ISNUMBER($M218)),NOT(ISNUMBER($G218)),$G218&lt;=0),"",$M218/$G218)</f>
        <v/>
      </c>
      <c r="O218" s="33" t="n"/>
      <c r="P218" s="33" t="n"/>
      <c r="Q218" s="41" t="n"/>
      <c r="R218" s="36" t="n"/>
      <c r="S218" s="37">
        <f>IF(NOT(ISNUMBER($M218)),"",$M218-IF(ISNUMBER($R218),$R218,0))</f>
        <v/>
      </c>
      <c r="T218" s="33" t="n"/>
      <c r="U218" s="51">
        <f>IF(COUNTA($B218,$C218,$D218,$G218,$H218)=0,"",IF(IF($B218=""," · Falta fecha","")&amp;IF($C218=""," · Falta proveedor","")&amp;IF(AND($D218&lt;&gt;"",COUNTIF(tblProductos[SKU],$D218)=0)," · SKU no existe","")&amp;IF($D218=""," · Falta SKU","")&amp;IF(OR($G218="",NOT(ISNUMBER($G218)),$G218&lt;=0)," · Cantidad inválida","")&amp;IF($H218=""," · Falta costo unitario","")&amp;IF(AND($P218="Pagado",$Q218="")," · Pago sin fecha","")&amp;IF(AND(ISNUMBER($R218),ISNUMBER($M218),$R218&gt;N($M218)+0.01)," · Pagado &gt; total","")&amp;IF(AND(ISNUMBER($R218),$R218&gt;0,$Q218="")," · Monto pagado sin fecha","")="","OK",MID(IF($B218=""," · Falta fecha","")&amp;IF($C218=""," · Falta proveedor","")&amp;IF(AND($D218&lt;&gt;"",COUNTIF(tblProductos[SKU],$D218)=0)," · SKU no existe","")&amp;IF($D218=""," · Falta SKU","")&amp;IF(OR($G218="",NOT(ISNUMBER($G218)),$G218&lt;=0)," · Cantidad inválida","")&amp;IF($H218=""," · Falta costo unitario","")&amp;IF(AND($P218="Pagado",$Q218="")," · Pago sin fecha","")&amp;IF(AND(ISNUMBER($R218),ISNUMBER($M218),$R218&gt;N($M218)+0.01)," · Pagado &gt; total","")&amp;IF(AND(ISNUMBER($R218),$R218&gt;0,$Q218="")," · Monto pagado sin fecha",""),4,900)))</f>
        <v/>
      </c>
    </row>
    <row r="219">
      <c r="A219" s="51">
        <f>IF(COUNTA($B219,$C219,$D219,$G219,$H219)=0,"","C-"&amp;TEXT(ROW()-6,"0000"))</f>
        <v/>
      </c>
      <c r="B219" s="41" t="n"/>
      <c r="C219" s="33" t="n"/>
      <c r="D219" s="33" t="n"/>
      <c r="E219" s="51">
        <f>IF($D219="","",IFERROR(IF(INDEX(tblProductos[Nombre del producto],MATCH($D219,tblProductos[SKU],0))="","",INDEX(tblProductos[Nombre del producto],MATCH($D219,tblProductos[SKU],0))),""))</f>
        <v/>
      </c>
      <c r="F219" s="51">
        <f>IF($D219="","",IFERROR(IF(INDEX(tblProductos[Categoría],MATCH($D219,tblProductos[SKU],0))="","",INDEX(tblProductos[Categoría],MATCH($D219,tblProductos[SKU],0))),""))</f>
        <v/>
      </c>
      <c r="G219" s="34" t="n"/>
      <c r="H219" s="36" t="n"/>
      <c r="I219" s="37">
        <f>IF(OR($G219="",$H219=""),"",$G219*$H219)</f>
        <v/>
      </c>
      <c r="J219" s="36" t="n"/>
      <c r="K219" s="36" t="n"/>
      <c r="L219" s="36" t="n"/>
      <c r="M219" s="37">
        <f>IF(NOT(ISNUMBER($I219)),"",$I219+SUM($J219:$L219))</f>
        <v/>
      </c>
      <c r="N219" s="37">
        <f>IF(OR(NOT(ISNUMBER($M219)),NOT(ISNUMBER($G219)),$G219&lt;=0),"",$M219/$G219)</f>
        <v/>
      </c>
      <c r="O219" s="33" t="n"/>
      <c r="P219" s="33" t="n"/>
      <c r="Q219" s="41" t="n"/>
      <c r="R219" s="36" t="n"/>
      <c r="S219" s="37">
        <f>IF(NOT(ISNUMBER($M219)),"",$M219-IF(ISNUMBER($R219),$R219,0))</f>
        <v/>
      </c>
      <c r="T219" s="33" t="n"/>
      <c r="U219" s="51">
        <f>IF(COUNTA($B219,$C219,$D219,$G219,$H219)=0,"",IF(IF($B219=""," · Falta fecha","")&amp;IF($C219=""," · Falta proveedor","")&amp;IF(AND($D219&lt;&gt;"",COUNTIF(tblProductos[SKU],$D219)=0)," · SKU no existe","")&amp;IF($D219=""," · Falta SKU","")&amp;IF(OR($G219="",NOT(ISNUMBER($G219)),$G219&lt;=0)," · Cantidad inválida","")&amp;IF($H219=""," · Falta costo unitario","")&amp;IF(AND($P219="Pagado",$Q219="")," · Pago sin fecha","")&amp;IF(AND(ISNUMBER($R219),ISNUMBER($M219),$R219&gt;N($M219)+0.01)," · Pagado &gt; total","")&amp;IF(AND(ISNUMBER($R219),$R219&gt;0,$Q219="")," · Monto pagado sin fecha","")="","OK",MID(IF($B219=""," · Falta fecha","")&amp;IF($C219=""," · Falta proveedor","")&amp;IF(AND($D219&lt;&gt;"",COUNTIF(tblProductos[SKU],$D219)=0)," · SKU no existe","")&amp;IF($D219=""," · Falta SKU","")&amp;IF(OR($G219="",NOT(ISNUMBER($G219)),$G219&lt;=0)," · Cantidad inválida","")&amp;IF($H219=""," · Falta costo unitario","")&amp;IF(AND($P219="Pagado",$Q219="")," · Pago sin fecha","")&amp;IF(AND(ISNUMBER($R219),ISNUMBER($M219),$R219&gt;N($M219)+0.01)," · Pagado &gt; total","")&amp;IF(AND(ISNUMBER($R219),$R219&gt;0,$Q219="")," · Monto pagado sin fecha",""),4,900)))</f>
        <v/>
      </c>
    </row>
    <row r="220">
      <c r="A220" s="51">
        <f>IF(COUNTA($B220,$C220,$D220,$G220,$H220)=0,"","C-"&amp;TEXT(ROW()-6,"0000"))</f>
        <v/>
      </c>
      <c r="B220" s="41" t="n"/>
      <c r="C220" s="33" t="n"/>
      <c r="D220" s="33" t="n"/>
      <c r="E220" s="51">
        <f>IF($D220="","",IFERROR(IF(INDEX(tblProductos[Nombre del producto],MATCH($D220,tblProductos[SKU],0))="","",INDEX(tblProductos[Nombre del producto],MATCH($D220,tblProductos[SKU],0))),""))</f>
        <v/>
      </c>
      <c r="F220" s="51">
        <f>IF($D220="","",IFERROR(IF(INDEX(tblProductos[Categoría],MATCH($D220,tblProductos[SKU],0))="","",INDEX(tblProductos[Categoría],MATCH($D220,tblProductos[SKU],0))),""))</f>
        <v/>
      </c>
      <c r="G220" s="34" t="n"/>
      <c r="H220" s="36" t="n"/>
      <c r="I220" s="37">
        <f>IF(OR($G220="",$H220=""),"",$G220*$H220)</f>
        <v/>
      </c>
      <c r="J220" s="36" t="n"/>
      <c r="K220" s="36" t="n"/>
      <c r="L220" s="36" t="n"/>
      <c r="M220" s="37">
        <f>IF(NOT(ISNUMBER($I220)),"",$I220+SUM($J220:$L220))</f>
        <v/>
      </c>
      <c r="N220" s="37">
        <f>IF(OR(NOT(ISNUMBER($M220)),NOT(ISNUMBER($G220)),$G220&lt;=0),"",$M220/$G220)</f>
        <v/>
      </c>
      <c r="O220" s="33" t="n"/>
      <c r="P220" s="33" t="n"/>
      <c r="Q220" s="41" t="n"/>
      <c r="R220" s="36" t="n"/>
      <c r="S220" s="37">
        <f>IF(NOT(ISNUMBER($M220)),"",$M220-IF(ISNUMBER($R220),$R220,0))</f>
        <v/>
      </c>
      <c r="T220" s="33" t="n"/>
      <c r="U220" s="51">
        <f>IF(COUNTA($B220,$C220,$D220,$G220,$H220)=0,"",IF(IF($B220=""," · Falta fecha","")&amp;IF($C220=""," · Falta proveedor","")&amp;IF(AND($D220&lt;&gt;"",COUNTIF(tblProductos[SKU],$D220)=0)," · SKU no existe","")&amp;IF($D220=""," · Falta SKU","")&amp;IF(OR($G220="",NOT(ISNUMBER($G220)),$G220&lt;=0)," · Cantidad inválida","")&amp;IF($H220=""," · Falta costo unitario","")&amp;IF(AND($P220="Pagado",$Q220="")," · Pago sin fecha","")&amp;IF(AND(ISNUMBER($R220),ISNUMBER($M220),$R220&gt;N($M220)+0.01)," · Pagado &gt; total","")&amp;IF(AND(ISNUMBER($R220),$R220&gt;0,$Q220="")," · Monto pagado sin fecha","")="","OK",MID(IF($B220=""," · Falta fecha","")&amp;IF($C220=""," · Falta proveedor","")&amp;IF(AND($D220&lt;&gt;"",COUNTIF(tblProductos[SKU],$D220)=0)," · SKU no existe","")&amp;IF($D220=""," · Falta SKU","")&amp;IF(OR($G220="",NOT(ISNUMBER($G220)),$G220&lt;=0)," · Cantidad inválida","")&amp;IF($H220=""," · Falta costo unitario","")&amp;IF(AND($P220="Pagado",$Q220="")," · Pago sin fecha","")&amp;IF(AND(ISNUMBER($R220),ISNUMBER($M220),$R220&gt;N($M220)+0.01)," · Pagado &gt; total","")&amp;IF(AND(ISNUMBER($R220),$R220&gt;0,$Q220="")," · Monto pagado sin fecha",""),4,900)))</f>
        <v/>
      </c>
    </row>
    <row r="221">
      <c r="A221" s="51">
        <f>IF(COUNTA($B221,$C221,$D221,$G221,$H221)=0,"","C-"&amp;TEXT(ROW()-6,"0000"))</f>
        <v/>
      </c>
      <c r="B221" s="41" t="n"/>
      <c r="C221" s="33" t="n"/>
      <c r="D221" s="33" t="n"/>
      <c r="E221" s="51">
        <f>IF($D221="","",IFERROR(IF(INDEX(tblProductos[Nombre del producto],MATCH($D221,tblProductos[SKU],0))="","",INDEX(tblProductos[Nombre del producto],MATCH($D221,tblProductos[SKU],0))),""))</f>
        <v/>
      </c>
      <c r="F221" s="51">
        <f>IF($D221="","",IFERROR(IF(INDEX(tblProductos[Categoría],MATCH($D221,tblProductos[SKU],0))="","",INDEX(tblProductos[Categoría],MATCH($D221,tblProductos[SKU],0))),""))</f>
        <v/>
      </c>
      <c r="G221" s="34" t="n"/>
      <c r="H221" s="36" t="n"/>
      <c r="I221" s="37">
        <f>IF(OR($G221="",$H221=""),"",$G221*$H221)</f>
        <v/>
      </c>
      <c r="J221" s="36" t="n"/>
      <c r="K221" s="36" t="n"/>
      <c r="L221" s="36" t="n"/>
      <c r="M221" s="37">
        <f>IF(NOT(ISNUMBER($I221)),"",$I221+SUM($J221:$L221))</f>
        <v/>
      </c>
      <c r="N221" s="37">
        <f>IF(OR(NOT(ISNUMBER($M221)),NOT(ISNUMBER($G221)),$G221&lt;=0),"",$M221/$G221)</f>
        <v/>
      </c>
      <c r="O221" s="33" t="n"/>
      <c r="P221" s="33" t="n"/>
      <c r="Q221" s="41" t="n"/>
      <c r="R221" s="36" t="n"/>
      <c r="S221" s="37">
        <f>IF(NOT(ISNUMBER($M221)),"",$M221-IF(ISNUMBER($R221),$R221,0))</f>
        <v/>
      </c>
      <c r="T221" s="33" t="n"/>
      <c r="U221" s="51">
        <f>IF(COUNTA($B221,$C221,$D221,$G221,$H221)=0,"",IF(IF($B221=""," · Falta fecha","")&amp;IF($C221=""," · Falta proveedor","")&amp;IF(AND($D221&lt;&gt;"",COUNTIF(tblProductos[SKU],$D221)=0)," · SKU no existe","")&amp;IF($D221=""," · Falta SKU","")&amp;IF(OR($G221="",NOT(ISNUMBER($G221)),$G221&lt;=0)," · Cantidad inválida","")&amp;IF($H221=""," · Falta costo unitario","")&amp;IF(AND($P221="Pagado",$Q221="")," · Pago sin fecha","")&amp;IF(AND(ISNUMBER($R221),ISNUMBER($M221),$R221&gt;N($M221)+0.01)," · Pagado &gt; total","")&amp;IF(AND(ISNUMBER($R221),$R221&gt;0,$Q221="")," · Monto pagado sin fecha","")="","OK",MID(IF($B221=""," · Falta fecha","")&amp;IF($C221=""," · Falta proveedor","")&amp;IF(AND($D221&lt;&gt;"",COUNTIF(tblProductos[SKU],$D221)=0)," · SKU no existe","")&amp;IF($D221=""," · Falta SKU","")&amp;IF(OR($G221="",NOT(ISNUMBER($G221)),$G221&lt;=0)," · Cantidad inválida","")&amp;IF($H221=""," · Falta costo unitario","")&amp;IF(AND($P221="Pagado",$Q221="")," · Pago sin fecha","")&amp;IF(AND(ISNUMBER($R221),ISNUMBER($M221),$R221&gt;N($M221)+0.01)," · Pagado &gt; total","")&amp;IF(AND(ISNUMBER($R221),$R221&gt;0,$Q221="")," · Monto pagado sin fecha",""),4,900)))</f>
        <v/>
      </c>
    </row>
    <row r="222">
      <c r="A222" s="51">
        <f>IF(COUNTA($B222,$C222,$D222,$G222,$H222)=0,"","C-"&amp;TEXT(ROW()-6,"0000"))</f>
        <v/>
      </c>
      <c r="B222" s="41" t="n"/>
      <c r="C222" s="33" t="n"/>
      <c r="D222" s="33" t="n"/>
      <c r="E222" s="51">
        <f>IF($D222="","",IFERROR(IF(INDEX(tblProductos[Nombre del producto],MATCH($D222,tblProductos[SKU],0))="","",INDEX(tblProductos[Nombre del producto],MATCH($D222,tblProductos[SKU],0))),""))</f>
        <v/>
      </c>
      <c r="F222" s="51">
        <f>IF($D222="","",IFERROR(IF(INDEX(tblProductos[Categoría],MATCH($D222,tblProductos[SKU],0))="","",INDEX(tblProductos[Categoría],MATCH($D222,tblProductos[SKU],0))),""))</f>
        <v/>
      </c>
      <c r="G222" s="34" t="n"/>
      <c r="H222" s="36" t="n"/>
      <c r="I222" s="37">
        <f>IF(OR($G222="",$H222=""),"",$G222*$H222)</f>
        <v/>
      </c>
      <c r="J222" s="36" t="n"/>
      <c r="K222" s="36" t="n"/>
      <c r="L222" s="36" t="n"/>
      <c r="M222" s="37">
        <f>IF(NOT(ISNUMBER($I222)),"",$I222+SUM($J222:$L222))</f>
        <v/>
      </c>
      <c r="N222" s="37">
        <f>IF(OR(NOT(ISNUMBER($M222)),NOT(ISNUMBER($G222)),$G222&lt;=0),"",$M222/$G222)</f>
        <v/>
      </c>
      <c r="O222" s="33" t="n"/>
      <c r="P222" s="33" t="n"/>
      <c r="Q222" s="41" t="n"/>
      <c r="R222" s="36" t="n"/>
      <c r="S222" s="37">
        <f>IF(NOT(ISNUMBER($M222)),"",$M222-IF(ISNUMBER($R222),$R222,0))</f>
        <v/>
      </c>
      <c r="T222" s="33" t="n"/>
      <c r="U222" s="51">
        <f>IF(COUNTA($B222,$C222,$D222,$G222,$H222)=0,"",IF(IF($B222=""," · Falta fecha","")&amp;IF($C222=""," · Falta proveedor","")&amp;IF(AND($D222&lt;&gt;"",COUNTIF(tblProductos[SKU],$D222)=0)," · SKU no existe","")&amp;IF($D222=""," · Falta SKU","")&amp;IF(OR($G222="",NOT(ISNUMBER($G222)),$G222&lt;=0)," · Cantidad inválida","")&amp;IF($H222=""," · Falta costo unitario","")&amp;IF(AND($P222="Pagado",$Q222="")," · Pago sin fecha","")&amp;IF(AND(ISNUMBER($R222),ISNUMBER($M222),$R222&gt;N($M222)+0.01)," · Pagado &gt; total","")&amp;IF(AND(ISNUMBER($R222),$R222&gt;0,$Q222="")," · Monto pagado sin fecha","")="","OK",MID(IF($B222=""," · Falta fecha","")&amp;IF($C222=""," · Falta proveedor","")&amp;IF(AND($D222&lt;&gt;"",COUNTIF(tblProductos[SKU],$D222)=0)," · SKU no existe","")&amp;IF($D222=""," · Falta SKU","")&amp;IF(OR($G222="",NOT(ISNUMBER($G222)),$G222&lt;=0)," · Cantidad inválida","")&amp;IF($H222=""," · Falta costo unitario","")&amp;IF(AND($P222="Pagado",$Q222="")," · Pago sin fecha","")&amp;IF(AND(ISNUMBER($R222),ISNUMBER($M222),$R222&gt;N($M222)+0.01)," · Pagado &gt; total","")&amp;IF(AND(ISNUMBER($R222),$R222&gt;0,$Q222="")," · Monto pagado sin fecha",""),4,900)))</f>
        <v/>
      </c>
    </row>
    <row r="223">
      <c r="A223" s="51">
        <f>IF(COUNTA($B223,$C223,$D223,$G223,$H223)=0,"","C-"&amp;TEXT(ROW()-6,"0000"))</f>
        <v/>
      </c>
      <c r="B223" s="41" t="n"/>
      <c r="C223" s="33" t="n"/>
      <c r="D223" s="33" t="n"/>
      <c r="E223" s="51">
        <f>IF($D223="","",IFERROR(IF(INDEX(tblProductos[Nombre del producto],MATCH($D223,tblProductos[SKU],0))="","",INDEX(tblProductos[Nombre del producto],MATCH($D223,tblProductos[SKU],0))),""))</f>
        <v/>
      </c>
      <c r="F223" s="51">
        <f>IF($D223="","",IFERROR(IF(INDEX(tblProductos[Categoría],MATCH($D223,tblProductos[SKU],0))="","",INDEX(tblProductos[Categoría],MATCH($D223,tblProductos[SKU],0))),""))</f>
        <v/>
      </c>
      <c r="G223" s="34" t="n"/>
      <c r="H223" s="36" t="n"/>
      <c r="I223" s="37">
        <f>IF(OR($G223="",$H223=""),"",$G223*$H223)</f>
        <v/>
      </c>
      <c r="J223" s="36" t="n"/>
      <c r="K223" s="36" t="n"/>
      <c r="L223" s="36" t="n"/>
      <c r="M223" s="37">
        <f>IF(NOT(ISNUMBER($I223)),"",$I223+SUM($J223:$L223))</f>
        <v/>
      </c>
      <c r="N223" s="37">
        <f>IF(OR(NOT(ISNUMBER($M223)),NOT(ISNUMBER($G223)),$G223&lt;=0),"",$M223/$G223)</f>
        <v/>
      </c>
      <c r="O223" s="33" t="n"/>
      <c r="P223" s="33" t="n"/>
      <c r="Q223" s="41" t="n"/>
      <c r="R223" s="36" t="n"/>
      <c r="S223" s="37">
        <f>IF(NOT(ISNUMBER($M223)),"",$M223-IF(ISNUMBER($R223),$R223,0))</f>
        <v/>
      </c>
      <c r="T223" s="33" t="n"/>
      <c r="U223" s="51">
        <f>IF(COUNTA($B223,$C223,$D223,$G223,$H223)=0,"",IF(IF($B223=""," · Falta fecha","")&amp;IF($C223=""," · Falta proveedor","")&amp;IF(AND($D223&lt;&gt;"",COUNTIF(tblProductos[SKU],$D223)=0)," · SKU no existe","")&amp;IF($D223=""," · Falta SKU","")&amp;IF(OR($G223="",NOT(ISNUMBER($G223)),$G223&lt;=0)," · Cantidad inválida","")&amp;IF($H223=""," · Falta costo unitario","")&amp;IF(AND($P223="Pagado",$Q223="")," · Pago sin fecha","")&amp;IF(AND(ISNUMBER($R223),ISNUMBER($M223),$R223&gt;N($M223)+0.01)," · Pagado &gt; total","")&amp;IF(AND(ISNUMBER($R223),$R223&gt;0,$Q223="")," · Monto pagado sin fecha","")="","OK",MID(IF($B223=""," · Falta fecha","")&amp;IF($C223=""," · Falta proveedor","")&amp;IF(AND($D223&lt;&gt;"",COUNTIF(tblProductos[SKU],$D223)=0)," · SKU no existe","")&amp;IF($D223=""," · Falta SKU","")&amp;IF(OR($G223="",NOT(ISNUMBER($G223)),$G223&lt;=0)," · Cantidad inválida","")&amp;IF($H223=""," · Falta costo unitario","")&amp;IF(AND($P223="Pagado",$Q223="")," · Pago sin fecha","")&amp;IF(AND(ISNUMBER($R223),ISNUMBER($M223),$R223&gt;N($M223)+0.01)," · Pagado &gt; total","")&amp;IF(AND(ISNUMBER($R223),$R223&gt;0,$Q223="")," · Monto pagado sin fecha",""),4,900)))</f>
        <v/>
      </c>
    </row>
    <row r="224">
      <c r="A224" s="51">
        <f>IF(COUNTA($B224,$C224,$D224,$G224,$H224)=0,"","C-"&amp;TEXT(ROW()-6,"0000"))</f>
        <v/>
      </c>
      <c r="B224" s="41" t="n"/>
      <c r="C224" s="33" t="n"/>
      <c r="D224" s="33" t="n"/>
      <c r="E224" s="51">
        <f>IF($D224="","",IFERROR(IF(INDEX(tblProductos[Nombre del producto],MATCH($D224,tblProductos[SKU],0))="","",INDEX(tblProductos[Nombre del producto],MATCH($D224,tblProductos[SKU],0))),""))</f>
        <v/>
      </c>
      <c r="F224" s="51">
        <f>IF($D224="","",IFERROR(IF(INDEX(tblProductos[Categoría],MATCH($D224,tblProductos[SKU],0))="","",INDEX(tblProductos[Categoría],MATCH($D224,tblProductos[SKU],0))),""))</f>
        <v/>
      </c>
      <c r="G224" s="34" t="n"/>
      <c r="H224" s="36" t="n"/>
      <c r="I224" s="37">
        <f>IF(OR($G224="",$H224=""),"",$G224*$H224)</f>
        <v/>
      </c>
      <c r="J224" s="36" t="n"/>
      <c r="K224" s="36" t="n"/>
      <c r="L224" s="36" t="n"/>
      <c r="M224" s="37">
        <f>IF(NOT(ISNUMBER($I224)),"",$I224+SUM($J224:$L224))</f>
        <v/>
      </c>
      <c r="N224" s="37">
        <f>IF(OR(NOT(ISNUMBER($M224)),NOT(ISNUMBER($G224)),$G224&lt;=0),"",$M224/$G224)</f>
        <v/>
      </c>
      <c r="O224" s="33" t="n"/>
      <c r="P224" s="33" t="n"/>
      <c r="Q224" s="41" t="n"/>
      <c r="R224" s="36" t="n"/>
      <c r="S224" s="37">
        <f>IF(NOT(ISNUMBER($M224)),"",$M224-IF(ISNUMBER($R224),$R224,0))</f>
        <v/>
      </c>
      <c r="T224" s="33" t="n"/>
      <c r="U224" s="51">
        <f>IF(COUNTA($B224,$C224,$D224,$G224,$H224)=0,"",IF(IF($B224=""," · Falta fecha","")&amp;IF($C224=""," · Falta proveedor","")&amp;IF(AND($D224&lt;&gt;"",COUNTIF(tblProductos[SKU],$D224)=0)," · SKU no existe","")&amp;IF($D224=""," · Falta SKU","")&amp;IF(OR($G224="",NOT(ISNUMBER($G224)),$G224&lt;=0)," · Cantidad inválida","")&amp;IF($H224=""," · Falta costo unitario","")&amp;IF(AND($P224="Pagado",$Q224="")," · Pago sin fecha","")&amp;IF(AND(ISNUMBER($R224),ISNUMBER($M224),$R224&gt;N($M224)+0.01)," · Pagado &gt; total","")&amp;IF(AND(ISNUMBER($R224),$R224&gt;0,$Q224="")," · Monto pagado sin fecha","")="","OK",MID(IF($B224=""," · Falta fecha","")&amp;IF($C224=""," · Falta proveedor","")&amp;IF(AND($D224&lt;&gt;"",COUNTIF(tblProductos[SKU],$D224)=0)," · SKU no existe","")&amp;IF($D224=""," · Falta SKU","")&amp;IF(OR($G224="",NOT(ISNUMBER($G224)),$G224&lt;=0)," · Cantidad inválida","")&amp;IF($H224=""," · Falta costo unitario","")&amp;IF(AND($P224="Pagado",$Q224="")," · Pago sin fecha","")&amp;IF(AND(ISNUMBER($R224),ISNUMBER($M224),$R224&gt;N($M224)+0.01)," · Pagado &gt; total","")&amp;IF(AND(ISNUMBER($R224),$R224&gt;0,$Q224="")," · Monto pagado sin fecha",""),4,900)))</f>
        <v/>
      </c>
    </row>
    <row r="225">
      <c r="A225" s="51">
        <f>IF(COUNTA($B225,$C225,$D225,$G225,$H225)=0,"","C-"&amp;TEXT(ROW()-6,"0000"))</f>
        <v/>
      </c>
      <c r="B225" s="41" t="n"/>
      <c r="C225" s="33" t="n"/>
      <c r="D225" s="33" t="n"/>
      <c r="E225" s="51">
        <f>IF($D225="","",IFERROR(IF(INDEX(tblProductos[Nombre del producto],MATCH($D225,tblProductos[SKU],0))="","",INDEX(tblProductos[Nombre del producto],MATCH($D225,tblProductos[SKU],0))),""))</f>
        <v/>
      </c>
      <c r="F225" s="51">
        <f>IF($D225="","",IFERROR(IF(INDEX(tblProductos[Categoría],MATCH($D225,tblProductos[SKU],0))="","",INDEX(tblProductos[Categoría],MATCH($D225,tblProductos[SKU],0))),""))</f>
        <v/>
      </c>
      <c r="G225" s="34" t="n"/>
      <c r="H225" s="36" t="n"/>
      <c r="I225" s="37">
        <f>IF(OR($G225="",$H225=""),"",$G225*$H225)</f>
        <v/>
      </c>
      <c r="J225" s="36" t="n"/>
      <c r="K225" s="36" t="n"/>
      <c r="L225" s="36" t="n"/>
      <c r="M225" s="37">
        <f>IF(NOT(ISNUMBER($I225)),"",$I225+SUM($J225:$L225))</f>
        <v/>
      </c>
      <c r="N225" s="37">
        <f>IF(OR(NOT(ISNUMBER($M225)),NOT(ISNUMBER($G225)),$G225&lt;=0),"",$M225/$G225)</f>
        <v/>
      </c>
      <c r="O225" s="33" t="n"/>
      <c r="P225" s="33" t="n"/>
      <c r="Q225" s="41" t="n"/>
      <c r="R225" s="36" t="n"/>
      <c r="S225" s="37">
        <f>IF(NOT(ISNUMBER($M225)),"",$M225-IF(ISNUMBER($R225),$R225,0))</f>
        <v/>
      </c>
      <c r="T225" s="33" t="n"/>
      <c r="U225" s="51">
        <f>IF(COUNTA($B225,$C225,$D225,$G225,$H225)=0,"",IF(IF($B225=""," · Falta fecha","")&amp;IF($C225=""," · Falta proveedor","")&amp;IF(AND($D225&lt;&gt;"",COUNTIF(tblProductos[SKU],$D225)=0)," · SKU no existe","")&amp;IF($D225=""," · Falta SKU","")&amp;IF(OR($G225="",NOT(ISNUMBER($G225)),$G225&lt;=0)," · Cantidad inválida","")&amp;IF($H225=""," · Falta costo unitario","")&amp;IF(AND($P225="Pagado",$Q225="")," · Pago sin fecha","")&amp;IF(AND(ISNUMBER($R225),ISNUMBER($M225),$R225&gt;N($M225)+0.01)," · Pagado &gt; total","")&amp;IF(AND(ISNUMBER($R225),$R225&gt;0,$Q225="")," · Monto pagado sin fecha","")="","OK",MID(IF($B225=""," · Falta fecha","")&amp;IF($C225=""," · Falta proveedor","")&amp;IF(AND($D225&lt;&gt;"",COUNTIF(tblProductos[SKU],$D225)=0)," · SKU no existe","")&amp;IF($D225=""," · Falta SKU","")&amp;IF(OR($G225="",NOT(ISNUMBER($G225)),$G225&lt;=0)," · Cantidad inválida","")&amp;IF($H225=""," · Falta costo unitario","")&amp;IF(AND($P225="Pagado",$Q225="")," · Pago sin fecha","")&amp;IF(AND(ISNUMBER($R225),ISNUMBER($M225),$R225&gt;N($M225)+0.01)," · Pagado &gt; total","")&amp;IF(AND(ISNUMBER($R225),$R225&gt;0,$Q225="")," · Monto pagado sin fecha",""),4,900)))</f>
        <v/>
      </c>
    </row>
    <row r="226">
      <c r="A226" s="51">
        <f>IF(COUNTA($B226,$C226,$D226,$G226,$H226)=0,"","C-"&amp;TEXT(ROW()-6,"0000"))</f>
        <v/>
      </c>
      <c r="B226" s="41" t="n"/>
      <c r="C226" s="33" t="n"/>
      <c r="D226" s="33" t="n"/>
      <c r="E226" s="51">
        <f>IF($D226="","",IFERROR(IF(INDEX(tblProductos[Nombre del producto],MATCH($D226,tblProductos[SKU],0))="","",INDEX(tblProductos[Nombre del producto],MATCH($D226,tblProductos[SKU],0))),""))</f>
        <v/>
      </c>
      <c r="F226" s="51">
        <f>IF($D226="","",IFERROR(IF(INDEX(tblProductos[Categoría],MATCH($D226,tblProductos[SKU],0))="","",INDEX(tblProductos[Categoría],MATCH($D226,tblProductos[SKU],0))),""))</f>
        <v/>
      </c>
      <c r="G226" s="34" t="n"/>
      <c r="H226" s="36" t="n"/>
      <c r="I226" s="37">
        <f>IF(OR($G226="",$H226=""),"",$G226*$H226)</f>
        <v/>
      </c>
      <c r="J226" s="36" t="n"/>
      <c r="K226" s="36" t="n"/>
      <c r="L226" s="36" t="n"/>
      <c r="M226" s="37">
        <f>IF(NOT(ISNUMBER($I226)),"",$I226+SUM($J226:$L226))</f>
        <v/>
      </c>
      <c r="N226" s="37">
        <f>IF(OR(NOT(ISNUMBER($M226)),NOT(ISNUMBER($G226)),$G226&lt;=0),"",$M226/$G226)</f>
        <v/>
      </c>
      <c r="O226" s="33" t="n"/>
      <c r="P226" s="33" t="n"/>
      <c r="Q226" s="41" t="n"/>
      <c r="R226" s="36" t="n"/>
      <c r="S226" s="37">
        <f>IF(NOT(ISNUMBER($M226)),"",$M226-IF(ISNUMBER($R226),$R226,0))</f>
        <v/>
      </c>
      <c r="T226" s="33" t="n"/>
      <c r="U226" s="51">
        <f>IF(COUNTA($B226,$C226,$D226,$G226,$H226)=0,"",IF(IF($B226=""," · Falta fecha","")&amp;IF($C226=""," · Falta proveedor","")&amp;IF(AND($D226&lt;&gt;"",COUNTIF(tblProductos[SKU],$D226)=0)," · SKU no existe","")&amp;IF($D226=""," · Falta SKU","")&amp;IF(OR($G226="",NOT(ISNUMBER($G226)),$G226&lt;=0)," · Cantidad inválida","")&amp;IF($H226=""," · Falta costo unitario","")&amp;IF(AND($P226="Pagado",$Q226="")," · Pago sin fecha","")&amp;IF(AND(ISNUMBER($R226),ISNUMBER($M226),$R226&gt;N($M226)+0.01)," · Pagado &gt; total","")&amp;IF(AND(ISNUMBER($R226),$R226&gt;0,$Q226="")," · Monto pagado sin fecha","")="","OK",MID(IF($B226=""," · Falta fecha","")&amp;IF($C226=""," · Falta proveedor","")&amp;IF(AND($D226&lt;&gt;"",COUNTIF(tblProductos[SKU],$D226)=0)," · SKU no existe","")&amp;IF($D226=""," · Falta SKU","")&amp;IF(OR($G226="",NOT(ISNUMBER($G226)),$G226&lt;=0)," · Cantidad inválida","")&amp;IF($H226=""," · Falta costo unitario","")&amp;IF(AND($P226="Pagado",$Q226="")," · Pago sin fecha","")&amp;IF(AND(ISNUMBER($R226),ISNUMBER($M226),$R226&gt;N($M226)+0.01)," · Pagado &gt; total","")&amp;IF(AND(ISNUMBER($R226),$R226&gt;0,$Q226="")," · Monto pagado sin fecha",""),4,900)))</f>
        <v/>
      </c>
    </row>
    <row r="227">
      <c r="A227" s="51">
        <f>IF(COUNTA($B227,$C227,$D227,$G227,$H227)=0,"","C-"&amp;TEXT(ROW()-6,"0000"))</f>
        <v/>
      </c>
      <c r="B227" s="41" t="n"/>
      <c r="C227" s="33" t="n"/>
      <c r="D227" s="33" t="n"/>
      <c r="E227" s="51">
        <f>IF($D227="","",IFERROR(IF(INDEX(tblProductos[Nombre del producto],MATCH($D227,tblProductos[SKU],0))="","",INDEX(tblProductos[Nombre del producto],MATCH($D227,tblProductos[SKU],0))),""))</f>
        <v/>
      </c>
      <c r="F227" s="51">
        <f>IF($D227="","",IFERROR(IF(INDEX(tblProductos[Categoría],MATCH($D227,tblProductos[SKU],0))="","",INDEX(tblProductos[Categoría],MATCH($D227,tblProductos[SKU],0))),""))</f>
        <v/>
      </c>
      <c r="G227" s="34" t="n"/>
      <c r="H227" s="36" t="n"/>
      <c r="I227" s="37">
        <f>IF(OR($G227="",$H227=""),"",$G227*$H227)</f>
        <v/>
      </c>
      <c r="J227" s="36" t="n"/>
      <c r="K227" s="36" t="n"/>
      <c r="L227" s="36" t="n"/>
      <c r="M227" s="37">
        <f>IF(NOT(ISNUMBER($I227)),"",$I227+SUM($J227:$L227))</f>
        <v/>
      </c>
      <c r="N227" s="37">
        <f>IF(OR(NOT(ISNUMBER($M227)),NOT(ISNUMBER($G227)),$G227&lt;=0),"",$M227/$G227)</f>
        <v/>
      </c>
      <c r="O227" s="33" t="n"/>
      <c r="P227" s="33" t="n"/>
      <c r="Q227" s="41" t="n"/>
      <c r="R227" s="36" t="n"/>
      <c r="S227" s="37">
        <f>IF(NOT(ISNUMBER($M227)),"",$M227-IF(ISNUMBER($R227),$R227,0))</f>
        <v/>
      </c>
      <c r="T227" s="33" t="n"/>
      <c r="U227" s="51">
        <f>IF(COUNTA($B227,$C227,$D227,$G227,$H227)=0,"",IF(IF($B227=""," · Falta fecha","")&amp;IF($C227=""," · Falta proveedor","")&amp;IF(AND($D227&lt;&gt;"",COUNTIF(tblProductos[SKU],$D227)=0)," · SKU no existe","")&amp;IF($D227=""," · Falta SKU","")&amp;IF(OR($G227="",NOT(ISNUMBER($G227)),$G227&lt;=0)," · Cantidad inválida","")&amp;IF($H227=""," · Falta costo unitario","")&amp;IF(AND($P227="Pagado",$Q227="")," · Pago sin fecha","")&amp;IF(AND(ISNUMBER($R227),ISNUMBER($M227),$R227&gt;N($M227)+0.01)," · Pagado &gt; total","")&amp;IF(AND(ISNUMBER($R227),$R227&gt;0,$Q227="")," · Monto pagado sin fecha","")="","OK",MID(IF($B227=""," · Falta fecha","")&amp;IF($C227=""," · Falta proveedor","")&amp;IF(AND($D227&lt;&gt;"",COUNTIF(tblProductos[SKU],$D227)=0)," · SKU no existe","")&amp;IF($D227=""," · Falta SKU","")&amp;IF(OR($G227="",NOT(ISNUMBER($G227)),$G227&lt;=0)," · Cantidad inválida","")&amp;IF($H227=""," · Falta costo unitario","")&amp;IF(AND($P227="Pagado",$Q227="")," · Pago sin fecha","")&amp;IF(AND(ISNUMBER($R227),ISNUMBER($M227),$R227&gt;N($M227)+0.01)," · Pagado &gt; total","")&amp;IF(AND(ISNUMBER($R227),$R227&gt;0,$Q227="")," · Monto pagado sin fecha",""),4,900)))</f>
        <v/>
      </c>
    </row>
    <row r="228">
      <c r="A228" s="51">
        <f>IF(COUNTA($B228,$C228,$D228,$G228,$H228)=0,"","C-"&amp;TEXT(ROW()-6,"0000"))</f>
        <v/>
      </c>
      <c r="B228" s="41" t="n"/>
      <c r="C228" s="33" t="n"/>
      <c r="D228" s="33" t="n"/>
      <c r="E228" s="51">
        <f>IF($D228="","",IFERROR(IF(INDEX(tblProductos[Nombre del producto],MATCH($D228,tblProductos[SKU],0))="","",INDEX(tblProductos[Nombre del producto],MATCH($D228,tblProductos[SKU],0))),""))</f>
        <v/>
      </c>
      <c r="F228" s="51">
        <f>IF($D228="","",IFERROR(IF(INDEX(tblProductos[Categoría],MATCH($D228,tblProductos[SKU],0))="","",INDEX(tblProductos[Categoría],MATCH($D228,tblProductos[SKU],0))),""))</f>
        <v/>
      </c>
      <c r="G228" s="34" t="n"/>
      <c r="H228" s="36" t="n"/>
      <c r="I228" s="37">
        <f>IF(OR($G228="",$H228=""),"",$G228*$H228)</f>
        <v/>
      </c>
      <c r="J228" s="36" t="n"/>
      <c r="K228" s="36" t="n"/>
      <c r="L228" s="36" t="n"/>
      <c r="M228" s="37">
        <f>IF(NOT(ISNUMBER($I228)),"",$I228+SUM($J228:$L228))</f>
        <v/>
      </c>
      <c r="N228" s="37">
        <f>IF(OR(NOT(ISNUMBER($M228)),NOT(ISNUMBER($G228)),$G228&lt;=0),"",$M228/$G228)</f>
        <v/>
      </c>
      <c r="O228" s="33" t="n"/>
      <c r="P228" s="33" t="n"/>
      <c r="Q228" s="41" t="n"/>
      <c r="R228" s="36" t="n"/>
      <c r="S228" s="37">
        <f>IF(NOT(ISNUMBER($M228)),"",$M228-IF(ISNUMBER($R228),$R228,0))</f>
        <v/>
      </c>
      <c r="T228" s="33" t="n"/>
      <c r="U228" s="51">
        <f>IF(COUNTA($B228,$C228,$D228,$G228,$H228)=0,"",IF(IF($B228=""," · Falta fecha","")&amp;IF($C228=""," · Falta proveedor","")&amp;IF(AND($D228&lt;&gt;"",COUNTIF(tblProductos[SKU],$D228)=0)," · SKU no existe","")&amp;IF($D228=""," · Falta SKU","")&amp;IF(OR($G228="",NOT(ISNUMBER($G228)),$G228&lt;=0)," · Cantidad inválida","")&amp;IF($H228=""," · Falta costo unitario","")&amp;IF(AND($P228="Pagado",$Q228="")," · Pago sin fecha","")&amp;IF(AND(ISNUMBER($R228),ISNUMBER($M228),$R228&gt;N($M228)+0.01)," · Pagado &gt; total","")&amp;IF(AND(ISNUMBER($R228),$R228&gt;0,$Q228="")," · Monto pagado sin fecha","")="","OK",MID(IF($B228=""," · Falta fecha","")&amp;IF($C228=""," · Falta proveedor","")&amp;IF(AND($D228&lt;&gt;"",COUNTIF(tblProductos[SKU],$D228)=0)," · SKU no existe","")&amp;IF($D228=""," · Falta SKU","")&amp;IF(OR($G228="",NOT(ISNUMBER($G228)),$G228&lt;=0)," · Cantidad inválida","")&amp;IF($H228=""," · Falta costo unitario","")&amp;IF(AND($P228="Pagado",$Q228="")," · Pago sin fecha","")&amp;IF(AND(ISNUMBER($R228),ISNUMBER($M228),$R228&gt;N($M228)+0.01)," · Pagado &gt; total","")&amp;IF(AND(ISNUMBER($R228),$R228&gt;0,$Q228="")," · Monto pagado sin fecha",""),4,900)))</f>
        <v/>
      </c>
    </row>
    <row r="229">
      <c r="A229" s="51">
        <f>IF(COUNTA($B229,$C229,$D229,$G229,$H229)=0,"","C-"&amp;TEXT(ROW()-6,"0000"))</f>
        <v/>
      </c>
      <c r="B229" s="41" t="n"/>
      <c r="C229" s="33" t="n"/>
      <c r="D229" s="33" t="n"/>
      <c r="E229" s="51">
        <f>IF($D229="","",IFERROR(IF(INDEX(tblProductos[Nombre del producto],MATCH($D229,tblProductos[SKU],0))="","",INDEX(tblProductos[Nombre del producto],MATCH($D229,tblProductos[SKU],0))),""))</f>
        <v/>
      </c>
      <c r="F229" s="51">
        <f>IF($D229="","",IFERROR(IF(INDEX(tblProductos[Categoría],MATCH($D229,tblProductos[SKU],0))="","",INDEX(tblProductos[Categoría],MATCH($D229,tblProductos[SKU],0))),""))</f>
        <v/>
      </c>
      <c r="G229" s="34" t="n"/>
      <c r="H229" s="36" t="n"/>
      <c r="I229" s="37">
        <f>IF(OR($G229="",$H229=""),"",$G229*$H229)</f>
        <v/>
      </c>
      <c r="J229" s="36" t="n"/>
      <c r="K229" s="36" t="n"/>
      <c r="L229" s="36" t="n"/>
      <c r="M229" s="37">
        <f>IF(NOT(ISNUMBER($I229)),"",$I229+SUM($J229:$L229))</f>
        <v/>
      </c>
      <c r="N229" s="37">
        <f>IF(OR(NOT(ISNUMBER($M229)),NOT(ISNUMBER($G229)),$G229&lt;=0),"",$M229/$G229)</f>
        <v/>
      </c>
      <c r="O229" s="33" t="n"/>
      <c r="P229" s="33" t="n"/>
      <c r="Q229" s="41" t="n"/>
      <c r="R229" s="36" t="n"/>
      <c r="S229" s="37">
        <f>IF(NOT(ISNUMBER($M229)),"",$M229-IF(ISNUMBER($R229),$R229,0))</f>
        <v/>
      </c>
      <c r="T229" s="33" t="n"/>
      <c r="U229" s="51">
        <f>IF(COUNTA($B229,$C229,$D229,$G229,$H229)=0,"",IF(IF($B229=""," · Falta fecha","")&amp;IF($C229=""," · Falta proveedor","")&amp;IF(AND($D229&lt;&gt;"",COUNTIF(tblProductos[SKU],$D229)=0)," · SKU no existe","")&amp;IF($D229=""," · Falta SKU","")&amp;IF(OR($G229="",NOT(ISNUMBER($G229)),$G229&lt;=0)," · Cantidad inválida","")&amp;IF($H229=""," · Falta costo unitario","")&amp;IF(AND($P229="Pagado",$Q229="")," · Pago sin fecha","")&amp;IF(AND(ISNUMBER($R229),ISNUMBER($M229),$R229&gt;N($M229)+0.01)," · Pagado &gt; total","")&amp;IF(AND(ISNUMBER($R229),$R229&gt;0,$Q229="")," · Monto pagado sin fecha","")="","OK",MID(IF($B229=""," · Falta fecha","")&amp;IF($C229=""," · Falta proveedor","")&amp;IF(AND($D229&lt;&gt;"",COUNTIF(tblProductos[SKU],$D229)=0)," · SKU no existe","")&amp;IF($D229=""," · Falta SKU","")&amp;IF(OR($G229="",NOT(ISNUMBER($G229)),$G229&lt;=0)," · Cantidad inválida","")&amp;IF($H229=""," · Falta costo unitario","")&amp;IF(AND($P229="Pagado",$Q229="")," · Pago sin fecha","")&amp;IF(AND(ISNUMBER($R229),ISNUMBER($M229),$R229&gt;N($M229)+0.01)," · Pagado &gt; total","")&amp;IF(AND(ISNUMBER($R229),$R229&gt;0,$Q229="")," · Monto pagado sin fecha",""),4,900)))</f>
        <v/>
      </c>
    </row>
    <row r="230">
      <c r="A230" s="51">
        <f>IF(COUNTA($B230,$C230,$D230,$G230,$H230)=0,"","C-"&amp;TEXT(ROW()-6,"0000"))</f>
        <v/>
      </c>
      <c r="B230" s="41" t="n"/>
      <c r="C230" s="33" t="n"/>
      <c r="D230" s="33" t="n"/>
      <c r="E230" s="51">
        <f>IF($D230="","",IFERROR(IF(INDEX(tblProductos[Nombre del producto],MATCH($D230,tblProductos[SKU],0))="","",INDEX(tblProductos[Nombre del producto],MATCH($D230,tblProductos[SKU],0))),""))</f>
        <v/>
      </c>
      <c r="F230" s="51">
        <f>IF($D230="","",IFERROR(IF(INDEX(tblProductos[Categoría],MATCH($D230,tblProductos[SKU],0))="","",INDEX(tblProductos[Categoría],MATCH($D230,tblProductos[SKU],0))),""))</f>
        <v/>
      </c>
      <c r="G230" s="34" t="n"/>
      <c r="H230" s="36" t="n"/>
      <c r="I230" s="37">
        <f>IF(OR($G230="",$H230=""),"",$G230*$H230)</f>
        <v/>
      </c>
      <c r="J230" s="36" t="n"/>
      <c r="K230" s="36" t="n"/>
      <c r="L230" s="36" t="n"/>
      <c r="M230" s="37">
        <f>IF(NOT(ISNUMBER($I230)),"",$I230+SUM($J230:$L230))</f>
        <v/>
      </c>
      <c r="N230" s="37">
        <f>IF(OR(NOT(ISNUMBER($M230)),NOT(ISNUMBER($G230)),$G230&lt;=0),"",$M230/$G230)</f>
        <v/>
      </c>
      <c r="O230" s="33" t="n"/>
      <c r="P230" s="33" t="n"/>
      <c r="Q230" s="41" t="n"/>
      <c r="R230" s="36" t="n"/>
      <c r="S230" s="37">
        <f>IF(NOT(ISNUMBER($M230)),"",$M230-IF(ISNUMBER($R230),$R230,0))</f>
        <v/>
      </c>
      <c r="T230" s="33" t="n"/>
      <c r="U230" s="51">
        <f>IF(COUNTA($B230,$C230,$D230,$G230,$H230)=0,"",IF(IF($B230=""," · Falta fecha","")&amp;IF($C230=""," · Falta proveedor","")&amp;IF(AND($D230&lt;&gt;"",COUNTIF(tblProductos[SKU],$D230)=0)," · SKU no existe","")&amp;IF($D230=""," · Falta SKU","")&amp;IF(OR($G230="",NOT(ISNUMBER($G230)),$G230&lt;=0)," · Cantidad inválida","")&amp;IF($H230=""," · Falta costo unitario","")&amp;IF(AND($P230="Pagado",$Q230="")," · Pago sin fecha","")&amp;IF(AND(ISNUMBER($R230),ISNUMBER($M230),$R230&gt;N($M230)+0.01)," · Pagado &gt; total","")&amp;IF(AND(ISNUMBER($R230),$R230&gt;0,$Q230="")," · Monto pagado sin fecha","")="","OK",MID(IF($B230=""," · Falta fecha","")&amp;IF($C230=""," · Falta proveedor","")&amp;IF(AND($D230&lt;&gt;"",COUNTIF(tblProductos[SKU],$D230)=0)," · SKU no existe","")&amp;IF($D230=""," · Falta SKU","")&amp;IF(OR($G230="",NOT(ISNUMBER($G230)),$G230&lt;=0)," · Cantidad inválida","")&amp;IF($H230=""," · Falta costo unitario","")&amp;IF(AND($P230="Pagado",$Q230="")," · Pago sin fecha","")&amp;IF(AND(ISNUMBER($R230),ISNUMBER($M230),$R230&gt;N($M230)+0.01)," · Pagado &gt; total","")&amp;IF(AND(ISNUMBER($R230),$R230&gt;0,$Q230="")," · Monto pagado sin fecha",""),4,900)))</f>
        <v/>
      </c>
    </row>
    <row r="231">
      <c r="A231" s="51">
        <f>IF(COUNTA($B231,$C231,$D231,$G231,$H231)=0,"","C-"&amp;TEXT(ROW()-6,"0000"))</f>
        <v/>
      </c>
      <c r="B231" s="41" t="n"/>
      <c r="C231" s="33" t="n"/>
      <c r="D231" s="33" t="n"/>
      <c r="E231" s="51">
        <f>IF($D231="","",IFERROR(IF(INDEX(tblProductos[Nombre del producto],MATCH($D231,tblProductos[SKU],0))="","",INDEX(tblProductos[Nombre del producto],MATCH($D231,tblProductos[SKU],0))),""))</f>
        <v/>
      </c>
      <c r="F231" s="51">
        <f>IF($D231="","",IFERROR(IF(INDEX(tblProductos[Categoría],MATCH($D231,tblProductos[SKU],0))="","",INDEX(tblProductos[Categoría],MATCH($D231,tblProductos[SKU],0))),""))</f>
        <v/>
      </c>
      <c r="G231" s="34" t="n"/>
      <c r="H231" s="36" t="n"/>
      <c r="I231" s="37">
        <f>IF(OR($G231="",$H231=""),"",$G231*$H231)</f>
        <v/>
      </c>
      <c r="J231" s="36" t="n"/>
      <c r="K231" s="36" t="n"/>
      <c r="L231" s="36" t="n"/>
      <c r="M231" s="37">
        <f>IF(NOT(ISNUMBER($I231)),"",$I231+SUM($J231:$L231))</f>
        <v/>
      </c>
      <c r="N231" s="37">
        <f>IF(OR(NOT(ISNUMBER($M231)),NOT(ISNUMBER($G231)),$G231&lt;=0),"",$M231/$G231)</f>
        <v/>
      </c>
      <c r="O231" s="33" t="n"/>
      <c r="P231" s="33" t="n"/>
      <c r="Q231" s="41" t="n"/>
      <c r="R231" s="36" t="n"/>
      <c r="S231" s="37">
        <f>IF(NOT(ISNUMBER($M231)),"",$M231-IF(ISNUMBER($R231),$R231,0))</f>
        <v/>
      </c>
      <c r="T231" s="33" t="n"/>
      <c r="U231" s="51">
        <f>IF(COUNTA($B231,$C231,$D231,$G231,$H231)=0,"",IF(IF($B231=""," · Falta fecha","")&amp;IF($C231=""," · Falta proveedor","")&amp;IF(AND($D231&lt;&gt;"",COUNTIF(tblProductos[SKU],$D231)=0)," · SKU no existe","")&amp;IF($D231=""," · Falta SKU","")&amp;IF(OR($G231="",NOT(ISNUMBER($G231)),$G231&lt;=0)," · Cantidad inválida","")&amp;IF($H231=""," · Falta costo unitario","")&amp;IF(AND($P231="Pagado",$Q231="")," · Pago sin fecha","")&amp;IF(AND(ISNUMBER($R231),ISNUMBER($M231),$R231&gt;N($M231)+0.01)," · Pagado &gt; total","")&amp;IF(AND(ISNUMBER($R231),$R231&gt;0,$Q231="")," · Monto pagado sin fecha","")="","OK",MID(IF($B231=""," · Falta fecha","")&amp;IF($C231=""," · Falta proveedor","")&amp;IF(AND($D231&lt;&gt;"",COUNTIF(tblProductos[SKU],$D231)=0)," · SKU no existe","")&amp;IF($D231=""," · Falta SKU","")&amp;IF(OR($G231="",NOT(ISNUMBER($G231)),$G231&lt;=0)," · Cantidad inválida","")&amp;IF($H231=""," · Falta costo unitario","")&amp;IF(AND($P231="Pagado",$Q231="")," · Pago sin fecha","")&amp;IF(AND(ISNUMBER($R231),ISNUMBER($M231),$R231&gt;N($M231)+0.01)," · Pagado &gt; total","")&amp;IF(AND(ISNUMBER($R231),$R231&gt;0,$Q231="")," · Monto pagado sin fecha",""),4,900)))</f>
        <v/>
      </c>
    </row>
    <row r="232">
      <c r="A232" s="51">
        <f>IF(COUNTA($B232,$C232,$D232,$G232,$H232)=0,"","C-"&amp;TEXT(ROW()-6,"0000"))</f>
        <v/>
      </c>
      <c r="B232" s="41" t="n"/>
      <c r="C232" s="33" t="n"/>
      <c r="D232" s="33" t="n"/>
      <c r="E232" s="51">
        <f>IF($D232="","",IFERROR(IF(INDEX(tblProductos[Nombre del producto],MATCH($D232,tblProductos[SKU],0))="","",INDEX(tblProductos[Nombre del producto],MATCH($D232,tblProductos[SKU],0))),""))</f>
        <v/>
      </c>
      <c r="F232" s="51">
        <f>IF($D232="","",IFERROR(IF(INDEX(tblProductos[Categoría],MATCH($D232,tblProductos[SKU],0))="","",INDEX(tblProductos[Categoría],MATCH($D232,tblProductos[SKU],0))),""))</f>
        <v/>
      </c>
      <c r="G232" s="34" t="n"/>
      <c r="H232" s="36" t="n"/>
      <c r="I232" s="37">
        <f>IF(OR($G232="",$H232=""),"",$G232*$H232)</f>
        <v/>
      </c>
      <c r="J232" s="36" t="n"/>
      <c r="K232" s="36" t="n"/>
      <c r="L232" s="36" t="n"/>
      <c r="M232" s="37">
        <f>IF(NOT(ISNUMBER($I232)),"",$I232+SUM($J232:$L232))</f>
        <v/>
      </c>
      <c r="N232" s="37">
        <f>IF(OR(NOT(ISNUMBER($M232)),NOT(ISNUMBER($G232)),$G232&lt;=0),"",$M232/$G232)</f>
        <v/>
      </c>
      <c r="O232" s="33" t="n"/>
      <c r="P232" s="33" t="n"/>
      <c r="Q232" s="41" t="n"/>
      <c r="R232" s="36" t="n"/>
      <c r="S232" s="37">
        <f>IF(NOT(ISNUMBER($M232)),"",$M232-IF(ISNUMBER($R232),$R232,0))</f>
        <v/>
      </c>
      <c r="T232" s="33" t="n"/>
      <c r="U232" s="51">
        <f>IF(COUNTA($B232,$C232,$D232,$G232,$H232)=0,"",IF(IF($B232=""," · Falta fecha","")&amp;IF($C232=""," · Falta proveedor","")&amp;IF(AND($D232&lt;&gt;"",COUNTIF(tblProductos[SKU],$D232)=0)," · SKU no existe","")&amp;IF($D232=""," · Falta SKU","")&amp;IF(OR($G232="",NOT(ISNUMBER($G232)),$G232&lt;=0)," · Cantidad inválida","")&amp;IF($H232=""," · Falta costo unitario","")&amp;IF(AND($P232="Pagado",$Q232="")," · Pago sin fecha","")&amp;IF(AND(ISNUMBER($R232),ISNUMBER($M232),$R232&gt;N($M232)+0.01)," · Pagado &gt; total","")&amp;IF(AND(ISNUMBER($R232),$R232&gt;0,$Q232="")," · Monto pagado sin fecha","")="","OK",MID(IF($B232=""," · Falta fecha","")&amp;IF($C232=""," · Falta proveedor","")&amp;IF(AND($D232&lt;&gt;"",COUNTIF(tblProductos[SKU],$D232)=0)," · SKU no existe","")&amp;IF($D232=""," · Falta SKU","")&amp;IF(OR($G232="",NOT(ISNUMBER($G232)),$G232&lt;=0)," · Cantidad inválida","")&amp;IF($H232=""," · Falta costo unitario","")&amp;IF(AND($P232="Pagado",$Q232="")," · Pago sin fecha","")&amp;IF(AND(ISNUMBER($R232),ISNUMBER($M232),$R232&gt;N($M232)+0.01)," · Pagado &gt; total","")&amp;IF(AND(ISNUMBER($R232),$R232&gt;0,$Q232="")," · Monto pagado sin fecha",""),4,900)))</f>
        <v/>
      </c>
    </row>
    <row r="233">
      <c r="A233" s="51">
        <f>IF(COUNTA($B233,$C233,$D233,$G233,$H233)=0,"","C-"&amp;TEXT(ROW()-6,"0000"))</f>
        <v/>
      </c>
      <c r="B233" s="41" t="n"/>
      <c r="C233" s="33" t="n"/>
      <c r="D233" s="33" t="n"/>
      <c r="E233" s="51">
        <f>IF($D233="","",IFERROR(IF(INDEX(tblProductos[Nombre del producto],MATCH($D233,tblProductos[SKU],0))="","",INDEX(tblProductos[Nombre del producto],MATCH($D233,tblProductos[SKU],0))),""))</f>
        <v/>
      </c>
      <c r="F233" s="51">
        <f>IF($D233="","",IFERROR(IF(INDEX(tblProductos[Categoría],MATCH($D233,tblProductos[SKU],0))="","",INDEX(tblProductos[Categoría],MATCH($D233,tblProductos[SKU],0))),""))</f>
        <v/>
      </c>
      <c r="G233" s="34" t="n"/>
      <c r="H233" s="36" t="n"/>
      <c r="I233" s="37">
        <f>IF(OR($G233="",$H233=""),"",$G233*$H233)</f>
        <v/>
      </c>
      <c r="J233" s="36" t="n"/>
      <c r="K233" s="36" t="n"/>
      <c r="L233" s="36" t="n"/>
      <c r="M233" s="37">
        <f>IF(NOT(ISNUMBER($I233)),"",$I233+SUM($J233:$L233))</f>
        <v/>
      </c>
      <c r="N233" s="37">
        <f>IF(OR(NOT(ISNUMBER($M233)),NOT(ISNUMBER($G233)),$G233&lt;=0),"",$M233/$G233)</f>
        <v/>
      </c>
      <c r="O233" s="33" t="n"/>
      <c r="P233" s="33" t="n"/>
      <c r="Q233" s="41" t="n"/>
      <c r="R233" s="36" t="n"/>
      <c r="S233" s="37">
        <f>IF(NOT(ISNUMBER($M233)),"",$M233-IF(ISNUMBER($R233),$R233,0))</f>
        <v/>
      </c>
      <c r="T233" s="33" t="n"/>
      <c r="U233" s="51">
        <f>IF(COUNTA($B233,$C233,$D233,$G233,$H233)=0,"",IF(IF($B233=""," · Falta fecha","")&amp;IF($C233=""," · Falta proveedor","")&amp;IF(AND($D233&lt;&gt;"",COUNTIF(tblProductos[SKU],$D233)=0)," · SKU no existe","")&amp;IF($D233=""," · Falta SKU","")&amp;IF(OR($G233="",NOT(ISNUMBER($G233)),$G233&lt;=0)," · Cantidad inválida","")&amp;IF($H233=""," · Falta costo unitario","")&amp;IF(AND($P233="Pagado",$Q233="")," · Pago sin fecha","")&amp;IF(AND(ISNUMBER($R233),ISNUMBER($M233),$R233&gt;N($M233)+0.01)," · Pagado &gt; total","")&amp;IF(AND(ISNUMBER($R233),$R233&gt;0,$Q233="")," · Monto pagado sin fecha","")="","OK",MID(IF($B233=""," · Falta fecha","")&amp;IF($C233=""," · Falta proveedor","")&amp;IF(AND($D233&lt;&gt;"",COUNTIF(tblProductos[SKU],$D233)=0)," · SKU no existe","")&amp;IF($D233=""," · Falta SKU","")&amp;IF(OR($G233="",NOT(ISNUMBER($G233)),$G233&lt;=0)," · Cantidad inválida","")&amp;IF($H233=""," · Falta costo unitario","")&amp;IF(AND($P233="Pagado",$Q233="")," · Pago sin fecha","")&amp;IF(AND(ISNUMBER($R233),ISNUMBER($M233),$R233&gt;N($M233)+0.01)," · Pagado &gt; total","")&amp;IF(AND(ISNUMBER($R233),$R233&gt;0,$Q233="")," · Monto pagado sin fecha",""),4,900)))</f>
        <v/>
      </c>
    </row>
    <row r="234">
      <c r="A234" s="51">
        <f>IF(COUNTA($B234,$C234,$D234,$G234,$H234)=0,"","C-"&amp;TEXT(ROW()-6,"0000"))</f>
        <v/>
      </c>
      <c r="B234" s="41" t="n"/>
      <c r="C234" s="33" t="n"/>
      <c r="D234" s="33" t="n"/>
      <c r="E234" s="51">
        <f>IF($D234="","",IFERROR(IF(INDEX(tblProductos[Nombre del producto],MATCH($D234,tblProductos[SKU],0))="","",INDEX(tblProductos[Nombre del producto],MATCH($D234,tblProductos[SKU],0))),""))</f>
        <v/>
      </c>
      <c r="F234" s="51">
        <f>IF($D234="","",IFERROR(IF(INDEX(tblProductos[Categoría],MATCH($D234,tblProductos[SKU],0))="","",INDEX(tblProductos[Categoría],MATCH($D234,tblProductos[SKU],0))),""))</f>
        <v/>
      </c>
      <c r="G234" s="34" t="n"/>
      <c r="H234" s="36" t="n"/>
      <c r="I234" s="37">
        <f>IF(OR($G234="",$H234=""),"",$G234*$H234)</f>
        <v/>
      </c>
      <c r="J234" s="36" t="n"/>
      <c r="K234" s="36" t="n"/>
      <c r="L234" s="36" t="n"/>
      <c r="M234" s="37">
        <f>IF(NOT(ISNUMBER($I234)),"",$I234+SUM($J234:$L234))</f>
        <v/>
      </c>
      <c r="N234" s="37">
        <f>IF(OR(NOT(ISNUMBER($M234)),NOT(ISNUMBER($G234)),$G234&lt;=0),"",$M234/$G234)</f>
        <v/>
      </c>
      <c r="O234" s="33" t="n"/>
      <c r="P234" s="33" t="n"/>
      <c r="Q234" s="41" t="n"/>
      <c r="R234" s="36" t="n"/>
      <c r="S234" s="37">
        <f>IF(NOT(ISNUMBER($M234)),"",$M234-IF(ISNUMBER($R234),$R234,0))</f>
        <v/>
      </c>
      <c r="T234" s="33" t="n"/>
      <c r="U234" s="51">
        <f>IF(COUNTA($B234,$C234,$D234,$G234,$H234)=0,"",IF(IF($B234=""," · Falta fecha","")&amp;IF($C234=""," · Falta proveedor","")&amp;IF(AND($D234&lt;&gt;"",COUNTIF(tblProductos[SKU],$D234)=0)," · SKU no existe","")&amp;IF($D234=""," · Falta SKU","")&amp;IF(OR($G234="",NOT(ISNUMBER($G234)),$G234&lt;=0)," · Cantidad inválida","")&amp;IF($H234=""," · Falta costo unitario","")&amp;IF(AND($P234="Pagado",$Q234="")," · Pago sin fecha","")&amp;IF(AND(ISNUMBER($R234),ISNUMBER($M234),$R234&gt;N($M234)+0.01)," · Pagado &gt; total","")&amp;IF(AND(ISNUMBER($R234),$R234&gt;0,$Q234="")," · Monto pagado sin fecha","")="","OK",MID(IF($B234=""," · Falta fecha","")&amp;IF($C234=""," · Falta proveedor","")&amp;IF(AND($D234&lt;&gt;"",COUNTIF(tblProductos[SKU],$D234)=0)," · SKU no existe","")&amp;IF($D234=""," · Falta SKU","")&amp;IF(OR($G234="",NOT(ISNUMBER($G234)),$G234&lt;=0)," · Cantidad inválida","")&amp;IF($H234=""," · Falta costo unitario","")&amp;IF(AND($P234="Pagado",$Q234="")," · Pago sin fecha","")&amp;IF(AND(ISNUMBER($R234),ISNUMBER($M234),$R234&gt;N($M234)+0.01)," · Pagado &gt; total","")&amp;IF(AND(ISNUMBER($R234),$R234&gt;0,$Q234="")," · Monto pagado sin fecha",""),4,900)))</f>
        <v/>
      </c>
    </row>
    <row r="235">
      <c r="A235" s="51">
        <f>IF(COUNTA($B235,$C235,$D235,$G235,$H235)=0,"","C-"&amp;TEXT(ROW()-6,"0000"))</f>
        <v/>
      </c>
      <c r="B235" s="41" t="n"/>
      <c r="C235" s="33" t="n"/>
      <c r="D235" s="33" t="n"/>
      <c r="E235" s="51">
        <f>IF($D235="","",IFERROR(IF(INDEX(tblProductos[Nombre del producto],MATCH($D235,tblProductos[SKU],0))="","",INDEX(tblProductos[Nombre del producto],MATCH($D235,tblProductos[SKU],0))),""))</f>
        <v/>
      </c>
      <c r="F235" s="51">
        <f>IF($D235="","",IFERROR(IF(INDEX(tblProductos[Categoría],MATCH($D235,tblProductos[SKU],0))="","",INDEX(tblProductos[Categoría],MATCH($D235,tblProductos[SKU],0))),""))</f>
        <v/>
      </c>
      <c r="G235" s="34" t="n"/>
      <c r="H235" s="36" t="n"/>
      <c r="I235" s="37">
        <f>IF(OR($G235="",$H235=""),"",$G235*$H235)</f>
        <v/>
      </c>
      <c r="J235" s="36" t="n"/>
      <c r="K235" s="36" t="n"/>
      <c r="L235" s="36" t="n"/>
      <c r="M235" s="37">
        <f>IF(NOT(ISNUMBER($I235)),"",$I235+SUM($J235:$L235))</f>
        <v/>
      </c>
      <c r="N235" s="37">
        <f>IF(OR(NOT(ISNUMBER($M235)),NOT(ISNUMBER($G235)),$G235&lt;=0),"",$M235/$G235)</f>
        <v/>
      </c>
      <c r="O235" s="33" t="n"/>
      <c r="P235" s="33" t="n"/>
      <c r="Q235" s="41" t="n"/>
      <c r="R235" s="36" t="n"/>
      <c r="S235" s="37">
        <f>IF(NOT(ISNUMBER($M235)),"",$M235-IF(ISNUMBER($R235),$R235,0))</f>
        <v/>
      </c>
      <c r="T235" s="33" t="n"/>
      <c r="U235" s="51">
        <f>IF(COUNTA($B235,$C235,$D235,$G235,$H235)=0,"",IF(IF($B235=""," · Falta fecha","")&amp;IF($C235=""," · Falta proveedor","")&amp;IF(AND($D235&lt;&gt;"",COUNTIF(tblProductos[SKU],$D235)=0)," · SKU no existe","")&amp;IF($D235=""," · Falta SKU","")&amp;IF(OR($G235="",NOT(ISNUMBER($G235)),$G235&lt;=0)," · Cantidad inválida","")&amp;IF($H235=""," · Falta costo unitario","")&amp;IF(AND($P235="Pagado",$Q235="")," · Pago sin fecha","")&amp;IF(AND(ISNUMBER($R235),ISNUMBER($M235),$R235&gt;N($M235)+0.01)," · Pagado &gt; total","")&amp;IF(AND(ISNUMBER($R235),$R235&gt;0,$Q235="")," · Monto pagado sin fecha","")="","OK",MID(IF($B235=""," · Falta fecha","")&amp;IF($C235=""," · Falta proveedor","")&amp;IF(AND($D235&lt;&gt;"",COUNTIF(tblProductos[SKU],$D235)=0)," · SKU no existe","")&amp;IF($D235=""," · Falta SKU","")&amp;IF(OR($G235="",NOT(ISNUMBER($G235)),$G235&lt;=0)," · Cantidad inválida","")&amp;IF($H235=""," · Falta costo unitario","")&amp;IF(AND($P235="Pagado",$Q235="")," · Pago sin fecha","")&amp;IF(AND(ISNUMBER($R235),ISNUMBER($M235),$R235&gt;N($M235)+0.01)," · Pagado &gt; total","")&amp;IF(AND(ISNUMBER($R235),$R235&gt;0,$Q235="")," · Monto pagado sin fecha",""),4,900)))</f>
        <v/>
      </c>
    </row>
    <row r="236">
      <c r="A236" s="51">
        <f>IF(COUNTA($B236,$C236,$D236,$G236,$H236)=0,"","C-"&amp;TEXT(ROW()-6,"0000"))</f>
        <v/>
      </c>
      <c r="B236" s="41" t="n"/>
      <c r="C236" s="33" t="n"/>
      <c r="D236" s="33" t="n"/>
      <c r="E236" s="51">
        <f>IF($D236="","",IFERROR(IF(INDEX(tblProductos[Nombre del producto],MATCH($D236,tblProductos[SKU],0))="","",INDEX(tblProductos[Nombre del producto],MATCH($D236,tblProductos[SKU],0))),""))</f>
        <v/>
      </c>
      <c r="F236" s="51">
        <f>IF($D236="","",IFERROR(IF(INDEX(tblProductos[Categoría],MATCH($D236,tblProductos[SKU],0))="","",INDEX(tblProductos[Categoría],MATCH($D236,tblProductos[SKU],0))),""))</f>
        <v/>
      </c>
      <c r="G236" s="34" t="n"/>
      <c r="H236" s="36" t="n"/>
      <c r="I236" s="37">
        <f>IF(OR($G236="",$H236=""),"",$G236*$H236)</f>
        <v/>
      </c>
      <c r="J236" s="36" t="n"/>
      <c r="K236" s="36" t="n"/>
      <c r="L236" s="36" t="n"/>
      <c r="M236" s="37">
        <f>IF(NOT(ISNUMBER($I236)),"",$I236+SUM($J236:$L236))</f>
        <v/>
      </c>
      <c r="N236" s="37">
        <f>IF(OR(NOT(ISNUMBER($M236)),NOT(ISNUMBER($G236)),$G236&lt;=0),"",$M236/$G236)</f>
        <v/>
      </c>
      <c r="O236" s="33" t="n"/>
      <c r="P236" s="33" t="n"/>
      <c r="Q236" s="41" t="n"/>
      <c r="R236" s="36" t="n"/>
      <c r="S236" s="37">
        <f>IF(NOT(ISNUMBER($M236)),"",$M236-IF(ISNUMBER($R236),$R236,0))</f>
        <v/>
      </c>
      <c r="T236" s="33" t="n"/>
      <c r="U236" s="51">
        <f>IF(COUNTA($B236,$C236,$D236,$G236,$H236)=0,"",IF(IF($B236=""," · Falta fecha","")&amp;IF($C236=""," · Falta proveedor","")&amp;IF(AND($D236&lt;&gt;"",COUNTIF(tblProductos[SKU],$D236)=0)," · SKU no existe","")&amp;IF($D236=""," · Falta SKU","")&amp;IF(OR($G236="",NOT(ISNUMBER($G236)),$G236&lt;=0)," · Cantidad inválida","")&amp;IF($H236=""," · Falta costo unitario","")&amp;IF(AND($P236="Pagado",$Q236="")," · Pago sin fecha","")&amp;IF(AND(ISNUMBER($R236),ISNUMBER($M236),$R236&gt;N($M236)+0.01)," · Pagado &gt; total","")&amp;IF(AND(ISNUMBER($R236),$R236&gt;0,$Q236="")," · Monto pagado sin fecha","")="","OK",MID(IF($B236=""," · Falta fecha","")&amp;IF($C236=""," · Falta proveedor","")&amp;IF(AND($D236&lt;&gt;"",COUNTIF(tblProductos[SKU],$D236)=0)," · SKU no existe","")&amp;IF($D236=""," · Falta SKU","")&amp;IF(OR($G236="",NOT(ISNUMBER($G236)),$G236&lt;=0)," · Cantidad inválida","")&amp;IF($H236=""," · Falta costo unitario","")&amp;IF(AND($P236="Pagado",$Q236="")," · Pago sin fecha","")&amp;IF(AND(ISNUMBER($R236),ISNUMBER($M236),$R236&gt;N($M236)+0.01)," · Pagado &gt; total","")&amp;IF(AND(ISNUMBER($R236),$R236&gt;0,$Q236="")," · Monto pagado sin fecha",""),4,900)))</f>
        <v/>
      </c>
    </row>
    <row r="237">
      <c r="A237" s="51">
        <f>IF(COUNTA($B237,$C237,$D237,$G237,$H237)=0,"","C-"&amp;TEXT(ROW()-6,"0000"))</f>
        <v/>
      </c>
      <c r="B237" s="41" t="n"/>
      <c r="C237" s="33" t="n"/>
      <c r="D237" s="33" t="n"/>
      <c r="E237" s="51">
        <f>IF($D237="","",IFERROR(IF(INDEX(tblProductos[Nombre del producto],MATCH($D237,tblProductos[SKU],0))="","",INDEX(tblProductos[Nombre del producto],MATCH($D237,tblProductos[SKU],0))),""))</f>
        <v/>
      </c>
      <c r="F237" s="51">
        <f>IF($D237="","",IFERROR(IF(INDEX(tblProductos[Categoría],MATCH($D237,tblProductos[SKU],0))="","",INDEX(tblProductos[Categoría],MATCH($D237,tblProductos[SKU],0))),""))</f>
        <v/>
      </c>
      <c r="G237" s="34" t="n"/>
      <c r="H237" s="36" t="n"/>
      <c r="I237" s="37">
        <f>IF(OR($G237="",$H237=""),"",$G237*$H237)</f>
        <v/>
      </c>
      <c r="J237" s="36" t="n"/>
      <c r="K237" s="36" t="n"/>
      <c r="L237" s="36" t="n"/>
      <c r="M237" s="37">
        <f>IF(NOT(ISNUMBER($I237)),"",$I237+SUM($J237:$L237))</f>
        <v/>
      </c>
      <c r="N237" s="37">
        <f>IF(OR(NOT(ISNUMBER($M237)),NOT(ISNUMBER($G237)),$G237&lt;=0),"",$M237/$G237)</f>
        <v/>
      </c>
      <c r="O237" s="33" t="n"/>
      <c r="P237" s="33" t="n"/>
      <c r="Q237" s="41" t="n"/>
      <c r="R237" s="36" t="n"/>
      <c r="S237" s="37">
        <f>IF(NOT(ISNUMBER($M237)),"",$M237-IF(ISNUMBER($R237),$R237,0))</f>
        <v/>
      </c>
      <c r="T237" s="33" t="n"/>
      <c r="U237" s="51">
        <f>IF(COUNTA($B237,$C237,$D237,$G237,$H237)=0,"",IF(IF($B237=""," · Falta fecha","")&amp;IF($C237=""," · Falta proveedor","")&amp;IF(AND($D237&lt;&gt;"",COUNTIF(tblProductos[SKU],$D237)=0)," · SKU no existe","")&amp;IF($D237=""," · Falta SKU","")&amp;IF(OR($G237="",NOT(ISNUMBER($G237)),$G237&lt;=0)," · Cantidad inválida","")&amp;IF($H237=""," · Falta costo unitario","")&amp;IF(AND($P237="Pagado",$Q237="")," · Pago sin fecha","")&amp;IF(AND(ISNUMBER($R237),ISNUMBER($M237),$R237&gt;N($M237)+0.01)," · Pagado &gt; total","")&amp;IF(AND(ISNUMBER($R237),$R237&gt;0,$Q237="")," · Monto pagado sin fecha","")="","OK",MID(IF($B237=""," · Falta fecha","")&amp;IF($C237=""," · Falta proveedor","")&amp;IF(AND($D237&lt;&gt;"",COUNTIF(tblProductos[SKU],$D237)=0)," · SKU no existe","")&amp;IF($D237=""," · Falta SKU","")&amp;IF(OR($G237="",NOT(ISNUMBER($G237)),$G237&lt;=0)," · Cantidad inválida","")&amp;IF($H237=""," · Falta costo unitario","")&amp;IF(AND($P237="Pagado",$Q237="")," · Pago sin fecha","")&amp;IF(AND(ISNUMBER($R237),ISNUMBER($M237),$R237&gt;N($M237)+0.01)," · Pagado &gt; total","")&amp;IF(AND(ISNUMBER($R237),$R237&gt;0,$Q237="")," · Monto pagado sin fecha",""),4,900)))</f>
        <v/>
      </c>
    </row>
    <row r="238">
      <c r="A238" s="51">
        <f>IF(COUNTA($B238,$C238,$D238,$G238,$H238)=0,"","C-"&amp;TEXT(ROW()-6,"0000"))</f>
        <v/>
      </c>
      <c r="B238" s="41" t="n"/>
      <c r="C238" s="33" t="n"/>
      <c r="D238" s="33" t="n"/>
      <c r="E238" s="51">
        <f>IF($D238="","",IFERROR(IF(INDEX(tblProductos[Nombre del producto],MATCH($D238,tblProductos[SKU],0))="","",INDEX(tblProductos[Nombre del producto],MATCH($D238,tblProductos[SKU],0))),""))</f>
        <v/>
      </c>
      <c r="F238" s="51">
        <f>IF($D238="","",IFERROR(IF(INDEX(tblProductos[Categoría],MATCH($D238,tblProductos[SKU],0))="","",INDEX(tblProductos[Categoría],MATCH($D238,tblProductos[SKU],0))),""))</f>
        <v/>
      </c>
      <c r="G238" s="34" t="n"/>
      <c r="H238" s="36" t="n"/>
      <c r="I238" s="37">
        <f>IF(OR($G238="",$H238=""),"",$G238*$H238)</f>
        <v/>
      </c>
      <c r="J238" s="36" t="n"/>
      <c r="K238" s="36" t="n"/>
      <c r="L238" s="36" t="n"/>
      <c r="M238" s="37">
        <f>IF(NOT(ISNUMBER($I238)),"",$I238+SUM($J238:$L238))</f>
        <v/>
      </c>
      <c r="N238" s="37">
        <f>IF(OR(NOT(ISNUMBER($M238)),NOT(ISNUMBER($G238)),$G238&lt;=0),"",$M238/$G238)</f>
        <v/>
      </c>
      <c r="O238" s="33" t="n"/>
      <c r="P238" s="33" t="n"/>
      <c r="Q238" s="41" t="n"/>
      <c r="R238" s="36" t="n"/>
      <c r="S238" s="37">
        <f>IF(NOT(ISNUMBER($M238)),"",$M238-IF(ISNUMBER($R238),$R238,0))</f>
        <v/>
      </c>
      <c r="T238" s="33" t="n"/>
      <c r="U238" s="51">
        <f>IF(COUNTA($B238,$C238,$D238,$G238,$H238)=0,"",IF(IF($B238=""," · Falta fecha","")&amp;IF($C238=""," · Falta proveedor","")&amp;IF(AND($D238&lt;&gt;"",COUNTIF(tblProductos[SKU],$D238)=0)," · SKU no existe","")&amp;IF($D238=""," · Falta SKU","")&amp;IF(OR($G238="",NOT(ISNUMBER($G238)),$G238&lt;=0)," · Cantidad inválida","")&amp;IF($H238=""," · Falta costo unitario","")&amp;IF(AND($P238="Pagado",$Q238="")," · Pago sin fecha","")&amp;IF(AND(ISNUMBER($R238),ISNUMBER($M238),$R238&gt;N($M238)+0.01)," · Pagado &gt; total","")&amp;IF(AND(ISNUMBER($R238),$R238&gt;0,$Q238="")," · Monto pagado sin fecha","")="","OK",MID(IF($B238=""," · Falta fecha","")&amp;IF($C238=""," · Falta proveedor","")&amp;IF(AND($D238&lt;&gt;"",COUNTIF(tblProductos[SKU],$D238)=0)," · SKU no existe","")&amp;IF($D238=""," · Falta SKU","")&amp;IF(OR($G238="",NOT(ISNUMBER($G238)),$G238&lt;=0)," · Cantidad inválida","")&amp;IF($H238=""," · Falta costo unitario","")&amp;IF(AND($P238="Pagado",$Q238="")," · Pago sin fecha","")&amp;IF(AND(ISNUMBER($R238),ISNUMBER($M238),$R238&gt;N($M238)+0.01)," · Pagado &gt; total","")&amp;IF(AND(ISNUMBER($R238),$R238&gt;0,$Q238="")," · Monto pagado sin fecha",""),4,900)))</f>
        <v/>
      </c>
    </row>
    <row r="239">
      <c r="A239" s="51">
        <f>IF(COUNTA($B239,$C239,$D239,$G239,$H239)=0,"","C-"&amp;TEXT(ROW()-6,"0000"))</f>
        <v/>
      </c>
      <c r="B239" s="41" t="n"/>
      <c r="C239" s="33" t="n"/>
      <c r="D239" s="33" t="n"/>
      <c r="E239" s="51">
        <f>IF($D239="","",IFERROR(IF(INDEX(tblProductos[Nombre del producto],MATCH($D239,tblProductos[SKU],0))="","",INDEX(tblProductos[Nombre del producto],MATCH($D239,tblProductos[SKU],0))),""))</f>
        <v/>
      </c>
      <c r="F239" s="51">
        <f>IF($D239="","",IFERROR(IF(INDEX(tblProductos[Categoría],MATCH($D239,tblProductos[SKU],0))="","",INDEX(tblProductos[Categoría],MATCH($D239,tblProductos[SKU],0))),""))</f>
        <v/>
      </c>
      <c r="G239" s="34" t="n"/>
      <c r="H239" s="36" t="n"/>
      <c r="I239" s="37">
        <f>IF(OR($G239="",$H239=""),"",$G239*$H239)</f>
        <v/>
      </c>
      <c r="J239" s="36" t="n"/>
      <c r="K239" s="36" t="n"/>
      <c r="L239" s="36" t="n"/>
      <c r="M239" s="37">
        <f>IF(NOT(ISNUMBER($I239)),"",$I239+SUM($J239:$L239))</f>
        <v/>
      </c>
      <c r="N239" s="37">
        <f>IF(OR(NOT(ISNUMBER($M239)),NOT(ISNUMBER($G239)),$G239&lt;=0),"",$M239/$G239)</f>
        <v/>
      </c>
      <c r="O239" s="33" t="n"/>
      <c r="P239" s="33" t="n"/>
      <c r="Q239" s="41" t="n"/>
      <c r="R239" s="36" t="n"/>
      <c r="S239" s="37">
        <f>IF(NOT(ISNUMBER($M239)),"",$M239-IF(ISNUMBER($R239),$R239,0))</f>
        <v/>
      </c>
      <c r="T239" s="33" t="n"/>
      <c r="U239" s="51">
        <f>IF(COUNTA($B239,$C239,$D239,$G239,$H239)=0,"",IF(IF($B239=""," · Falta fecha","")&amp;IF($C239=""," · Falta proveedor","")&amp;IF(AND($D239&lt;&gt;"",COUNTIF(tblProductos[SKU],$D239)=0)," · SKU no existe","")&amp;IF($D239=""," · Falta SKU","")&amp;IF(OR($G239="",NOT(ISNUMBER($G239)),$G239&lt;=0)," · Cantidad inválida","")&amp;IF($H239=""," · Falta costo unitario","")&amp;IF(AND($P239="Pagado",$Q239="")," · Pago sin fecha","")&amp;IF(AND(ISNUMBER($R239),ISNUMBER($M239),$R239&gt;N($M239)+0.01)," · Pagado &gt; total","")&amp;IF(AND(ISNUMBER($R239),$R239&gt;0,$Q239="")," · Monto pagado sin fecha","")="","OK",MID(IF($B239=""," · Falta fecha","")&amp;IF($C239=""," · Falta proveedor","")&amp;IF(AND($D239&lt;&gt;"",COUNTIF(tblProductos[SKU],$D239)=0)," · SKU no existe","")&amp;IF($D239=""," · Falta SKU","")&amp;IF(OR($G239="",NOT(ISNUMBER($G239)),$G239&lt;=0)," · Cantidad inválida","")&amp;IF($H239=""," · Falta costo unitario","")&amp;IF(AND($P239="Pagado",$Q239="")," · Pago sin fecha","")&amp;IF(AND(ISNUMBER($R239),ISNUMBER($M239),$R239&gt;N($M239)+0.01)," · Pagado &gt; total","")&amp;IF(AND(ISNUMBER($R239),$R239&gt;0,$Q239="")," · Monto pagado sin fecha",""),4,900)))</f>
        <v/>
      </c>
    </row>
    <row r="240">
      <c r="A240" s="51">
        <f>IF(COUNTA($B240,$C240,$D240,$G240,$H240)=0,"","C-"&amp;TEXT(ROW()-6,"0000"))</f>
        <v/>
      </c>
      <c r="B240" s="41" t="n"/>
      <c r="C240" s="33" t="n"/>
      <c r="D240" s="33" t="n"/>
      <c r="E240" s="51">
        <f>IF($D240="","",IFERROR(IF(INDEX(tblProductos[Nombre del producto],MATCH($D240,tblProductos[SKU],0))="","",INDEX(tblProductos[Nombre del producto],MATCH($D240,tblProductos[SKU],0))),""))</f>
        <v/>
      </c>
      <c r="F240" s="51">
        <f>IF($D240="","",IFERROR(IF(INDEX(tblProductos[Categoría],MATCH($D240,tblProductos[SKU],0))="","",INDEX(tblProductos[Categoría],MATCH($D240,tblProductos[SKU],0))),""))</f>
        <v/>
      </c>
      <c r="G240" s="34" t="n"/>
      <c r="H240" s="36" t="n"/>
      <c r="I240" s="37">
        <f>IF(OR($G240="",$H240=""),"",$G240*$H240)</f>
        <v/>
      </c>
      <c r="J240" s="36" t="n"/>
      <c r="K240" s="36" t="n"/>
      <c r="L240" s="36" t="n"/>
      <c r="M240" s="37">
        <f>IF(NOT(ISNUMBER($I240)),"",$I240+SUM($J240:$L240))</f>
        <v/>
      </c>
      <c r="N240" s="37">
        <f>IF(OR(NOT(ISNUMBER($M240)),NOT(ISNUMBER($G240)),$G240&lt;=0),"",$M240/$G240)</f>
        <v/>
      </c>
      <c r="O240" s="33" t="n"/>
      <c r="P240" s="33" t="n"/>
      <c r="Q240" s="41" t="n"/>
      <c r="R240" s="36" t="n"/>
      <c r="S240" s="37">
        <f>IF(NOT(ISNUMBER($M240)),"",$M240-IF(ISNUMBER($R240),$R240,0))</f>
        <v/>
      </c>
      <c r="T240" s="33" t="n"/>
      <c r="U240" s="51">
        <f>IF(COUNTA($B240,$C240,$D240,$G240,$H240)=0,"",IF(IF($B240=""," · Falta fecha","")&amp;IF($C240=""," · Falta proveedor","")&amp;IF(AND($D240&lt;&gt;"",COUNTIF(tblProductos[SKU],$D240)=0)," · SKU no existe","")&amp;IF($D240=""," · Falta SKU","")&amp;IF(OR($G240="",NOT(ISNUMBER($G240)),$G240&lt;=0)," · Cantidad inválida","")&amp;IF($H240=""," · Falta costo unitario","")&amp;IF(AND($P240="Pagado",$Q240="")," · Pago sin fecha","")&amp;IF(AND(ISNUMBER($R240),ISNUMBER($M240),$R240&gt;N($M240)+0.01)," · Pagado &gt; total","")&amp;IF(AND(ISNUMBER($R240),$R240&gt;0,$Q240="")," · Monto pagado sin fecha","")="","OK",MID(IF($B240=""," · Falta fecha","")&amp;IF($C240=""," · Falta proveedor","")&amp;IF(AND($D240&lt;&gt;"",COUNTIF(tblProductos[SKU],$D240)=0)," · SKU no existe","")&amp;IF($D240=""," · Falta SKU","")&amp;IF(OR($G240="",NOT(ISNUMBER($G240)),$G240&lt;=0)," · Cantidad inválida","")&amp;IF($H240=""," · Falta costo unitario","")&amp;IF(AND($P240="Pagado",$Q240="")," · Pago sin fecha","")&amp;IF(AND(ISNUMBER($R240),ISNUMBER($M240),$R240&gt;N($M240)+0.01)," · Pagado &gt; total","")&amp;IF(AND(ISNUMBER($R240),$R240&gt;0,$Q240="")," · Monto pagado sin fecha",""),4,900)))</f>
        <v/>
      </c>
    </row>
    <row r="241">
      <c r="A241" s="51">
        <f>IF(COUNTA($B241,$C241,$D241,$G241,$H241)=0,"","C-"&amp;TEXT(ROW()-6,"0000"))</f>
        <v/>
      </c>
      <c r="B241" s="41" t="n"/>
      <c r="C241" s="33" t="n"/>
      <c r="D241" s="33" t="n"/>
      <c r="E241" s="51">
        <f>IF($D241="","",IFERROR(IF(INDEX(tblProductos[Nombre del producto],MATCH($D241,tblProductos[SKU],0))="","",INDEX(tblProductos[Nombre del producto],MATCH($D241,tblProductos[SKU],0))),""))</f>
        <v/>
      </c>
      <c r="F241" s="51">
        <f>IF($D241="","",IFERROR(IF(INDEX(tblProductos[Categoría],MATCH($D241,tblProductos[SKU],0))="","",INDEX(tblProductos[Categoría],MATCH($D241,tblProductos[SKU],0))),""))</f>
        <v/>
      </c>
      <c r="G241" s="34" t="n"/>
      <c r="H241" s="36" t="n"/>
      <c r="I241" s="37">
        <f>IF(OR($G241="",$H241=""),"",$G241*$H241)</f>
        <v/>
      </c>
      <c r="J241" s="36" t="n"/>
      <c r="K241" s="36" t="n"/>
      <c r="L241" s="36" t="n"/>
      <c r="M241" s="37">
        <f>IF(NOT(ISNUMBER($I241)),"",$I241+SUM($J241:$L241))</f>
        <v/>
      </c>
      <c r="N241" s="37">
        <f>IF(OR(NOT(ISNUMBER($M241)),NOT(ISNUMBER($G241)),$G241&lt;=0),"",$M241/$G241)</f>
        <v/>
      </c>
      <c r="O241" s="33" t="n"/>
      <c r="P241" s="33" t="n"/>
      <c r="Q241" s="41" t="n"/>
      <c r="R241" s="36" t="n"/>
      <c r="S241" s="37">
        <f>IF(NOT(ISNUMBER($M241)),"",$M241-IF(ISNUMBER($R241),$R241,0))</f>
        <v/>
      </c>
      <c r="T241" s="33" t="n"/>
      <c r="U241" s="51">
        <f>IF(COUNTA($B241,$C241,$D241,$G241,$H241)=0,"",IF(IF($B241=""," · Falta fecha","")&amp;IF($C241=""," · Falta proveedor","")&amp;IF(AND($D241&lt;&gt;"",COUNTIF(tblProductos[SKU],$D241)=0)," · SKU no existe","")&amp;IF($D241=""," · Falta SKU","")&amp;IF(OR($G241="",NOT(ISNUMBER($G241)),$G241&lt;=0)," · Cantidad inválida","")&amp;IF($H241=""," · Falta costo unitario","")&amp;IF(AND($P241="Pagado",$Q241="")," · Pago sin fecha","")&amp;IF(AND(ISNUMBER($R241),ISNUMBER($M241),$R241&gt;N($M241)+0.01)," · Pagado &gt; total","")&amp;IF(AND(ISNUMBER($R241),$R241&gt;0,$Q241="")," · Monto pagado sin fecha","")="","OK",MID(IF($B241=""," · Falta fecha","")&amp;IF($C241=""," · Falta proveedor","")&amp;IF(AND($D241&lt;&gt;"",COUNTIF(tblProductos[SKU],$D241)=0)," · SKU no existe","")&amp;IF($D241=""," · Falta SKU","")&amp;IF(OR($G241="",NOT(ISNUMBER($G241)),$G241&lt;=0)," · Cantidad inválida","")&amp;IF($H241=""," · Falta costo unitario","")&amp;IF(AND($P241="Pagado",$Q241="")," · Pago sin fecha","")&amp;IF(AND(ISNUMBER($R241),ISNUMBER($M241),$R241&gt;N($M241)+0.01)," · Pagado &gt; total","")&amp;IF(AND(ISNUMBER($R241),$R241&gt;0,$Q241="")," · Monto pagado sin fecha",""),4,900)))</f>
        <v/>
      </c>
    </row>
    <row r="242">
      <c r="A242" s="51">
        <f>IF(COUNTA($B242,$C242,$D242,$G242,$H242)=0,"","C-"&amp;TEXT(ROW()-6,"0000"))</f>
        <v/>
      </c>
      <c r="B242" s="41" t="n"/>
      <c r="C242" s="33" t="n"/>
      <c r="D242" s="33" t="n"/>
      <c r="E242" s="51">
        <f>IF($D242="","",IFERROR(IF(INDEX(tblProductos[Nombre del producto],MATCH($D242,tblProductos[SKU],0))="","",INDEX(tblProductos[Nombre del producto],MATCH($D242,tblProductos[SKU],0))),""))</f>
        <v/>
      </c>
      <c r="F242" s="51">
        <f>IF($D242="","",IFERROR(IF(INDEX(tblProductos[Categoría],MATCH($D242,tblProductos[SKU],0))="","",INDEX(tblProductos[Categoría],MATCH($D242,tblProductos[SKU],0))),""))</f>
        <v/>
      </c>
      <c r="G242" s="34" t="n"/>
      <c r="H242" s="36" t="n"/>
      <c r="I242" s="37">
        <f>IF(OR($G242="",$H242=""),"",$G242*$H242)</f>
        <v/>
      </c>
      <c r="J242" s="36" t="n"/>
      <c r="K242" s="36" t="n"/>
      <c r="L242" s="36" t="n"/>
      <c r="M242" s="37">
        <f>IF(NOT(ISNUMBER($I242)),"",$I242+SUM($J242:$L242))</f>
        <v/>
      </c>
      <c r="N242" s="37">
        <f>IF(OR(NOT(ISNUMBER($M242)),NOT(ISNUMBER($G242)),$G242&lt;=0),"",$M242/$G242)</f>
        <v/>
      </c>
      <c r="O242" s="33" t="n"/>
      <c r="P242" s="33" t="n"/>
      <c r="Q242" s="41" t="n"/>
      <c r="R242" s="36" t="n"/>
      <c r="S242" s="37">
        <f>IF(NOT(ISNUMBER($M242)),"",$M242-IF(ISNUMBER($R242),$R242,0))</f>
        <v/>
      </c>
      <c r="T242" s="33" t="n"/>
      <c r="U242" s="51">
        <f>IF(COUNTA($B242,$C242,$D242,$G242,$H242)=0,"",IF(IF($B242=""," · Falta fecha","")&amp;IF($C242=""," · Falta proveedor","")&amp;IF(AND($D242&lt;&gt;"",COUNTIF(tblProductos[SKU],$D242)=0)," · SKU no existe","")&amp;IF($D242=""," · Falta SKU","")&amp;IF(OR($G242="",NOT(ISNUMBER($G242)),$G242&lt;=0)," · Cantidad inválida","")&amp;IF($H242=""," · Falta costo unitario","")&amp;IF(AND($P242="Pagado",$Q242="")," · Pago sin fecha","")&amp;IF(AND(ISNUMBER($R242),ISNUMBER($M242),$R242&gt;N($M242)+0.01)," · Pagado &gt; total","")&amp;IF(AND(ISNUMBER($R242),$R242&gt;0,$Q242="")," · Monto pagado sin fecha","")="","OK",MID(IF($B242=""," · Falta fecha","")&amp;IF($C242=""," · Falta proveedor","")&amp;IF(AND($D242&lt;&gt;"",COUNTIF(tblProductos[SKU],$D242)=0)," · SKU no existe","")&amp;IF($D242=""," · Falta SKU","")&amp;IF(OR($G242="",NOT(ISNUMBER($G242)),$G242&lt;=0)," · Cantidad inválida","")&amp;IF($H242=""," · Falta costo unitario","")&amp;IF(AND($P242="Pagado",$Q242="")," · Pago sin fecha","")&amp;IF(AND(ISNUMBER($R242),ISNUMBER($M242),$R242&gt;N($M242)+0.01)," · Pagado &gt; total","")&amp;IF(AND(ISNUMBER($R242),$R242&gt;0,$Q242="")," · Monto pagado sin fecha",""),4,900)))</f>
        <v/>
      </c>
    </row>
    <row r="243">
      <c r="A243" s="51">
        <f>IF(COUNTA($B243,$C243,$D243,$G243,$H243)=0,"","C-"&amp;TEXT(ROW()-6,"0000"))</f>
        <v/>
      </c>
      <c r="B243" s="41" t="n"/>
      <c r="C243" s="33" t="n"/>
      <c r="D243" s="33" t="n"/>
      <c r="E243" s="51">
        <f>IF($D243="","",IFERROR(IF(INDEX(tblProductos[Nombre del producto],MATCH($D243,tblProductos[SKU],0))="","",INDEX(tblProductos[Nombre del producto],MATCH($D243,tblProductos[SKU],0))),""))</f>
        <v/>
      </c>
      <c r="F243" s="51">
        <f>IF($D243="","",IFERROR(IF(INDEX(tblProductos[Categoría],MATCH($D243,tblProductos[SKU],0))="","",INDEX(tblProductos[Categoría],MATCH($D243,tblProductos[SKU],0))),""))</f>
        <v/>
      </c>
      <c r="G243" s="34" t="n"/>
      <c r="H243" s="36" t="n"/>
      <c r="I243" s="37">
        <f>IF(OR($G243="",$H243=""),"",$G243*$H243)</f>
        <v/>
      </c>
      <c r="J243" s="36" t="n"/>
      <c r="K243" s="36" t="n"/>
      <c r="L243" s="36" t="n"/>
      <c r="M243" s="37">
        <f>IF(NOT(ISNUMBER($I243)),"",$I243+SUM($J243:$L243))</f>
        <v/>
      </c>
      <c r="N243" s="37">
        <f>IF(OR(NOT(ISNUMBER($M243)),NOT(ISNUMBER($G243)),$G243&lt;=0),"",$M243/$G243)</f>
        <v/>
      </c>
      <c r="O243" s="33" t="n"/>
      <c r="P243" s="33" t="n"/>
      <c r="Q243" s="41" t="n"/>
      <c r="R243" s="36" t="n"/>
      <c r="S243" s="37">
        <f>IF(NOT(ISNUMBER($M243)),"",$M243-IF(ISNUMBER($R243),$R243,0))</f>
        <v/>
      </c>
      <c r="T243" s="33" t="n"/>
      <c r="U243" s="51">
        <f>IF(COUNTA($B243,$C243,$D243,$G243,$H243)=0,"",IF(IF($B243=""," · Falta fecha","")&amp;IF($C243=""," · Falta proveedor","")&amp;IF(AND($D243&lt;&gt;"",COUNTIF(tblProductos[SKU],$D243)=0)," · SKU no existe","")&amp;IF($D243=""," · Falta SKU","")&amp;IF(OR($G243="",NOT(ISNUMBER($G243)),$G243&lt;=0)," · Cantidad inválida","")&amp;IF($H243=""," · Falta costo unitario","")&amp;IF(AND($P243="Pagado",$Q243="")," · Pago sin fecha","")&amp;IF(AND(ISNUMBER($R243),ISNUMBER($M243),$R243&gt;N($M243)+0.01)," · Pagado &gt; total","")&amp;IF(AND(ISNUMBER($R243),$R243&gt;0,$Q243="")," · Monto pagado sin fecha","")="","OK",MID(IF($B243=""," · Falta fecha","")&amp;IF($C243=""," · Falta proveedor","")&amp;IF(AND($D243&lt;&gt;"",COUNTIF(tblProductos[SKU],$D243)=0)," · SKU no existe","")&amp;IF($D243=""," · Falta SKU","")&amp;IF(OR($G243="",NOT(ISNUMBER($G243)),$G243&lt;=0)," · Cantidad inválida","")&amp;IF($H243=""," · Falta costo unitario","")&amp;IF(AND($P243="Pagado",$Q243="")," · Pago sin fecha","")&amp;IF(AND(ISNUMBER($R243),ISNUMBER($M243),$R243&gt;N($M243)+0.01)," · Pagado &gt; total","")&amp;IF(AND(ISNUMBER($R243),$R243&gt;0,$Q243="")," · Monto pagado sin fecha",""),4,900)))</f>
        <v/>
      </c>
    </row>
    <row r="244">
      <c r="A244" s="51">
        <f>IF(COUNTA($B244,$C244,$D244,$G244,$H244)=0,"","C-"&amp;TEXT(ROW()-6,"0000"))</f>
        <v/>
      </c>
      <c r="B244" s="41" t="n"/>
      <c r="C244" s="33" t="n"/>
      <c r="D244" s="33" t="n"/>
      <c r="E244" s="51">
        <f>IF($D244="","",IFERROR(IF(INDEX(tblProductos[Nombre del producto],MATCH($D244,tblProductos[SKU],0))="","",INDEX(tblProductos[Nombre del producto],MATCH($D244,tblProductos[SKU],0))),""))</f>
        <v/>
      </c>
      <c r="F244" s="51">
        <f>IF($D244="","",IFERROR(IF(INDEX(tblProductos[Categoría],MATCH($D244,tblProductos[SKU],0))="","",INDEX(tblProductos[Categoría],MATCH($D244,tblProductos[SKU],0))),""))</f>
        <v/>
      </c>
      <c r="G244" s="34" t="n"/>
      <c r="H244" s="36" t="n"/>
      <c r="I244" s="37">
        <f>IF(OR($G244="",$H244=""),"",$G244*$H244)</f>
        <v/>
      </c>
      <c r="J244" s="36" t="n"/>
      <c r="K244" s="36" t="n"/>
      <c r="L244" s="36" t="n"/>
      <c r="M244" s="37">
        <f>IF(NOT(ISNUMBER($I244)),"",$I244+SUM($J244:$L244))</f>
        <v/>
      </c>
      <c r="N244" s="37">
        <f>IF(OR(NOT(ISNUMBER($M244)),NOT(ISNUMBER($G244)),$G244&lt;=0),"",$M244/$G244)</f>
        <v/>
      </c>
      <c r="O244" s="33" t="n"/>
      <c r="P244" s="33" t="n"/>
      <c r="Q244" s="41" t="n"/>
      <c r="R244" s="36" t="n"/>
      <c r="S244" s="37">
        <f>IF(NOT(ISNUMBER($M244)),"",$M244-IF(ISNUMBER($R244),$R244,0))</f>
        <v/>
      </c>
      <c r="T244" s="33" t="n"/>
      <c r="U244" s="51">
        <f>IF(COUNTA($B244,$C244,$D244,$G244,$H244)=0,"",IF(IF($B244=""," · Falta fecha","")&amp;IF($C244=""," · Falta proveedor","")&amp;IF(AND($D244&lt;&gt;"",COUNTIF(tblProductos[SKU],$D244)=0)," · SKU no existe","")&amp;IF($D244=""," · Falta SKU","")&amp;IF(OR($G244="",NOT(ISNUMBER($G244)),$G244&lt;=0)," · Cantidad inválida","")&amp;IF($H244=""," · Falta costo unitario","")&amp;IF(AND($P244="Pagado",$Q244="")," · Pago sin fecha","")&amp;IF(AND(ISNUMBER($R244),ISNUMBER($M244),$R244&gt;N($M244)+0.01)," · Pagado &gt; total","")&amp;IF(AND(ISNUMBER($R244),$R244&gt;0,$Q244="")," · Monto pagado sin fecha","")="","OK",MID(IF($B244=""," · Falta fecha","")&amp;IF($C244=""," · Falta proveedor","")&amp;IF(AND($D244&lt;&gt;"",COUNTIF(tblProductos[SKU],$D244)=0)," · SKU no existe","")&amp;IF($D244=""," · Falta SKU","")&amp;IF(OR($G244="",NOT(ISNUMBER($G244)),$G244&lt;=0)," · Cantidad inválida","")&amp;IF($H244=""," · Falta costo unitario","")&amp;IF(AND($P244="Pagado",$Q244="")," · Pago sin fecha","")&amp;IF(AND(ISNUMBER($R244),ISNUMBER($M244),$R244&gt;N($M244)+0.01)," · Pagado &gt; total","")&amp;IF(AND(ISNUMBER($R244),$R244&gt;0,$Q244="")," · Monto pagado sin fecha",""),4,900)))</f>
        <v/>
      </c>
    </row>
    <row r="245">
      <c r="A245" s="51">
        <f>IF(COUNTA($B245,$C245,$D245,$G245,$H245)=0,"","C-"&amp;TEXT(ROW()-6,"0000"))</f>
        <v/>
      </c>
      <c r="B245" s="41" t="n"/>
      <c r="C245" s="33" t="n"/>
      <c r="D245" s="33" t="n"/>
      <c r="E245" s="51">
        <f>IF($D245="","",IFERROR(IF(INDEX(tblProductos[Nombre del producto],MATCH($D245,tblProductos[SKU],0))="","",INDEX(tblProductos[Nombre del producto],MATCH($D245,tblProductos[SKU],0))),""))</f>
        <v/>
      </c>
      <c r="F245" s="51">
        <f>IF($D245="","",IFERROR(IF(INDEX(tblProductos[Categoría],MATCH($D245,tblProductos[SKU],0))="","",INDEX(tblProductos[Categoría],MATCH($D245,tblProductos[SKU],0))),""))</f>
        <v/>
      </c>
      <c r="G245" s="34" t="n"/>
      <c r="H245" s="36" t="n"/>
      <c r="I245" s="37">
        <f>IF(OR($G245="",$H245=""),"",$G245*$H245)</f>
        <v/>
      </c>
      <c r="J245" s="36" t="n"/>
      <c r="K245" s="36" t="n"/>
      <c r="L245" s="36" t="n"/>
      <c r="M245" s="37">
        <f>IF(NOT(ISNUMBER($I245)),"",$I245+SUM($J245:$L245))</f>
        <v/>
      </c>
      <c r="N245" s="37">
        <f>IF(OR(NOT(ISNUMBER($M245)),NOT(ISNUMBER($G245)),$G245&lt;=0),"",$M245/$G245)</f>
        <v/>
      </c>
      <c r="O245" s="33" t="n"/>
      <c r="P245" s="33" t="n"/>
      <c r="Q245" s="41" t="n"/>
      <c r="R245" s="36" t="n"/>
      <c r="S245" s="37">
        <f>IF(NOT(ISNUMBER($M245)),"",$M245-IF(ISNUMBER($R245),$R245,0))</f>
        <v/>
      </c>
      <c r="T245" s="33" t="n"/>
      <c r="U245" s="51">
        <f>IF(COUNTA($B245,$C245,$D245,$G245,$H245)=0,"",IF(IF($B245=""," · Falta fecha","")&amp;IF($C245=""," · Falta proveedor","")&amp;IF(AND($D245&lt;&gt;"",COUNTIF(tblProductos[SKU],$D245)=0)," · SKU no existe","")&amp;IF($D245=""," · Falta SKU","")&amp;IF(OR($G245="",NOT(ISNUMBER($G245)),$G245&lt;=0)," · Cantidad inválida","")&amp;IF($H245=""," · Falta costo unitario","")&amp;IF(AND($P245="Pagado",$Q245="")," · Pago sin fecha","")&amp;IF(AND(ISNUMBER($R245),ISNUMBER($M245),$R245&gt;N($M245)+0.01)," · Pagado &gt; total","")&amp;IF(AND(ISNUMBER($R245),$R245&gt;0,$Q245="")," · Monto pagado sin fecha","")="","OK",MID(IF($B245=""," · Falta fecha","")&amp;IF($C245=""," · Falta proveedor","")&amp;IF(AND($D245&lt;&gt;"",COUNTIF(tblProductos[SKU],$D245)=0)," · SKU no existe","")&amp;IF($D245=""," · Falta SKU","")&amp;IF(OR($G245="",NOT(ISNUMBER($G245)),$G245&lt;=0)," · Cantidad inválida","")&amp;IF($H245=""," · Falta costo unitario","")&amp;IF(AND($P245="Pagado",$Q245="")," · Pago sin fecha","")&amp;IF(AND(ISNUMBER($R245),ISNUMBER($M245),$R245&gt;N($M245)+0.01)," · Pagado &gt; total","")&amp;IF(AND(ISNUMBER($R245),$R245&gt;0,$Q245="")," · Monto pagado sin fecha",""),4,900)))</f>
        <v/>
      </c>
    </row>
    <row r="246">
      <c r="A246" s="51">
        <f>IF(COUNTA($B246,$C246,$D246,$G246,$H246)=0,"","C-"&amp;TEXT(ROW()-6,"0000"))</f>
        <v/>
      </c>
      <c r="B246" s="41" t="n"/>
      <c r="C246" s="33" t="n"/>
      <c r="D246" s="33" t="n"/>
      <c r="E246" s="51">
        <f>IF($D246="","",IFERROR(IF(INDEX(tblProductos[Nombre del producto],MATCH($D246,tblProductos[SKU],0))="","",INDEX(tblProductos[Nombre del producto],MATCH($D246,tblProductos[SKU],0))),""))</f>
        <v/>
      </c>
      <c r="F246" s="51">
        <f>IF($D246="","",IFERROR(IF(INDEX(tblProductos[Categoría],MATCH($D246,tblProductos[SKU],0))="","",INDEX(tblProductos[Categoría],MATCH($D246,tblProductos[SKU],0))),""))</f>
        <v/>
      </c>
      <c r="G246" s="34" t="n"/>
      <c r="H246" s="36" t="n"/>
      <c r="I246" s="37">
        <f>IF(OR($G246="",$H246=""),"",$G246*$H246)</f>
        <v/>
      </c>
      <c r="J246" s="36" t="n"/>
      <c r="K246" s="36" t="n"/>
      <c r="L246" s="36" t="n"/>
      <c r="M246" s="37">
        <f>IF(NOT(ISNUMBER($I246)),"",$I246+SUM($J246:$L246))</f>
        <v/>
      </c>
      <c r="N246" s="37">
        <f>IF(OR(NOT(ISNUMBER($M246)),NOT(ISNUMBER($G246)),$G246&lt;=0),"",$M246/$G246)</f>
        <v/>
      </c>
      <c r="O246" s="33" t="n"/>
      <c r="P246" s="33" t="n"/>
      <c r="Q246" s="41" t="n"/>
      <c r="R246" s="36" t="n"/>
      <c r="S246" s="37">
        <f>IF(NOT(ISNUMBER($M246)),"",$M246-IF(ISNUMBER($R246),$R246,0))</f>
        <v/>
      </c>
      <c r="T246" s="33" t="n"/>
      <c r="U246" s="51">
        <f>IF(COUNTA($B246,$C246,$D246,$G246,$H246)=0,"",IF(IF($B246=""," · Falta fecha","")&amp;IF($C246=""," · Falta proveedor","")&amp;IF(AND($D246&lt;&gt;"",COUNTIF(tblProductos[SKU],$D246)=0)," · SKU no existe","")&amp;IF($D246=""," · Falta SKU","")&amp;IF(OR($G246="",NOT(ISNUMBER($G246)),$G246&lt;=0)," · Cantidad inválida","")&amp;IF($H246=""," · Falta costo unitario","")&amp;IF(AND($P246="Pagado",$Q246="")," · Pago sin fecha","")&amp;IF(AND(ISNUMBER($R246),ISNUMBER($M246),$R246&gt;N($M246)+0.01)," · Pagado &gt; total","")&amp;IF(AND(ISNUMBER($R246),$R246&gt;0,$Q246="")," · Monto pagado sin fecha","")="","OK",MID(IF($B246=""," · Falta fecha","")&amp;IF($C246=""," · Falta proveedor","")&amp;IF(AND($D246&lt;&gt;"",COUNTIF(tblProductos[SKU],$D246)=0)," · SKU no existe","")&amp;IF($D246=""," · Falta SKU","")&amp;IF(OR($G246="",NOT(ISNUMBER($G246)),$G246&lt;=0)," · Cantidad inválida","")&amp;IF($H246=""," · Falta costo unitario","")&amp;IF(AND($P246="Pagado",$Q246="")," · Pago sin fecha","")&amp;IF(AND(ISNUMBER($R246),ISNUMBER($M246),$R246&gt;N($M246)+0.01)," · Pagado &gt; total","")&amp;IF(AND(ISNUMBER($R246),$R246&gt;0,$Q246="")," · Monto pagado sin fecha",""),4,900)))</f>
        <v/>
      </c>
    </row>
    <row r="247">
      <c r="A247" s="51">
        <f>IF(COUNTA($B247,$C247,$D247,$G247,$H247)=0,"","C-"&amp;TEXT(ROW()-6,"0000"))</f>
        <v/>
      </c>
      <c r="B247" s="41" t="n"/>
      <c r="C247" s="33" t="n"/>
      <c r="D247" s="33" t="n"/>
      <c r="E247" s="51">
        <f>IF($D247="","",IFERROR(IF(INDEX(tblProductos[Nombre del producto],MATCH($D247,tblProductos[SKU],0))="","",INDEX(tblProductos[Nombre del producto],MATCH($D247,tblProductos[SKU],0))),""))</f>
        <v/>
      </c>
      <c r="F247" s="51">
        <f>IF($D247="","",IFERROR(IF(INDEX(tblProductos[Categoría],MATCH($D247,tblProductos[SKU],0))="","",INDEX(tblProductos[Categoría],MATCH($D247,tblProductos[SKU],0))),""))</f>
        <v/>
      </c>
      <c r="G247" s="34" t="n"/>
      <c r="H247" s="36" t="n"/>
      <c r="I247" s="37">
        <f>IF(OR($G247="",$H247=""),"",$G247*$H247)</f>
        <v/>
      </c>
      <c r="J247" s="36" t="n"/>
      <c r="K247" s="36" t="n"/>
      <c r="L247" s="36" t="n"/>
      <c r="M247" s="37">
        <f>IF(NOT(ISNUMBER($I247)),"",$I247+SUM($J247:$L247))</f>
        <v/>
      </c>
      <c r="N247" s="37">
        <f>IF(OR(NOT(ISNUMBER($M247)),NOT(ISNUMBER($G247)),$G247&lt;=0),"",$M247/$G247)</f>
        <v/>
      </c>
      <c r="O247" s="33" t="n"/>
      <c r="P247" s="33" t="n"/>
      <c r="Q247" s="41" t="n"/>
      <c r="R247" s="36" t="n"/>
      <c r="S247" s="37">
        <f>IF(NOT(ISNUMBER($M247)),"",$M247-IF(ISNUMBER($R247),$R247,0))</f>
        <v/>
      </c>
      <c r="T247" s="33" t="n"/>
      <c r="U247" s="51">
        <f>IF(COUNTA($B247,$C247,$D247,$G247,$H247)=0,"",IF(IF($B247=""," · Falta fecha","")&amp;IF($C247=""," · Falta proveedor","")&amp;IF(AND($D247&lt;&gt;"",COUNTIF(tblProductos[SKU],$D247)=0)," · SKU no existe","")&amp;IF($D247=""," · Falta SKU","")&amp;IF(OR($G247="",NOT(ISNUMBER($G247)),$G247&lt;=0)," · Cantidad inválida","")&amp;IF($H247=""," · Falta costo unitario","")&amp;IF(AND($P247="Pagado",$Q247="")," · Pago sin fecha","")&amp;IF(AND(ISNUMBER($R247),ISNUMBER($M247),$R247&gt;N($M247)+0.01)," · Pagado &gt; total","")&amp;IF(AND(ISNUMBER($R247),$R247&gt;0,$Q247="")," · Monto pagado sin fecha","")="","OK",MID(IF($B247=""," · Falta fecha","")&amp;IF($C247=""," · Falta proveedor","")&amp;IF(AND($D247&lt;&gt;"",COUNTIF(tblProductos[SKU],$D247)=0)," · SKU no existe","")&amp;IF($D247=""," · Falta SKU","")&amp;IF(OR($G247="",NOT(ISNUMBER($G247)),$G247&lt;=0)," · Cantidad inválida","")&amp;IF($H247=""," · Falta costo unitario","")&amp;IF(AND($P247="Pagado",$Q247="")," · Pago sin fecha","")&amp;IF(AND(ISNUMBER($R247),ISNUMBER($M247),$R247&gt;N($M247)+0.01)," · Pagado &gt; total","")&amp;IF(AND(ISNUMBER($R247),$R247&gt;0,$Q247="")," · Monto pagado sin fecha",""),4,900)))</f>
        <v/>
      </c>
    </row>
    <row r="248">
      <c r="A248" s="51">
        <f>IF(COUNTA($B248,$C248,$D248,$G248,$H248)=0,"","C-"&amp;TEXT(ROW()-6,"0000"))</f>
        <v/>
      </c>
      <c r="B248" s="41" t="n"/>
      <c r="C248" s="33" t="n"/>
      <c r="D248" s="33" t="n"/>
      <c r="E248" s="51">
        <f>IF($D248="","",IFERROR(IF(INDEX(tblProductos[Nombre del producto],MATCH($D248,tblProductos[SKU],0))="","",INDEX(tblProductos[Nombre del producto],MATCH($D248,tblProductos[SKU],0))),""))</f>
        <v/>
      </c>
      <c r="F248" s="51">
        <f>IF($D248="","",IFERROR(IF(INDEX(tblProductos[Categoría],MATCH($D248,tblProductos[SKU],0))="","",INDEX(tblProductos[Categoría],MATCH($D248,tblProductos[SKU],0))),""))</f>
        <v/>
      </c>
      <c r="G248" s="34" t="n"/>
      <c r="H248" s="36" t="n"/>
      <c r="I248" s="37">
        <f>IF(OR($G248="",$H248=""),"",$G248*$H248)</f>
        <v/>
      </c>
      <c r="J248" s="36" t="n"/>
      <c r="K248" s="36" t="n"/>
      <c r="L248" s="36" t="n"/>
      <c r="M248" s="37">
        <f>IF(NOT(ISNUMBER($I248)),"",$I248+SUM($J248:$L248))</f>
        <v/>
      </c>
      <c r="N248" s="37">
        <f>IF(OR(NOT(ISNUMBER($M248)),NOT(ISNUMBER($G248)),$G248&lt;=0),"",$M248/$G248)</f>
        <v/>
      </c>
      <c r="O248" s="33" t="n"/>
      <c r="P248" s="33" t="n"/>
      <c r="Q248" s="41" t="n"/>
      <c r="R248" s="36" t="n"/>
      <c r="S248" s="37">
        <f>IF(NOT(ISNUMBER($M248)),"",$M248-IF(ISNUMBER($R248),$R248,0))</f>
        <v/>
      </c>
      <c r="T248" s="33" t="n"/>
      <c r="U248" s="51">
        <f>IF(COUNTA($B248,$C248,$D248,$G248,$H248)=0,"",IF(IF($B248=""," · Falta fecha","")&amp;IF($C248=""," · Falta proveedor","")&amp;IF(AND($D248&lt;&gt;"",COUNTIF(tblProductos[SKU],$D248)=0)," · SKU no existe","")&amp;IF($D248=""," · Falta SKU","")&amp;IF(OR($G248="",NOT(ISNUMBER($G248)),$G248&lt;=0)," · Cantidad inválida","")&amp;IF($H248=""," · Falta costo unitario","")&amp;IF(AND($P248="Pagado",$Q248="")," · Pago sin fecha","")&amp;IF(AND(ISNUMBER($R248),ISNUMBER($M248),$R248&gt;N($M248)+0.01)," · Pagado &gt; total","")&amp;IF(AND(ISNUMBER($R248),$R248&gt;0,$Q248="")," · Monto pagado sin fecha","")="","OK",MID(IF($B248=""," · Falta fecha","")&amp;IF($C248=""," · Falta proveedor","")&amp;IF(AND($D248&lt;&gt;"",COUNTIF(tblProductos[SKU],$D248)=0)," · SKU no existe","")&amp;IF($D248=""," · Falta SKU","")&amp;IF(OR($G248="",NOT(ISNUMBER($G248)),$G248&lt;=0)," · Cantidad inválida","")&amp;IF($H248=""," · Falta costo unitario","")&amp;IF(AND($P248="Pagado",$Q248="")," · Pago sin fecha","")&amp;IF(AND(ISNUMBER($R248),ISNUMBER($M248),$R248&gt;N($M248)+0.01)," · Pagado &gt; total","")&amp;IF(AND(ISNUMBER($R248),$R248&gt;0,$Q248="")," · Monto pagado sin fecha",""),4,900)))</f>
        <v/>
      </c>
    </row>
    <row r="249">
      <c r="A249" s="51">
        <f>IF(COUNTA($B249,$C249,$D249,$G249,$H249)=0,"","C-"&amp;TEXT(ROW()-6,"0000"))</f>
        <v/>
      </c>
      <c r="B249" s="41" t="n"/>
      <c r="C249" s="33" t="n"/>
      <c r="D249" s="33" t="n"/>
      <c r="E249" s="51">
        <f>IF($D249="","",IFERROR(IF(INDEX(tblProductos[Nombre del producto],MATCH($D249,tblProductos[SKU],0))="","",INDEX(tblProductos[Nombre del producto],MATCH($D249,tblProductos[SKU],0))),""))</f>
        <v/>
      </c>
      <c r="F249" s="51">
        <f>IF($D249="","",IFERROR(IF(INDEX(tblProductos[Categoría],MATCH($D249,tblProductos[SKU],0))="","",INDEX(tblProductos[Categoría],MATCH($D249,tblProductos[SKU],0))),""))</f>
        <v/>
      </c>
      <c r="G249" s="34" t="n"/>
      <c r="H249" s="36" t="n"/>
      <c r="I249" s="37">
        <f>IF(OR($G249="",$H249=""),"",$G249*$H249)</f>
        <v/>
      </c>
      <c r="J249" s="36" t="n"/>
      <c r="K249" s="36" t="n"/>
      <c r="L249" s="36" t="n"/>
      <c r="M249" s="37">
        <f>IF(NOT(ISNUMBER($I249)),"",$I249+SUM($J249:$L249))</f>
        <v/>
      </c>
      <c r="N249" s="37">
        <f>IF(OR(NOT(ISNUMBER($M249)),NOT(ISNUMBER($G249)),$G249&lt;=0),"",$M249/$G249)</f>
        <v/>
      </c>
      <c r="O249" s="33" t="n"/>
      <c r="P249" s="33" t="n"/>
      <c r="Q249" s="41" t="n"/>
      <c r="R249" s="36" t="n"/>
      <c r="S249" s="37">
        <f>IF(NOT(ISNUMBER($M249)),"",$M249-IF(ISNUMBER($R249),$R249,0))</f>
        <v/>
      </c>
      <c r="T249" s="33" t="n"/>
      <c r="U249" s="51">
        <f>IF(COUNTA($B249,$C249,$D249,$G249,$H249)=0,"",IF(IF($B249=""," · Falta fecha","")&amp;IF($C249=""," · Falta proveedor","")&amp;IF(AND($D249&lt;&gt;"",COUNTIF(tblProductos[SKU],$D249)=0)," · SKU no existe","")&amp;IF($D249=""," · Falta SKU","")&amp;IF(OR($G249="",NOT(ISNUMBER($G249)),$G249&lt;=0)," · Cantidad inválida","")&amp;IF($H249=""," · Falta costo unitario","")&amp;IF(AND($P249="Pagado",$Q249="")," · Pago sin fecha","")&amp;IF(AND(ISNUMBER($R249),ISNUMBER($M249),$R249&gt;N($M249)+0.01)," · Pagado &gt; total","")&amp;IF(AND(ISNUMBER($R249),$R249&gt;0,$Q249="")," · Monto pagado sin fecha","")="","OK",MID(IF($B249=""," · Falta fecha","")&amp;IF($C249=""," · Falta proveedor","")&amp;IF(AND($D249&lt;&gt;"",COUNTIF(tblProductos[SKU],$D249)=0)," · SKU no existe","")&amp;IF($D249=""," · Falta SKU","")&amp;IF(OR($G249="",NOT(ISNUMBER($G249)),$G249&lt;=0)," · Cantidad inválida","")&amp;IF($H249=""," · Falta costo unitario","")&amp;IF(AND($P249="Pagado",$Q249="")," · Pago sin fecha","")&amp;IF(AND(ISNUMBER($R249),ISNUMBER($M249),$R249&gt;N($M249)+0.01)," · Pagado &gt; total","")&amp;IF(AND(ISNUMBER($R249),$R249&gt;0,$Q249="")," · Monto pagado sin fecha",""),4,900)))</f>
        <v/>
      </c>
    </row>
    <row r="250">
      <c r="A250" s="51">
        <f>IF(COUNTA($B250,$C250,$D250,$G250,$H250)=0,"","C-"&amp;TEXT(ROW()-6,"0000"))</f>
        <v/>
      </c>
      <c r="B250" s="41" t="n"/>
      <c r="C250" s="33" t="n"/>
      <c r="D250" s="33" t="n"/>
      <c r="E250" s="51">
        <f>IF($D250="","",IFERROR(IF(INDEX(tblProductos[Nombre del producto],MATCH($D250,tblProductos[SKU],0))="","",INDEX(tblProductos[Nombre del producto],MATCH($D250,tblProductos[SKU],0))),""))</f>
        <v/>
      </c>
      <c r="F250" s="51">
        <f>IF($D250="","",IFERROR(IF(INDEX(tblProductos[Categoría],MATCH($D250,tblProductos[SKU],0))="","",INDEX(tblProductos[Categoría],MATCH($D250,tblProductos[SKU],0))),""))</f>
        <v/>
      </c>
      <c r="G250" s="34" t="n"/>
      <c r="H250" s="36" t="n"/>
      <c r="I250" s="37">
        <f>IF(OR($G250="",$H250=""),"",$G250*$H250)</f>
        <v/>
      </c>
      <c r="J250" s="36" t="n"/>
      <c r="K250" s="36" t="n"/>
      <c r="L250" s="36" t="n"/>
      <c r="M250" s="37">
        <f>IF(NOT(ISNUMBER($I250)),"",$I250+SUM($J250:$L250))</f>
        <v/>
      </c>
      <c r="N250" s="37">
        <f>IF(OR(NOT(ISNUMBER($M250)),NOT(ISNUMBER($G250)),$G250&lt;=0),"",$M250/$G250)</f>
        <v/>
      </c>
      <c r="O250" s="33" t="n"/>
      <c r="P250" s="33" t="n"/>
      <c r="Q250" s="41" t="n"/>
      <c r="R250" s="36" t="n"/>
      <c r="S250" s="37">
        <f>IF(NOT(ISNUMBER($M250)),"",$M250-IF(ISNUMBER($R250),$R250,0))</f>
        <v/>
      </c>
      <c r="T250" s="33" t="n"/>
      <c r="U250" s="51">
        <f>IF(COUNTA($B250,$C250,$D250,$G250,$H250)=0,"",IF(IF($B250=""," · Falta fecha","")&amp;IF($C250=""," · Falta proveedor","")&amp;IF(AND($D250&lt;&gt;"",COUNTIF(tblProductos[SKU],$D250)=0)," · SKU no existe","")&amp;IF($D250=""," · Falta SKU","")&amp;IF(OR($G250="",NOT(ISNUMBER($G250)),$G250&lt;=0)," · Cantidad inválida","")&amp;IF($H250=""," · Falta costo unitario","")&amp;IF(AND($P250="Pagado",$Q250="")," · Pago sin fecha","")&amp;IF(AND(ISNUMBER($R250),ISNUMBER($M250),$R250&gt;N($M250)+0.01)," · Pagado &gt; total","")&amp;IF(AND(ISNUMBER($R250),$R250&gt;0,$Q250="")," · Monto pagado sin fecha","")="","OK",MID(IF($B250=""," · Falta fecha","")&amp;IF($C250=""," · Falta proveedor","")&amp;IF(AND($D250&lt;&gt;"",COUNTIF(tblProductos[SKU],$D250)=0)," · SKU no existe","")&amp;IF($D250=""," · Falta SKU","")&amp;IF(OR($G250="",NOT(ISNUMBER($G250)),$G250&lt;=0)," · Cantidad inválida","")&amp;IF($H250=""," · Falta costo unitario","")&amp;IF(AND($P250="Pagado",$Q250="")," · Pago sin fecha","")&amp;IF(AND(ISNUMBER($R250),ISNUMBER($M250),$R250&gt;N($M250)+0.01)," · Pagado &gt; total","")&amp;IF(AND(ISNUMBER($R250),$R250&gt;0,$Q250="")," · Monto pagado sin fecha",""),4,900)))</f>
        <v/>
      </c>
    </row>
    <row r="251">
      <c r="A251" s="51">
        <f>IF(COUNTA($B251,$C251,$D251,$G251,$H251)=0,"","C-"&amp;TEXT(ROW()-6,"0000"))</f>
        <v/>
      </c>
      <c r="B251" s="41" t="n"/>
      <c r="C251" s="33" t="n"/>
      <c r="D251" s="33" t="n"/>
      <c r="E251" s="51">
        <f>IF($D251="","",IFERROR(IF(INDEX(tblProductos[Nombre del producto],MATCH($D251,tblProductos[SKU],0))="","",INDEX(tblProductos[Nombre del producto],MATCH($D251,tblProductos[SKU],0))),""))</f>
        <v/>
      </c>
      <c r="F251" s="51">
        <f>IF($D251="","",IFERROR(IF(INDEX(tblProductos[Categoría],MATCH($D251,tblProductos[SKU],0))="","",INDEX(tblProductos[Categoría],MATCH($D251,tblProductos[SKU],0))),""))</f>
        <v/>
      </c>
      <c r="G251" s="34" t="n"/>
      <c r="H251" s="36" t="n"/>
      <c r="I251" s="37">
        <f>IF(OR($G251="",$H251=""),"",$G251*$H251)</f>
        <v/>
      </c>
      <c r="J251" s="36" t="n"/>
      <c r="K251" s="36" t="n"/>
      <c r="L251" s="36" t="n"/>
      <c r="M251" s="37">
        <f>IF(NOT(ISNUMBER($I251)),"",$I251+SUM($J251:$L251))</f>
        <v/>
      </c>
      <c r="N251" s="37">
        <f>IF(OR(NOT(ISNUMBER($M251)),NOT(ISNUMBER($G251)),$G251&lt;=0),"",$M251/$G251)</f>
        <v/>
      </c>
      <c r="O251" s="33" t="n"/>
      <c r="P251" s="33" t="n"/>
      <c r="Q251" s="41" t="n"/>
      <c r="R251" s="36" t="n"/>
      <c r="S251" s="37">
        <f>IF(NOT(ISNUMBER($M251)),"",$M251-IF(ISNUMBER($R251),$R251,0))</f>
        <v/>
      </c>
      <c r="T251" s="33" t="n"/>
      <c r="U251" s="51">
        <f>IF(COUNTA($B251,$C251,$D251,$G251,$H251)=0,"",IF(IF($B251=""," · Falta fecha","")&amp;IF($C251=""," · Falta proveedor","")&amp;IF(AND($D251&lt;&gt;"",COUNTIF(tblProductos[SKU],$D251)=0)," · SKU no existe","")&amp;IF($D251=""," · Falta SKU","")&amp;IF(OR($G251="",NOT(ISNUMBER($G251)),$G251&lt;=0)," · Cantidad inválida","")&amp;IF($H251=""," · Falta costo unitario","")&amp;IF(AND($P251="Pagado",$Q251="")," · Pago sin fecha","")&amp;IF(AND(ISNUMBER($R251),ISNUMBER($M251),$R251&gt;N($M251)+0.01)," · Pagado &gt; total","")&amp;IF(AND(ISNUMBER($R251),$R251&gt;0,$Q251="")," · Monto pagado sin fecha","")="","OK",MID(IF($B251=""," · Falta fecha","")&amp;IF($C251=""," · Falta proveedor","")&amp;IF(AND($D251&lt;&gt;"",COUNTIF(tblProductos[SKU],$D251)=0)," · SKU no existe","")&amp;IF($D251=""," · Falta SKU","")&amp;IF(OR($G251="",NOT(ISNUMBER($G251)),$G251&lt;=0)," · Cantidad inválida","")&amp;IF($H251=""," · Falta costo unitario","")&amp;IF(AND($P251="Pagado",$Q251="")," · Pago sin fecha","")&amp;IF(AND(ISNUMBER($R251),ISNUMBER($M251),$R251&gt;N($M251)+0.01)," · Pagado &gt; total","")&amp;IF(AND(ISNUMBER($R251),$R251&gt;0,$Q251="")," · Monto pagado sin fecha",""),4,900)))</f>
        <v/>
      </c>
    </row>
    <row r="252">
      <c r="A252" s="51">
        <f>IF(COUNTA($B252,$C252,$D252,$G252,$H252)=0,"","C-"&amp;TEXT(ROW()-6,"0000"))</f>
        <v/>
      </c>
      <c r="B252" s="41" t="n"/>
      <c r="C252" s="33" t="n"/>
      <c r="D252" s="33" t="n"/>
      <c r="E252" s="51">
        <f>IF($D252="","",IFERROR(IF(INDEX(tblProductos[Nombre del producto],MATCH($D252,tblProductos[SKU],0))="","",INDEX(tblProductos[Nombre del producto],MATCH($D252,tblProductos[SKU],0))),""))</f>
        <v/>
      </c>
      <c r="F252" s="51">
        <f>IF($D252="","",IFERROR(IF(INDEX(tblProductos[Categoría],MATCH($D252,tblProductos[SKU],0))="","",INDEX(tblProductos[Categoría],MATCH($D252,tblProductos[SKU],0))),""))</f>
        <v/>
      </c>
      <c r="G252" s="34" t="n"/>
      <c r="H252" s="36" t="n"/>
      <c r="I252" s="37">
        <f>IF(OR($G252="",$H252=""),"",$G252*$H252)</f>
        <v/>
      </c>
      <c r="J252" s="36" t="n"/>
      <c r="K252" s="36" t="n"/>
      <c r="L252" s="36" t="n"/>
      <c r="M252" s="37">
        <f>IF(NOT(ISNUMBER($I252)),"",$I252+SUM($J252:$L252))</f>
        <v/>
      </c>
      <c r="N252" s="37">
        <f>IF(OR(NOT(ISNUMBER($M252)),NOT(ISNUMBER($G252)),$G252&lt;=0),"",$M252/$G252)</f>
        <v/>
      </c>
      <c r="O252" s="33" t="n"/>
      <c r="P252" s="33" t="n"/>
      <c r="Q252" s="41" t="n"/>
      <c r="R252" s="36" t="n"/>
      <c r="S252" s="37">
        <f>IF(NOT(ISNUMBER($M252)),"",$M252-IF(ISNUMBER($R252),$R252,0))</f>
        <v/>
      </c>
      <c r="T252" s="33" t="n"/>
      <c r="U252" s="51">
        <f>IF(COUNTA($B252,$C252,$D252,$G252,$H252)=0,"",IF(IF($B252=""," · Falta fecha","")&amp;IF($C252=""," · Falta proveedor","")&amp;IF(AND($D252&lt;&gt;"",COUNTIF(tblProductos[SKU],$D252)=0)," · SKU no existe","")&amp;IF($D252=""," · Falta SKU","")&amp;IF(OR($G252="",NOT(ISNUMBER($G252)),$G252&lt;=0)," · Cantidad inválida","")&amp;IF($H252=""," · Falta costo unitario","")&amp;IF(AND($P252="Pagado",$Q252="")," · Pago sin fecha","")&amp;IF(AND(ISNUMBER($R252),ISNUMBER($M252),$R252&gt;N($M252)+0.01)," · Pagado &gt; total","")&amp;IF(AND(ISNUMBER($R252),$R252&gt;0,$Q252="")," · Monto pagado sin fecha","")="","OK",MID(IF($B252=""," · Falta fecha","")&amp;IF($C252=""," · Falta proveedor","")&amp;IF(AND($D252&lt;&gt;"",COUNTIF(tblProductos[SKU],$D252)=0)," · SKU no existe","")&amp;IF($D252=""," · Falta SKU","")&amp;IF(OR($G252="",NOT(ISNUMBER($G252)),$G252&lt;=0)," · Cantidad inválida","")&amp;IF($H252=""," · Falta costo unitario","")&amp;IF(AND($P252="Pagado",$Q252="")," · Pago sin fecha","")&amp;IF(AND(ISNUMBER($R252),ISNUMBER($M252),$R252&gt;N($M252)+0.01)," · Pagado &gt; total","")&amp;IF(AND(ISNUMBER($R252),$R252&gt;0,$Q252="")," · Monto pagado sin fecha",""),4,900)))</f>
        <v/>
      </c>
    </row>
    <row r="253">
      <c r="A253" s="51">
        <f>IF(COUNTA($B253,$C253,$D253,$G253,$H253)=0,"","C-"&amp;TEXT(ROW()-6,"0000"))</f>
        <v/>
      </c>
      <c r="B253" s="41" t="n"/>
      <c r="C253" s="33" t="n"/>
      <c r="D253" s="33" t="n"/>
      <c r="E253" s="51">
        <f>IF($D253="","",IFERROR(IF(INDEX(tblProductos[Nombre del producto],MATCH($D253,tblProductos[SKU],0))="","",INDEX(tblProductos[Nombre del producto],MATCH($D253,tblProductos[SKU],0))),""))</f>
        <v/>
      </c>
      <c r="F253" s="51">
        <f>IF($D253="","",IFERROR(IF(INDEX(tblProductos[Categoría],MATCH($D253,tblProductos[SKU],0))="","",INDEX(tblProductos[Categoría],MATCH($D253,tblProductos[SKU],0))),""))</f>
        <v/>
      </c>
      <c r="G253" s="34" t="n"/>
      <c r="H253" s="36" t="n"/>
      <c r="I253" s="37">
        <f>IF(OR($G253="",$H253=""),"",$G253*$H253)</f>
        <v/>
      </c>
      <c r="J253" s="36" t="n"/>
      <c r="K253" s="36" t="n"/>
      <c r="L253" s="36" t="n"/>
      <c r="M253" s="37">
        <f>IF(NOT(ISNUMBER($I253)),"",$I253+SUM($J253:$L253))</f>
        <v/>
      </c>
      <c r="N253" s="37">
        <f>IF(OR(NOT(ISNUMBER($M253)),NOT(ISNUMBER($G253)),$G253&lt;=0),"",$M253/$G253)</f>
        <v/>
      </c>
      <c r="O253" s="33" t="n"/>
      <c r="P253" s="33" t="n"/>
      <c r="Q253" s="41" t="n"/>
      <c r="R253" s="36" t="n"/>
      <c r="S253" s="37">
        <f>IF(NOT(ISNUMBER($M253)),"",$M253-IF(ISNUMBER($R253),$R253,0))</f>
        <v/>
      </c>
      <c r="T253" s="33" t="n"/>
      <c r="U253" s="51">
        <f>IF(COUNTA($B253,$C253,$D253,$G253,$H253)=0,"",IF(IF($B253=""," · Falta fecha","")&amp;IF($C253=""," · Falta proveedor","")&amp;IF(AND($D253&lt;&gt;"",COUNTIF(tblProductos[SKU],$D253)=0)," · SKU no existe","")&amp;IF($D253=""," · Falta SKU","")&amp;IF(OR($G253="",NOT(ISNUMBER($G253)),$G253&lt;=0)," · Cantidad inválida","")&amp;IF($H253=""," · Falta costo unitario","")&amp;IF(AND($P253="Pagado",$Q253="")," · Pago sin fecha","")&amp;IF(AND(ISNUMBER($R253),ISNUMBER($M253),$R253&gt;N($M253)+0.01)," · Pagado &gt; total","")&amp;IF(AND(ISNUMBER($R253),$R253&gt;0,$Q253="")," · Monto pagado sin fecha","")="","OK",MID(IF($B253=""," · Falta fecha","")&amp;IF($C253=""," · Falta proveedor","")&amp;IF(AND($D253&lt;&gt;"",COUNTIF(tblProductos[SKU],$D253)=0)," · SKU no existe","")&amp;IF($D253=""," · Falta SKU","")&amp;IF(OR($G253="",NOT(ISNUMBER($G253)),$G253&lt;=0)," · Cantidad inválida","")&amp;IF($H253=""," · Falta costo unitario","")&amp;IF(AND($P253="Pagado",$Q253="")," · Pago sin fecha","")&amp;IF(AND(ISNUMBER($R253),ISNUMBER($M253),$R253&gt;N($M253)+0.01)," · Pagado &gt; total","")&amp;IF(AND(ISNUMBER($R253),$R253&gt;0,$Q253="")," · Monto pagado sin fecha",""),4,900)))</f>
        <v/>
      </c>
    </row>
    <row r="254">
      <c r="A254" s="51">
        <f>IF(COUNTA($B254,$C254,$D254,$G254,$H254)=0,"","C-"&amp;TEXT(ROW()-6,"0000"))</f>
        <v/>
      </c>
      <c r="B254" s="41" t="n"/>
      <c r="C254" s="33" t="n"/>
      <c r="D254" s="33" t="n"/>
      <c r="E254" s="51">
        <f>IF($D254="","",IFERROR(IF(INDEX(tblProductos[Nombre del producto],MATCH($D254,tblProductos[SKU],0))="","",INDEX(tblProductos[Nombre del producto],MATCH($D254,tblProductos[SKU],0))),""))</f>
        <v/>
      </c>
      <c r="F254" s="51">
        <f>IF($D254="","",IFERROR(IF(INDEX(tblProductos[Categoría],MATCH($D254,tblProductos[SKU],0))="","",INDEX(tblProductos[Categoría],MATCH($D254,tblProductos[SKU],0))),""))</f>
        <v/>
      </c>
      <c r="G254" s="34" t="n"/>
      <c r="H254" s="36" t="n"/>
      <c r="I254" s="37">
        <f>IF(OR($G254="",$H254=""),"",$G254*$H254)</f>
        <v/>
      </c>
      <c r="J254" s="36" t="n"/>
      <c r="K254" s="36" t="n"/>
      <c r="L254" s="36" t="n"/>
      <c r="M254" s="37">
        <f>IF(NOT(ISNUMBER($I254)),"",$I254+SUM($J254:$L254))</f>
        <v/>
      </c>
      <c r="N254" s="37">
        <f>IF(OR(NOT(ISNUMBER($M254)),NOT(ISNUMBER($G254)),$G254&lt;=0),"",$M254/$G254)</f>
        <v/>
      </c>
      <c r="O254" s="33" t="n"/>
      <c r="P254" s="33" t="n"/>
      <c r="Q254" s="41" t="n"/>
      <c r="R254" s="36" t="n"/>
      <c r="S254" s="37">
        <f>IF(NOT(ISNUMBER($M254)),"",$M254-IF(ISNUMBER($R254),$R254,0))</f>
        <v/>
      </c>
      <c r="T254" s="33" t="n"/>
      <c r="U254" s="51">
        <f>IF(COUNTA($B254,$C254,$D254,$G254,$H254)=0,"",IF(IF($B254=""," · Falta fecha","")&amp;IF($C254=""," · Falta proveedor","")&amp;IF(AND($D254&lt;&gt;"",COUNTIF(tblProductos[SKU],$D254)=0)," · SKU no existe","")&amp;IF($D254=""," · Falta SKU","")&amp;IF(OR($G254="",NOT(ISNUMBER($G254)),$G254&lt;=0)," · Cantidad inválida","")&amp;IF($H254=""," · Falta costo unitario","")&amp;IF(AND($P254="Pagado",$Q254="")," · Pago sin fecha","")&amp;IF(AND(ISNUMBER($R254),ISNUMBER($M254),$R254&gt;N($M254)+0.01)," · Pagado &gt; total","")&amp;IF(AND(ISNUMBER($R254),$R254&gt;0,$Q254="")," · Monto pagado sin fecha","")="","OK",MID(IF($B254=""," · Falta fecha","")&amp;IF($C254=""," · Falta proveedor","")&amp;IF(AND($D254&lt;&gt;"",COUNTIF(tblProductos[SKU],$D254)=0)," · SKU no existe","")&amp;IF($D254=""," · Falta SKU","")&amp;IF(OR($G254="",NOT(ISNUMBER($G254)),$G254&lt;=0)," · Cantidad inválida","")&amp;IF($H254=""," · Falta costo unitario","")&amp;IF(AND($P254="Pagado",$Q254="")," · Pago sin fecha","")&amp;IF(AND(ISNUMBER($R254),ISNUMBER($M254),$R254&gt;N($M254)+0.01)," · Pagado &gt; total","")&amp;IF(AND(ISNUMBER($R254),$R254&gt;0,$Q254="")," · Monto pagado sin fecha",""),4,900)))</f>
        <v/>
      </c>
    </row>
    <row r="255">
      <c r="A255" s="51">
        <f>IF(COUNTA($B255,$C255,$D255,$G255,$H255)=0,"","C-"&amp;TEXT(ROW()-6,"0000"))</f>
        <v/>
      </c>
      <c r="B255" s="41" t="n"/>
      <c r="C255" s="33" t="n"/>
      <c r="D255" s="33" t="n"/>
      <c r="E255" s="51">
        <f>IF($D255="","",IFERROR(IF(INDEX(tblProductos[Nombre del producto],MATCH($D255,tblProductos[SKU],0))="","",INDEX(tblProductos[Nombre del producto],MATCH($D255,tblProductos[SKU],0))),""))</f>
        <v/>
      </c>
      <c r="F255" s="51">
        <f>IF($D255="","",IFERROR(IF(INDEX(tblProductos[Categoría],MATCH($D255,tblProductos[SKU],0))="","",INDEX(tblProductos[Categoría],MATCH($D255,tblProductos[SKU],0))),""))</f>
        <v/>
      </c>
      <c r="G255" s="34" t="n"/>
      <c r="H255" s="36" t="n"/>
      <c r="I255" s="37">
        <f>IF(OR($G255="",$H255=""),"",$G255*$H255)</f>
        <v/>
      </c>
      <c r="J255" s="36" t="n"/>
      <c r="K255" s="36" t="n"/>
      <c r="L255" s="36" t="n"/>
      <c r="M255" s="37">
        <f>IF(NOT(ISNUMBER($I255)),"",$I255+SUM($J255:$L255))</f>
        <v/>
      </c>
      <c r="N255" s="37">
        <f>IF(OR(NOT(ISNUMBER($M255)),NOT(ISNUMBER($G255)),$G255&lt;=0),"",$M255/$G255)</f>
        <v/>
      </c>
      <c r="O255" s="33" t="n"/>
      <c r="P255" s="33" t="n"/>
      <c r="Q255" s="41" t="n"/>
      <c r="R255" s="36" t="n"/>
      <c r="S255" s="37">
        <f>IF(NOT(ISNUMBER($M255)),"",$M255-IF(ISNUMBER($R255),$R255,0))</f>
        <v/>
      </c>
      <c r="T255" s="33" t="n"/>
      <c r="U255" s="51">
        <f>IF(COUNTA($B255,$C255,$D255,$G255,$H255)=0,"",IF(IF($B255=""," · Falta fecha","")&amp;IF($C255=""," · Falta proveedor","")&amp;IF(AND($D255&lt;&gt;"",COUNTIF(tblProductos[SKU],$D255)=0)," · SKU no existe","")&amp;IF($D255=""," · Falta SKU","")&amp;IF(OR($G255="",NOT(ISNUMBER($G255)),$G255&lt;=0)," · Cantidad inválida","")&amp;IF($H255=""," · Falta costo unitario","")&amp;IF(AND($P255="Pagado",$Q255="")," · Pago sin fecha","")&amp;IF(AND(ISNUMBER($R255),ISNUMBER($M255),$R255&gt;N($M255)+0.01)," · Pagado &gt; total","")&amp;IF(AND(ISNUMBER($R255),$R255&gt;0,$Q255="")," · Monto pagado sin fecha","")="","OK",MID(IF($B255=""," · Falta fecha","")&amp;IF($C255=""," · Falta proveedor","")&amp;IF(AND($D255&lt;&gt;"",COUNTIF(tblProductos[SKU],$D255)=0)," · SKU no existe","")&amp;IF($D255=""," · Falta SKU","")&amp;IF(OR($G255="",NOT(ISNUMBER($G255)),$G255&lt;=0)," · Cantidad inválida","")&amp;IF($H255=""," · Falta costo unitario","")&amp;IF(AND($P255="Pagado",$Q255="")," · Pago sin fecha","")&amp;IF(AND(ISNUMBER($R255),ISNUMBER($M255),$R255&gt;N($M255)+0.01)," · Pagado &gt; total","")&amp;IF(AND(ISNUMBER($R255),$R255&gt;0,$Q255="")," · Monto pagado sin fecha",""),4,900)))</f>
        <v/>
      </c>
    </row>
    <row r="256">
      <c r="A256" s="51">
        <f>IF(COUNTA($B256,$C256,$D256,$G256,$H256)=0,"","C-"&amp;TEXT(ROW()-6,"0000"))</f>
        <v/>
      </c>
      <c r="B256" s="41" t="n"/>
      <c r="C256" s="33" t="n"/>
      <c r="D256" s="33" t="n"/>
      <c r="E256" s="51">
        <f>IF($D256="","",IFERROR(IF(INDEX(tblProductos[Nombre del producto],MATCH($D256,tblProductos[SKU],0))="","",INDEX(tblProductos[Nombre del producto],MATCH($D256,tblProductos[SKU],0))),""))</f>
        <v/>
      </c>
      <c r="F256" s="51">
        <f>IF($D256="","",IFERROR(IF(INDEX(tblProductos[Categoría],MATCH($D256,tblProductos[SKU],0))="","",INDEX(tblProductos[Categoría],MATCH($D256,tblProductos[SKU],0))),""))</f>
        <v/>
      </c>
      <c r="G256" s="34" t="n"/>
      <c r="H256" s="36" t="n"/>
      <c r="I256" s="37">
        <f>IF(OR($G256="",$H256=""),"",$G256*$H256)</f>
        <v/>
      </c>
      <c r="J256" s="36" t="n"/>
      <c r="K256" s="36" t="n"/>
      <c r="L256" s="36" t="n"/>
      <c r="M256" s="37">
        <f>IF(NOT(ISNUMBER($I256)),"",$I256+SUM($J256:$L256))</f>
        <v/>
      </c>
      <c r="N256" s="37">
        <f>IF(OR(NOT(ISNUMBER($M256)),NOT(ISNUMBER($G256)),$G256&lt;=0),"",$M256/$G256)</f>
        <v/>
      </c>
      <c r="O256" s="33" t="n"/>
      <c r="P256" s="33" t="n"/>
      <c r="Q256" s="41" t="n"/>
      <c r="R256" s="36" t="n"/>
      <c r="S256" s="37">
        <f>IF(NOT(ISNUMBER($M256)),"",$M256-IF(ISNUMBER($R256),$R256,0))</f>
        <v/>
      </c>
      <c r="T256" s="33" t="n"/>
      <c r="U256" s="51">
        <f>IF(COUNTA($B256,$C256,$D256,$G256,$H256)=0,"",IF(IF($B256=""," · Falta fecha","")&amp;IF($C256=""," · Falta proveedor","")&amp;IF(AND($D256&lt;&gt;"",COUNTIF(tblProductos[SKU],$D256)=0)," · SKU no existe","")&amp;IF($D256=""," · Falta SKU","")&amp;IF(OR($G256="",NOT(ISNUMBER($G256)),$G256&lt;=0)," · Cantidad inválida","")&amp;IF($H256=""," · Falta costo unitario","")&amp;IF(AND($P256="Pagado",$Q256="")," · Pago sin fecha","")&amp;IF(AND(ISNUMBER($R256),ISNUMBER($M256),$R256&gt;N($M256)+0.01)," · Pagado &gt; total","")&amp;IF(AND(ISNUMBER($R256),$R256&gt;0,$Q256="")," · Monto pagado sin fecha","")="","OK",MID(IF($B256=""," · Falta fecha","")&amp;IF($C256=""," · Falta proveedor","")&amp;IF(AND($D256&lt;&gt;"",COUNTIF(tblProductos[SKU],$D256)=0)," · SKU no existe","")&amp;IF($D256=""," · Falta SKU","")&amp;IF(OR($G256="",NOT(ISNUMBER($G256)),$G256&lt;=0)," · Cantidad inválida","")&amp;IF($H256=""," · Falta costo unitario","")&amp;IF(AND($P256="Pagado",$Q256="")," · Pago sin fecha","")&amp;IF(AND(ISNUMBER($R256),ISNUMBER($M256),$R256&gt;N($M256)+0.01)," · Pagado &gt; total","")&amp;IF(AND(ISNUMBER($R256),$R256&gt;0,$Q256="")," · Monto pagado sin fecha",""),4,900)))</f>
        <v/>
      </c>
    </row>
    <row r="257">
      <c r="A257" s="51">
        <f>IF(COUNTA($B257,$C257,$D257,$G257,$H257)=0,"","C-"&amp;TEXT(ROW()-6,"0000"))</f>
        <v/>
      </c>
      <c r="B257" s="41" t="n"/>
      <c r="C257" s="33" t="n"/>
      <c r="D257" s="33" t="n"/>
      <c r="E257" s="51">
        <f>IF($D257="","",IFERROR(IF(INDEX(tblProductos[Nombre del producto],MATCH($D257,tblProductos[SKU],0))="","",INDEX(tblProductos[Nombre del producto],MATCH($D257,tblProductos[SKU],0))),""))</f>
        <v/>
      </c>
      <c r="F257" s="51">
        <f>IF($D257="","",IFERROR(IF(INDEX(tblProductos[Categoría],MATCH($D257,tblProductos[SKU],0))="","",INDEX(tblProductos[Categoría],MATCH($D257,tblProductos[SKU],0))),""))</f>
        <v/>
      </c>
      <c r="G257" s="34" t="n"/>
      <c r="H257" s="36" t="n"/>
      <c r="I257" s="37">
        <f>IF(OR($G257="",$H257=""),"",$G257*$H257)</f>
        <v/>
      </c>
      <c r="J257" s="36" t="n"/>
      <c r="K257" s="36" t="n"/>
      <c r="L257" s="36" t="n"/>
      <c r="M257" s="37">
        <f>IF(NOT(ISNUMBER($I257)),"",$I257+SUM($J257:$L257))</f>
        <v/>
      </c>
      <c r="N257" s="37">
        <f>IF(OR(NOT(ISNUMBER($M257)),NOT(ISNUMBER($G257)),$G257&lt;=0),"",$M257/$G257)</f>
        <v/>
      </c>
      <c r="O257" s="33" t="n"/>
      <c r="P257" s="33" t="n"/>
      <c r="Q257" s="41" t="n"/>
      <c r="R257" s="36" t="n"/>
      <c r="S257" s="37">
        <f>IF(NOT(ISNUMBER($M257)),"",$M257-IF(ISNUMBER($R257),$R257,0))</f>
        <v/>
      </c>
      <c r="T257" s="33" t="n"/>
      <c r="U257" s="51">
        <f>IF(COUNTA($B257,$C257,$D257,$G257,$H257)=0,"",IF(IF($B257=""," · Falta fecha","")&amp;IF($C257=""," · Falta proveedor","")&amp;IF(AND($D257&lt;&gt;"",COUNTIF(tblProductos[SKU],$D257)=0)," · SKU no existe","")&amp;IF($D257=""," · Falta SKU","")&amp;IF(OR($G257="",NOT(ISNUMBER($G257)),$G257&lt;=0)," · Cantidad inválida","")&amp;IF($H257=""," · Falta costo unitario","")&amp;IF(AND($P257="Pagado",$Q257="")," · Pago sin fecha","")&amp;IF(AND(ISNUMBER($R257),ISNUMBER($M257),$R257&gt;N($M257)+0.01)," · Pagado &gt; total","")&amp;IF(AND(ISNUMBER($R257),$R257&gt;0,$Q257="")," · Monto pagado sin fecha","")="","OK",MID(IF($B257=""," · Falta fecha","")&amp;IF($C257=""," · Falta proveedor","")&amp;IF(AND($D257&lt;&gt;"",COUNTIF(tblProductos[SKU],$D257)=0)," · SKU no existe","")&amp;IF($D257=""," · Falta SKU","")&amp;IF(OR($G257="",NOT(ISNUMBER($G257)),$G257&lt;=0)," · Cantidad inválida","")&amp;IF($H257=""," · Falta costo unitario","")&amp;IF(AND($P257="Pagado",$Q257="")," · Pago sin fecha","")&amp;IF(AND(ISNUMBER($R257),ISNUMBER($M257),$R257&gt;N($M257)+0.01)," · Pagado &gt; total","")&amp;IF(AND(ISNUMBER($R257),$R257&gt;0,$Q257="")," · Monto pagado sin fecha",""),4,900)))</f>
        <v/>
      </c>
    </row>
    <row r="258">
      <c r="A258" s="51">
        <f>IF(COUNTA($B258,$C258,$D258,$G258,$H258)=0,"","C-"&amp;TEXT(ROW()-6,"0000"))</f>
        <v/>
      </c>
      <c r="B258" s="41" t="n"/>
      <c r="C258" s="33" t="n"/>
      <c r="D258" s="33" t="n"/>
      <c r="E258" s="51">
        <f>IF($D258="","",IFERROR(IF(INDEX(tblProductos[Nombre del producto],MATCH($D258,tblProductos[SKU],0))="","",INDEX(tblProductos[Nombre del producto],MATCH($D258,tblProductos[SKU],0))),""))</f>
        <v/>
      </c>
      <c r="F258" s="51">
        <f>IF($D258="","",IFERROR(IF(INDEX(tblProductos[Categoría],MATCH($D258,tblProductos[SKU],0))="","",INDEX(tblProductos[Categoría],MATCH($D258,tblProductos[SKU],0))),""))</f>
        <v/>
      </c>
      <c r="G258" s="34" t="n"/>
      <c r="H258" s="36" t="n"/>
      <c r="I258" s="37">
        <f>IF(OR($G258="",$H258=""),"",$G258*$H258)</f>
        <v/>
      </c>
      <c r="J258" s="36" t="n"/>
      <c r="K258" s="36" t="n"/>
      <c r="L258" s="36" t="n"/>
      <c r="M258" s="37">
        <f>IF(NOT(ISNUMBER($I258)),"",$I258+SUM($J258:$L258))</f>
        <v/>
      </c>
      <c r="N258" s="37">
        <f>IF(OR(NOT(ISNUMBER($M258)),NOT(ISNUMBER($G258)),$G258&lt;=0),"",$M258/$G258)</f>
        <v/>
      </c>
      <c r="O258" s="33" t="n"/>
      <c r="P258" s="33" t="n"/>
      <c r="Q258" s="41" t="n"/>
      <c r="R258" s="36" t="n"/>
      <c r="S258" s="37">
        <f>IF(NOT(ISNUMBER($M258)),"",$M258-IF(ISNUMBER($R258),$R258,0))</f>
        <v/>
      </c>
      <c r="T258" s="33" t="n"/>
      <c r="U258" s="51">
        <f>IF(COUNTA($B258,$C258,$D258,$G258,$H258)=0,"",IF(IF($B258=""," · Falta fecha","")&amp;IF($C258=""," · Falta proveedor","")&amp;IF(AND($D258&lt;&gt;"",COUNTIF(tblProductos[SKU],$D258)=0)," · SKU no existe","")&amp;IF($D258=""," · Falta SKU","")&amp;IF(OR($G258="",NOT(ISNUMBER($G258)),$G258&lt;=0)," · Cantidad inválida","")&amp;IF($H258=""," · Falta costo unitario","")&amp;IF(AND($P258="Pagado",$Q258="")," · Pago sin fecha","")&amp;IF(AND(ISNUMBER($R258),ISNUMBER($M258),$R258&gt;N($M258)+0.01)," · Pagado &gt; total","")&amp;IF(AND(ISNUMBER($R258),$R258&gt;0,$Q258="")," · Monto pagado sin fecha","")="","OK",MID(IF($B258=""," · Falta fecha","")&amp;IF($C258=""," · Falta proveedor","")&amp;IF(AND($D258&lt;&gt;"",COUNTIF(tblProductos[SKU],$D258)=0)," · SKU no existe","")&amp;IF($D258=""," · Falta SKU","")&amp;IF(OR($G258="",NOT(ISNUMBER($G258)),$G258&lt;=0)," · Cantidad inválida","")&amp;IF($H258=""," · Falta costo unitario","")&amp;IF(AND($P258="Pagado",$Q258="")," · Pago sin fecha","")&amp;IF(AND(ISNUMBER($R258),ISNUMBER($M258),$R258&gt;N($M258)+0.01)," · Pagado &gt; total","")&amp;IF(AND(ISNUMBER($R258),$R258&gt;0,$Q258="")," · Monto pagado sin fecha",""),4,900)))</f>
        <v/>
      </c>
    </row>
    <row r="259">
      <c r="A259" s="51">
        <f>IF(COUNTA($B259,$C259,$D259,$G259,$H259)=0,"","C-"&amp;TEXT(ROW()-6,"0000"))</f>
        <v/>
      </c>
      <c r="B259" s="41" t="n"/>
      <c r="C259" s="33" t="n"/>
      <c r="D259" s="33" t="n"/>
      <c r="E259" s="51">
        <f>IF($D259="","",IFERROR(IF(INDEX(tblProductos[Nombre del producto],MATCH($D259,tblProductos[SKU],0))="","",INDEX(tblProductos[Nombre del producto],MATCH($D259,tblProductos[SKU],0))),""))</f>
        <v/>
      </c>
      <c r="F259" s="51">
        <f>IF($D259="","",IFERROR(IF(INDEX(tblProductos[Categoría],MATCH($D259,tblProductos[SKU],0))="","",INDEX(tblProductos[Categoría],MATCH($D259,tblProductos[SKU],0))),""))</f>
        <v/>
      </c>
      <c r="G259" s="34" t="n"/>
      <c r="H259" s="36" t="n"/>
      <c r="I259" s="37">
        <f>IF(OR($G259="",$H259=""),"",$G259*$H259)</f>
        <v/>
      </c>
      <c r="J259" s="36" t="n"/>
      <c r="K259" s="36" t="n"/>
      <c r="L259" s="36" t="n"/>
      <c r="M259" s="37">
        <f>IF(NOT(ISNUMBER($I259)),"",$I259+SUM($J259:$L259))</f>
        <v/>
      </c>
      <c r="N259" s="37">
        <f>IF(OR(NOT(ISNUMBER($M259)),NOT(ISNUMBER($G259)),$G259&lt;=0),"",$M259/$G259)</f>
        <v/>
      </c>
      <c r="O259" s="33" t="n"/>
      <c r="P259" s="33" t="n"/>
      <c r="Q259" s="41" t="n"/>
      <c r="R259" s="36" t="n"/>
      <c r="S259" s="37">
        <f>IF(NOT(ISNUMBER($M259)),"",$M259-IF(ISNUMBER($R259),$R259,0))</f>
        <v/>
      </c>
      <c r="T259" s="33" t="n"/>
      <c r="U259" s="51">
        <f>IF(COUNTA($B259,$C259,$D259,$G259,$H259)=0,"",IF(IF($B259=""," · Falta fecha","")&amp;IF($C259=""," · Falta proveedor","")&amp;IF(AND($D259&lt;&gt;"",COUNTIF(tblProductos[SKU],$D259)=0)," · SKU no existe","")&amp;IF($D259=""," · Falta SKU","")&amp;IF(OR($G259="",NOT(ISNUMBER($G259)),$G259&lt;=0)," · Cantidad inválida","")&amp;IF($H259=""," · Falta costo unitario","")&amp;IF(AND($P259="Pagado",$Q259="")," · Pago sin fecha","")&amp;IF(AND(ISNUMBER($R259),ISNUMBER($M259),$R259&gt;N($M259)+0.01)," · Pagado &gt; total","")&amp;IF(AND(ISNUMBER($R259),$R259&gt;0,$Q259="")," · Monto pagado sin fecha","")="","OK",MID(IF($B259=""," · Falta fecha","")&amp;IF($C259=""," · Falta proveedor","")&amp;IF(AND($D259&lt;&gt;"",COUNTIF(tblProductos[SKU],$D259)=0)," · SKU no existe","")&amp;IF($D259=""," · Falta SKU","")&amp;IF(OR($G259="",NOT(ISNUMBER($G259)),$G259&lt;=0)," · Cantidad inválida","")&amp;IF($H259=""," · Falta costo unitario","")&amp;IF(AND($P259="Pagado",$Q259="")," · Pago sin fecha","")&amp;IF(AND(ISNUMBER($R259),ISNUMBER($M259),$R259&gt;N($M259)+0.01)," · Pagado &gt; total","")&amp;IF(AND(ISNUMBER($R259),$R259&gt;0,$Q259="")," · Monto pagado sin fecha",""),4,900)))</f>
        <v/>
      </c>
    </row>
    <row r="260">
      <c r="A260" s="51">
        <f>IF(COUNTA($B260,$C260,$D260,$G260,$H260)=0,"","C-"&amp;TEXT(ROW()-6,"0000"))</f>
        <v/>
      </c>
      <c r="B260" s="41" t="n"/>
      <c r="C260" s="33" t="n"/>
      <c r="D260" s="33" t="n"/>
      <c r="E260" s="51">
        <f>IF($D260="","",IFERROR(IF(INDEX(tblProductos[Nombre del producto],MATCH($D260,tblProductos[SKU],0))="","",INDEX(tblProductos[Nombre del producto],MATCH($D260,tblProductos[SKU],0))),""))</f>
        <v/>
      </c>
      <c r="F260" s="51">
        <f>IF($D260="","",IFERROR(IF(INDEX(tblProductos[Categoría],MATCH($D260,tblProductos[SKU],0))="","",INDEX(tblProductos[Categoría],MATCH($D260,tblProductos[SKU],0))),""))</f>
        <v/>
      </c>
      <c r="G260" s="34" t="n"/>
      <c r="H260" s="36" t="n"/>
      <c r="I260" s="37">
        <f>IF(OR($G260="",$H260=""),"",$G260*$H260)</f>
        <v/>
      </c>
      <c r="J260" s="36" t="n"/>
      <c r="K260" s="36" t="n"/>
      <c r="L260" s="36" t="n"/>
      <c r="M260" s="37">
        <f>IF(NOT(ISNUMBER($I260)),"",$I260+SUM($J260:$L260))</f>
        <v/>
      </c>
      <c r="N260" s="37">
        <f>IF(OR(NOT(ISNUMBER($M260)),NOT(ISNUMBER($G260)),$G260&lt;=0),"",$M260/$G260)</f>
        <v/>
      </c>
      <c r="O260" s="33" t="n"/>
      <c r="P260" s="33" t="n"/>
      <c r="Q260" s="41" t="n"/>
      <c r="R260" s="36" t="n"/>
      <c r="S260" s="37">
        <f>IF(NOT(ISNUMBER($M260)),"",$M260-IF(ISNUMBER($R260),$R260,0))</f>
        <v/>
      </c>
      <c r="T260" s="33" t="n"/>
      <c r="U260" s="51">
        <f>IF(COUNTA($B260,$C260,$D260,$G260,$H260)=0,"",IF(IF($B260=""," · Falta fecha","")&amp;IF($C260=""," · Falta proveedor","")&amp;IF(AND($D260&lt;&gt;"",COUNTIF(tblProductos[SKU],$D260)=0)," · SKU no existe","")&amp;IF($D260=""," · Falta SKU","")&amp;IF(OR($G260="",NOT(ISNUMBER($G260)),$G260&lt;=0)," · Cantidad inválida","")&amp;IF($H260=""," · Falta costo unitario","")&amp;IF(AND($P260="Pagado",$Q260="")," · Pago sin fecha","")&amp;IF(AND(ISNUMBER($R260),ISNUMBER($M260),$R260&gt;N($M260)+0.01)," · Pagado &gt; total","")&amp;IF(AND(ISNUMBER($R260),$R260&gt;0,$Q260="")," · Monto pagado sin fecha","")="","OK",MID(IF($B260=""," · Falta fecha","")&amp;IF($C260=""," · Falta proveedor","")&amp;IF(AND($D260&lt;&gt;"",COUNTIF(tblProductos[SKU],$D260)=0)," · SKU no existe","")&amp;IF($D260=""," · Falta SKU","")&amp;IF(OR($G260="",NOT(ISNUMBER($G260)),$G260&lt;=0)," · Cantidad inválida","")&amp;IF($H260=""," · Falta costo unitario","")&amp;IF(AND($P260="Pagado",$Q260="")," · Pago sin fecha","")&amp;IF(AND(ISNUMBER($R260),ISNUMBER($M260),$R260&gt;N($M260)+0.01)," · Pagado &gt; total","")&amp;IF(AND(ISNUMBER($R260),$R260&gt;0,$Q260="")," · Monto pagado sin fecha",""),4,900)))</f>
        <v/>
      </c>
    </row>
    <row r="261">
      <c r="A261" s="51">
        <f>IF(COUNTA($B261,$C261,$D261,$G261,$H261)=0,"","C-"&amp;TEXT(ROW()-6,"0000"))</f>
        <v/>
      </c>
      <c r="B261" s="41" t="n"/>
      <c r="C261" s="33" t="n"/>
      <c r="D261" s="33" t="n"/>
      <c r="E261" s="51">
        <f>IF($D261="","",IFERROR(IF(INDEX(tblProductos[Nombre del producto],MATCH($D261,tblProductos[SKU],0))="","",INDEX(tblProductos[Nombre del producto],MATCH($D261,tblProductos[SKU],0))),""))</f>
        <v/>
      </c>
      <c r="F261" s="51">
        <f>IF($D261="","",IFERROR(IF(INDEX(tblProductos[Categoría],MATCH($D261,tblProductos[SKU],0))="","",INDEX(tblProductos[Categoría],MATCH($D261,tblProductos[SKU],0))),""))</f>
        <v/>
      </c>
      <c r="G261" s="34" t="n"/>
      <c r="H261" s="36" t="n"/>
      <c r="I261" s="37">
        <f>IF(OR($G261="",$H261=""),"",$G261*$H261)</f>
        <v/>
      </c>
      <c r="J261" s="36" t="n"/>
      <c r="K261" s="36" t="n"/>
      <c r="L261" s="36" t="n"/>
      <c r="M261" s="37">
        <f>IF(NOT(ISNUMBER($I261)),"",$I261+SUM($J261:$L261))</f>
        <v/>
      </c>
      <c r="N261" s="37">
        <f>IF(OR(NOT(ISNUMBER($M261)),NOT(ISNUMBER($G261)),$G261&lt;=0),"",$M261/$G261)</f>
        <v/>
      </c>
      <c r="O261" s="33" t="n"/>
      <c r="P261" s="33" t="n"/>
      <c r="Q261" s="41" t="n"/>
      <c r="R261" s="36" t="n"/>
      <c r="S261" s="37">
        <f>IF(NOT(ISNUMBER($M261)),"",$M261-IF(ISNUMBER($R261),$R261,0))</f>
        <v/>
      </c>
      <c r="T261" s="33" t="n"/>
      <c r="U261" s="51">
        <f>IF(COUNTA($B261,$C261,$D261,$G261,$H261)=0,"",IF(IF($B261=""," · Falta fecha","")&amp;IF($C261=""," · Falta proveedor","")&amp;IF(AND($D261&lt;&gt;"",COUNTIF(tblProductos[SKU],$D261)=0)," · SKU no existe","")&amp;IF($D261=""," · Falta SKU","")&amp;IF(OR($G261="",NOT(ISNUMBER($G261)),$G261&lt;=0)," · Cantidad inválida","")&amp;IF($H261=""," · Falta costo unitario","")&amp;IF(AND($P261="Pagado",$Q261="")," · Pago sin fecha","")&amp;IF(AND(ISNUMBER($R261),ISNUMBER($M261),$R261&gt;N($M261)+0.01)," · Pagado &gt; total","")&amp;IF(AND(ISNUMBER($R261),$R261&gt;0,$Q261="")," · Monto pagado sin fecha","")="","OK",MID(IF($B261=""," · Falta fecha","")&amp;IF($C261=""," · Falta proveedor","")&amp;IF(AND($D261&lt;&gt;"",COUNTIF(tblProductos[SKU],$D261)=0)," · SKU no existe","")&amp;IF($D261=""," · Falta SKU","")&amp;IF(OR($G261="",NOT(ISNUMBER($G261)),$G261&lt;=0)," · Cantidad inválida","")&amp;IF($H261=""," · Falta costo unitario","")&amp;IF(AND($P261="Pagado",$Q261="")," · Pago sin fecha","")&amp;IF(AND(ISNUMBER($R261),ISNUMBER($M261),$R261&gt;N($M261)+0.01)," · Pagado &gt; total","")&amp;IF(AND(ISNUMBER($R261),$R261&gt;0,$Q261="")," · Monto pagado sin fecha",""),4,900)))</f>
        <v/>
      </c>
    </row>
    <row r="262">
      <c r="A262" s="51">
        <f>IF(COUNTA($B262,$C262,$D262,$G262,$H262)=0,"","C-"&amp;TEXT(ROW()-6,"0000"))</f>
        <v/>
      </c>
      <c r="B262" s="41" t="n"/>
      <c r="C262" s="33" t="n"/>
      <c r="D262" s="33" t="n"/>
      <c r="E262" s="51">
        <f>IF($D262="","",IFERROR(IF(INDEX(tblProductos[Nombre del producto],MATCH($D262,tblProductos[SKU],0))="","",INDEX(tblProductos[Nombre del producto],MATCH($D262,tblProductos[SKU],0))),""))</f>
        <v/>
      </c>
      <c r="F262" s="51">
        <f>IF($D262="","",IFERROR(IF(INDEX(tblProductos[Categoría],MATCH($D262,tblProductos[SKU],0))="","",INDEX(tblProductos[Categoría],MATCH($D262,tblProductos[SKU],0))),""))</f>
        <v/>
      </c>
      <c r="G262" s="34" t="n"/>
      <c r="H262" s="36" t="n"/>
      <c r="I262" s="37">
        <f>IF(OR($G262="",$H262=""),"",$G262*$H262)</f>
        <v/>
      </c>
      <c r="J262" s="36" t="n"/>
      <c r="K262" s="36" t="n"/>
      <c r="L262" s="36" t="n"/>
      <c r="M262" s="37">
        <f>IF(NOT(ISNUMBER($I262)),"",$I262+SUM($J262:$L262))</f>
        <v/>
      </c>
      <c r="N262" s="37">
        <f>IF(OR(NOT(ISNUMBER($M262)),NOT(ISNUMBER($G262)),$G262&lt;=0),"",$M262/$G262)</f>
        <v/>
      </c>
      <c r="O262" s="33" t="n"/>
      <c r="P262" s="33" t="n"/>
      <c r="Q262" s="41" t="n"/>
      <c r="R262" s="36" t="n"/>
      <c r="S262" s="37">
        <f>IF(NOT(ISNUMBER($M262)),"",$M262-IF(ISNUMBER($R262),$R262,0))</f>
        <v/>
      </c>
      <c r="T262" s="33" t="n"/>
      <c r="U262" s="51">
        <f>IF(COUNTA($B262,$C262,$D262,$G262,$H262)=0,"",IF(IF($B262=""," · Falta fecha","")&amp;IF($C262=""," · Falta proveedor","")&amp;IF(AND($D262&lt;&gt;"",COUNTIF(tblProductos[SKU],$D262)=0)," · SKU no existe","")&amp;IF($D262=""," · Falta SKU","")&amp;IF(OR($G262="",NOT(ISNUMBER($G262)),$G262&lt;=0)," · Cantidad inválida","")&amp;IF($H262=""," · Falta costo unitario","")&amp;IF(AND($P262="Pagado",$Q262="")," · Pago sin fecha","")&amp;IF(AND(ISNUMBER($R262),ISNUMBER($M262),$R262&gt;N($M262)+0.01)," · Pagado &gt; total","")&amp;IF(AND(ISNUMBER($R262),$R262&gt;0,$Q262="")," · Monto pagado sin fecha","")="","OK",MID(IF($B262=""," · Falta fecha","")&amp;IF($C262=""," · Falta proveedor","")&amp;IF(AND($D262&lt;&gt;"",COUNTIF(tblProductos[SKU],$D262)=0)," · SKU no existe","")&amp;IF($D262=""," · Falta SKU","")&amp;IF(OR($G262="",NOT(ISNUMBER($G262)),$G262&lt;=0)," · Cantidad inválida","")&amp;IF($H262=""," · Falta costo unitario","")&amp;IF(AND($P262="Pagado",$Q262="")," · Pago sin fecha","")&amp;IF(AND(ISNUMBER($R262),ISNUMBER($M262),$R262&gt;N($M262)+0.01)," · Pagado &gt; total","")&amp;IF(AND(ISNUMBER($R262),$R262&gt;0,$Q262="")," · Monto pagado sin fecha",""),4,900)))</f>
        <v/>
      </c>
    </row>
    <row r="263">
      <c r="A263" s="51">
        <f>IF(COUNTA($B263,$C263,$D263,$G263,$H263)=0,"","C-"&amp;TEXT(ROW()-6,"0000"))</f>
        <v/>
      </c>
      <c r="B263" s="41" t="n"/>
      <c r="C263" s="33" t="n"/>
      <c r="D263" s="33" t="n"/>
      <c r="E263" s="51">
        <f>IF($D263="","",IFERROR(IF(INDEX(tblProductos[Nombre del producto],MATCH($D263,tblProductos[SKU],0))="","",INDEX(tblProductos[Nombre del producto],MATCH($D263,tblProductos[SKU],0))),""))</f>
        <v/>
      </c>
      <c r="F263" s="51">
        <f>IF($D263="","",IFERROR(IF(INDEX(tblProductos[Categoría],MATCH($D263,tblProductos[SKU],0))="","",INDEX(tblProductos[Categoría],MATCH($D263,tblProductos[SKU],0))),""))</f>
        <v/>
      </c>
      <c r="G263" s="34" t="n"/>
      <c r="H263" s="36" t="n"/>
      <c r="I263" s="37">
        <f>IF(OR($G263="",$H263=""),"",$G263*$H263)</f>
        <v/>
      </c>
      <c r="J263" s="36" t="n"/>
      <c r="K263" s="36" t="n"/>
      <c r="L263" s="36" t="n"/>
      <c r="M263" s="37">
        <f>IF(NOT(ISNUMBER($I263)),"",$I263+SUM($J263:$L263))</f>
        <v/>
      </c>
      <c r="N263" s="37">
        <f>IF(OR(NOT(ISNUMBER($M263)),NOT(ISNUMBER($G263)),$G263&lt;=0),"",$M263/$G263)</f>
        <v/>
      </c>
      <c r="O263" s="33" t="n"/>
      <c r="P263" s="33" t="n"/>
      <c r="Q263" s="41" t="n"/>
      <c r="R263" s="36" t="n"/>
      <c r="S263" s="37">
        <f>IF(NOT(ISNUMBER($M263)),"",$M263-IF(ISNUMBER($R263),$R263,0))</f>
        <v/>
      </c>
      <c r="T263" s="33" t="n"/>
      <c r="U263" s="51">
        <f>IF(COUNTA($B263,$C263,$D263,$G263,$H263)=0,"",IF(IF($B263=""," · Falta fecha","")&amp;IF($C263=""," · Falta proveedor","")&amp;IF(AND($D263&lt;&gt;"",COUNTIF(tblProductos[SKU],$D263)=0)," · SKU no existe","")&amp;IF($D263=""," · Falta SKU","")&amp;IF(OR($G263="",NOT(ISNUMBER($G263)),$G263&lt;=0)," · Cantidad inválida","")&amp;IF($H263=""," · Falta costo unitario","")&amp;IF(AND($P263="Pagado",$Q263="")," · Pago sin fecha","")&amp;IF(AND(ISNUMBER($R263),ISNUMBER($M263),$R263&gt;N($M263)+0.01)," · Pagado &gt; total","")&amp;IF(AND(ISNUMBER($R263),$R263&gt;0,$Q263="")," · Monto pagado sin fecha","")="","OK",MID(IF($B263=""," · Falta fecha","")&amp;IF($C263=""," · Falta proveedor","")&amp;IF(AND($D263&lt;&gt;"",COUNTIF(tblProductos[SKU],$D263)=0)," · SKU no existe","")&amp;IF($D263=""," · Falta SKU","")&amp;IF(OR($G263="",NOT(ISNUMBER($G263)),$G263&lt;=0)," · Cantidad inválida","")&amp;IF($H263=""," · Falta costo unitario","")&amp;IF(AND($P263="Pagado",$Q263="")," · Pago sin fecha","")&amp;IF(AND(ISNUMBER($R263),ISNUMBER($M263),$R263&gt;N($M263)+0.01)," · Pagado &gt; total","")&amp;IF(AND(ISNUMBER($R263),$R263&gt;0,$Q263="")," · Monto pagado sin fecha",""),4,900)))</f>
        <v/>
      </c>
    </row>
    <row r="264">
      <c r="A264" s="51">
        <f>IF(COUNTA($B264,$C264,$D264,$G264,$H264)=0,"","C-"&amp;TEXT(ROW()-6,"0000"))</f>
        <v/>
      </c>
      <c r="B264" s="41" t="n"/>
      <c r="C264" s="33" t="n"/>
      <c r="D264" s="33" t="n"/>
      <c r="E264" s="51">
        <f>IF($D264="","",IFERROR(IF(INDEX(tblProductos[Nombre del producto],MATCH($D264,tblProductos[SKU],0))="","",INDEX(tblProductos[Nombre del producto],MATCH($D264,tblProductos[SKU],0))),""))</f>
        <v/>
      </c>
      <c r="F264" s="51">
        <f>IF($D264="","",IFERROR(IF(INDEX(tblProductos[Categoría],MATCH($D264,tblProductos[SKU],0))="","",INDEX(tblProductos[Categoría],MATCH($D264,tblProductos[SKU],0))),""))</f>
        <v/>
      </c>
      <c r="G264" s="34" t="n"/>
      <c r="H264" s="36" t="n"/>
      <c r="I264" s="37">
        <f>IF(OR($G264="",$H264=""),"",$G264*$H264)</f>
        <v/>
      </c>
      <c r="J264" s="36" t="n"/>
      <c r="K264" s="36" t="n"/>
      <c r="L264" s="36" t="n"/>
      <c r="M264" s="37">
        <f>IF(NOT(ISNUMBER($I264)),"",$I264+SUM($J264:$L264))</f>
        <v/>
      </c>
      <c r="N264" s="37">
        <f>IF(OR(NOT(ISNUMBER($M264)),NOT(ISNUMBER($G264)),$G264&lt;=0),"",$M264/$G264)</f>
        <v/>
      </c>
      <c r="O264" s="33" t="n"/>
      <c r="P264" s="33" t="n"/>
      <c r="Q264" s="41" t="n"/>
      <c r="R264" s="36" t="n"/>
      <c r="S264" s="37">
        <f>IF(NOT(ISNUMBER($M264)),"",$M264-IF(ISNUMBER($R264),$R264,0))</f>
        <v/>
      </c>
      <c r="T264" s="33" t="n"/>
      <c r="U264" s="51">
        <f>IF(COUNTA($B264,$C264,$D264,$G264,$H264)=0,"",IF(IF($B264=""," · Falta fecha","")&amp;IF($C264=""," · Falta proveedor","")&amp;IF(AND($D264&lt;&gt;"",COUNTIF(tblProductos[SKU],$D264)=0)," · SKU no existe","")&amp;IF($D264=""," · Falta SKU","")&amp;IF(OR($G264="",NOT(ISNUMBER($G264)),$G264&lt;=0)," · Cantidad inválida","")&amp;IF($H264=""," · Falta costo unitario","")&amp;IF(AND($P264="Pagado",$Q264="")," · Pago sin fecha","")&amp;IF(AND(ISNUMBER($R264),ISNUMBER($M264),$R264&gt;N($M264)+0.01)," · Pagado &gt; total","")&amp;IF(AND(ISNUMBER($R264),$R264&gt;0,$Q264="")," · Monto pagado sin fecha","")="","OK",MID(IF($B264=""," · Falta fecha","")&amp;IF($C264=""," · Falta proveedor","")&amp;IF(AND($D264&lt;&gt;"",COUNTIF(tblProductos[SKU],$D264)=0)," · SKU no existe","")&amp;IF($D264=""," · Falta SKU","")&amp;IF(OR($G264="",NOT(ISNUMBER($G264)),$G264&lt;=0)," · Cantidad inválida","")&amp;IF($H264=""," · Falta costo unitario","")&amp;IF(AND($P264="Pagado",$Q264="")," · Pago sin fecha","")&amp;IF(AND(ISNUMBER($R264),ISNUMBER($M264),$R264&gt;N($M264)+0.01)," · Pagado &gt; total","")&amp;IF(AND(ISNUMBER($R264),$R264&gt;0,$Q264="")," · Monto pagado sin fecha",""),4,900)))</f>
        <v/>
      </c>
    </row>
    <row r="265">
      <c r="A265" s="51">
        <f>IF(COUNTA($B265,$C265,$D265,$G265,$H265)=0,"","C-"&amp;TEXT(ROW()-6,"0000"))</f>
        <v/>
      </c>
      <c r="B265" s="41" t="n"/>
      <c r="C265" s="33" t="n"/>
      <c r="D265" s="33" t="n"/>
      <c r="E265" s="51">
        <f>IF($D265="","",IFERROR(IF(INDEX(tblProductos[Nombre del producto],MATCH($D265,tblProductos[SKU],0))="","",INDEX(tblProductos[Nombre del producto],MATCH($D265,tblProductos[SKU],0))),""))</f>
        <v/>
      </c>
      <c r="F265" s="51">
        <f>IF($D265="","",IFERROR(IF(INDEX(tblProductos[Categoría],MATCH($D265,tblProductos[SKU],0))="","",INDEX(tblProductos[Categoría],MATCH($D265,tblProductos[SKU],0))),""))</f>
        <v/>
      </c>
      <c r="G265" s="34" t="n"/>
      <c r="H265" s="36" t="n"/>
      <c r="I265" s="37">
        <f>IF(OR($G265="",$H265=""),"",$G265*$H265)</f>
        <v/>
      </c>
      <c r="J265" s="36" t="n"/>
      <c r="K265" s="36" t="n"/>
      <c r="L265" s="36" t="n"/>
      <c r="M265" s="37">
        <f>IF(NOT(ISNUMBER($I265)),"",$I265+SUM($J265:$L265))</f>
        <v/>
      </c>
      <c r="N265" s="37">
        <f>IF(OR(NOT(ISNUMBER($M265)),NOT(ISNUMBER($G265)),$G265&lt;=0),"",$M265/$G265)</f>
        <v/>
      </c>
      <c r="O265" s="33" t="n"/>
      <c r="P265" s="33" t="n"/>
      <c r="Q265" s="41" t="n"/>
      <c r="R265" s="36" t="n"/>
      <c r="S265" s="37">
        <f>IF(NOT(ISNUMBER($M265)),"",$M265-IF(ISNUMBER($R265),$R265,0))</f>
        <v/>
      </c>
      <c r="T265" s="33" t="n"/>
      <c r="U265" s="51">
        <f>IF(COUNTA($B265,$C265,$D265,$G265,$H265)=0,"",IF(IF($B265=""," · Falta fecha","")&amp;IF($C265=""," · Falta proveedor","")&amp;IF(AND($D265&lt;&gt;"",COUNTIF(tblProductos[SKU],$D265)=0)," · SKU no existe","")&amp;IF($D265=""," · Falta SKU","")&amp;IF(OR($G265="",NOT(ISNUMBER($G265)),$G265&lt;=0)," · Cantidad inválida","")&amp;IF($H265=""," · Falta costo unitario","")&amp;IF(AND($P265="Pagado",$Q265="")," · Pago sin fecha","")&amp;IF(AND(ISNUMBER($R265),ISNUMBER($M265),$R265&gt;N($M265)+0.01)," · Pagado &gt; total","")&amp;IF(AND(ISNUMBER($R265),$R265&gt;0,$Q265="")," · Monto pagado sin fecha","")="","OK",MID(IF($B265=""," · Falta fecha","")&amp;IF($C265=""," · Falta proveedor","")&amp;IF(AND($D265&lt;&gt;"",COUNTIF(tblProductos[SKU],$D265)=0)," · SKU no existe","")&amp;IF($D265=""," · Falta SKU","")&amp;IF(OR($G265="",NOT(ISNUMBER($G265)),$G265&lt;=0)," · Cantidad inválida","")&amp;IF($H265=""," · Falta costo unitario","")&amp;IF(AND($P265="Pagado",$Q265="")," · Pago sin fecha","")&amp;IF(AND(ISNUMBER($R265),ISNUMBER($M265),$R265&gt;N($M265)+0.01)," · Pagado &gt; total","")&amp;IF(AND(ISNUMBER($R265),$R265&gt;0,$Q265="")," · Monto pagado sin fecha",""),4,900)))</f>
        <v/>
      </c>
    </row>
    <row r="266">
      <c r="A266" s="51">
        <f>IF(COUNTA($B266,$C266,$D266,$G266,$H266)=0,"","C-"&amp;TEXT(ROW()-6,"0000"))</f>
        <v/>
      </c>
      <c r="B266" s="41" t="n"/>
      <c r="C266" s="33" t="n"/>
      <c r="D266" s="33" t="n"/>
      <c r="E266" s="51">
        <f>IF($D266="","",IFERROR(IF(INDEX(tblProductos[Nombre del producto],MATCH($D266,tblProductos[SKU],0))="","",INDEX(tblProductos[Nombre del producto],MATCH($D266,tblProductos[SKU],0))),""))</f>
        <v/>
      </c>
      <c r="F266" s="51">
        <f>IF($D266="","",IFERROR(IF(INDEX(tblProductos[Categoría],MATCH($D266,tblProductos[SKU],0))="","",INDEX(tblProductos[Categoría],MATCH($D266,tblProductos[SKU],0))),""))</f>
        <v/>
      </c>
      <c r="G266" s="34" t="n"/>
      <c r="H266" s="36" t="n"/>
      <c r="I266" s="37">
        <f>IF(OR($G266="",$H266=""),"",$G266*$H266)</f>
        <v/>
      </c>
      <c r="J266" s="36" t="n"/>
      <c r="K266" s="36" t="n"/>
      <c r="L266" s="36" t="n"/>
      <c r="M266" s="37">
        <f>IF(NOT(ISNUMBER($I266)),"",$I266+SUM($J266:$L266))</f>
        <v/>
      </c>
      <c r="N266" s="37">
        <f>IF(OR(NOT(ISNUMBER($M266)),NOT(ISNUMBER($G266)),$G266&lt;=0),"",$M266/$G266)</f>
        <v/>
      </c>
      <c r="O266" s="33" t="n"/>
      <c r="P266" s="33" t="n"/>
      <c r="Q266" s="41" t="n"/>
      <c r="R266" s="36" t="n"/>
      <c r="S266" s="37">
        <f>IF(NOT(ISNUMBER($M266)),"",$M266-IF(ISNUMBER($R266),$R266,0))</f>
        <v/>
      </c>
      <c r="T266" s="33" t="n"/>
      <c r="U266" s="51">
        <f>IF(COUNTA($B266,$C266,$D266,$G266,$H266)=0,"",IF(IF($B266=""," · Falta fecha","")&amp;IF($C266=""," · Falta proveedor","")&amp;IF(AND($D266&lt;&gt;"",COUNTIF(tblProductos[SKU],$D266)=0)," · SKU no existe","")&amp;IF($D266=""," · Falta SKU","")&amp;IF(OR($G266="",NOT(ISNUMBER($G266)),$G266&lt;=0)," · Cantidad inválida","")&amp;IF($H266=""," · Falta costo unitario","")&amp;IF(AND($P266="Pagado",$Q266="")," · Pago sin fecha","")&amp;IF(AND(ISNUMBER($R266),ISNUMBER($M266),$R266&gt;N($M266)+0.01)," · Pagado &gt; total","")&amp;IF(AND(ISNUMBER($R266),$R266&gt;0,$Q266="")," · Monto pagado sin fecha","")="","OK",MID(IF($B266=""," · Falta fecha","")&amp;IF($C266=""," · Falta proveedor","")&amp;IF(AND($D266&lt;&gt;"",COUNTIF(tblProductos[SKU],$D266)=0)," · SKU no existe","")&amp;IF($D266=""," · Falta SKU","")&amp;IF(OR($G266="",NOT(ISNUMBER($G266)),$G266&lt;=0)," · Cantidad inválida","")&amp;IF($H266=""," · Falta costo unitario","")&amp;IF(AND($P266="Pagado",$Q266="")," · Pago sin fecha","")&amp;IF(AND(ISNUMBER($R266),ISNUMBER($M266),$R266&gt;N($M266)+0.01)," · Pagado &gt; total","")&amp;IF(AND(ISNUMBER($R266),$R266&gt;0,$Q266="")," · Monto pagado sin fecha",""),4,900)))</f>
        <v/>
      </c>
    </row>
    <row r="267">
      <c r="A267" s="51">
        <f>IF(COUNTA($B267,$C267,$D267,$G267,$H267)=0,"","C-"&amp;TEXT(ROW()-6,"0000"))</f>
        <v/>
      </c>
      <c r="B267" s="41" t="n"/>
      <c r="C267" s="33" t="n"/>
      <c r="D267" s="33" t="n"/>
      <c r="E267" s="51">
        <f>IF($D267="","",IFERROR(IF(INDEX(tblProductos[Nombre del producto],MATCH($D267,tblProductos[SKU],0))="","",INDEX(tblProductos[Nombre del producto],MATCH($D267,tblProductos[SKU],0))),""))</f>
        <v/>
      </c>
      <c r="F267" s="51">
        <f>IF($D267="","",IFERROR(IF(INDEX(tblProductos[Categoría],MATCH($D267,tblProductos[SKU],0))="","",INDEX(tblProductos[Categoría],MATCH($D267,tblProductos[SKU],0))),""))</f>
        <v/>
      </c>
      <c r="G267" s="34" t="n"/>
      <c r="H267" s="36" t="n"/>
      <c r="I267" s="37">
        <f>IF(OR($G267="",$H267=""),"",$G267*$H267)</f>
        <v/>
      </c>
      <c r="J267" s="36" t="n"/>
      <c r="K267" s="36" t="n"/>
      <c r="L267" s="36" t="n"/>
      <c r="M267" s="37">
        <f>IF(NOT(ISNUMBER($I267)),"",$I267+SUM($J267:$L267))</f>
        <v/>
      </c>
      <c r="N267" s="37">
        <f>IF(OR(NOT(ISNUMBER($M267)),NOT(ISNUMBER($G267)),$G267&lt;=0),"",$M267/$G267)</f>
        <v/>
      </c>
      <c r="O267" s="33" t="n"/>
      <c r="P267" s="33" t="n"/>
      <c r="Q267" s="41" t="n"/>
      <c r="R267" s="36" t="n"/>
      <c r="S267" s="37">
        <f>IF(NOT(ISNUMBER($M267)),"",$M267-IF(ISNUMBER($R267),$R267,0))</f>
        <v/>
      </c>
      <c r="T267" s="33" t="n"/>
      <c r="U267" s="51">
        <f>IF(COUNTA($B267,$C267,$D267,$G267,$H267)=0,"",IF(IF($B267=""," · Falta fecha","")&amp;IF($C267=""," · Falta proveedor","")&amp;IF(AND($D267&lt;&gt;"",COUNTIF(tblProductos[SKU],$D267)=0)," · SKU no existe","")&amp;IF($D267=""," · Falta SKU","")&amp;IF(OR($G267="",NOT(ISNUMBER($G267)),$G267&lt;=0)," · Cantidad inválida","")&amp;IF($H267=""," · Falta costo unitario","")&amp;IF(AND($P267="Pagado",$Q267="")," · Pago sin fecha","")&amp;IF(AND(ISNUMBER($R267),ISNUMBER($M267),$R267&gt;N($M267)+0.01)," · Pagado &gt; total","")&amp;IF(AND(ISNUMBER($R267),$R267&gt;0,$Q267="")," · Monto pagado sin fecha","")="","OK",MID(IF($B267=""," · Falta fecha","")&amp;IF($C267=""," · Falta proveedor","")&amp;IF(AND($D267&lt;&gt;"",COUNTIF(tblProductos[SKU],$D267)=0)," · SKU no existe","")&amp;IF($D267=""," · Falta SKU","")&amp;IF(OR($G267="",NOT(ISNUMBER($G267)),$G267&lt;=0)," · Cantidad inválida","")&amp;IF($H267=""," · Falta costo unitario","")&amp;IF(AND($P267="Pagado",$Q267="")," · Pago sin fecha","")&amp;IF(AND(ISNUMBER($R267),ISNUMBER($M267),$R267&gt;N($M267)+0.01)," · Pagado &gt; total","")&amp;IF(AND(ISNUMBER($R267),$R267&gt;0,$Q267="")," · Monto pagado sin fecha",""),4,900)))</f>
        <v/>
      </c>
    </row>
    <row r="268">
      <c r="A268" s="51">
        <f>IF(COUNTA($B268,$C268,$D268,$G268,$H268)=0,"","C-"&amp;TEXT(ROW()-6,"0000"))</f>
        <v/>
      </c>
      <c r="B268" s="41" t="n"/>
      <c r="C268" s="33" t="n"/>
      <c r="D268" s="33" t="n"/>
      <c r="E268" s="51">
        <f>IF($D268="","",IFERROR(IF(INDEX(tblProductos[Nombre del producto],MATCH($D268,tblProductos[SKU],0))="","",INDEX(tblProductos[Nombre del producto],MATCH($D268,tblProductos[SKU],0))),""))</f>
        <v/>
      </c>
      <c r="F268" s="51">
        <f>IF($D268="","",IFERROR(IF(INDEX(tblProductos[Categoría],MATCH($D268,tblProductos[SKU],0))="","",INDEX(tblProductos[Categoría],MATCH($D268,tblProductos[SKU],0))),""))</f>
        <v/>
      </c>
      <c r="G268" s="34" t="n"/>
      <c r="H268" s="36" t="n"/>
      <c r="I268" s="37">
        <f>IF(OR($G268="",$H268=""),"",$G268*$H268)</f>
        <v/>
      </c>
      <c r="J268" s="36" t="n"/>
      <c r="K268" s="36" t="n"/>
      <c r="L268" s="36" t="n"/>
      <c r="M268" s="37">
        <f>IF(NOT(ISNUMBER($I268)),"",$I268+SUM($J268:$L268))</f>
        <v/>
      </c>
      <c r="N268" s="37">
        <f>IF(OR(NOT(ISNUMBER($M268)),NOT(ISNUMBER($G268)),$G268&lt;=0),"",$M268/$G268)</f>
        <v/>
      </c>
      <c r="O268" s="33" t="n"/>
      <c r="P268" s="33" t="n"/>
      <c r="Q268" s="41" t="n"/>
      <c r="R268" s="36" t="n"/>
      <c r="S268" s="37">
        <f>IF(NOT(ISNUMBER($M268)),"",$M268-IF(ISNUMBER($R268),$R268,0))</f>
        <v/>
      </c>
      <c r="T268" s="33" t="n"/>
      <c r="U268" s="51">
        <f>IF(COUNTA($B268,$C268,$D268,$G268,$H268)=0,"",IF(IF($B268=""," · Falta fecha","")&amp;IF($C268=""," · Falta proveedor","")&amp;IF(AND($D268&lt;&gt;"",COUNTIF(tblProductos[SKU],$D268)=0)," · SKU no existe","")&amp;IF($D268=""," · Falta SKU","")&amp;IF(OR($G268="",NOT(ISNUMBER($G268)),$G268&lt;=0)," · Cantidad inválida","")&amp;IF($H268=""," · Falta costo unitario","")&amp;IF(AND($P268="Pagado",$Q268="")," · Pago sin fecha","")&amp;IF(AND(ISNUMBER($R268),ISNUMBER($M268),$R268&gt;N($M268)+0.01)," · Pagado &gt; total","")&amp;IF(AND(ISNUMBER($R268),$R268&gt;0,$Q268="")," · Monto pagado sin fecha","")="","OK",MID(IF($B268=""," · Falta fecha","")&amp;IF($C268=""," · Falta proveedor","")&amp;IF(AND($D268&lt;&gt;"",COUNTIF(tblProductos[SKU],$D268)=0)," · SKU no existe","")&amp;IF($D268=""," · Falta SKU","")&amp;IF(OR($G268="",NOT(ISNUMBER($G268)),$G268&lt;=0)," · Cantidad inválida","")&amp;IF($H268=""," · Falta costo unitario","")&amp;IF(AND($P268="Pagado",$Q268="")," · Pago sin fecha","")&amp;IF(AND(ISNUMBER($R268),ISNUMBER($M268),$R268&gt;N($M268)+0.01)," · Pagado &gt; total","")&amp;IF(AND(ISNUMBER($R268),$R268&gt;0,$Q268="")," · Monto pagado sin fecha",""),4,900)))</f>
        <v/>
      </c>
    </row>
    <row r="269">
      <c r="A269" s="51">
        <f>IF(COUNTA($B269,$C269,$D269,$G269,$H269)=0,"","C-"&amp;TEXT(ROW()-6,"0000"))</f>
        <v/>
      </c>
      <c r="B269" s="41" t="n"/>
      <c r="C269" s="33" t="n"/>
      <c r="D269" s="33" t="n"/>
      <c r="E269" s="51">
        <f>IF($D269="","",IFERROR(IF(INDEX(tblProductos[Nombre del producto],MATCH($D269,tblProductos[SKU],0))="","",INDEX(tblProductos[Nombre del producto],MATCH($D269,tblProductos[SKU],0))),""))</f>
        <v/>
      </c>
      <c r="F269" s="51">
        <f>IF($D269="","",IFERROR(IF(INDEX(tblProductos[Categoría],MATCH($D269,tblProductos[SKU],0))="","",INDEX(tblProductos[Categoría],MATCH($D269,tblProductos[SKU],0))),""))</f>
        <v/>
      </c>
      <c r="G269" s="34" t="n"/>
      <c r="H269" s="36" t="n"/>
      <c r="I269" s="37">
        <f>IF(OR($G269="",$H269=""),"",$G269*$H269)</f>
        <v/>
      </c>
      <c r="J269" s="36" t="n"/>
      <c r="K269" s="36" t="n"/>
      <c r="L269" s="36" t="n"/>
      <c r="M269" s="37">
        <f>IF(NOT(ISNUMBER($I269)),"",$I269+SUM($J269:$L269))</f>
        <v/>
      </c>
      <c r="N269" s="37">
        <f>IF(OR(NOT(ISNUMBER($M269)),NOT(ISNUMBER($G269)),$G269&lt;=0),"",$M269/$G269)</f>
        <v/>
      </c>
      <c r="O269" s="33" t="n"/>
      <c r="P269" s="33" t="n"/>
      <c r="Q269" s="41" t="n"/>
      <c r="R269" s="36" t="n"/>
      <c r="S269" s="37">
        <f>IF(NOT(ISNUMBER($M269)),"",$M269-IF(ISNUMBER($R269),$R269,0))</f>
        <v/>
      </c>
      <c r="T269" s="33" t="n"/>
      <c r="U269" s="51">
        <f>IF(COUNTA($B269,$C269,$D269,$G269,$H269)=0,"",IF(IF($B269=""," · Falta fecha","")&amp;IF($C269=""," · Falta proveedor","")&amp;IF(AND($D269&lt;&gt;"",COUNTIF(tblProductos[SKU],$D269)=0)," · SKU no existe","")&amp;IF($D269=""," · Falta SKU","")&amp;IF(OR($G269="",NOT(ISNUMBER($G269)),$G269&lt;=0)," · Cantidad inválida","")&amp;IF($H269=""," · Falta costo unitario","")&amp;IF(AND($P269="Pagado",$Q269="")," · Pago sin fecha","")&amp;IF(AND(ISNUMBER($R269),ISNUMBER($M269),$R269&gt;N($M269)+0.01)," · Pagado &gt; total","")&amp;IF(AND(ISNUMBER($R269),$R269&gt;0,$Q269="")," · Monto pagado sin fecha","")="","OK",MID(IF($B269=""," · Falta fecha","")&amp;IF($C269=""," · Falta proveedor","")&amp;IF(AND($D269&lt;&gt;"",COUNTIF(tblProductos[SKU],$D269)=0)," · SKU no existe","")&amp;IF($D269=""," · Falta SKU","")&amp;IF(OR($G269="",NOT(ISNUMBER($G269)),$G269&lt;=0)," · Cantidad inválida","")&amp;IF($H269=""," · Falta costo unitario","")&amp;IF(AND($P269="Pagado",$Q269="")," · Pago sin fecha","")&amp;IF(AND(ISNUMBER($R269),ISNUMBER($M269),$R269&gt;N($M269)+0.01)," · Pagado &gt; total","")&amp;IF(AND(ISNUMBER($R269),$R269&gt;0,$Q269="")," · Monto pagado sin fecha",""),4,900)))</f>
        <v/>
      </c>
    </row>
    <row r="270">
      <c r="A270" s="51">
        <f>IF(COUNTA($B270,$C270,$D270,$G270,$H270)=0,"","C-"&amp;TEXT(ROW()-6,"0000"))</f>
        <v/>
      </c>
      <c r="B270" s="41" t="n"/>
      <c r="C270" s="33" t="n"/>
      <c r="D270" s="33" t="n"/>
      <c r="E270" s="51">
        <f>IF($D270="","",IFERROR(IF(INDEX(tblProductos[Nombre del producto],MATCH($D270,tblProductos[SKU],0))="","",INDEX(tblProductos[Nombre del producto],MATCH($D270,tblProductos[SKU],0))),""))</f>
        <v/>
      </c>
      <c r="F270" s="51">
        <f>IF($D270="","",IFERROR(IF(INDEX(tblProductos[Categoría],MATCH($D270,tblProductos[SKU],0))="","",INDEX(tblProductos[Categoría],MATCH($D270,tblProductos[SKU],0))),""))</f>
        <v/>
      </c>
      <c r="G270" s="34" t="n"/>
      <c r="H270" s="36" t="n"/>
      <c r="I270" s="37">
        <f>IF(OR($G270="",$H270=""),"",$G270*$H270)</f>
        <v/>
      </c>
      <c r="J270" s="36" t="n"/>
      <c r="K270" s="36" t="n"/>
      <c r="L270" s="36" t="n"/>
      <c r="M270" s="37">
        <f>IF(NOT(ISNUMBER($I270)),"",$I270+SUM($J270:$L270))</f>
        <v/>
      </c>
      <c r="N270" s="37">
        <f>IF(OR(NOT(ISNUMBER($M270)),NOT(ISNUMBER($G270)),$G270&lt;=0),"",$M270/$G270)</f>
        <v/>
      </c>
      <c r="O270" s="33" t="n"/>
      <c r="P270" s="33" t="n"/>
      <c r="Q270" s="41" t="n"/>
      <c r="R270" s="36" t="n"/>
      <c r="S270" s="37">
        <f>IF(NOT(ISNUMBER($M270)),"",$M270-IF(ISNUMBER($R270),$R270,0))</f>
        <v/>
      </c>
      <c r="T270" s="33" t="n"/>
      <c r="U270" s="51">
        <f>IF(COUNTA($B270,$C270,$D270,$G270,$H270)=0,"",IF(IF($B270=""," · Falta fecha","")&amp;IF($C270=""," · Falta proveedor","")&amp;IF(AND($D270&lt;&gt;"",COUNTIF(tblProductos[SKU],$D270)=0)," · SKU no existe","")&amp;IF($D270=""," · Falta SKU","")&amp;IF(OR($G270="",NOT(ISNUMBER($G270)),$G270&lt;=0)," · Cantidad inválida","")&amp;IF($H270=""," · Falta costo unitario","")&amp;IF(AND($P270="Pagado",$Q270="")," · Pago sin fecha","")&amp;IF(AND(ISNUMBER($R270),ISNUMBER($M270),$R270&gt;N($M270)+0.01)," · Pagado &gt; total","")&amp;IF(AND(ISNUMBER($R270),$R270&gt;0,$Q270="")," · Monto pagado sin fecha","")="","OK",MID(IF($B270=""," · Falta fecha","")&amp;IF($C270=""," · Falta proveedor","")&amp;IF(AND($D270&lt;&gt;"",COUNTIF(tblProductos[SKU],$D270)=0)," · SKU no existe","")&amp;IF($D270=""," · Falta SKU","")&amp;IF(OR($G270="",NOT(ISNUMBER($G270)),$G270&lt;=0)," · Cantidad inválida","")&amp;IF($H270=""," · Falta costo unitario","")&amp;IF(AND($P270="Pagado",$Q270="")," · Pago sin fecha","")&amp;IF(AND(ISNUMBER($R270),ISNUMBER($M270),$R270&gt;N($M270)+0.01)," · Pagado &gt; total","")&amp;IF(AND(ISNUMBER($R270),$R270&gt;0,$Q270="")," · Monto pagado sin fecha",""),4,900)))</f>
        <v/>
      </c>
    </row>
    <row r="271">
      <c r="A271" s="51">
        <f>IF(COUNTA($B271,$C271,$D271,$G271,$H271)=0,"","C-"&amp;TEXT(ROW()-6,"0000"))</f>
        <v/>
      </c>
      <c r="B271" s="41" t="n"/>
      <c r="C271" s="33" t="n"/>
      <c r="D271" s="33" t="n"/>
      <c r="E271" s="51">
        <f>IF($D271="","",IFERROR(IF(INDEX(tblProductos[Nombre del producto],MATCH($D271,tblProductos[SKU],0))="","",INDEX(tblProductos[Nombre del producto],MATCH($D271,tblProductos[SKU],0))),""))</f>
        <v/>
      </c>
      <c r="F271" s="51">
        <f>IF($D271="","",IFERROR(IF(INDEX(tblProductos[Categoría],MATCH($D271,tblProductos[SKU],0))="","",INDEX(tblProductos[Categoría],MATCH($D271,tblProductos[SKU],0))),""))</f>
        <v/>
      </c>
      <c r="G271" s="34" t="n"/>
      <c r="H271" s="36" t="n"/>
      <c r="I271" s="37">
        <f>IF(OR($G271="",$H271=""),"",$G271*$H271)</f>
        <v/>
      </c>
      <c r="J271" s="36" t="n"/>
      <c r="K271" s="36" t="n"/>
      <c r="L271" s="36" t="n"/>
      <c r="M271" s="37">
        <f>IF(NOT(ISNUMBER($I271)),"",$I271+SUM($J271:$L271))</f>
        <v/>
      </c>
      <c r="N271" s="37">
        <f>IF(OR(NOT(ISNUMBER($M271)),NOT(ISNUMBER($G271)),$G271&lt;=0),"",$M271/$G271)</f>
        <v/>
      </c>
      <c r="O271" s="33" t="n"/>
      <c r="P271" s="33" t="n"/>
      <c r="Q271" s="41" t="n"/>
      <c r="R271" s="36" t="n"/>
      <c r="S271" s="37">
        <f>IF(NOT(ISNUMBER($M271)),"",$M271-IF(ISNUMBER($R271),$R271,0))</f>
        <v/>
      </c>
      <c r="T271" s="33" t="n"/>
      <c r="U271" s="51">
        <f>IF(COUNTA($B271,$C271,$D271,$G271,$H271)=0,"",IF(IF($B271=""," · Falta fecha","")&amp;IF($C271=""," · Falta proveedor","")&amp;IF(AND($D271&lt;&gt;"",COUNTIF(tblProductos[SKU],$D271)=0)," · SKU no existe","")&amp;IF($D271=""," · Falta SKU","")&amp;IF(OR($G271="",NOT(ISNUMBER($G271)),$G271&lt;=0)," · Cantidad inválida","")&amp;IF($H271=""," · Falta costo unitario","")&amp;IF(AND($P271="Pagado",$Q271="")," · Pago sin fecha","")&amp;IF(AND(ISNUMBER($R271),ISNUMBER($M271),$R271&gt;N($M271)+0.01)," · Pagado &gt; total","")&amp;IF(AND(ISNUMBER($R271),$R271&gt;0,$Q271="")," · Monto pagado sin fecha","")="","OK",MID(IF($B271=""," · Falta fecha","")&amp;IF($C271=""," · Falta proveedor","")&amp;IF(AND($D271&lt;&gt;"",COUNTIF(tblProductos[SKU],$D271)=0)," · SKU no existe","")&amp;IF($D271=""," · Falta SKU","")&amp;IF(OR($G271="",NOT(ISNUMBER($G271)),$G271&lt;=0)," · Cantidad inválida","")&amp;IF($H271=""," · Falta costo unitario","")&amp;IF(AND($P271="Pagado",$Q271="")," · Pago sin fecha","")&amp;IF(AND(ISNUMBER($R271),ISNUMBER($M271),$R271&gt;N($M271)+0.01)," · Pagado &gt; total","")&amp;IF(AND(ISNUMBER($R271),$R271&gt;0,$Q271="")," · Monto pagado sin fecha",""),4,900)))</f>
        <v/>
      </c>
    </row>
    <row r="272">
      <c r="A272" s="51">
        <f>IF(COUNTA($B272,$C272,$D272,$G272,$H272)=0,"","C-"&amp;TEXT(ROW()-6,"0000"))</f>
        <v/>
      </c>
      <c r="B272" s="41" t="n"/>
      <c r="C272" s="33" t="n"/>
      <c r="D272" s="33" t="n"/>
      <c r="E272" s="51">
        <f>IF($D272="","",IFERROR(IF(INDEX(tblProductos[Nombre del producto],MATCH($D272,tblProductos[SKU],0))="","",INDEX(tblProductos[Nombre del producto],MATCH($D272,tblProductos[SKU],0))),""))</f>
        <v/>
      </c>
      <c r="F272" s="51">
        <f>IF($D272="","",IFERROR(IF(INDEX(tblProductos[Categoría],MATCH($D272,tblProductos[SKU],0))="","",INDEX(tblProductos[Categoría],MATCH($D272,tblProductos[SKU],0))),""))</f>
        <v/>
      </c>
      <c r="G272" s="34" t="n"/>
      <c r="H272" s="36" t="n"/>
      <c r="I272" s="37">
        <f>IF(OR($G272="",$H272=""),"",$G272*$H272)</f>
        <v/>
      </c>
      <c r="J272" s="36" t="n"/>
      <c r="K272" s="36" t="n"/>
      <c r="L272" s="36" t="n"/>
      <c r="M272" s="37">
        <f>IF(NOT(ISNUMBER($I272)),"",$I272+SUM($J272:$L272))</f>
        <v/>
      </c>
      <c r="N272" s="37">
        <f>IF(OR(NOT(ISNUMBER($M272)),NOT(ISNUMBER($G272)),$G272&lt;=0),"",$M272/$G272)</f>
        <v/>
      </c>
      <c r="O272" s="33" t="n"/>
      <c r="P272" s="33" t="n"/>
      <c r="Q272" s="41" t="n"/>
      <c r="R272" s="36" t="n"/>
      <c r="S272" s="37">
        <f>IF(NOT(ISNUMBER($M272)),"",$M272-IF(ISNUMBER($R272),$R272,0))</f>
        <v/>
      </c>
      <c r="T272" s="33" t="n"/>
      <c r="U272" s="51">
        <f>IF(COUNTA($B272,$C272,$D272,$G272,$H272)=0,"",IF(IF($B272=""," · Falta fecha","")&amp;IF($C272=""," · Falta proveedor","")&amp;IF(AND($D272&lt;&gt;"",COUNTIF(tblProductos[SKU],$D272)=0)," · SKU no existe","")&amp;IF($D272=""," · Falta SKU","")&amp;IF(OR($G272="",NOT(ISNUMBER($G272)),$G272&lt;=0)," · Cantidad inválida","")&amp;IF($H272=""," · Falta costo unitario","")&amp;IF(AND($P272="Pagado",$Q272="")," · Pago sin fecha","")&amp;IF(AND(ISNUMBER($R272),ISNUMBER($M272),$R272&gt;N($M272)+0.01)," · Pagado &gt; total","")&amp;IF(AND(ISNUMBER($R272),$R272&gt;0,$Q272="")," · Monto pagado sin fecha","")="","OK",MID(IF($B272=""," · Falta fecha","")&amp;IF($C272=""," · Falta proveedor","")&amp;IF(AND($D272&lt;&gt;"",COUNTIF(tblProductos[SKU],$D272)=0)," · SKU no existe","")&amp;IF($D272=""," · Falta SKU","")&amp;IF(OR($G272="",NOT(ISNUMBER($G272)),$G272&lt;=0)," · Cantidad inválida","")&amp;IF($H272=""," · Falta costo unitario","")&amp;IF(AND($P272="Pagado",$Q272="")," · Pago sin fecha","")&amp;IF(AND(ISNUMBER($R272),ISNUMBER($M272),$R272&gt;N($M272)+0.01)," · Pagado &gt; total","")&amp;IF(AND(ISNUMBER($R272),$R272&gt;0,$Q272="")," · Monto pagado sin fecha",""),4,900)))</f>
        <v/>
      </c>
    </row>
    <row r="273">
      <c r="A273" s="51">
        <f>IF(COUNTA($B273,$C273,$D273,$G273,$H273)=0,"","C-"&amp;TEXT(ROW()-6,"0000"))</f>
        <v/>
      </c>
      <c r="B273" s="41" t="n"/>
      <c r="C273" s="33" t="n"/>
      <c r="D273" s="33" t="n"/>
      <c r="E273" s="51">
        <f>IF($D273="","",IFERROR(IF(INDEX(tblProductos[Nombre del producto],MATCH($D273,tblProductos[SKU],0))="","",INDEX(tblProductos[Nombre del producto],MATCH($D273,tblProductos[SKU],0))),""))</f>
        <v/>
      </c>
      <c r="F273" s="51">
        <f>IF($D273="","",IFERROR(IF(INDEX(tblProductos[Categoría],MATCH($D273,tblProductos[SKU],0))="","",INDEX(tblProductos[Categoría],MATCH($D273,tblProductos[SKU],0))),""))</f>
        <v/>
      </c>
      <c r="G273" s="34" t="n"/>
      <c r="H273" s="36" t="n"/>
      <c r="I273" s="37">
        <f>IF(OR($G273="",$H273=""),"",$G273*$H273)</f>
        <v/>
      </c>
      <c r="J273" s="36" t="n"/>
      <c r="K273" s="36" t="n"/>
      <c r="L273" s="36" t="n"/>
      <c r="M273" s="37">
        <f>IF(NOT(ISNUMBER($I273)),"",$I273+SUM($J273:$L273))</f>
        <v/>
      </c>
      <c r="N273" s="37">
        <f>IF(OR(NOT(ISNUMBER($M273)),NOT(ISNUMBER($G273)),$G273&lt;=0),"",$M273/$G273)</f>
        <v/>
      </c>
      <c r="O273" s="33" t="n"/>
      <c r="P273" s="33" t="n"/>
      <c r="Q273" s="41" t="n"/>
      <c r="R273" s="36" t="n"/>
      <c r="S273" s="37">
        <f>IF(NOT(ISNUMBER($M273)),"",$M273-IF(ISNUMBER($R273),$R273,0))</f>
        <v/>
      </c>
      <c r="T273" s="33" t="n"/>
      <c r="U273" s="51">
        <f>IF(COUNTA($B273,$C273,$D273,$G273,$H273)=0,"",IF(IF($B273=""," · Falta fecha","")&amp;IF($C273=""," · Falta proveedor","")&amp;IF(AND($D273&lt;&gt;"",COUNTIF(tblProductos[SKU],$D273)=0)," · SKU no existe","")&amp;IF($D273=""," · Falta SKU","")&amp;IF(OR($G273="",NOT(ISNUMBER($G273)),$G273&lt;=0)," · Cantidad inválida","")&amp;IF($H273=""," · Falta costo unitario","")&amp;IF(AND($P273="Pagado",$Q273="")," · Pago sin fecha","")&amp;IF(AND(ISNUMBER($R273),ISNUMBER($M273),$R273&gt;N($M273)+0.01)," · Pagado &gt; total","")&amp;IF(AND(ISNUMBER($R273),$R273&gt;0,$Q273="")," · Monto pagado sin fecha","")="","OK",MID(IF($B273=""," · Falta fecha","")&amp;IF($C273=""," · Falta proveedor","")&amp;IF(AND($D273&lt;&gt;"",COUNTIF(tblProductos[SKU],$D273)=0)," · SKU no existe","")&amp;IF($D273=""," · Falta SKU","")&amp;IF(OR($G273="",NOT(ISNUMBER($G273)),$G273&lt;=0)," · Cantidad inválida","")&amp;IF($H273=""," · Falta costo unitario","")&amp;IF(AND($P273="Pagado",$Q273="")," · Pago sin fecha","")&amp;IF(AND(ISNUMBER($R273),ISNUMBER($M273),$R273&gt;N($M273)+0.01)," · Pagado &gt; total","")&amp;IF(AND(ISNUMBER($R273),$R273&gt;0,$Q273="")," · Monto pagado sin fecha",""),4,900)))</f>
        <v/>
      </c>
    </row>
    <row r="274">
      <c r="A274" s="51">
        <f>IF(COUNTA($B274,$C274,$D274,$G274,$H274)=0,"","C-"&amp;TEXT(ROW()-6,"0000"))</f>
        <v/>
      </c>
      <c r="B274" s="41" t="n"/>
      <c r="C274" s="33" t="n"/>
      <c r="D274" s="33" t="n"/>
      <c r="E274" s="51">
        <f>IF($D274="","",IFERROR(IF(INDEX(tblProductos[Nombre del producto],MATCH($D274,tblProductos[SKU],0))="","",INDEX(tblProductos[Nombre del producto],MATCH($D274,tblProductos[SKU],0))),""))</f>
        <v/>
      </c>
      <c r="F274" s="51">
        <f>IF($D274="","",IFERROR(IF(INDEX(tblProductos[Categoría],MATCH($D274,tblProductos[SKU],0))="","",INDEX(tblProductos[Categoría],MATCH($D274,tblProductos[SKU],0))),""))</f>
        <v/>
      </c>
      <c r="G274" s="34" t="n"/>
      <c r="H274" s="36" t="n"/>
      <c r="I274" s="37">
        <f>IF(OR($G274="",$H274=""),"",$G274*$H274)</f>
        <v/>
      </c>
      <c r="J274" s="36" t="n"/>
      <c r="K274" s="36" t="n"/>
      <c r="L274" s="36" t="n"/>
      <c r="M274" s="37">
        <f>IF(NOT(ISNUMBER($I274)),"",$I274+SUM($J274:$L274))</f>
        <v/>
      </c>
      <c r="N274" s="37">
        <f>IF(OR(NOT(ISNUMBER($M274)),NOT(ISNUMBER($G274)),$G274&lt;=0),"",$M274/$G274)</f>
        <v/>
      </c>
      <c r="O274" s="33" t="n"/>
      <c r="P274" s="33" t="n"/>
      <c r="Q274" s="41" t="n"/>
      <c r="R274" s="36" t="n"/>
      <c r="S274" s="37">
        <f>IF(NOT(ISNUMBER($M274)),"",$M274-IF(ISNUMBER($R274),$R274,0))</f>
        <v/>
      </c>
      <c r="T274" s="33" t="n"/>
      <c r="U274" s="51">
        <f>IF(COUNTA($B274,$C274,$D274,$G274,$H274)=0,"",IF(IF($B274=""," · Falta fecha","")&amp;IF($C274=""," · Falta proveedor","")&amp;IF(AND($D274&lt;&gt;"",COUNTIF(tblProductos[SKU],$D274)=0)," · SKU no existe","")&amp;IF($D274=""," · Falta SKU","")&amp;IF(OR($G274="",NOT(ISNUMBER($G274)),$G274&lt;=0)," · Cantidad inválida","")&amp;IF($H274=""," · Falta costo unitario","")&amp;IF(AND($P274="Pagado",$Q274="")," · Pago sin fecha","")&amp;IF(AND(ISNUMBER($R274),ISNUMBER($M274),$R274&gt;N($M274)+0.01)," · Pagado &gt; total","")&amp;IF(AND(ISNUMBER($R274),$R274&gt;0,$Q274="")," · Monto pagado sin fecha","")="","OK",MID(IF($B274=""," · Falta fecha","")&amp;IF($C274=""," · Falta proveedor","")&amp;IF(AND($D274&lt;&gt;"",COUNTIF(tblProductos[SKU],$D274)=0)," · SKU no existe","")&amp;IF($D274=""," · Falta SKU","")&amp;IF(OR($G274="",NOT(ISNUMBER($G274)),$G274&lt;=0)," · Cantidad inválida","")&amp;IF($H274=""," · Falta costo unitario","")&amp;IF(AND($P274="Pagado",$Q274="")," · Pago sin fecha","")&amp;IF(AND(ISNUMBER($R274),ISNUMBER($M274),$R274&gt;N($M274)+0.01)," · Pagado &gt; total","")&amp;IF(AND(ISNUMBER($R274),$R274&gt;0,$Q274="")," · Monto pagado sin fecha",""),4,900)))</f>
        <v/>
      </c>
    </row>
    <row r="275">
      <c r="A275" s="51">
        <f>IF(COUNTA($B275,$C275,$D275,$G275,$H275)=0,"","C-"&amp;TEXT(ROW()-6,"0000"))</f>
        <v/>
      </c>
      <c r="B275" s="41" t="n"/>
      <c r="C275" s="33" t="n"/>
      <c r="D275" s="33" t="n"/>
      <c r="E275" s="51">
        <f>IF($D275="","",IFERROR(IF(INDEX(tblProductos[Nombre del producto],MATCH($D275,tblProductos[SKU],0))="","",INDEX(tblProductos[Nombre del producto],MATCH($D275,tblProductos[SKU],0))),""))</f>
        <v/>
      </c>
      <c r="F275" s="51">
        <f>IF($D275="","",IFERROR(IF(INDEX(tblProductos[Categoría],MATCH($D275,tblProductos[SKU],0))="","",INDEX(tblProductos[Categoría],MATCH($D275,tblProductos[SKU],0))),""))</f>
        <v/>
      </c>
      <c r="G275" s="34" t="n"/>
      <c r="H275" s="36" t="n"/>
      <c r="I275" s="37">
        <f>IF(OR($G275="",$H275=""),"",$G275*$H275)</f>
        <v/>
      </c>
      <c r="J275" s="36" t="n"/>
      <c r="K275" s="36" t="n"/>
      <c r="L275" s="36" t="n"/>
      <c r="M275" s="37">
        <f>IF(NOT(ISNUMBER($I275)),"",$I275+SUM($J275:$L275))</f>
        <v/>
      </c>
      <c r="N275" s="37">
        <f>IF(OR(NOT(ISNUMBER($M275)),NOT(ISNUMBER($G275)),$G275&lt;=0),"",$M275/$G275)</f>
        <v/>
      </c>
      <c r="O275" s="33" t="n"/>
      <c r="P275" s="33" t="n"/>
      <c r="Q275" s="41" t="n"/>
      <c r="R275" s="36" t="n"/>
      <c r="S275" s="37">
        <f>IF(NOT(ISNUMBER($M275)),"",$M275-IF(ISNUMBER($R275),$R275,0))</f>
        <v/>
      </c>
      <c r="T275" s="33" t="n"/>
      <c r="U275" s="51">
        <f>IF(COUNTA($B275,$C275,$D275,$G275,$H275)=0,"",IF(IF($B275=""," · Falta fecha","")&amp;IF($C275=""," · Falta proveedor","")&amp;IF(AND($D275&lt;&gt;"",COUNTIF(tblProductos[SKU],$D275)=0)," · SKU no existe","")&amp;IF($D275=""," · Falta SKU","")&amp;IF(OR($G275="",NOT(ISNUMBER($G275)),$G275&lt;=0)," · Cantidad inválida","")&amp;IF($H275=""," · Falta costo unitario","")&amp;IF(AND($P275="Pagado",$Q275="")," · Pago sin fecha","")&amp;IF(AND(ISNUMBER($R275),ISNUMBER($M275),$R275&gt;N($M275)+0.01)," · Pagado &gt; total","")&amp;IF(AND(ISNUMBER($R275),$R275&gt;0,$Q275="")," · Monto pagado sin fecha","")="","OK",MID(IF($B275=""," · Falta fecha","")&amp;IF($C275=""," · Falta proveedor","")&amp;IF(AND($D275&lt;&gt;"",COUNTIF(tblProductos[SKU],$D275)=0)," · SKU no existe","")&amp;IF($D275=""," · Falta SKU","")&amp;IF(OR($G275="",NOT(ISNUMBER($G275)),$G275&lt;=0)," · Cantidad inválida","")&amp;IF($H275=""," · Falta costo unitario","")&amp;IF(AND($P275="Pagado",$Q275="")," · Pago sin fecha","")&amp;IF(AND(ISNUMBER($R275),ISNUMBER($M275),$R275&gt;N($M275)+0.01)," · Pagado &gt; total","")&amp;IF(AND(ISNUMBER($R275),$R275&gt;0,$Q275="")," · Monto pagado sin fecha",""),4,900)))</f>
        <v/>
      </c>
    </row>
    <row r="276">
      <c r="A276" s="51">
        <f>IF(COUNTA($B276,$C276,$D276,$G276,$H276)=0,"","C-"&amp;TEXT(ROW()-6,"0000"))</f>
        <v/>
      </c>
      <c r="B276" s="41" t="n"/>
      <c r="C276" s="33" t="n"/>
      <c r="D276" s="33" t="n"/>
      <c r="E276" s="51">
        <f>IF($D276="","",IFERROR(IF(INDEX(tblProductos[Nombre del producto],MATCH($D276,tblProductos[SKU],0))="","",INDEX(tblProductos[Nombre del producto],MATCH($D276,tblProductos[SKU],0))),""))</f>
        <v/>
      </c>
      <c r="F276" s="51">
        <f>IF($D276="","",IFERROR(IF(INDEX(tblProductos[Categoría],MATCH($D276,tblProductos[SKU],0))="","",INDEX(tblProductos[Categoría],MATCH($D276,tblProductos[SKU],0))),""))</f>
        <v/>
      </c>
      <c r="G276" s="34" t="n"/>
      <c r="H276" s="36" t="n"/>
      <c r="I276" s="37">
        <f>IF(OR($G276="",$H276=""),"",$G276*$H276)</f>
        <v/>
      </c>
      <c r="J276" s="36" t="n"/>
      <c r="K276" s="36" t="n"/>
      <c r="L276" s="36" t="n"/>
      <c r="M276" s="37">
        <f>IF(NOT(ISNUMBER($I276)),"",$I276+SUM($J276:$L276))</f>
        <v/>
      </c>
      <c r="N276" s="37">
        <f>IF(OR(NOT(ISNUMBER($M276)),NOT(ISNUMBER($G276)),$G276&lt;=0),"",$M276/$G276)</f>
        <v/>
      </c>
      <c r="O276" s="33" t="n"/>
      <c r="P276" s="33" t="n"/>
      <c r="Q276" s="41" t="n"/>
      <c r="R276" s="36" t="n"/>
      <c r="S276" s="37">
        <f>IF(NOT(ISNUMBER($M276)),"",$M276-IF(ISNUMBER($R276),$R276,0))</f>
        <v/>
      </c>
      <c r="T276" s="33" t="n"/>
      <c r="U276" s="51">
        <f>IF(COUNTA($B276,$C276,$D276,$G276,$H276)=0,"",IF(IF($B276=""," · Falta fecha","")&amp;IF($C276=""," · Falta proveedor","")&amp;IF(AND($D276&lt;&gt;"",COUNTIF(tblProductos[SKU],$D276)=0)," · SKU no existe","")&amp;IF($D276=""," · Falta SKU","")&amp;IF(OR($G276="",NOT(ISNUMBER($G276)),$G276&lt;=0)," · Cantidad inválida","")&amp;IF($H276=""," · Falta costo unitario","")&amp;IF(AND($P276="Pagado",$Q276="")," · Pago sin fecha","")&amp;IF(AND(ISNUMBER($R276),ISNUMBER($M276),$R276&gt;N($M276)+0.01)," · Pagado &gt; total","")&amp;IF(AND(ISNUMBER($R276),$R276&gt;0,$Q276="")," · Monto pagado sin fecha","")="","OK",MID(IF($B276=""," · Falta fecha","")&amp;IF($C276=""," · Falta proveedor","")&amp;IF(AND($D276&lt;&gt;"",COUNTIF(tblProductos[SKU],$D276)=0)," · SKU no existe","")&amp;IF($D276=""," · Falta SKU","")&amp;IF(OR($G276="",NOT(ISNUMBER($G276)),$G276&lt;=0)," · Cantidad inválida","")&amp;IF($H276=""," · Falta costo unitario","")&amp;IF(AND($P276="Pagado",$Q276="")," · Pago sin fecha","")&amp;IF(AND(ISNUMBER($R276),ISNUMBER($M276),$R276&gt;N($M276)+0.01)," · Pagado &gt; total","")&amp;IF(AND(ISNUMBER($R276),$R276&gt;0,$Q276="")," · Monto pagado sin fecha",""),4,900)))</f>
        <v/>
      </c>
    </row>
    <row r="277">
      <c r="A277" s="51">
        <f>IF(COUNTA($B277,$C277,$D277,$G277,$H277)=0,"","C-"&amp;TEXT(ROW()-6,"0000"))</f>
        <v/>
      </c>
      <c r="B277" s="41" t="n"/>
      <c r="C277" s="33" t="n"/>
      <c r="D277" s="33" t="n"/>
      <c r="E277" s="51">
        <f>IF($D277="","",IFERROR(IF(INDEX(tblProductos[Nombre del producto],MATCH($D277,tblProductos[SKU],0))="","",INDEX(tblProductos[Nombre del producto],MATCH($D277,tblProductos[SKU],0))),""))</f>
        <v/>
      </c>
      <c r="F277" s="51">
        <f>IF($D277="","",IFERROR(IF(INDEX(tblProductos[Categoría],MATCH($D277,tblProductos[SKU],0))="","",INDEX(tblProductos[Categoría],MATCH($D277,tblProductos[SKU],0))),""))</f>
        <v/>
      </c>
      <c r="G277" s="34" t="n"/>
      <c r="H277" s="36" t="n"/>
      <c r="I277" s="37">
        <f>IF(OR($G277="",$H277=""),"",$G277*$H277)</f>
        <v/>
      </c>
      <c r="J277" s="36" t="n"/>
      <c r="K277" s="36" t="n"/>
      <c r="L277" s="36" t="n"/>
      <c r="M277" s="37">
        <f>IF(NOT(ISNUMBER($I277)),"",$I277+SUM($J277:$L277))</f>
        <v/>
      </c>
      <c r="N277" s="37">
        <f>IF(OR(NOT(ISNUMBER($M277)),NOT(ISNUMBER($G277)),$G277&lt;=0),"",$M277/$G277)</f>
        <v/>
      </c>
      <c r="O277" s="33" t="n"/>
      <c r="P277" s="33" t="n"/>
      <c r="Q277" s="41" t="n"/>
      <c r="R277" s="36" t="n"/>
      <c r="S277" s="37">
        <f>IF(NOT(ISNUMBER($M277)),"",$M277-IF(ISNUMBER($R277),$R277,0))</f>
        <v/>
      </c>
      <c r="T277" s="33" t="n"/>
      <c r="U277" s="51">
        <f>IF(COUNTA($B277,$C277,$D277,$G277,$H277)=0,"",IF(IF($B277=""," · Falta fecha","")&amp;IF($C277=""," · Falta proveedor","")&amp;IF(AND($D277&lt;&gt;"",COUNTIF(tblProductos[SKU],$D277)=0)," · SKU no existe","")&amp;IF($D277=""," · Falta SKU","")&amp;IF(OR($G277="",NOT(ISNUMBER($G277)),$G277&lt;=0)," · Cantidad inválida","")&amp;IF($H277=""," · Falta costo unitario","")&amp;IF(AND($P277="Pagado",$Q277="")," · Pago sin fecha","")&amp;IF(AND(ISNUMBER($R277),ISNUMBER($M277),$R277&gt;N($M277)+0.01)," · Pagado &gt; total","")&amp;IF(AND(ISNUMBER($R277),$R277&gt;0,$Q277="")," · Monto pagado sin fecha","")="","OK",MID(IF($B277=""," · Falta fecha","")&amp;IF($C277=""," · Falta proveedor","")&amp;IF(AND($D277&lt;&gt;"",COUNTIF(tblProductos[SKU],$D277)=0)," · SKU no existe","")&amp;IF($D277=""," · Falta SKU","")&amp;IF(OR($G277="",NOT(ISNUMBER($G277)),$G277&lt;=0)," · Cantidad inválida","")&amp;IF($H277=""," · Falta costo unitario","")&amp;IF(AND($P277="Pagado",$Q277="")," · Pago sin fecha","")&amp;IF(AND(ISNUMBER($R277),ISNUMBER($M277),$R277&gt;N($M277)+0.01)," · Pagado &gt; total","")&amp;IF(AND(ISNUMBER($R277),$R277&gt;0,$Q277="")," · Monto pagado sin fecha",""),4,900)))</f>
        <v/>
      </c>
    </row>
    <row r="278">
      <c r="A278" s="51">
        <f>IF(COUNTA($B278,$C278,$D278,$G278,$H278)=0,"","C-"&amp;TEXT(ROW()-6,"0000"))</f>
        <v/>
      </c>
      <c r="B278" s="41" t="n"/>
      <c r="C278" s="33" t="n"/>
      <c r="D278" s="33" t="n"/>
      <c r="E278" s="51">
        <f>IF($D278="","",IFERROR(IF(INDEX(tblProductos[Nombre del producto],MATCH($D278,tblProductos[SKU],0))="","",INDEX(tblProductos[Nombre del producto],MATCH($D278,tblProductos[SKU],0))),""))</f>
        <v/>
      </c>
      <c r="F278" s="51">
        <f>IF($D278="","",IFERROR(IF(INDEX(tblProductos[Categoría],MATCH($D278,tblProductos[SKU],0))="","",INDEX(tblProductos[Categoría],MATCH($D278,tblProductos[SKU],0))),""))</f>
        <v/>
      </c>
      <c r="G278" s="34" t="n"/>
      <c r="H278" s="36" t="n"/>
      <c r="I278" s="37">
        <f>IF(OR($G278="",$H278=""),"",$G278*$H278)</f>
        <v/>
      </c>
      <c r="J278" s="36" t="n"/>
      <c r="K278" s="36" t="n"/>
      <c r="L278" s="36" t="n"/>
      <c r="M278" s="37">
        <f>IF(NOT(ISNUMBER($I278)),"",$I278+SUM($J278:$L278))</f>
        <v/>
      </c>
      <c r="N278" s="37">
        <f>IF(OR(NOT(ISNUMBER($M278)),NOT(ISNUMBER($G278)),$G278&lt;=0),"",$M278/$G278)</f>
        <v/>
      </c>
      <c r="O278" s="33" t="n"/>
      <c r="P278" s="33" t="n"/>
      <c r="Q278" s="41" t="n"/>
      <c r="R278" s="36" t="n"/>
      <c r="S278" s="37">
        <f>IF(NOT(ISNUMBER($M278)),"",$M278-IF(ISNUMBER($R278),$R278,0))</f>
        <v/>
      </c>
      <c r="T278" s="33" t="n"/>
      <c r="U278" s="51">
        <f>IF(COUNTA($B278,$C278,$D278,$G278,$H278)=0,"",IF(IF($B278=""," · Falta fecha","")&amp;IF($C278=""," · Falta proveedor","")&amp;IF(AND($D278&lt;&gt;"",COUNTIF(tblProductos[SKU],$D278)=0)," · SKU no existe","")&amp;IF($D278=""," · Falta SKU","")&amp;IF(OR($G278="",NOT(ISNUMBER($G278)),$G278&lt;=0)," · Cantidad inválida","")&amp;IF($H278=""," · Falta costo unitario","")&amp;IF(AND($P278="Pagado",$Q278="")," · Pago sin fecha","")&amp;IF(AND(ISNUMBER($R278),ISNUMBER($M278),$R278&gt;N($M278)+0.01)," · Pagado &gt; total","")&amp;IF(AND(ISNUMBER($R278),$R278&gt;0,$Q278="")," · Monto pagado sin fecha","")="","OK",MID(IF($B278=""," · Falta fecha","")&amp;IF($C278=""," · Falta proveedor","")&amp;IF(AND($D278&lt;&gt;"",COUNTIF(tblProductos[SKU],$D278)=0)," · SKU no existe","")&amp;IF($D278=""," · Falta SKU","")&amp;IF(OR($G278="",NOT(ISNUMBER($G278)),$G278&lt;=0)," · Cantidad inválida","")&amp;IF($H278=""," · Falta costo unitario","")&amp;IF(AND($P278="Pagado",$Q278="")," · Pago sin fecha","")&amp;IF(AND(ISNUMBER($R278),ISNUMBER($M278),$R278&gt;N($M278)+0.01)," · Pagado &gt; total","")&amp;IF(AND(ISNUMBER($R278),$R278&gt;0,$Q278="")," · Monto pagado sin fecha",""),4,900)))</f>
        <v/>
      </c>
    </row>
    <row r="279">
      <c r="A279" s="51">
        <f>IF(COUNTA($B279,$C279,$D279,$G279,$H279)=0,"","C-"&amp;TEXT(ROW()-6,"0000"))</f>
        <v/>
      </c>
      <c r="B279" s="41" t="n"/>
      <c r="C279" s="33" t="n"/>
      <c r="D279" s="33" t="n"/>
      <c r="E279" s="51">
        <f>IF($D279="","",IFERROR(IF(INDEX(tblProductos[Nombre del producto],MATCH($D279,tblProductos[SKU],0))="","",INDEX(tblProductos[Nombre del producto],MATCH($D279,tblProductos[SKU],0))),""))</f>
        <v/>
      </c>
      <c r="F279" s="51">
        <f>IF($D279="","",IFERROR(IF(INDEX(tblProductos[Categoría],MATCH($D279,tblProductos[SKU],0))="","",INDEX(tblProductos[Categoría],MATCH($D279,tblProductos[SKU],0))),""))</f>
        <v/>
      </c>
      <c r="G279" s="34" t="n"/>
      <c r="H279" s="36" t="n"/>
      <c r="I279" s="37">
        <f>IF(OR($G279="",$H279=""),"",$G279*$H279)</f>
        <v/>
      </c>
      <c r="J279" s="36" t="n"/>
      <c r="K279" s="36" t="n"/>
      <c r="L279" s="36" t="n"/>
      <c r="M279" s="37">
        <f>IF(NOT(ISNUMBER($I279)),"",$I279+SUM($J279:$L279))</f>
        <v/>
      </c>
      <c r="N279" s="37">
        <f>IF(OR(NOT(ISNUMBER($M279)),NOT(ISNUMBER($G279)),$G279&lt;=0),"",$M279/$G279)</f>
        <v/>
      </c>
      <c r="O279" s="33" t="n"/>
      <c r="P279" s="33" t="n"/>
      <c r="Q279" s="41" t="n"/>
      <c r="R279" s="36" t="n"/>
      <c r="S279" s="37">
        <f>IF(NOT(ISNUMBER($M279)),"",$M279-IF(ISNUMBER($R279),$R279,0))</f>
        <v/>
      </c>
      <c r="T279" s="33" t="n"/>
      <c r="U279" s="51">
        <f>IF(COUNTA($B279,$C279,$D279,$G279,$H279)=0,"",IF(IF($B279=""," · Falta fecha","")&amp;IF($C279=""," · Falta proveedor","")&amp;IF(AND($D279&lt;&gt;"",COUNTIF(tblProductos[SKU],$D279)=0)," · SKU no existe","")&amp;IF($D279=""," · Falta SKU","")&amp;IF(OR($G279="",NOT(ISNUMBER($G279)),$G279&lt;=0)," · Cantidad inválida","")&amp;IF($H279=""," · Falta costo unitario","")&amp;IF(AND($P279="Pagado",$Q279="")," · Pago sin fecha","")&amp;IF(AND(ISNUMBER($R279),ISNUMBER($M279),$R279&gt;N($M279)+0.01)," · Pagado &gt; total","")&amp;IF(AND(ISNUMBER($R279),$R279&gt;0,$Q279="")," · Monto pagado sin fecha","")="","OK",MID(IF($B279=""," · Falta fecha","")&amp;IF($C279=""," · Falta proveedor","")&amp;IF(AND($D279&lt;&gt;"",COUNTIF(tblProductos[SKU],$D279)=0)," · SKU no existe","")&amp;IF($D279=""," · Falta SKU","")&amp;IF(OR($G279="",NOT(ISNUMBER($G279)),$G279&lt;=0)," · Cantidad inválida","")&amp;IF($H279=""," · Falta costo unitario","")&amp;IF(AND($P279="Pagado",$Q279="")," · Pago sin fecha","")&amp;IF(AND(ISNUMBER($R279),ISNUMBER($M279),$R279&gt;N($M279)+0.01)," · Pagado &gt; total","")&amp;IF(AND(ISNUMBER($R279),$R279&gt;0,$Q279="")," · Monto pagado sin fecha",""),4,900)))</f>
        <v/>
      </c>
    </row>
    <row r="280">
      <c r="A280" s="51">
        <f>IF(COUNTA($B280,$C280,$D280,$G280,$H280)=0,"","C-"&amp;TEXT(ROW()-6,"0000"))</f>
        <v/>
      </c>
      <c r="B280" s="41" t="n"/>
      <c r="C280" s="33" t="n"/>
      <c r="D280" s="33" t="n"/>
      <c r="E280" s="51">
        <f>IF($D280="","",IFERROR(IF(INDEX(tblProductos[Nombre del producto],MATCH($D280,tblProductos[SKU],0))="","",INDEX(tblProductos[Nombre del producto],MATCH($D280,tblProductos[SKU],0))),""))</f>
        <v/>
      </c>
      <c r="F280" s="51">
        <f>IF($D280="","",IFERROR(IF(INDEX(tblProductos[Categoría],MATCH($D280,tblProductos[SKU],0))="","",INDEX(tblProductos[Categoría],MATCH($D280,tblProductos[SKU],0))),""))</f>
        <v/>
      </c>
      <c r="G280" s="34" t="n"/>
      <c r="H280" s="36" t="n"/>
      <c r="I280" s="37">
        <f>IF(OR($G280="",$H280=""),"",$G280*$H280)</f>
        <v/>
      </c>
      <c r="J280" s="36" t="n"/>
      <c r="K280" s="36" t="n"/>
      <c r="L280" s="36" t="n"/>
      <c r="M280" s="37">
        <f>IF(NOT(ISNUMBER($I280)),"",$I280+SUM($J280:$L280))</f>
        <v/>
      </c>
      <c r="N280" s="37">
        <f>IF(OR(NOT(ISNUMBER($M280)),NOT(ISNUMBER($G280)),$G280&lt;=0),"",$M280/$G280)</f>
        <v/>
      </c>
      <c r="O280" s="33" t="n"/>
      <c r="P280" s="33" t="n"/>
      <c r="Q280" s="41" t="n"/>
      <c r="R280" s="36" t="n"/>
      <c r="S280" s="37">
        <f>IF(NOT(ISNUMBER($M280)),"",$M280-IF(ISNUMBER($R280),$R280,0))</f>
        <v/>
      </c>
      <c r="T280" s="33" t="n"/>
      <c r="U280" s="51">
        <f>IF(COUNTA($B280,$C280,$D280,$G280,$H280)=0,"",IF(IF($B280=""," · Falta fecha","")&amp;IF($C280=""," · Falta proveedor","")&amp;IF(AND($D280&lt;&gt;"",COUNTIF(tblProductos[SKU],$D280)=0)," · SKU no existe","")&amp;IF($D280=""," · Falta SKU","")&amp;IF(OR($G280="",NOT(ISNUMBER($G280)),$G280&lt;=0)," · Cantidad inválida","")&amp;IF($H280=""," · Falta costo unitario","")&amp;IF(AND($P280="Pagado",$Q280="")," · Pago sin fecha","")&amp;IF(AND(ISNUMBER($R280),ISNUMBER($M280),$R280&gt;N($M280)+0.01)," · Pagado &gt; total","")&amp;IF(AND(ISNUMBER($R280),$R280&gt;0,$Q280="")," · Monto pagado sin fecha","")="","OK",MID(IF($B280=""," · Falta fecha","")&amp;IF($C280=""," · Falta proveedor","")&amp;IF(AND($D280&lt;&gt;"",COUNTIF(tblProductos[SKU],$D280)=0)," · SKU no existe","")&amp;IF($D280=""," · Falta SKU","")&amp;IF(OR($G280="",NOT(ISNUMBER($G280)),$G280&lt;=0)," · Cantidad inválida","")&amp;IF($H280=""," · Falta costo unitario","")&amp;IF(AND($P280="Pagado",$Q280="")," · Pago sin fecha","")&amp;IF(AND(ISNUMBER($R280),ISNUMBER($M280),$R280&gt;N($M280)+0.01)," · Pagado &gt; total","")&amp;IF(AND(ISNUMBER($R280),$R280&gt;0,$Q280="")," · Monto pagado sin fecha",""),4,900)))</f>
        <v/>
      </c>
    </row>
    <row r="281">
      <c r="A281" s="51">
        <f>IF(COUNTA($B281,$C281,$D281,$G281,$H281)=0,"","C-"&amp;TEXT(ROW()-6,"0000"))</f>
        <v/>
      </c>
      <c r="B281" s="41" t="n"/>
      <c r="C281" s="33" t="n"/>
      <c r="D281" s="33" t="n"/>
      <c r="E281" s="51">
        <f>IF($D281="","",IFERROR(IF(INDEX(tblProductos[Nombre del producto],MATCH($D281,tblProductos[SKU],0))="","",INDEX(tblProductos[Nombre del producto],MATCH($D281,tblProductos[SKU],0))),""))</f>
        <v/>
      </c>
      <c r="F281" s="51">
        <f>IF($D281="","",IFERROR(IF(INDEX(tblProductos[Categoría],MATCH($D281,tblProductos[SKU],0))="","",INDEX(tblProductos[Categoría],MATCH($D281,tblProductos[SKU],0))),""))</f>
        <v/>
      </c>
      <c r="G281" s="34" t="n"/>
      <c r="H281" s="36" t="n"/>
      <c r="I281" s="37">
        <f>IF(OR($G281="",$H281=""),"",$G281*$H281)</f>
        <v/>
      </c>
      <c r="J281" s="36" t="n"/>
      <c r="K281" s="36" t="n"/>
      <c r="L281" s="36" t="n"/>
      <c r="M281" s="37">
        <f>IF(NOT(ISNUMBER($I281)),"",$I281+SUM($J281:$L281))</f>
        <v/>
      </c>
      <c r="N281" s="37">
        <f>IF(OR(NOT(ISNUMBER($M281)),NOT(ISNUMBER($G281)),$G281&lt;=0),"",$M281/$G281)</f>
        <v/>
      </c>
      <c r="O281" s="33" t="n"/>
      <c r="P281" s="33" t="n"/>
      <c r="Q281" s="41" t="n"/>
      <c r="R281" s="36" t="n"/>
      <c r="S281" s="37">
        <f>IF(NOT(ISNUMBER($M281)),"",$M281-IF(ISNUMBER($R281),$R281,0))</f>
        <v/>
      </c>
      <c r="T281" s="33" t="n"/>
      <c r="U281" s="51">
        <f>IF(COUNTA($B281,$C281,$D281,$G281,$H281)=0,"",IF(IF($B281=""," · Falta fecha","")&amp;IF($C281=""," · Falta proveedor","")&amp;IF(AND($D281&lt;&gt;"",COUNTIF(tblProductos[SKU],$D281)=0)," · SKU no existe","")&amp;IF($D281=""," · Falta SKU","")&amp;IF(OR($G281="",NOT(ISNUMBER($G281)),$G281&lt;=0)," · Cantidad inválida","")&amp;IF($H281=""," · Falta costo unitario","")&amp;IF(AND($P281="Pagado",$Q281="")," · Pago sin fecha","")&amp;IF(AND(ISNUMBER($R281),ISNUMBER($M281),$R281&gt;N($M281)+0.01)," · Pagado &gt; total","")&amp;IF(AND(ISNUMBER($R281),$R281&gt;0,$Q281="")," · Monto pagado sin fecha","")="","OK",MID(IF($B281=""," · Falta fecha","")&amp;IF($C281=""," · Falta proveedor","")&amp;IF(AND($D281&lt;&gt;"",COUNTIF(tblProductos[SKU],$D281)=0)," · SKU no existe","")&amp;IF($D281=""," · Falta SKU","")&amp;IF(OR($G281="",NOT(ISNUMBER($G281)),$G281&lt;=0)," · Cantidad inválida","")&amp;IF($H281=""," · Falta costo unitario","")&amp;IF(AND($P281="Pagado",$Q281="")," · Pago sin fecha","")&amp;IF(AND(ISNUMBER($R281),ISNUMBER($M281),$R281&gt;N($M281)+0.01)," · Pagado &gt; total","")&amp;IF(AND(ISNUMBER($R281),$R281&gt;0,$Q281="")," · Monto pagado sin fecha",""),4,900)))</f>
        <v/>
      </c>
    </row>
    <row r="282">
      <c r="A282" s="51">
        <f>IF(COUNTA($B282,$C282,$D282,$G282,$H282)=0,"","C-"&amp;TEXT(ROW()-6,"0000"))</f>
        <v/>
      </c>
      <c r="B282" s="41" t="n"/>
      <c r="C282" s="33" t="n"/>
      <c r="D282" s="33" t="n"/>
      <c r="E282" s="51">
        <f>IF($D282="","",IFERROR(IF(INDEX(tblProductos[Nombre del producto],MATCH($D282,tblProductos[SKU],0))="","",INDEX(tblProductos[Nombre del producto],MATCH($D282,tblProductos[SKU],0))),""))</f>
        <v/>
      </c>
      <c r="F282" s="51">
        <f>IF($D282="","",IFERROR(IF(INDEX(tblProductos[Categoría],MATCH($D282,tblProductos[SKU],0))="","",INDEX(tblProductos[Categoría],MATCH($D282,tblProductos[SKU],0))),""))</f>
        <v/>
      </c>
      <c r="G282" s="34" t="n"/>
      <c r="H282" s="36" t="n"/>
      <c r="I282" s="37">
        <f>IF(OR($G282="",$H282=""),"",$G282*$H282)</f>
        <v/>
      </c>
      <c r="J282" s="36" t="n"/>
      <c r="K282" s="36" t="n"/>
      <c r="L282" s="36" t="n"/>
      <c r="M282" s="37">
        <f>IF(NOT(ISNUMBER($I282)),"",$I282+SUM($J282:$L282))</f>
        <v/>
      </c>
      <c r="N282" s="37">
        <f>IF(OR(NOT(ISNUMBER($M282)),NOT(ISNUMBER($G282)),$G282&lt;=0),"",$M282/$G282)</f>
        <v/>
      </c>
      <c r="O282" s="33" t="n"/>
      <c r="P282" s="33" t="n"/>
      <c r="Q282" s="41" t="n"/>
      <c r="R282" s="36" t="n"/>
      <c r="S282" s="37">
        <f>IF(NOT(ISNUMBER($M282)),"",$M282-IF(ISNUMBER($R282),$R282,0))</f>
        <v/>
      </c>
      <c r="T282" s="33" t="n"/>
      <c r="U282" s="51">
        <f>IF(COUNTA($B282,$C282,$D282,$G282,$H282)=0,"",IF(IF($B282=""," · Falta fecha","")&amp;IF($C282=""," · Falta proveedor","")&amp;IF(AND($D282&lt;&gt;"",COUNTIF(tblProductos[SKU],$D282)=0)," · SKU no existe","")&amp;IF($D282=""," · Falta SKU","")&amp;IF(OR($G282="",NOT(ISNUMBER($G282)),$G282&lt;=0)," · Cantidad inválida","")&amp;IF($H282=""," · Falta costo unitario","")&amp;IF(AND($P282="Pagado",$Q282="")," · Pago sin fecha","")&amp;IF(AND(ISNUMBER($R282),ISNUMBER($M282),$R282&gt;N($M282)+0.01)," · Pagado &gt; total","")&amp;IF(AND(ISNUMBER($R282),$R282&gt;0,$Q282="")," · Monto pagado sin fecha","")="","OK",MID(IF($B282=""," · Falta fecha","")&amp;IF($C282=""," · Falta proveedor","")&amp;IF(AND($D282&lt;&gt;"",COUNTIF(tblProductos[SKU],$D282)=0)," · SKU no existe","")&amp;IF($D282=""," · Falta SKU","")&amp;IF(OR($G282="",NOT(ISNUMBER($G282)),$G282&lt;=0)," · Cantidad inválida","")&amp;IF($H282=""," · Falta costo unitario","")&amp;IF(AND($P282="Pagado",$Q282="")," · Pago sin fecha","")&amp;IF(AND(ISNUMBER($R282),ISNUMBER($M282),$R282&gt;N($M282)+0.01)," · Pagado &gt; total","")&amp;IF(AND(ISNUMBER($R282),$R282&gt;0,$Q282="")," · Monto pagado sin fecha",""),4,900)))</f>
        <v/>
      </c>
    </row>
    <row r="283">
      <c r="A283" s="51">
        <f>IF(COUNTA($B283,$C283,$D283,$G283,$H283)=0,"","C-"&amp;TEXT(ROW()-6,"0000"))</f>
        <v/>
      </c>
      <c r="B283" s="41" t="n"/>
      <c r="C283" s="33" t="n"/>
      <c r="D283" s="33" t="n"/>
      <c r="E283" s="51">
        <f>IF($D283="","",IFERROR(IF(INDEX(tblProductos[Nombre del producto],MATCH($D283,tblProductos[SKU],0))="","",INDEX(tblProductos[Nombre del producto],MATCH($D283,tblProductos[SKU],0))),""))</f>
        <v/>
      </c>
      <c r="F283" s="51">
        <f>IF($D283="","",IFERROR(IF(INDEX(tblProductos[Categoría],MATCH($D283,tblProductos[SKU],0))="","",INDEX(tblProductos[Categoría],MATCH($D283,tblProductos[SKU],0))),""))</f>
        <v/>
      </c>
      <c r="G283" s="34" t="n"/>
      <c r="H283" s="36" t="n"/>
      <c r="I283" s="37">
        <f>IF(OR($G283="",$H283=""),"",$G283*$H283)</f>
        <v/>
      </c>
      <c r="J283" s="36" t="n"/>
      <c r="K283" s="36" t="n"/>
      <c r="L283" s="36" t="n"/>
      <c r="M283" s="37">
        <f>IF(NOT(ISNUMBER($I283)),"",$I283+SUM($J283:$L283))</f>
        <v/>
      </c>
      <c r="N283" s="37">
        <f>IF(OR(NOT(ISNUMBER($M283)),NOT(ISNUMBER($G283)),$G283&lt;=0),"",$M283/$G283)</f>
        <v/>
      </c>
      <c r="O283" s="33" t="n"/>
      <c r="P283" s="33" t="n"/>
      <c r="Q283" s="41" t="n"/>
      <c r="R283" s="36" t="n"/>
      <c r="S283" s="37">
        <f>IF(NOT(ISNUMBER($M283)),"",$M283-IF(ISNUMBER($R283),$R283,0))</f>
        <v/>
      </c>
      <c r="T283" s="33" t="n"/>
      <c r="U283" s="51">
        <f>IF(COUNTA($B283,$C283,$D283,$G283,$H283)=0,"",IF(IF($B283=""," · Falta fecha","")&amp;IF($C283=""," · Falta proveedor","")&amp;IF(AND($D283&lt;&gt;"",COUNTIF(tblProductos[SKU],$D283)=0)," · SKU no existe","")&amp;IF($D283=""," · Falta SKU","")&amp;IF(OR($G283="",NOT(ISNUMBER($G283)),$G283&lt;=0)," · Cantidad inválida","")&amp;IF($H283=""," · Falta costo unitario","")&amp;IF(AND($P283="Pagado",$Q283="")," · Pago sin fecha","")&amp;IF(AND(ISNUMBER($R283),ISNUMBER($M283),$R283&gt;N($M283)+0.01)," · Pagado &gt; total","")&amp;IF(AND(ISNUMBER($R283),$R283&gt;0,$Q283="")," · Monto pagado sin fecha","")="","OK",MID(IF($B283=""," · Falta fecha","")&amp;IF($C283=""," · Falta proveedor","")&amp;IF(AND($D283&lt;&gt;"",COUNTIF(tblProductos[SKU],$D283)=0)," · SKU no existe","")&amp;IF($D283=""," · Falta SKU","")&amp;IF(OR($G283="",NOT(ISNUMBER($G283)),$G283&lt;=0)," · Cantidad inválida","")&amp;IF($H283=""," · Falta costo unitario","")&amp;IF(AND($P283="Pagado",$Q283="")," · Pago sin fecha","")&amp;IF(AND(ISNUMBER($R283),ISNUMBER($M283),$R283&gt;N($M283)+0.01)," · Pagado &gt; total","")&amp;IF(AND(ISNUMBER($R283),$R283&gt;0,$Q283="")," · Monto pagado sin fecha",""),4,900)))</f>
        <v/>
      </c>
    </row>
    <row r="284">
      <c r="A284" s="51">
        <f>IF(COUNTA($B284,$C284,$D284,$G284,$H284)=0,"","C-"&amp;TEXT(ROW()-6,"0000"))</f>
        <v/>
      </c>
      <c r="B284" s="41" t="n"/>
      <c r="C284" s="33" t="n"/>
      <c r="D284" s="33" t="n"/>
      <c r="E284" s="51">
        <f>IF($D284="","",IFERROR(IF(INDEX(tblProductos[Nombre del producto],MATCH($D284,tblProductos[SKU],0))="","",INDEX(tblProductos[Nombre del producto],MATCH($D284,tblProductos[SKU],0))),""))</f>
        <v/>
      </c>
      <c r="F284" s="51">
        <f>IF($D284="","",IFERROR(IF(INDEX(tblProductos[Categoría],MATCH($D284,tblProductos[SKU],0))="","",INDEX(tblProductos[Categoría],MATCH($D284,tblProductos[SKU],0))),""))</f>
        <v/>
      </c>
      <c r="G284" s="34" t="n"/>
      <c r="H284" s="36" t="n"/>
      <c r="I284" s="37">
        <f>IF(OR($G284="",$H284=""),"",$G284*$H284)</f>
        <v/>
      </c>
      <c r="J284" s="36" t="n"/>
      <c r="K284" s="36" t="n"/>
      <c r="L284" s="36" t="n"/>
      <c r="M284" s="37">
        <f>IF(NOT(ISNUMBER($I284)),"",$I284+SUM($J284:$L284))</f>
        <v/>
      </c>
      <c r="N284" s="37">
        <f>IF(OR(NOT(ISNUMBER($M284)),NOT(ISNUMBER($G284)),$G284&lt;=0),"",$M284/$G284)</f>
        <v/>
      </c>
      <c r="O284" s="33" t="n"/>
      <c r="P284" s="33" t="n"/>
      <c r="Q284" s="41" t="n"/>
      <c r="R284" s="36" t="n"/>
      <c r="S284" s="37">
        <f>IF(NOT(ISNUMBER($M284)),"",$M284-IF(ISNUMBER($R284),$R284,0))</f>
        <v/>
      </c>
      <c r="T284" s="33" t="n"/>
      <c r="U284" s="51">
        <f>IF(COUNTA($B284,$C284,$D284,$G284,$H284)=0,"",IF(IF($B284=""," · Falta fecha","")&amp;IF($C284=""," · Falta proveedor","")&amp;IF(AND($D284&lt;&gt;"",COUNTIF(tblProductos[SKU],$D284)=0)," · SKU no existe","")&amp;IF($D284=""," · Falta SKU","")&amp;IF(OR($G284="",NOT(ISNUMBER($G284)),$G284&lt;=0)," · Cantidad inválida","")&amp;IF($H284=""," · Falta costo unitario","")&amp;IF(AND($P284="Pagado",$Q284="")," · Pago sin fecha","")&amp;IF(AND(ISNUMBER($R284),ISNUMBER($M284),$R284&gt;N($M284)+0.01)," · Pagado &gt; total","")&amp;IF(AND(ISNUMBER($R284),$R284&gt;0,$Q284="")," · Monto pagado sin fecha","")="","OK",MID(IF($B284=""," · Falta fecha","")&amp;IF($C284=""," · Falta proveedor","")&amp;IF(AND($D284&lt;&gt;"",COUNTIF(tblProductos[SKU],$D284)=0)," · SKU no existe","")&amp;IF($D284=""," · Falta SKU","")&amp;IF(OR($G284="",NOT(ISNUMBER($G284)),$G284&lt;=0)," · Cantidad inválida","")&amp;IF($H284=""," · Falta costo unitario","")&amp;IF(AND($P284="Pagado",$Q284="")," · Pago sin fecha","")&amp;IF(AND(ISNUMBER($R284),ISNUMBER($M284),$R284&gt;N($M284)+0.01)," · Pagado &gt; total","")&amp;IF(AND(ISNUMBER($R284),$R284&gt;0,$Q284="")," · Monto pagado sin fecha",""),4,900)))</f>
        <v/>
      </c>
    </row>
    <row r="285">
      <c r="A285" s="51">
        <f>IF(COUNTA($B285,$C285,$D285,$G285,$H285)=0,"","C-"&amp;TEXT(ROW()-6,"0000"))</f>
        <v/>
      </c>
      <c r="B285" s="41" t="n"/>
      <c r="C285" s="33" t="n"/>
      <c r="D285" s="33" t="n"/>
      <c r="E285" s="51">
        <f>IF($D285="","",IFERROR(IF(INDEX(tblProductos[Nombre del producto],MATCH($D285,tblProductos[SKU],0))="","",INDEX(tblProductos[Nombre del producto],MATCH($D285,tblProductos[SKU],0))),""))</f>
        <v/>
      </c>
      <c r="F285" s="51">
        <f>IF($D285="","",IFERROR(IF(INDEX(tblProductos[Categoría],MATCH($D285,tblProductos[SKU],0))="","",INDEX(tblProductos[Categoría],MATCH($D285,tblProductos[SKU],0))),""))</f>
        <v/>
      </c>
      <c r="G285" s="34" t="n"/>
      <c r="H285" s="36" t="n"/>
      <c r="I285" s="37">
        <f>IF(OR($G285="",$H285=""),"",$G285*$H285)</f>
        <v/>
      </c>
      <c r="J285" s="36" t="n"/>
      <c r="K285" s="36" t="n"/>
      <c r="L285" s="36" t="n"/>
      <c r="M285" s="37">
        <f>IF(NOT(ISNUMBER($I285)),"",$I285+SUM($J285:$L285))</f>
        <v/>
      </c>
      <c r="N285" s="37">
        <f>IF(OR(NOT(ISNUMBER($M285)),NOT(ISNUMBER($G285)),$G285&lt;=0),"",$M285/$G285)</f>
        <v/>
      </c>
      <c r="O285" s="33" t="n"/>
      <c r="P285" s="33" t="n"/>
      <c r="Q285" s="41" t="n"/>
      <c r="R285" s="36" t="n"/>
      <c r="S285" s="37">
        <f>IF(NOT(ISNUMBER($M285)),"",$M285-IF(ISNUMBER($R285),$R285,0))</f>
        <v/>
      </c>
      <c r="T285" s="33" t="n"/>
      <c r="U285" s="51">
        <f>IF(COUNTA($B285,$C285,$D285,$G285,$H285)=0,"",IF(IF($B285=""," · Falta fecha","")&amp;IF($C285=""," · Falta proveedor","")&amp;IF(AND($D285&lt;&gt;"",COUNTIF(tblProductos[SKU],$D285)=0)," · SKU no existe","")&amp;IF($D285=""," · Falta SKU","")&amp;IF(OR($G285="",NOT(ISNUMBER($G285)),$G285&lt;=0)," · Cantidad inválida","")&amp;IF($H285=""," · Falta costo unitario","")&amp;IF(AND($P285="Pagado",$Q285="")," · Pago sin fecha","")&amp;IF(AND(ISNUMBER($R285),ISNUMBER($M285),$R285&gt;N($M285)+0.01)," · Pagado &gt; total","")&amp;IF(AND(ISNUMBER($R285),$R285&gt;0,$Q285="")," · Monto pagado sin fecha","")="","OK",MID(IF($B285=""," · Falta fecha","")&amp;IF($C285=""," · Falta proveedor","")&amp;IF(AND($D285&lt;&gt;"",COUNTIF(tblProductos[SKU],$D285)=0)," · SKU no existe","")&amp;IF($D285=""," · Falta SKU","")&amp;IF(OR($G285="",NOT(ISNUMBER($G285)),$G285&lt;=0)," · Cantidad inválida","")&amp;IF($H285=""," · Falta costo unitario","")&amp;IF(AND($P285="Pagado",$Q285="")," · Pago sin fecha","")&amp;IF(AND(ISNUMBER($R285),ISNUMBER($M285),$R285&gt;N($M285)+0.01)," · Pagado &gt; total","")&amp;IF(AND(ISNUMBER($R285),$R285&gt;0,$Q285="")," · Monto pagado sin fecha",""),4,900)))</f>
        <v/>
      </c>
    </row>
    <row r="286">
      <c r="A286" s="51">
        <f>IF(COUNTA($B286,$C286,$D286,$G286,$H286)=0,"","C-"&amp;TEXT(ROW()-6,"0000"))</f>
        <v/>
      </c>
      <c r="B286" s="41" t="n"/>
      <c r="C286" s="33" t="n"/>
      <c r="D286" s="33" t="n"/>
      <c r="E286" s="51">
        <f>IF($D286="","",IFERROR(IF(INDEX(tblProductos[Nombre del producto],MATCH($D286,tblProductos[SKU],0))="","",INDEX(tblProductos[Nombre del producto],MATCH($D286,tblProductos[SKU],0))),""))</f>
        <v/>
      </c>
      <c r="F286" s="51">
        <f>IF($D286="","",IFERROR(IF(INDEX(tblProductos[Categoría],MATCH($D286,tblProductos[SKU],0))="","",INDEX(tblProductos[Categoría],MATCH($D286,tblProductos[SKU],0))),""))</f>
        <v/>
      </c>
      <c r="G286" s="34" t="n"/>
      <c r="H286" s="36" t="n"/>
      <c r="I286" s="37">
        <f>IF(OR($G286="",$H286=""),"",$G286*$H286)</f>
        <v/>
      </c>
      <c r="J286" s="36" t="n"/>
      <c r="K286" s="36" t="n"/>
      <c r="L286" s="36" t="n"/>
      <c r="M286" s="37">
        <f>IF(NOT(ISNUMBER($I286)),"",$I286+SUM($J286:$L286))</f>
        <v/>
      </c>
      <c r="N286" s="37">
        <f>IF(OR(NOT(ISNUMBER($M286)),NOT(ISNUMBER($G286)),$G286&lt;=0),"",$M286/$G286)</f>
        <v/>
      </c>
      <c r="O286" s="33" t="n"/>
      <c r="P286" s="33" t="n"/>
      <c r="Q286" s="41" t="n"/>
      <c r="R286" s="36" t="n"/>
      <c r="S286" s="37">
        <f>IF(NOT(ISNUMBER($M286)),"",$M286-IF(ISNUMBER($R286),$R286,0))</f>
        <v/>
      </c>
      <c r="T286" s="33" t="n"/>
      <c r="U286" s="51">
        <f>IF(COUNTA($B286,$C286,$D286,$G286,$H286)=0,"",IF(IF($B286=""," · Falta fecha","")&amp;IF($C286=""," · Falta proveedor","")&amp;IF(AND($D286&lt;&gt;"",COUNTIF(tblProductos[SKU],$D286)=0)," · SKU no existe","")&amp;IF($D286=""," · Falta SKU","")&amp;IF(OR($G286="",NOT(ISNUMBER($G286)),$G286&lt;=0)," · Cantidad inválida","")&amp;IF($H286=""," · Falta costo unitario","")&amp;IF(AND($P286="Pagado",$Q286="")," · Pago sin fecha","")&amp;IF(AND(ISNUMBER($R286),ISNUMBER($M286),$R286&gt;N($M286)+0.01)," · Pagado &gt; total","")&amp;IF(AND(ISNUMBER($R286),$R286&gt;0,$Q286="")," · Monto pagado sin fecha","")="","OK",MID(IF($B286=""," · Falta fecha","")&amp;IF($C286=""," · Falta proveedor","")&amp;IF(AND($D286&lt;&gt;"",COUNTIF(tblProductos[SKU],$D286)=0)," · SKU no existe","")&amp;IF($D286=""," · Falta SKU","")&amp;IF(OR($G286="",NOT(ISNUMBER($G286)),$G286&lt;=0)," · Cantidad inválida","")&amp;IF($H286=""," · Falta costo unitario","")&amp;IF(AND($P286="Pagado",$Q286="")," · Pago sin fecha","")&amp;IF(AND(ISNUMBER($R286),ISNUMBER($M286),$R286&gt;N($M286)+0.01)," · Pagado &gt; total","")&amp;IF(AND(ISNUMBER($R286),$R286&gt;0,$Q286="")," · Monto pagado sin fecha",""),4,900)))</f>
        <v/>
      </c>
    </row>
    <row r="287">
      <c r="A287" s="51">
        <f>IF(COUNTA($B287,$C287,$D287,$G287,$H287)=0,"","C-"&amp;TEXT(ROW()-6,"0000"))</f>
        <v/>
      </c>
      <c r="B287" s="41" t="n"/>
      <c r="C287" s="33" t="n"/>
      <c r="D287" s="33" t="n"/>
      <c r="E287" s="51">
        <f>IF($D287="","",IFERROR(IF(INDEX(tblProductos[Nombre del producto],MATCH($D287,tblProductos[SKU],0))="","",INDEX(tblProductos[Nombre del producto],MATCH($D287,tblProductos[SKU],0))),""))</f>
        <v/>
      </c>
      <c r="F287" s="51">
        <f>IF($D287="","",IFERROR(IF(INDEX(tblProductos[Categoría],MATCH($D287,tblProductos[SKU],0))="","",INDEX(tblProductos[Categoría],MATCH($D287,tblProductos[SKU],0))),""))</f>
        <v/>
      </c>
      <c r="G287" s="34" t="n"/>
      <c r="H287" s="36" t="n"/>
      <c r="I287" s="37">
        <f>IF(OR($G287="",$H287=""),"",$G287*$H287)</f>
        <v/>
      </c>
      <c r="J287" s="36" t="n"/>
      <c r="K287" s="36" t="n"/>
      <c r="L287" s="36" t="n"/>
      <c r="M287" s="37">
        <f>IF(NOT(ISNUMBER($I287)),"",$I287+SUM($J287:$L287))</f>
        <v/>
      </c>
      <c r="N287" s="37">
        <f>IF(OR(NOT(ISNUMBER($M287)),NOT(ISNUMBER($G287)),$G287&lt;=0),"",$M287/$G287)</f>
        <v/>
      </c>
      <c r="O287" s="33" t="n"/>
      <c r="P287" s="33" t="n"/>
      <c r="Q287" s="41" t="n"/>
      <c r="R287" s="36" t="n"/>
      <c r="S287" s="37">
        <f>IF(NOT(ISNUMBER($M287)),"",$M287-IF(ISNUMBER($R287),$R287,0))</f>
        <v/>
      </c>
      <c r="T287" s="33" t="n"/>
      <c r="U287" s="51">
        <f>IF(COUNTA($B287,$C287,$D287,$G287,$H287)=0,"",IF(IF($B287=""," · Falta fecha","")&amp;IF($C287=""," · Falta proveedor","")&amp;IF(AND($D287&lt;&gt;"",COUNTIF(tblProductos[SKU],$D287)=0)," · SKU no existe","")&amp;IF($D287=""," · Falta SKU","")&amp;IF(OR($G287="",NOT(ISNUMBER($G287)),$G287&lt;=0)," · Cantidad inválida","")&amp;IF($H287=""," · Falta costo unitario","")&amp;IF(AND($P287="Pagado",$Q287="")," · Pago sin fecha","")&amp;IF(AND(ISNUMBER($R287),ISNUMBER($M287),$R287&gt;N($M287)+0.01)," · Pagado &gt; total","")&amp;IF(AND(ISNUMBER($R287),$R287&gt;0,$Q287="")," · Monto pagado sin fecha","")="","OK",MID(IF($B287=""," · Falta fecha","")&amp;IF($C287=""," · Falta proveedor","")&amp;IF(AND($D287&lt;&gt;"",COUNTIF(tblProductos[SKU],$D287)=0)," · SKU no existe","")&amp;IF($D287=""," · Falta SKU","")&amp;IF(OR($G287="",NOT(ISNUMBER($G287)),$G287&lt;=0)," · Cantidad inválida","")&amp;IF($H287=""," · Falta costo unitario","")&amp;IF(AND($P287="Pagado",$Q287="")," · Pago sin fecha","")&amp;IF(AND(ISNUMBER($R287),ISNUMBER($M287),$R287&gt;N($M287)+0.01)," · Pagado &gt; total","")&amp;IF(AND(ISNUMBER($R287),$R287&gt;0,$Q287="")," · Monto pagado sin fecha",""),4,900)))</f>
        <v/>
      </c>
    </row>
    <row r="288">
      <c r="A288" s="51">
        <f>IF(COUNTA($B288,$C288,$D288,$G288,$H288)=0,"","C-"&amp;TEXT(ROW()-6,"0000"))</f>
        <v/>
      </c>
      <c r="B288" s="41" t="n"/>
      <c r="C288" s="33" t="n"/>
      <c r="D288" s="33" t="n"/>
      <c r="E288" s="51">
        <f>IF($D288="","",IFERROR(IF(INDEX(tblProductos[Nombre del producto],MATCH($D288,tblProductos[SKU],0))="","",INDEX(tblProductos[Nombre del producto],MATCH($D288,tblProductos[SKU],0))),""))</f>
        <v/>
      </c>
      <c r="F288" s="51">
        <f>IF($D288="","",IFERROR(IF(INDEX(tblProductos[Categoría],MATCH($D288,tblProductos[SKU],0))="","",INDEX(tblProductos[Categoría],MATCH($D288,tblProductos[SKU],0))),""))</f>
        <v/>
      </c>
      <c r="G288" s="34" t="n"/>
      <c r="H288" s="36" t="n"/>
      <c r="I288" s="37">
        <f>IF(OR($G288="",$H288=""),"",$G288*$H288)</f>
        <v/>
      </c>
      <c r="J288" s="36" t="n"/>
      <c r="K288" s="36" t="n"/>
      <c r="L288" s="36" t="n"/>
      <c r="M288" s="37">
        <f>IF(NOT(ISNUMBER($I288)),"",$I288+SUM($J288:$L288))</f>
        <v/>
      </c>
      <c r="N288" s="37">
        <f>IF(OR(NOT(ISNUMBER($M288)),NOT(ISNUMBER($G288)),$G288&lt;=0),"",$M288/$G288)</f>
        <v/>
      </c>
      <c r="O288" s="33" t="n"/>
      <c r="P288" s="33" t="n"/>
      <c r="Q288" s="41" t="n"/>
      <c r="R288" s="36" t="n"/>
      <c r="S288" s="37">
        <f>IF(NOT(ISNUMBER($M288)),"",$M288-IF(ISNUMBER($R288),$R288,0))</f>
        <v/>
      </c>
      <c r="T288" s="33" t="n"/>
      <c r="U288" s="51">
        <f>IF(COUNTA($B288,$C288,$D288,$G288,$H288)=0,"",IF(IF($B288=""," · Falta fecha","")&amp;IF($C288=""," · Falta proveedor","")&amp;IF(AND($D288&lt;&gt;"",COUNTIF(tblProductos[SKU],$D288)=0)," · SKU no existe","")&amp;IF($D288=""," · Falta SKU","")&amp;IF(OR($G288="",NOT(ISNUMBER($G288)),$G288&lt;=0)," · Cantidad inválida","")&amp;IF($H288=""," · Falta costo unitario","")&amp;IF(AND($P288="Pagado",$Q288="")," · Pago sin fecha","")&amp;IF(AND(ISNUMBER($R288),ISNUMBER($M288),$R288&gt;N($M288)+0.01)," · Pagado &gt; total","")&amp;IF(AND(ISNUMBER($R288),$R288&gt;0,$Q288="")," · Monto pagado sin fecha","")="","OK",MID(IF($B288=""," · Falta fecha","")&amp;IF($C288=""," · Falta proveedor","")&amp;IF(AND($D288&lt;&gt;"",COUNTIF(tblProductos[SKU],$D288)=0)," · SKU no existe","")&amp;IF($D288=""," · Falta SKU","")&amp;IF(OR($G288="",NOT(ISNUMBER($G288)),$G288&lt;=0)," · Cantidad inválida","")&amp;IF($H288=""," · Falta costo unitario","")&amp;IF(AND($P288="Pagado",$Q288="")," · Pago sin fecha","")&amp;IF(AND(ISNUMBER($R288),ISNUMBER($M288),$R288&gt;N($M288)+0.01)," · Pagado &gt; total","")&amp;IF(AND(ISNUMBER($R288),$R288&gt;0,$Q288="")," · Monto pagado sin fecha",""),4,900)))</f>
        <v/>
      </c>
    </row>
    <row r="289">
      <c r="A289" s="51">
        <f>IF(COUNTA($B289,$C289,$D289,$G289,$H289)=0,"","C-"&amp;TEXT(ROW()-6,"0000"))</f>
        <v/>
      </c>
      <c r="B289" s="41" t="n"/>
      <c r="C289" s="33" t="n"/>
      <c r="D289" s="33" t="n"/>
      <c r="E289" s="51">
        <f>IF($D289="","",IFERROR(IF(INDEX(tblProductos[Nombre del producto],MATCH($D289,tblProductos[SKU],0))="","",INDEX(tblProductos[Nombre del producto],MATCH($D289,tblProductos[SKU],0))),""))</f>
        <v/>
      </c>
      <c r="F289" s="51">
        <f>IF($D289="","",IFERROR(IF(INDEX(tblProductos[Categoría],MATCH($D289,tblProductos[SKU],0))="","",INDEX(tblProductos[Categoría],MATCH($D289,tblProductos[SKU],0))),""))</f>
        <v/>
      </c>
      <c r="G289" s="34" t="n"/>
      <c r="H289" s="36" t="n"/>
      <c r="I289" s="37">
        <f>IF(OR($G289="",$H289=""),"",$G289*$H289)</f>
        <v/>
      </c>
      <c r="J289" s="36" t="n"/>
      <c r="K289" s="36" t="n"/>
      <c r="L289" s="36" t="n"/>
      <c r="M289" s="37">
        <f>IF(NOT(ISNUMBER($I289)),"",$I289+SUM($J289:$L289))</f>
        <v/>
      </c>
      <c r="N289" s="37">
        <f>IF(OR(NOT(ISNUMBER($M289)),NOT(ISNUMBER($G289)),$G289&lt;=0),"",$M289/$G289)</f>
        <v/>
      </c>
      <c r="O289" s="33" t="n"/>
      <c r="P289" s="33" t="n"/>
      <c r="Q289" s="41" t="n"/>
      <c r="R289" s="36" t="n"/>
      <c r="S289" s="37">
        <f>IF(NOT(ISNUMBER($M289)),"",$M289-IF(ISNUMBER($R289),$R289,0))</f>
        <v/>
      </c>
      <c r="T289" s="33" t="n"/>
      <c r="U289" s="51">
        <f>IF(COUNTA($B289,$C289,$D289,$G289,$H289)=0,"",IF(IF($B289=""," · Falta fecha","")&amp;IF($C289=""," · Falta proveedor","")&amp;IF(AND($D289&lt;&gt;"",COUNTIF(tblProductos[SKU],$D289)=0)," · SKU no existe","")&amp;IF($D289=""," · Falta SKU","")&amp;IF(OR($G289="",NOT(ISNUMBER($G289)),$G289&lt;=0)," · Cantidad inválida","")&amp;IF($H289=""," · Falta costo unitario","")&amp;IF(AND($P289="Pagado",$Q289="")," · Pago sin fecha","")&amp;IF(AND(ISNUMBER($R289),ISNUMBER($M289),$R289&gt;N($M289)+0.01)," · Pagado &gt; total","")&amp;IF(AND(ISNUMBER($R289),$R289&gt;0,$Q289="")," · Monto pagado sin fecha","")="","OK",MID(IF($B289=""," · Falta fecha","")&amp;IF($C289=""," · Falta proveedor","")&amp;IF(AND($D289&lt;&gt;"",COUNTIF(tblProductos[SKU],$D289)=0)," · SKU no existe","")&amp;IF($D289=""," · Falta SKU","")&amp;IF(OR($G289="",NOT(ISNUMBER($G289)),$G289&lt;=0)," · Cantidad inválida","")&amp;IF($H289=""," · Falta costo unitario","")&amp;IF(AND($P289="Pagado",$Q289="")," · Pago sin fecha","")&amp;IF(AND(ISNUMBER($R289),ISNUMBER($M289),$R289&gt;N($M289)+0.01)," · Pagado &gt; total","")&amp;IF(AND(ISNUMBER($R289),$R289&gt;0,$Q289="")," · Monto pagado sin fecha",""),4,900)))</f>
        <v/>
      </c>
    </row>
    <row r="290">
      <c r="A290" s="51">
        <f>IF(COUNTA($B290,$C290,$D290,$G290,$H290)=0,"","C-"&amp;TEXT(ROW()-6,"0000"))</f>
        <v/>
      </c>
      <c r="B290" s="41" t="n"/>
      <c r="C290" s="33" t="n"/>
      <c r="D290" s="33" t="n"/>
      <c r="E290" s="51">
        <f>IF($D290="","",IFERROR(IF(INDEX(tblProductos[Nombre del producto],MATCH($D290,tblProductos[SKU],0))="","",INDEX(tblProductos[Nombre del producto],MATCH($D290,tblProductos[SKU],0))),""))</f>
        <v/>
      </c>
      <c r="F290" s="51">
        <f>IF($D290="","",IFERROR(IF(INDEX(tblProductos[Categoría],MATCH($D290,tblProductos[SKU],0))="","",INDEX(tblProductos[Categoría],MATCH($D290,tblProductos[SKU],0))),""))</f>
        <v/>
      </c>
      <c r="G290" s="34" t="n"/>
      <c r="H290" s="36" t="n"/>
      <c r="I290" s="37">
        <f>IF(OR($G290="",$H290=""),"",$G290*$H290)</f>
        <v/>
      </c>
      <c r="J290" s="36" t="n"/>
      <c r="K290" s="36" t="n"/>
      <c r="L290" s="36" t="n"/>
      <c r="M290" s="37">
        <f>IF(NOT(ISNUMBER($I290)),"",$I290+SUM($J290:$L290))</f>
        <v/>
      </c>
      <c r="N290" s="37">
        <f>IF(OR(NOT(ISNUMBER($M290)),NOT(ISNUMBER($G290)),$G290&lt;=0),"",$M290/$G290)</f>
        <v/>
      </c>
      <c r="O290" s="33" t="n"/>
      <c r="P290" s="33" t="n"/>
      <c r="Q290" s="41" t="n"/>
      <c r="R290" s="36" t="n"/>
      <c r="S290" s="37">
        <f>IF(NOT(ISNUMBER($M290)),"",$M290-IF(ISNUMBER($R290),$R290,0))</f>
        <v/>
      </c>
      <c r="T290" s="33" t="n"/>
      <c r="U290" s="51">
        <f>IF(COUNTA($B290,$C290,$D290,$G290,$H290)=0,"",IF(IF($B290=""," · Falta fecha","")&amp;IF($C290=""," · Falta proveedor","")&amp;IF(AND($D290&lt;&gt;"",COUNTIF(tblProductos[SKU],$D290)=0)," · SKU no existe","")&amp;IF($D290=""," · Falta SKU","")&amp;IF(OR($G290="",NOT(ISNUMBER($G290)),$G290&lt;=0)," · Cantidad inválida","")&amp;IF($H290=""," · Falta costo unitario","")&amp;IF(AND($P290="Pagado",$Q290="")," · Pago sin fecha","")&amp;IF(AND(ISNUMBER($R290),ISNUMBER($M290),$R290&gt;N($M290)+0.01)," · Pagado &gt; total","")&amp;IF(AND(ISNUMBER($R290),$R290&gt;0,$Q290="")," · Monto pagado sin fecha","")="","OK",MID(IF($B290=""," · Falta fecha","")&amp;IF($C290=""," · Falta proveedor","")&amp;IF(AND($D290&lt;&gt;"",COUNTIF(tblProductos[SKU],$D290)=0)," · SKU no existe","")&amp;IF($D290=""," · Falta SKU","")&amp;IF(OR($G290="",NOT(ISNUMBER($G290)),$G290&lt;=0)," · Cantidad inválida","")&amp;IF($H290=""," · Falta costo unitario","")&amp;IF(AND($P290="Pagado",$Q290="")," · Pago sin fecha","")&amp;IF(AND(ISNUMBER($R290),ISNUMBER($M290),$R290&gt;N($M290)+0.01)," · Pagado &gt; total","")&amp;IF(AND(ISNUMBER($R290),$R290&gt;0,$Q290="")," · Monto pagado sin fecha",""),4,900)))</f>
        <v/>
      </c>
    </row>
    <row r="291">
      <c r="A291" s="51">
        <f>IF(COUNTA($B291,$C291,$D291,$G291,$H291)=0,"","C-"&amp;TEXT(ROW()-6,"0000"))</f>
        <v/>
      </c>
      <c r="B291" s="41" t="n"/>
      <c r="C291" s="33" t="n"/>
      <c r="D291" s="33" t="n"/>
      <c r="E291" s="51">
        <f>IF($D291="","",IFERROR(IF(INDEX(tblProductos[Nombre del producto],MATCH($D291,tblProductos[SKU],0))="","",INDEX(tblProductos[Nombre del producto],MATCH($D291,tblProductos[SKU],0))),""))</f>
        <v/>
      </c>
      <c r="F291" s="51">
        <f>IF($D291="","",IFERROR(IF(INDEX(tblProductos[Categoría],MATCH($D291,tblProductos[SKU],0))="","",INDEX(tblProductos[Categoría],MATCH($D291,tblProductos[SKU],0))),""))</f>
        <v/>
      </c>
      <c r="G291" s="34" t="n"/>
      <c r="H291" s="36" t="n"/>
      <c r="I291" s="37">
        <f>IF(OR($G291="",$H291=""),"",$G291*$H291)</f>
        <v/>
      </c>
      <c r="J291" s="36" t="n"/>
      <c r="K291" s="36" t="n"/>
      <c r="L291" s="36" t="n"/>
      <c r="M291" s="37">
        <f>IF(NOT(ISNUMBER($I291)),"",$I291+SUM($J291:$L291))</f>
        <v/>
      </c>
      <c r="N291" s="37">
        <f>IF(OR(NOT(ISNUMBER($M291)),NOT(ISNUMBER($G291)),$G291&lt;=0),"",$M291/$G291)</f>
        <v/>
      </c>
      <c r="O291" s="33" t="n"/>
      <c r="P291" s="33" t="n"/>
      <c r="Q291" s="41" t="n"/>
      <c r="R291" s="36" t="n"/>
      <c r="S291" s="37">
        <f>IF(NOT(ISNUMBER($M291)),"",$M291-IF(ISNUMBER($R291),$R291,0))</f>
        <v/>
      </c>
      <c r="T291" s="33" t="n"/>
      <c r="U291" s="51">
        <f>IF(COUNTA($B291,$C291,$D291,$G291,$H291)=0,"",IF(IF($B291=""," · Falta fecha","")&amp;IF($C291=""," · Falta proveedor","")&amp;IF(AND($D291&lt;&gt;"",COUNTIF(tblProductos[SKU],$D291)=0)," · SKU no existe","")&amp;IF($D291=""," · Falta SKU","")&amp;IF(OR($G291="",NOT(ISNUMBER($G291)),$G291&lt;=0)," · Cantidad inválida","")&amp;IF($H291=""," · Falta costo unitario","")&amp;IF(AND($P291="Pagado",$Q291="")," · Pago sin fecha","")&amp;IF(AND(ISNUMBER($R291),ISNUMBER($M291),$R291&gt;N($M291)+0.01)," · Pagado &gt; total","")&amp;IF(AND(ISNUMBER($R291),$R291&gt;0,$Q291="")," · Monto pagado sin fecha","")="","OK",MID(IF($B291=""," · Falta fecha","")&amp;IF($C291=""," · Falta proveedor","")&amp;IF(AND($D291&lt;&gt;"",COUNTIF(tblProductos[SKU],$D291)=0)," · SKU no existe","")&amp;IF($D291=""," · Falta SKU","")&amp;IF(OR($G291="",NOT(ISNUMBER($G291)),$G291&lt;=0)," · Cantidad inválida","")&amp;IF($H291=""," · Falta costo unitario","")&amp;IF(AND($P291="Pagado",$Q291="")," · Pago sin fecha","")&amp;IF(AND(ISNUMBER($R291),ISNUMBER($M291),$R291&gt;N($M291)+0.01)," · Pagado &gt; total","")&amp;IF(AND(ISNUMBER($R291),$R291&gt;0,$Q291="")," · Monto pagado sin fecha",""),4,900)))</f>
        <v/>
      </c>
    </row>
    <row r="292">
      <c r="A292" s="51">
        <f>IF(COUNTA($B292,$C292,$D292,$G292,$H292)=0,"","C-"&amp;TEXT(ROW()-6,"0000"))</f>
        <v/>
      </c>
      <c r="B292" s="41" t="n"/>
      <c r="C292" s="33" t="n"/>
      <c r="D292" s="33" t="n"/>
      <c r="E292" s="51">
        <f>IF($D292="","",IFERROR(IF(INDEX(tblProductos[Nombre del producto],MATCH($D292,tblProductos[SKU],0))="","",INDEX(tblProductos[Nombre del producto],MATCH($D292,tblProductos[SKU],0))),""))</f>
        <v/>
      </c>
      <c r="F292" s="51">
        <f>IF($D292="","",IFERROR(IF(INDEX(tblProductos[Categoría],MATCH($D292,tblProductos[SKU],0))="","",INDEX(tblProductos[Categoría],MATCH($D292,tblProductos[SKU],0))),""))</f>
        <v/>
      </c>
      <c r="G292" s="34" t="n"/>
      <c r="H292" s="36" t="n"/>
      <c r="I292" s="37">
        <f>IF(OR($G292="",$H292=""),"",$G292*$H292)</f>
        <v/>
      </c>
      <c r="J292" s="36" t="n"/>
      <c r="K292" s="36" t="n"/>
      <c r="L292" s="36" t="n"/>
      <c r="M292" s="37">
        <f>IF(NOT(ISNUMBER($I292)),"",$I292+SUM($J292:$L292))</f>
        <v/>
      </c>
      <c r="N292" s="37">
        <f>IF(OR(NOT(ISNUMBER($M292)),NOT(ISNUMBER($G292)),$G292&lt;=0),"",$M292/$G292)</f>
        <v/>
      </c>
      <c r="O292" s="33" t="n"/>
      <c r="P292" s="33" t="n"/>
      <c r="Q292" s="41" t="n"/>
      <c r="R292" s="36" t="n"/>
      <c r="S292" s="37">
        <f>IF(NOT(ISNUMBER($M292)),"",$M292-IF(ISNUMBER($R292),$R292,0))</f>
        <v/>
      </c>
      <c r="T292" s="33" t="n"/>
      <c r="U292" s="51">
        <f>IF(COUNTA($B292,$C292,$D292,$G292,$H292)=0,"",IF(IF($B292=""," · Falta fecha","")&amp;IF($C292=""," · Falta proveedor","")&amp;IF(AND($D292&lt;&gt;"",COUNTIF(tblProductos[SKU],$D292)=0)," · SKU no existe","")&amp;IF($D292=""," · Falta SKU","")&amp;IF(OR($G292="",NOT(ISNUMBER($G292)),$G292&lt;=0)," · Cantidad inválida","")&amp;IF($H292=""," · Falta costo unitario","")&amp;IF(AND($P292="Pagado",$Q292="")," · Pago sin fecha","")&amp;IF(AND(ISNUMBER($R292),ISNUMBER($M292),$R292&gt;N($M292)+0.01)," · Pagado &gt; total","")&amp;IF(AND(ISNUMBER($R292),$R292&gt;0,$Q292="")," · Monto pagado sin fecha","")="","OK",MID(IF($B292=""," · Falta fecha","")&amp;IF($C292=""," · Falta proveedor","")&amp;IF(AND($D292&lt;&gt;"",COUNTIF(tblProductos[SKU],$D292)=0)," · SKU no existe","")&amp;IF($D292=""," · Falta SKU","")&amp;IF(OR($G292="",NOT(ISNUMBER($G292)),$G292&lt;=0)," · Cantidad inválida","")&amp;IF($H292=""," · Falta costo unitario","")&amp;IF(AND($P292="Pagado",$Q292="")," · Pago sin fecha","")&amp;IF(AND(ISNUMBER($R292),ISNUMBER($M292),$R292&gt;N($M292)+0.01)," · Pagado &gt; total","")&amp;IF(AND(ISNUMBER($R292),$R292&gt;0,$Q292="")," · Monto pagado sin fecha",""),4,900)))</f>
        <v/>
      </c>
    </row>
    <row r="293">
      <c r="A293" s="51">
        <f>IF(COUNTA($B293,$C293,$D293,$G293,$H293)=0,"","C-"&amp;TEXT(ROW()-6,"0000"))</f>
        <v/>
      </c>
      <c r="B293" s="41" t="n"/>
      <c r="C293" s="33" t="n"/>
      <c r="D293" s="33" t="n"/>
      <c r="E293" s="51">
        <f>IF($D293="","",IFERROR(IF(INDEX(tblProductos[Nombre del producto],MATCH($D293,tblProductos[SKU],0))="","",INDEX(tblProductos[Nombre del producto],MATCH($D293,tblProductos[SKU],0))),""))</f>
        <v/>
      </c>
      <c r="F293" s="51">
        <f>IF($D293="","",IFERROR(IF(INDEX(tblProductos[Categoría],MATCH($D293,tblProductos[SKU],0))="","",INDEX(tblProductos[Categoría],MATCH($D293,tblProductos[SKU],0))),""))</f>
        <v/>
      </c>
      <c r="G293" s="34" t="n"/>
      <c r="H293" s="36" t="n"/>
      <c r="I293" s="37">
        <f>IF(OR($G293="",$H293=""),"",$G293*$H293)</f>
        <v/>
      </c>
      <c r="J293" s="36" t="n"/>
      <c r="K293" s="36" t="n"/>
      <c r="L293" s="36" t="n"/>
      <c r="M293" s="37">
        <f>IF(NOT(ISNUMBER($I293)),"",$I293+SUM($J293:$L293))</f>
        <v/>
      </c>
      <c r="N293" s="37">
        <f>IF(OR(NOT(ISNUMBER($M293)),NOT(ISNUMBER($G293)),$G293&lt;=0),"",$M293/$G293)</f>
        <v/>
      </c>
      <c r="O293" s="33" t="n"/>
      <c r="P293" s="33" t="n"/>
      <c r="Q293" s="41" t="n"/>
      <c r="R293" s="36" t="n"/>
      <c r="S293" s="37">
        <f>IF(NOT(ISNUMBER($M293)),"",$M293-IF(ISNUMBER($R293),$R293,0))</f>
        <v/>
      </c>
      <c r="T293" s="33" t="n"/>
      <c r="U293" s="51">
        <f>IF(COUNTA($B293,$C293,$D293,$G293,$H293)=0,"",IF(IF($B293=""," · Falta fecha","")&amp;IF($C293=""," · Falta proveedor","")&amp;IF(AND($D293&lt;&gt;"",COUNTIF(tblProductos[SKU],$D293)=0)," · SKU no existe","")&amp;IF($D293=""," · Falta SKU","")&amp;IF(OR($G293="",NOT(ISNUMBER($G293)),$G293&lt;=0)," · Cantidad inválida","")&amp;IF($H293=""," · Falta costo unitario","")&amp;IF(AND($P293="Pagado",$Q293="")," · Pago sin fecha","")&amp;IF(AND(ISNUMBER($R293),ISNUMBER($M293),$R293&gt;N($M293)+0.01)," · Pagado &gt; total","")&amp;IF(AND(ISNUMBER($R293),$R293&gt;0,$Q293="")," · Monto pagado sin fecha","")="","OK",MID(IF($B293=""," · Falta fecha","")&amp;IF($C293=""," · Falta proveedor","")&amp;IF(AND($D293&lt;&gt;"",COUNTIF(tblProductos[SKU],$D293)=0)," · SKU no existe","")&amp;IF($D293=""," · Falta SKU","")&amp;IF(OR($G293="",NOT(ISNUMBER($G293)),$G293&lt;=0)," · Cantidad inválida","")&amp;IF($H293=""," · Falta costo unitario","")&amp;IF(AND($P293="Pagado",$Q293="")," · Pago sin fecha","")&amp;IF(AND(ISNUMBER($R293),ISNUMBER($M293),$R293&gt;N($M293)+0.01)," · Pagado &gt; total","")&amp;IF(AND(ISNUMBER($R293),$R293&gt;0,$Q293="")," · Monto pagado sin fecha",""),4,900)))</f>
        <v/>
      </c>
    </row>
    <row r="294">
      <c r="A294" s="51">
        <f>IF(COUNTA($B294,$C294,$D294,$G294,$H294)=0,"","C-"&amp;TEXT(ROW()-6,"0000"))</f>
        <v/>
      </c>
      <c r="B294" s="41" t="n"/>
      <c r="C294" s="33" t="n"/>
      <c r="D294" s="33" t="n"/>
      <c r="E294" s="51">
        <f>IF($D294="","",IFERROR(IF(INDEX(tblProductos[Nombre del producto],MATCH($D294,tblProductos[SKU],0))="","",INDEX(tblProductos[Nombre del producto],MATCH($D294,tblProductos[SKU],0))),""))</f>
        <v/>
      </c>
      <c r="F294" s="51">
        <f>IF($D294="","",IFERROR(IF(INDEX(tblProductos[Categoría],MATCH($D294,tblProductos[SKU],0))="","",INDEX(tblProductos[Categoría],MATCH($D294,tblProductos[SKU],0))),""))</f>
        <v/>
      </c>
      <c r="G294" s="34" t="n"/>
      <c r="H294" s="36" t="n"/>
      <c r="I294" s="37">
        <f>IF(OR($G294="",$H294=""),"",$G294*$H294)</f>
        <v/>
      </c>
      <c r="J294" s="36" t="n"/>
      <c r="K294" s="36" t="n"/>
      <c r="L294" s="36" t="n"/>
      <c r="M294" s="37">
        <f>IF(NOT(ISNUMBER($I294)),"",$I294+SUM($J294:$L294))</f>
        <v/>
      </c>
      <c r="N294" s="37">
        <f>IF(OR(NOT(ISNUMBER($M294)),NOT(ISNUMBER($G294)),$G294&lt;=0),"",$M294/$G294)</f>
        <v/>
      </c>
      <c r="O294" s="33" t="n"/>
      <c r="P294" s="33" t="n"/>
      <c r="Q294" s="41" t="n"/>
      <c r="R294" s="36" t="n"/>
      <c r="S294" s="37">
        <f>IF(NOT(ISNUMBER($M294)),"",$M294-IF(ISNUMBER($R294),$R294,0))</f>
        <v/>
      </c>
      <c r="T294" s="33" t="n"/>
      <c r="U294" s="51">
        <f>IF(COUNTA($B294,$C294,$D294,$G294,$H294)=0,"",IF(IF($B294=""," · Falta fecha","")&amp;IF($C294=""," · Falta proveedor","")&amp;IF(AND($D294&lt;&gt;"",COUNTIF(tblProductos[SKU],$D294)=0)," · SKU no existe","")&amp;IF($D294=""," · Falta SKU","")&amp;IF(OR($G294="",NOT(ISNUMBER($G294)),$G294&lt;=0)," · Cantidad inválida","")&amp;IF($H294=""," · Falta costo unitario","")&amp;IF(AND($P294="Pagado",$Q294="")," · Pago sin fecha","")&amp;IF(AND(ISNUMBER($R294),ISNUMBER($M294),$R294&gt;N($M294)+0.01)," · Pagado &gt; total","")&amp;IF(AND(ISNUMBER($R294),$R294&gt;0,$Q294="")," · Monto pagado sin fecha","")="","OK",MID(IF($B294=""," · Falta fecha","")&amp;IF($C294=""," · Falta proveedor","")&amp;IF(AND($D294&lt;&gt;"",COUNTIF(tblProductos[SKU],$D294)=0)," · SKU no existe","")&amp;IF($D294=""," · Falta SKU","")&amp;IF(OR($G294="",NOT(ISNUMBER($G294)),$G294&lt;=0)," · Cantidad inválida","")&amp;IF($H294=""," · Falta costo unitario","")&amp;IF(AND($P294="Pagado",$Q294="")," · Pago sin fecha","")&amp;IF(AND(ISNUMBER($R294),ISNUMBER($M294),$R294&gt;N($M294)+0.01)," · Pagado &gt; total","")&amp;IF(AND(ISNUMBER($R294),$R294&gt;0,$Q294="")," · Monto pagado sin fecha",""),4,900)))</f>
        <v/>
      </c>
    </row>
    <row r="295">
      <c r="A295" s="51">
        <f>IF(COUNTA($B295,$C295,$D295,$G295,$H295)=0,"","C-"&amp;TEXT(ROW()-6,"0000"))</f>
        <v/>
      </c>
      <c r="B295" s="41" t="n"/>
      <c r="C295" s="33" t="n"/>
      <c r="D295" s="33" t="n"/>
      <c r="E295" s="51">
        <f>IF($D295="","",IFERROR(IF(INDEX(tblProductos[Nombre del producto],MATCH($D295,tblProductos[SKU],0))="","",INDEX(tblProductos[Nombre del producto],MATCH($D295,tblProductos[SKU],0))),""))</f>
        <v/>
      </c>
      <c r="F295" s="51">
        <f>IF($D295="","",IFERROR(IF(INDEX(tblProductos[Categoría],MATCH($D295,tblProductos[SKU],0))="","",INDEX(tblProductos[Categoría],MATCH($D295,tblProductos[SKU],0))),""))</f>
        <v/>
      </c>
      <c r="G295" s="34" t="n"/>
      <c r="H295" s="36" t="n"/>
      <c r="I295" s="37">
        <f>IF(OR($G295="",$H295=""),"",$G295*$H295)</f>
        <v/>
      </c>
      <c r="J295" s="36" t="n"/>
      <c r="K295" s="36" t="n"/>
      <c r="L295" s="36" t="n"/>
      <c r="M295" s="37">
        <f>IF(NOT(ISNUMBER($I295)),"",$I295+SUM($J295:$L295))</f>
        <v/>
      </c>
      <c r="N295" s="37">
        <f>IF(OR(NOT(ISNUMBER($M295)),NOT(ISNUMBER($G295)),$G295&lt;=0),"",$M295/$G295)</f>
        <v/>
      </c>
      <c r="O295" s="33" t="n"/>
      <c r="P295" s="33" t="n"/>
      <c r="Q295" s="41" t="n"/>
      <c r="R295" s="36" t="n"/>
      <c r="S295" s="37">
        <f>IF(NOT(ISNUMBER($M295)),"",$M295-IF(ISNUMBER($R295),$R295,0))</f>
        <v/>
      </c>
      <c r="T295" s="33" t="n"/>
      <c r="U295" s="51">
        <f>IF(COUNTA($B295,$C295,$D295,$G295,$H295)=0,"",IF(IF($B295=""," · Falta fecha","")&amp;IF($C295=""," · Falta proveedor","")&amp;IF(AND($D295&lt;&gt;"",COUNTIF(tblProductos[SKU],$D295)=0)," · SKU no existe","")&amp;IF($D295=""," · Falta SKU","")&amp;IF(OR($G295="",NOT(ISNUMBER($G295)),$G295&lt;=0)," · Cantidad inválida","")&amp;IF($H295=""," · Falta costo unitario","")&amp;IF(AND($P295="Pagado",$Q295="")," · Pago sin fecha","")&amp;IF(AND(ISNUMBER($R295),ISNUMBER($M295),$R295&gt;N($M295)+0.01)," · Pagado &gt; total","")&amp;IF(AND(ISNUMBER($R295),$R295&gt;0,$Q295="")," · Monto pagado sin fecha","")="","OK",MID(IF($B295=""," · Falta fecha","")&amp;IF($C295=""," · Falta proveedor","")&amp;IF(AND($D295&lt;&gt;"",COUNTIF(tblProductos[SKU],$D295)=0)," · SKU no existe","")&amp;IF($D295=""," · Falta SKU","")&amp;IF(OR($G295="",NOT(ISNUMBER($G295)),$G295&lt;=0)," · Cantidad inválida","")&amp;IF($H295=""," · Falta costo unitario","")&amp;IF(AND($P295="Pagado",$Q295="")," · Pago sin fecha","")&amp;IF(AND(ISNUMBER($R295),ISNUMBER($M295),$R295&gt;N($M295)+0.01)," · Pagado &gt; total","")&amp;IF(AND(ISNUMBER($R295),$R295&gt;0,$Q295="")," · Monto pagado sin fecha",""),4,900)))</f>
        <v/>
      </c>
    </row>
    <row r="296">
      <c r="A296" s="51">
        <f>IF(COUNTA($B296,$C296,$D296,$G296,$H296)=0,"","C-"&amp;TEXT(ROW()-6,"0000"))</f>
        <v/>
      </c>
      <c r="B296" s="41" t="n"/>
      <c r="C296" s="33" t="n"/>
      <c r="D296" s="33" t="n"/>
      <c r="E296" s="51">
        <f>IF($D296="","",IFERROR(IF(INDEX(tblProductos[Nombre del producto],MATCH($D296,tblProductos[SKU],0))="","",INDEX(tblProductos[Nombre del producto],MATCH($D296,tblProductos[SKU],0))),""))</f>
        <v/>
      </c>
      <c r="F296" s="51">
        <f>IF($D296="","",IFERROR(IF(INDEX(tblProductos[Categoría],MATCH($D296,tblProductos[SKU],0))="","",INDEX(tblProductos[Categoría],MATCH($D296,tblProductos[SKU],0))),""))</f>
        <v/>
      </c>
      <c r="G296" s="34" t="n"/>
      <c r="H296" s="36" t="n"/>
      <c r="I296" s="37">
        <f>IF(OR($G296="",$H296=""),"",$G296*$H296)</f>
        <v/>
      </c>
      <c r="J296" s="36" t="n"/>
      <c r="K296" s="36" t="n"/>
      <c r="L296" s="36" t="n"/>
      <c r="M296" s="37">
        <f>IF(NOT(ISNUMBER($I296)),"",$I296+SUM($J296:$L296))</f>
        <v/>
      </c>
      <c r="N296" s="37">
        <f>IF(OR(NOT(ISNUMBER($M296)),NOT(ISNUMBER($G296)),$G296&lt;=0),"",$M296/$G296)</f>
        <v/>
      </c>
      <c r="O296" s="33" t="n"/>
      <c r="P296" s="33" t="n"/>
      <c r="Q296" s="41" t="n"/>
      <c r="R296" s="36" t="n"/>
      <c r="S296" s="37">
        <f>IF(NOT(ISNUMBER($M296)),"",$M296-IF(ISNUMBER($R296),$R296,0))</f>
        <v/>
      </c>
      <c r="T296" s="33" t="n"/>
      <c r="U296" s="51">
        <f>IF(COUNTA($B296,$C296,$D296,$G296,$H296)=0,"",IF(IF($B296=""," · Falta fecha","")&amp;IF($C296=""," · Falta proveedor","")&amp;IF(AND($D296&lt;&gt;"",COUNTIF(tblProductos[SKU],$D296)=0)," · SKU no existe","")&amp;IF($D296=""," · Falta SKU","")&amp;IF(OR($G296="",NOT(ISNUMBER($G296)),$G296&lt;=0)," · Cantidad inválida","")&amp;IF($H296=""," · Falta costo unitario","")&amp;IF(AND($P296="Pagado",$Q296="")," · Pago sin fecha","")&amp;IF(AND(ISNUMBER($R296),ISNUMBER($M296),$R296&gt;N($M296)+0.01)," · Pagado &gt; total","")&amp;IF(AND(ISNUMBER($R296),$R296&gt;0,$Q296="")," · Monto pagado sin fecha","")="","OK",MID(IF($B296=""," · Falta fecha","")&amp;IF($C296=""," · Falta proveedor","")&amp;IF(AND($D296&lt;&gt;"",COUNTIF(tblProductos[SKU],$D296)=0)," · SKU no existe","")&amp;IF($D296=""," · Falta SKU","")&amp;IF(OR($G296="",NOT(ISNUMBER($G296)),$G296&lt;=0)," · Cantidad inválida","")&amp;IF($H296=""," · Falta costo unitario","")&amp;IF(AND($P296="Pagado",$Q296="")," · Pago sin fecha","")&amp;IF(AND(ISNUMBER($R296),ISNUMBER($M296),$R296&gt;N($M296)+0.01)," · Pagado &gt; total","")&amp;IF(AND(ISNUMBER($R296),$R296&gt;0,$Q296="")," · Monto pagado sin fecha",""),4,900)))</f>
        <v/>
      </c>
    </row>
    <row r="297">
      <c r="A297" s="51">
        <f>IF(COUNTA($B297,$C297,$D297,$G297,$H297)=0,"","C-"&amp;TEXT(ROW()-6,"0000"))</f>
        <v/>
      </c>
      <c r="B297" s="41" t="n"/>
      <c r="C297" s="33" t="n"/>
      <c r="D297" s="33" t="n"/>
      <c r="E297" s="51">
        <f>IF($D297="","",IFERROR(IF(INDEX(tblProductos[Nombre del producto],MATCH($D297,tblProductos[SKU],0))="","",INDEX(tblProductos[Nombre del producto],MATCH($D297,tblProductos[SKU],0))),""))</f>
        <v/>
      </c>
      <c r="F297" s="51">
        <f>IF($D297="","",IFERROR(IF(INDEX(tblProductos[Categoría],MATCH($D297,tblProductos[SKU],0))="","",INDEX(tblProductos[Categoría],MATCH($D297,tblProductos[SKU],0))),""))</f>
        <v/>
      </c>
      <c r="G297" s="34" t="n"/>
      <c r="H297" s="36" t="n"/>
      <c r="I297" s="37">
        <f>IF(OR($G297="",$H297=""),"",$G297*$H297)</f>
        <v/>
      </c>
      <c r="J297" s="36" t="n"/>
      <c r="K297" s="36" t="n"/>
      <c r="L297" s="36" t="n"/>
      <c r="M297" s="37">
        <f>IF(NOT(ISNUMBER($I297)),"",$I297+SUM($J297:$L297))</f>
        <v/>
      </c>
      <c r="N297" s="37">
        <f>IF(OR(NOT(ISNUMBER($M297)),NOT(ISNUMBER($G297)),$G297&lt;=0),"",$M297/$G297)</f>
        <v/>
      </c>
      <c r="O297" s="33" t="n"/>
      <c r="P297" s="33" t="n"/>
      <c r="Q297" s="41" t="n"/>
      <c r="R297" s="36" t="n"/>
      <c r="S297" s="37">
        <f>IF(NOT(ISNUMBER($M297)),"",$M297-IF(ISNUMBER($R297),$R297,0))</f>
        <v/>
      </c>
      <c r="T297" s="33" t="n"/>
      <c r="U297" s="51">
        <f>IF(COUNTA($B297,$C297,$D297,$G297,$H297)=0,"",IF(IF($B297=""," · Falta fecha","")&amp;IF($C297=""," · Falta proveedor","")&amp;IF(AND($D297&lt;&gt;"",COUNTIF(tblProductos[SKU],$D297)=0)," · SKU no existe","")&amp;IF($D297=""," · Falta SKU","")&amp;IF(OR($G297="",NOT(ISNUMBER($G297)),$G297&lt;=0)," · Cantidad inválida","")&amp;IF($H297=""," · Falta costo unitario","")&amp;IF(AND($P297="Pagado",$Q297="")," · Pago sin fecha","")&amp;IF(AND(ISNUMBER($R297),ISNUMBER($M297),$R297&gt;N($M297)+0.01)," · Pagado &gt; total","")&amp;IF(AND(ISNUMBER($R297),$R297&gt;0,$Q297="")," · Monto pagado sin fecha","")="","OK",MID(IF($B297=""," · Falta fecha","")&amp;IF($C297=""," · Falta proveedor","")&amp;IF(AND($D297&lt;&gt;"",COUNTIF(tblProductos[SKU],$D297)=0)," · SKU no existe","")&amp;IF($D297=""," · Falta SKU","")&amp;IF(OR($G297="",NOT(ISNUMBER($G297)),$G297&lt;=0)," · Cantidad inválida","")&amp;IF($H297=""," · Falta costo unitario","")&amp;IF(AND($P297="Pagado",$Q297="")," · Pago sin fecha","")&amp;IF(AND(ISNUMBER($R297),ISNUMBER($M297),$R297&gt;N($M297)+0.01)," · Pagado &gt; total","")&amp;IF(AND(ISNUMBER($R297),$R297&gt;0,$Q297="")," · Monto pagado sin fecha",""),4,900)))</f>
        <v/>
      </c>
    </row>
    <row r="298">
      <c r="A298" s="51">
        <f>IF(COUNTA($B298,$C298,$D298,$G298,$H298)=0,"","C-"&amp;TEXT(ROW()-6,"0000"))</f>
        <v/>
      </c>
      <c r="B298" s="41" t="n"/>
      <c r="C298" s="33" t="n"/>
      <c r="D298" s="33" t="n"/>
      <c r="E298" s="51">
        <f>IF($D298="","",IFERROR(IF(INDEX(tblProductos[Nombre del producto],MATCH($D298,tblProductos[SKU],0))="","",INDEX(tblProductos[Nombre del producto],MATCH($D298,tblProductos[SKU],0))),""))</f>
        <v/>
      </c>
      <c r="F298" s="51">
        <f>IF($D298="","",IFERROR(IF(INDEX(tblProductos[Categoría],MATCH($D298,tblProductos[SKU],0))="","",INDEX(tblProductos[Categoría],MATCH($D298,tblProductos[SKU],0))),""))</f>
        <v/>
      </c>
      <c r="G298" s="34" t="n"/>
      <c r="H298" s="36" t="n"/>
      <c r="I298" s="37">
        <f>IF(OR($G298="",$H298=""),"",$G298*$H298)</f>
        <v/>
      </c>
      <c r="J298" s="36" t="n"/>
      <c r="K298" s="36" t="n"/>
      <c r="L298" s="36" t="n"/>
      <c r="M298" s="37">
        <f>IF(NOT(ISNUMBER($I298)),"",$I298+SUM($J298:$L298))</f>
        <v/>
      </c>
      <c r="N298" s="37">
        <f>IF(OR(NOT(ISNUMBER($M298)),NOT(ISNUMBER($G298)),$G298&lt;=0),"",$M298/$G298)</f>
        <v/>
      </c>
      <c r="O298" s="33" t="n"/>
      <c r="P298" s="33" t="n"/>
      <c r="Q298" s="41" t="n"/>
      <c r="R298" s="36" t="n"/>
      <c r="S298" s="37">
        <f>IF(NOT(ISNUMBER($M298)),"",$M298-IF(ISNUMBER($R298),$R298,0))</f>
        <v/>
      </c>
      <c r="T298" s="33" t="n"/>
      <c r="U298" s="51">
        <f>IF(COUNTA($B298,$C298,$D298,$G298,$H298)=0,"",IF(IF($B298=""," · Falta fecha","")&amp;IF($C298=""," · Falta proveedor","")&amp;IF(AND($D298&lt;&gt;"",COUNTIF(tblProductos[SKU],$D298)=0)," · SKU no existe","")&amp;IF($D298=""," · Falta SKU","")&amp;IF(OR($G298="",NOT(ISNUMBER($G298)),$G298&lt;=0)," · Cantidad inválida","")&amp;IF($H298=""," · Falta costo unitario","")&amp;IF(AND($P298="Pagado",$Q298="")," · Pago sin fecha","")&amp;IF(AND(ISNUMBER($R298),ISNUMBER($M298),$R298&gt;N($M298)+0.01)," · Pagado &gt; total","")&amp;IF(AND(ISNUMBER($R298),$R298&gt;0,$Q298="")," · Monto pagado sin fecha","")="","OK",MID(IF($B298=""," · Falta fecha","")&amp;IF($C298=""," · Falta proveedor","")&amp;IF(AND($D298&lt;&gt;"",COUNTIF(tblProductos[SKU],$D298)=0)," · SKU no existe","")&amp;IF($D298=""," · Falta SKU","")&amp;IF(OR($G298="",NOT(ISNUMBER($G298)),$G298&lt;=0)," · Cantidad inválida","")&amp;IF($H298=""," · Falta costo unitario","")&amp;IF(AND($P298="Pagado",$Q298="")," · Pago sin fecha","")&amp;IF(AND(ISNUMBER($R298),ISNUMBER($M298),$R298&gt;N($M298)+0.01)," · Pagado &gt; total","")&amp;IF(AND(ISNUMBER($R298),$R298&gt;0,$Q298="")," · Monto pagado sin fecha",""),4,900)))</f>
        <v/>
      </c>
    </row>
    <row r="299">
      <c r="A299" s="51">
        <f>IF(COUNTA($B299,$C299,$D299,$G299,$H299)=0,"","C-"&amp;TEXT(ROW()-6,"0000"))</f>
        <v/>
      </c>
      <c r="B299" s="41" t="n"/>
      <c r="C299" s="33" t="n"/>
      <c r="D299" s="33" t="n"/>
      <c r="E299" s="51">
        <f>IF($D299="","",IFERROR(IF(INDEX(tblProductos[Nombre del producto],MATCH($D299,tblProductos[SKU],0))="","",INDEX(tblProductos[Nombre del producto],MATCH($D299,tblProductos[SKU],0))),""))</f>
        <v/>
      </c>
      <c r="F299" s="51">
        <f>IF($D299="","",IFERROR(IF(INDEX(tblProductos[Categoría],MATCH($D299,tblProductos[SKU],0))="","",INDEX(tblProductos[Categoría],MATCH($D299,tblProductos[SKU],0))),""))</f>
        <v/>
      </c>
      <c r="G299" s="34" t="n"/>
      <c r="H299" s="36" t="n"/>
      <c r="I299" s="37">
        <f>IF(OR($G299="",$H299=""),"",$G299*$H299)</f>
        <v/>
      </c>
      <c r="J299" s="36" t="n"/>
      <c r="K299" s="36" t="n"/>
      <c r="L299" s="36" t="n"/>
      <c r="M299" s="37">
        <f>IF(NOT(ISNUMBER($I299)),"",$I299+SUM($J299:$L299))</f>
        <v/>
      </c>
      <c r="N299" s="37">
        <f>IF(OR(NOT(ISNUMBER($M299)),NOT(ISNUMBER($G299)),$G299&lt;=0),"",$M299/$G299)</f>
        <v/>
      </c>
      <c r="O299" s="33" t="n"/>
      <c r="P299" s="33" t="n"/>
      <c r="Q299" s="41" t="n"/>
      <c r="R299" s="36" t="n"/>
      <c r="S299" s="37">
        <f>IF(NOT(ISNUMBER($M299)),"",$M299-IF(ISNUMBER($R299),$R299,0))</f>
        <v/>
      </c>
      <c r="T299" s="33" t="n"/>
      <c r="U299" s="51">
        <f>IF(COUNTA($B299,$C299,$D299,$G299,$H299)=0,"",IF(IF($B299=""," · Falta fecha","")&amp;IF($C299=""," · Falta proveedor","")&amp;IF(AND($D299&lt;&gt;"",COUNTIF(tblProductos[SKU],$D299)=0)," · SKU no existe","")&amp;IF($D299=""," · Falta SKU","")&amp;IF(OR($G299="",NOT(ISNUMBER($G299)),$G299&lt;=0)," · Cantidad inválida","")&amp;IF($H299=""," · Falta costo unitario","")&amp;IF(AND($P299="Pagado",$Q299="")," · Pago sin fecha","")&amp;IF(AND(ISNUMBER($R299),ISNUMBER($M299),$R299&gt;N($M299)+0.01)," · Pagado &gt; total","")&amp;IF(AND(ISNUMBER($R299),$R299&gt;0,$Q299="")," · Monto pagado sin fecha","")="","OK",MID(IF($B299=""," · Falta fecha","")&amp;IF($C299=""," · Falta proveedor","")&amp;IF(AND($D299&lt;&gt;"",COUNTIF(tblProductos[SKU],$D299)=0)," · SKU no existe","")&amp;IF($D299=""," · Falta SKU","")&amp;IF(OR($G299="",NOT(ISNUMBER($G299)),$G299&lt;=0)," · Cantidad inválida","")&amp;IF($H299=""," · Falta costo unitario","")&amp;IF(AND($P299="Pagado",$Q299="")," · Pago sin fecha","")&amp;IF(AND(ISNUMBER($R299),ISNUMBER($M299),$R299&gt;N($M299)+0.01)," · Pagado &gt; total","")&amp;IF(AND(ISNUMBER($R299),$R299&gt;0,$Q299="")," · Monto pagado sin fecha",""),4,900)))</f>
        <v/>
      </c>
    </row>
    <row r="300">
      <c r="A300" s="51">
        <f>IF(COUNTA($B300,$C300,$D300,$G300,$H300)=0,"","C-"&amp;TEXT(ROW()-6,"0000"))</f>
        <v/>
      </c>
      <c r="B300" s="41" t="n"/>
      <c r="C300" s="33" t="n"/>
      <c r="D300" s="33" t="n"/>
      <c r="E300" s="51">
        <f>IF($D300="","",IFERROR(IF(INDEX(tblProductos[Nombre del producto],MATCH($D300,tblProductos[SKU],0))="","",INDEX(tblProductos[Nombre del producto],MATCH($D300,tblProductos[SKU],0))),""))</f>
        <v/>
      </c>
      <c r="F300" s="51">
        <f>IF($D300="","",IFERROR(IF(INDEX(tblProductos[Categoría],MATCH($D300,tblProductos[SKU],0))="","",INDEX(tblProductos[Categoría],MATCH($D300,tblProductos[SKU],0))),""))</f>
        <v/>
      </c>
      <c r="G300" s="34" t="n"/>
      <c r="H300" s="36" t="n"/>
      <c r="I300" s="37">
        <f>IF(OR($G300="",$H300=""),"",$G300*$H300)</f>
        <v/>
      </c>
      <c r="J300" s="36" t="n"/>
      <c r="K300" s="36" t="n"/>
      <c r="L300" s="36" t="n"/>
      <c r="M300" s="37">
        <f>IF(NOT(ISNUMBER($I300)),"",$I300+SUM($J300:$L300))</f>
        <v/>
      </c>
      <c r="N300" s="37">
        <f>IF(OR(NOT(ISNUMBER($M300)),NOT(ISNUMBER($G300)),$G300&lt;=0),"",$M300/$G300)</f>
        <v/>
      </c>
      <c r="O300" s="33" t="n"/>
      <c r="P300" s="33" t="n"/>
      <c r="Q300" s="41" t="n"/>
      <c r="R300" s="36" t="n"/>
      <c r="S300" s="37">
        <f>IF(NOT(ISNUMBER($M300)),"",$M300-IF(ISNUMBER($R300),$R300,0))</f>
        <v/>
      </c>
      <c r="T300" s="33" t="n"/>
      <c r="U300" s="51">
        <f>IF(COUNTA($B300,$C300,$D300,$G300,$H300)=0,"",IF(IF($B300=""," · Falta fecha","")&amp;IF($C300=""," · Falta proveedor","")&amp;IF(AND($D300&lt;&gt;"",COUNTIF(tblProductos[SKU],$D300)=0)," · SKU no existe","")&amp;IF($D300=""," · Falta SKU","")&amp;IF(OR($G300="",NOT(ISNUMBER($G300)),$G300&lt;=0)," · Cantidad inválida","")&amp;IF($H300=""," · Falta costo unitario","")&amp;IF(AND($P300="Pagado",$Q300="")," · Pago sin fecha","")&amp;IF(AND(ISNUMBER($R300),ISNUMBER($M300),$R300&gt;N($M300)+0.01)," · Pagado &gt; total","")&amp;IF(AND(ISNUMBER($R300),$R300&gt;0,$Q300="")," · Monto pagado sin fecha","")="","OK",MID(IF($B300=""," · Falta fecha","")&amp;IF($C300=""," · Falta proveedor","")&amp;IF(AND($D300&lt;&gt;"",COUNTIF(tblProductos[SKU],$D300)=0)," · SKU no existe","")&amp;IF($D300=""," · Falta SKU","")&amp;IF(OR($G300="",NOT(ISNUMBER($G300)),$G300&lt;=0)," · Cantidad inválida","")&amp;IF($H300=""," · Falta costo unitario","")&amp;IF(AND($P300="Pagado",$Q300="")," · Pago sin fecha","")&amp;IF(AND(ISNUMBER($R300),ISNUMBER($M300),$R300&gt;N($M300)+0.01)," · Pagado &gt; total","")&amp;IF(AND(ISNUMBER($R300),$R300&gt;0,$Q300="")," · Monto pagado sin fecha",""),4,900)))</f>
        <v/>
      </c>
    </row>
    <row r="301">
      <c r="A301" s="51">
        <f>IF(COUNTA($B301,$C301,$D301,$G301,$H301)=0,"","C-"&amp;TEXT(ROW()-6,"0000"))</f>
        <v/>
      </c>
      <c r="B301" s="41" t="n"/>
      <c r="C301" s="33" t="n"/>
      <c r="D301" s="33" t="n"/>
      <c r="E301" s="51">
        <f>IF($D301="","",IFERROR(IF(INDEX(tblProductos[Nombre del producto],MATCH($D301,tblProductos[SKU],0))="","",INDEX(tblProductos[Nombre del producto],MATCH($D301,tblProductos[SKU],0))),""))</f>
        <v/>
      </c>
      <c r="F301" s="51">
        <f>IF($D301="","",IFERROR(IF(INDEX(tblProductos[Categoría],MATCH($D301,tblProductos[SKU],0))="","",INDEX(tblProductos[Categoría],MATCH($D301,tblProductos[SKU],0))),""))</f>
        <v/>
      </c>
      <c r="G301" s="34" t="n"/>
      <c r="H301" s="36" t="n"/>
      <c r="I301" s="37">
        <f>IF(OR($G301="",$H301=""),"",$G301*$H301)</f>
        <v/>
      </c>
      <c r="J301" s="36" t="n"/>
      <c r="K301" s="36" t="n"/>
      <c r="L301" s="36" t="n"/>
      <c r="M301" s="37">
        <f>IF(NOT(ISNUMBER($I301)),"",$I301+SUM($J301:$L301))</f>
        <v/>
      </c>
      <c r="N301" s="37">
        <f>IF(OR(NOT(ISNUMBER($M301)),NOT(ISNUMBER($G301)),$G301&lt;=0),"",$M301/$G301)</f>
        <v/>
      </c>
      <c r="O301" s="33" t="n"/>
      <c r="P301" s="33" t="n"/>
      <c r="Q301" s="41" t="n"/>
      <c r="R301" s="36" t="n"/>
      <c r="S301" s="37">
        <f>IF(NOT(ISNUMBER($M301)),"",$M301-IF(ISNUMBER($R301),$R301,0))</f>
        <v/>
      </c>
      <c r="T301" s="33" t="n"/>
      <c r="U301" s="51">
        <f>IF(COUNTA($B301,$C301,$D301,$G301,$H301)=0,"",IF(IF($B301=""," · Falta fecha","")&amp;IF($C301=""," · Falta proveedor","")&amp;IF(AND($D301&lt;&gt;"",COUNTIF(tblProductos[SKU],$D301)=0)," · SKU no existe","")&amp;IF($D301=""," · Falta SKU","")&amp;IF(OR($G301="",NOT(ISNUMBER($G301)),$G301&lt;=0)," · Cantidad inválida","")&amp;IF($H301=""," · Falta costo unitario","")&amp;IF(AND($P301="Pagado",$Q301="")," · Pago sin fecha","")&amp;IF(AND(ISNUMBER($R301),ISNUMBER($M301),$R301&gt;N($M301)+0.01)," · Pagado &gt; total","")&amp;IF(AND(ISNUMBER($R301),$R301&gt;0,$Q301="")," · Monto pagado sin fecha","")="","OK",MID(IF($B301=""," · Falta fecha","")&amp;IF($C301=""," · Falta proveedor","")&amp;IF(AND($D301&lt;&gt;"",COUNTIF(tblProductos[SKU],$D301)=0)," · SKU no existe","")&amp;IF($D301=""," · Falta SKU","")&amp;IF(OR($G301="",NOT(ISNUMBER($G301)),$G301&lt;=0)," · Cantidad inválida","")&amp;IF($H301=""," · Falta costo unitario","")&amp;IF(AND($P301="Pagado",$Q301="")," · Pago sin fecha","")&amp;IF(AND(ISNUMBER($R301),ISNUMBER($M301),$R301&gt;N($M301)+0.01)," · Pagado &gt; total","")&amp;IF(AND(ISNUMBER($R301),$R301&gt;0,$Q301="")," · Monto pagado sin fecha",""),4,900)))</f>
        <v/>
      </c>
    </row>
    <row r="302">
      <c r="A302" s="51">
        <f>IF(COUNTA($B302,$C302,$D302,$G302,$H302)=0,"","C-"&amp;TEXT(ROW()-6,"0000"))</f>
        <v/>
      </c>
      <c r="B302" s="41" t="n"/>
      <c r="C302" s="33" t="n"/>
      <c r="D302" s="33" t="n"/>
      <c r="E302" s="51">
        <f>IF($D302="","",IFERROR(IF(INDEX(tblProductos[Nombre del producto],MATCH($D302,tblProductos[SKU],0))="","",INDEX(tblProductos[Nombre del producto],MATCH($D302,tblProductos[SKU],0))),""))</f>
        <v/>
      </c>
      <c r="F302" s="51">
        <f>IF($D302="","",IFERROR(IF(INDEX(tblProductos[Categoría],MATCH($D302,tblProductos[SKU],0))="","",INDEX(tblProductos[Categoría],MATCH($D302,tblProductos[SKU],0))),""))</f>
        <v/>
      </c>
      <c r="G302" s="34" t="n"/>
      <c r="H302" s="36" t="n"/>
      <c r="I302" s="37">
        <f>IF(OR($G302="",$H302=""),"",$G302*$H302)</f>
        <v/>
      </c>
      <c r="J302" s="36" t="n"/>
      <c r="K302" s="36" t="n"/>
      <c r="L302" s="36" t="n"/>
      <c r="M302" s="37">
        <f>IF(NOT(ISNUMBER($I302)),"",$I302+SUM($J302:$L302))</f>
        <v/>
      </c>
      <c r="N302" s="37">
        <f>IF(OR(NOT(ISNUMBER($M302)),NOT(ISNUMBER($G302)),$G302&lt;=0),"",$M302/$G302)</f>
        <v/>
      </c>
      <c r="O302" s="33" t="n"/>
      <c r="P302" s="33" t="n"/>
      <c r="Q302" s="41" t="n"/>
      <c r="R302" s="36" t="n"/>
      <c r="S302" s="37">
        <f>IF(NOT(ISNUMBER($M302)),"",$M302-IF(ISNUMBER($R302),$R302,0))</f>
        <v/>
      </c>
      <c r="T302" s="33" t="n"/>
      <c r="U302" s="51">
        <f>IF(COUNTA($B302,$C302,$D302,$G302,$H302)=0,"",IF(IF($B302=""," · Falta fecha","")&amp;IF($C302=""," · Falta proveedor","")&amp;IF(AND($D302&lt;&gt;"",COUNTIF(tblProductos[SKU],$D302)=0)," · SKU no existe","")&amp;IF($D302=""," · Falta SKU","")&amp;IF(OR($G302="",NOT(ISNUMBER($G302)),$G302&lt;=0)," · Cantidad inválida","")&amp;IF($H302=""," · Falta costo unitario","")&amp;IF(AND($P302="Pagado",$Q302="")," · Pago sin fecha","")&amp;IF(AND(ISNUMBER($R302),ISNUMBER($M302),$R302&gt;N($M302)+0.01)," · Pagado &gt; total","")&amp;IF(AND(ISNUMBER($R302),$R302&gt;0,$Q302="")," · Monto pagado sin fecha","")="","OK",MID(IF($B302=""," · Falta fecha","")&amp;IF($C302=""," · Falta proveedor","")&amp;IF(AND($D302&lt;&gt;"",COUNTIF(tblProductos[SKU],$D302)=0)," · SKU no existe","")&amp;IF($D302=""," · Falta SKU","")&amp;IF(OR($G302="",NOT(ISNUMBER($G302)),$G302&lt;=0)," · Cantidad inválida","")&amp;IF($H302=""," · Falta costo unitario","")&amp;IF(AND($P302="Pagado",$Q302="")," · Pago sin fecha","")&amp;IF(AND(ISNUMBER($R302),ISNUMBER($M302),$R302&gt;N($M302)+0.01)," · Pagado &gt; total","")&amp;IF(AND(ISNUMBER($R302),$R302&gt;0,$Q302="")," · Monto pagado sin fecha",""),4,900)))</f>
        <v/>
      </c>
    </row>
    <row r="303">
      <c r="A303" s="51">
        <f>IF(COUNTA($B303,$C303,$D303,$G303,$H303)=0,"","C-"&amp;TEXT(ROW()-6,"0000"))</f>
        <v/>
      </c>
      <c r="B303" s="41" t="n"/>
      <c r="C303" s="33" t="n"/>
      <c r="D303" s="33" t="n"/>
      <c r="E303" s="51">
        <f>IF($D303="","",IFERROR(IF(INDEX(tblProductos[Nombre del producto],MATCH($D303,tblProductos[SKU],0))="","",INDEX(tblProductos[Nombre del producto],MATCH($D303,tblProductos[SKU],0))),""))</f>
        <v/>
      </c>
      <c r="F303" s="51">
        <f>IF($D303="","",IFERROR(IF(INDEX(tblProductos[Categoría],MATCH($D303,tblProductos[SKU],0))="","",INDEX(tblProductos[Categoría],MATCH($D303,tblProductos[SKU],0))),""))</f>
        <v/>
      </c>
      <c r="G303" s="34" t="n"/>
      <c r="H303" s="36" t="n"/>
      <c r="I303" s="37">
        <f>IF(OR($G303="",$H303=""),"",$G303*$H303)</f>
        <v/>
      </c>
      <c r="J303" s="36" t="n"/>
      <c r="K303" s="36" t="n"/>
      <c r="L303" s="36" t="n"/>
      <c r="M303" s="37">
        <f>IF(NOT(ISNUMBER($I303)),"",$I303+SUM($J303:$L303))</f>
        <v/>
      </c>
      <c r="N303" s="37">
        <f>IF(OR(NOT(ISNUMBER($M303)),NOT(ISNUMBER($G303)),$G303&lt;=0),"",$M303/$G303)</f>
        <v/>
      </c>
      <c r="O303" s="33" t="n"/>
      <c r="P303" s="33" t="n"/>
      <c r="Q303" s="41" t="n"/>
      <c r="R303" s="36" t="n"/>
      <c r="S303" s="37">
        <f>IF(NOT(ISNUMBER($M303)),"",$M303-IF(ISNUMBER($R303),$R303,0))</f>
        <v/>
      </c>
      <c r="T303" s="33" t="n"/>
      <c r="U303" s="51">
        <f>IF(COUNTA($B303,$C303,$D303,$G303,$H303)=0,"",IF(IF($B303=""," · Falta fecha","")&amp;IF($C303=""," · Falta proveedor","")&amp;IF(AND($D303&lt;&gt;"",COUNTIF(tblProductos[SKU],$D303)=0)," · SKU no existe","")&amp;IF($D303=""," · Falta SKU","")&amp;IF(OR($G303="",NOT(ISNUMBER($G303)),$G303&lt;=0)," · Cantidad inválida","")&amp;IF($H303=""," · Falta costo unitario","")&amp;IF(AND($P303="Pagado",$Q303="")," · Pago sin fecha","")&amp;IF(AND(ISNUMBER($R303),ISNUMBER($M303),$R303&gt;N($M303)+0.01)," · Pagado &gt; total","")&amp;IF(AND(ISNUMBER($R303),$R303&gt;0,$Q303="")," · Monto pagado sin fecha","")="","OK",MID(IF($B303=""," · Falta fecha","")&amp;IF($C303=""," · Falta proveedor","")&amp;IF(AND($D303&lt;&gt;"",COUNTIF(tblProductos[SKU],$D303)=0)," · SKU no existe","")&amp;IF($D303=""," · Falta SKU","")&amp;IF(OR($G303="",NOT(ISNUMBER($G303)),$G303&lt;=0)," · Cantidad inválida","")&amp;IF($H303=""," · Falta costo unitario","")&amp;IF(AND($P303="Pagado",$Q303="")," · Pago sin fecha","")&amp;IF(AND(ISNUMBER($R303),ISNUMBER($M303),$R303&gt;N($M303)+0.01)," · Pagado &gt; total","")&amp;IF(AND(ISNUMBER($R303),$R303&gt;0,$Q303="")," · Monto pagado sin fecha",""),4,900)))</f>
        <v/>
      </c>
    </row>
    <row r="304">
      <c r="A304" s="51">
        <f>IF(COUNTA($B304,$C304,$D304,$G304,$H304)=0,"","C-"&amp;TEXT(ROW()-6,"0000"))</f>
        <v/>
      </c>
      <c r="B304" s="41" t="n"/>
      <c r="C304" s="33" t="n"/>
      <c r="D304" s="33" t="n"/>
      <c r="E304" s="51">
        <f>IF($D304="","",IFERROR(IF(INDEX(tblProductos[Nombre del producto],MATCH($D304,tblProductos[SKU],0))="","",INDEX(tblProductos[Nombre del producto],MATCH($D304,tblProductos[SKU],0))),""))</f>
        <v/>
      </c>
      <c r="F304" s="51">
        <f>IF($D304="","",IFERROR(IF(INDEX(tblProductos[Categoría],MATCH($D304,tblProductos[SKU],0))="","",INDEX(tblProductos[Categoría],MATCH($D304,tblProductos[SKU],0))),""))</f>
        <v/>
      </c>
      <c r="G304" s="34" t="n"/>
      <c r="H304" s="36" t="n"/>
      <c r="I304" s="37">
        <f>IF(OR($G304="",$H304=""),"",$G304*$H304)</f>
        <v/>
      </c>
      <c r="J304" s="36" t="n"/>
      <c r="K304" s="36" t="n"/>
      <c r="L304" s="36" t="n"/>
      <c r="M304" s="37">
        <f>IF(NOT(ISNUMBER($I304)),"",$I304+SUM($J304:$L304))</f>
        <v/>
      </c>
      <c r="N304" s="37">
        <f>IF(OR(NOT(ISNUMBER($M304)),NOT(ISNUMBER($G304)),$G304&lt;=0),"",$M304/$G304)</f>
        <v/>
      </c>
      <c r="O304" s="33" t="n"/>
      <c r="P304" s="33" t="n"/>
      <c r="Q304" s="41" t="n"/>
      <c r="R304" s="36" t="n"/>
      <c r="S304" s="37">
        <f>IF(NOT(ISNUMBER($M304)),"",$M304-IF(ISNUMBER($R304),$R304,0))</f>
        <v/>
      </c>
      <c r="T304" s="33" t="n"/>
      <c r="U304" s="51">
        <f>IF(COUNTA($B304,$C304,$D304,$G304,$H304)=0,"",IF(IF($B304=""," · Falta fecha","")&amp;IF($C304=""," · Falta proveedor","")&amp;IF(AND($D304&lt;&gt;"",COUNTIF(tblProductos[SKU],$D304)=0)," · SKU no existe","")&amp;IF($D304=""," · Falta SKU","")&amp;IF(OR($G304="",NOT(ISNUMBER($G304)),$G304&lt;=0)," · Cantidad inválida","")&amp;IF($H304=""," · Falta costo unitario","")&amp;IF(AND($P304="Pagado",$Q304="")," · Pago sin fecha","")&amp;IF(AND(ISNUMBER($R304),ISNUMBER($M304),$R304&gt;N($M304)+0.01)," · Pagado &gt; total","")&amp;IF(AND(ISNUMBER($R304),$R304&gt;0,$Q304="")," · Monto pagado sin fecha","")="","OK",MID(IF($B304=""," · Falta fecha","")&amp;IF($C304=""," · Falta proveedor","")&amp;IF(AND($D304&lt;&gt;"",COUNTIF(tblProductos[SKU],$D304)=0)," · SKU no existe","")&amp;IF($D304=""," · Falta SKU","")&amp;IF(OR($G304="",NOT(ISNUMBER($G304)),$G304&lt;=0)," · Cantidad inválida","")&amp;IF($H304=""," · Falta costo unitario","")&amp;IF(AND($P304="Pagado",$Q304="")," · Pago sin fecha","")&amp;IF(AND(ISNUMBER($R304),ISNUMBER($M304),$R304&gt;N($M304)+0.01)," · Pagado &gt; total","")&amp;IF(AND(ISNUMBER($R304),$R304&gt;0,$Q304="")," · Monto pagado sin fecha",""),4,900)))</f>
        <v/>
      </c>
    </row>
    <row r="305">
      <c r="A305" s="51">
        <f>IF(COUNTA($B305,$C305,$D305,$G305,$H305)=0,"","C-"&amp;TEXT(ROW()-6,"0000"))</f>
        <v/>
      </c>
      <c r="B305" s="41" t="n"/>
      <c r="C305" s="33" t="n"/>
      <c r="D305" s="33" t="n"/>
      <c r="E305" s="51">
        <f>IF($D305="","",IFERROR(IF(INDEX(tblProductos[Nombre del producto],MATCH($D305,tblProductos[SKU],0))="","",INDEX(tblProductos[Nombre del producto],MATCH($D305,tblProductos[SKU],0))),""))</f>
        <v/>
      </c>
      <c r="F305" s="51">
        <f>IF($D305="","",IFERROR(IF(INDEX(tblProductos[Categoría],MATCH($D305,tblProductos[SKU],0))="","",INDEX(tblProductos[Categoría],MATCH($D305,tblProductos[SKU],0))),""))</f>
        <v/>
      </c>
      <c r="G305" s="34" t="n"/>
      <c r="H305" s="36" t="n"/>
      <c r="I305" s="37">
        <f>IF(OR($G305="",$H305=""),"",$G305*$H305)</f>
        <v/>
      </c>
      <c r="J305" s="36" t="n"/>
      <c r="K305" s="36" t="n"/>
      <c r="L305" s="36" t="n"/>
      <c r="M305" s="37">
        <f>IF(NOT(ISNUMBER($I305)),"",$I305+SUM($J305:$L305))</f>
        <v/>
      </c>
      <c r="N305" s="37">
        <f>IF(OR(NOT(ISNUMBER($M305)),NOT(ISNUMBER($G305)),$G305&lt;=0),"",$M305/$G305)</f>
        <v/>
      </c>
      <c r="O305" s="33" t="n"/>
      <c r="P305" s="33" t="n"/>
      <c r="Q305" s="41" t="n"/>
      <c r="R305" s="36" t="n"/>
      <c r="S305" s="37">
        <f>IF(NOT(ISNUMBER($M305)),"",$M305-IF(ISNUMBER($R305),$R305,0))</f>
        <v/>
      </c>
      <c r="T305" s="33" t="n"/>
      <c r="U305" s="51">
        <f>IF(COUNTA($B305,$C305,$D305,$G305,$H305)=0,"",IF(IF($B305=""," · Falta fecha","")&amp;IF($C305=""," · Falta proveedor","")&amp;IF(AND($D305&lt;&gt;"",COUNTIF(tblProductos[SKU],$D305)=0)," · SKU no existe","")&amp;IF($D305=""," · Falta SKU","")&amp;IF(OR($G305="",NOT(ISNUMBER($G305)),$G305&lt;=0)," · Cantidad inválida","")&amp;IF($H305=""," · Falta costo unitario","")&amp;IF(AND($P305="Pagado",$Q305="")," · Pago sin fecha","")&amp;IF(AND(ISNUMBER($R305),ISNUMBER($M305),$R305&gt;N($M305)+0.01)," · Pagado &gt; total","")&amp;IF(AND(ISNUMBER($R305),$R305&gt;0,$Q305="")," · Monto pagado sin fecha","")="","OK",MID(IF($B305=""," · Falta fecha","")&amp;IF($C305=""," · Falta proveedor","")&amp;IF(AND($D305&lt;&gt;"",COUNTIF(tblProductos[SKU],$D305)=0)," · SKU no existe","")&amp;IF($D305=""," · Falta SKU","")&amp;IF(OR($G305="",NOT(ISNUMBER($G305)),$G305&lt;=0)," · Cantidad inválida","")&amp;IF($H305=""," · Falta costo unitario","")&amp;IF(AND($P305="Pagado",$Q305="")," · Pago sin fecha","")&amp;IF(AND(ISNUMBER($R305),ISNUMBER($M305),$R305&gt;N($M305)+0.01)," · Pagado &gt; total","")&amp;IF(AND(ISNUMBER($R305),$R305&gt;0,$Q305="")," · Monto pagado sin fecha",""),4,900)))</f>
        <v/>
      </c>
    </row>
    <row r="306">
      <c r="A306" s="51">
        <f>IF(COUNTA($B306,$C306,$D306,$G306,$H306)=0,"","C-"&amp;TEXT(ROW()-6,"0000"))</f>
        <v/>
      </c>
      <c r="B306" s="41" t="n"/>
      <c r="C306" s="33" t="n"/>
      <c r="D306" s="33" t="n"/>
      <c r="E306" s="51">
        <f>IF($D306="","",IFERROR(IF(INDEX(tblProductos[Nombre del producto],MATCH($D306,tblProductos[SKU],0))="","",INDEX(tblProductos[Nombre del producto],MATCH($D306,tblProductos[SKU],0))),""))</f>
        <v/>
      </c>
      <c r="F306" s="51">
        <f>IF($D306="","",IFERROR(IF(INDEX(tblProductos[Categoría],MATCH($D306,tblProductos[SKU],0))="","",INDEX(tblProductos[Categoría],MATCH($D306,tblProductos[SKU],0))),""))</f>
        <v/>
      </c>
      <c r="G306" s="34" t="n"/>
      <c r="H306" s="36" t="n"/>
      <c r="I306" s="37">
        <f>IF(OR($G306="",$H306=""),"",$G306*$H306)</f>
        <v/>
      </c>
      <c r="J306" s="36" t="n"/>
      <c r="K306" s="36" t="n"/>
      <c r="L306" s="36" t="n"/>
      <c r="M306" s="37">
        <f>IF(NOT(ISNUMBER($I306)),"",$I306+SUM($J306:$L306))</f>
        <v/>
      </c>
      <c r="N306" s="37">
        <f>IF(OR(NOT(ISNUMBER($M306)),NOT(ISNUMBER($G306)),$G306&lt;=0),"",$M306/$G306)</f>
        <v/>
      </c>
      <c r="O306" s="33" t="n"/>
      <c r="P306" s="33" t="n"/>
      <c r="Q306" s="41" t="n"/>
      <c r="R306" s="36" t="n"/>
      <c r="S306" s="37">
        <f>IF(NOT(ISNUMBER($M306)),"",$M306-IF(ISNUMBER($R306),$R306,0))</f>
        <v/>
      </c>
      <c r="T306" s="33" t="n"/>
      <c r="U306" s="51">
        <f>IF(COUNTA($B306,$C306,$D306,$G306,$H306)=0,"",IF(IF($B306=""," · Falta fecha","")&amp;IF($C306=""," · Falta proveedor","")&amp;IF(AND($D306&lt;&gt;"",COUNTIF(tblProductos[SKU],$D306)=0)," · SKU no existe","")&amp;IF($D306=""," · Falta SKU","")&amp;IF(OR($G306="",NOT(ISNUMBER($G306)),$G306&lt;=0)," · Cantidad inválida","")&amp;IF($H306=""," · Falta costo unitario","")&amp;IF(AND($P306="Pagado",$Q306="")," · Pago sin fecha","")&amp;IF(AND(ISNUMBER($R306),ISNUMBER($M306),$R306&gt;N($M306)+0.01)," · Pagado &gt; total","")&amp;IF(AND(ISNUMBER($R306),$R306&gt;0,$Q306="")," · Monto pagado sin fecha","")="","OK",MID(IF($B306=""," · Falta fecha","")&amp;IF($C306=""," · Falta proveedor","")&amp;IF(AND($D306&lt;&gt;"",COUNTIF(tblProductos[SKU],$D306)=0)," · SKU no existe","")&amp;IF($D306=""," · Falta SKU","")&amp;IF(OR($G306="",NOT(ISNUMBER($G306)),$G306&lt;=0)," · Cantidad inválida","")&amp;IF($H306=""," · Falta costo unitario","")&amp;IF(AND($P306="Pagado",$Q306="")," · Pago sin fecha","")&amp;IF(AND(ISNUMBER($R306),ISNUMBER($M306),$R306&gt;N($M306)+0.01)," · Pagado &gt; total","")&amp;IF(AND(ISNUMBER($R306),$R306&gt;0,$Q306="")," · Monto pagado sin fecha",""),4,900)))</f>
        <v/>
      </c>
    </row>
  </sheetData>
  <mergeCells count="1">
    <mergeCell ref="A3:N4"/>
  </mergeCells>
  <conditionalFormatting sqref="U7:U306">
    <cfRule type="expression" priority="1" dxfId="5">
      <formula>AND($U7&lt;&gt;"",$U7&lt;&gt;"OK")</formula>
    </cfRule>
    <cfRule type="expression" priority="2" dxfId="7">
      <formula>$U7="OK"</formula>
    </cfRule>
  </conditionalFormatting>
  <conditionalFormatting sqref="S7:S306">
    <cfRule type="cellIs" priority="3" operator="greaterThan" dxfId="8">
      <formula>0.01</formula>
    </cfRule>
  </conditionalFormatting>
  <dataValidations count="9">
    <dataValidation sqref="C7:C306" showDropDown="0" showInputMessage="0" showErrorMessage="0" allowBlank="1" errorTitle="Valor fuera de la lista" error="Ese valor no está en la lista. Agréguelo en la hoja CONFIG si es nuevo." type="list" errorStyle="warning">
      <formula1>=LISTA_PROVEEDORES</formula1>
    </dataValidation>
    <dataValidation sqref="D7:D306" showDropDown="0" showInputMessage="0" showErrorMessage="0" allowBlank="1" errorTitle="Valor fuera de la lista" error="Ese valor no está en la lista. Agréguelo en la hoja CONFIG si es nuevo." type="list" errorStyle="stop">
      <formula1>=LISTA_SKU</formula1>
    </dataValidation>
    <dataValidation sqref="O7:O306" showDropDown="0" showInputMessage="0" showErrorMessage="0" allowBlank="1" errorTitle="Valor fuera de la lista" error="Ese valor no está en la lista. Agréguelo en la hoja CONFIG si es nuevo." type="list" errorStyle="warning">
      <formula1>=LISTA_METODOS_PAGO</formula1>
    </dataValidation>
    <dataValidation sqref="P7:P306" showDropDown="0" showInputMessage="0" showErrorMessage="0" allowBlank="1" errorTitle="Valor fuera de la lista" error="Ese valor no está en la lista. Agréguelo en la hoja CONFIG si es nuevo." type="list" errorStyle="warning">
      <formula1>=LISTA_ESTADO_PAGO</formula1>
    </dataValidation>
    <dataValidation sqref="G7:H306" showDropDown="0" showInputMessage="0" showErrorMessage="0" allowBlank="1" errorTitle="Número inválido" error="Escriba un número mayor o igual a 0." type="decimal" errorStyle="stop" operator="greaterThanOrEqual">
      <formula1>0</formula1>
    </dataValidation>
    <dataValidation sqref="J7:L306" showDropDown="0" showInputMessage="0" showErrorMessage="0" allowBlank="1" errorTitle="Número inválido" error="Escriba un número mayor o igual a 0." type="decimal" errorStyle="stop" operator="greaterThanOrEqual">
      <formula1>0</formula1>
    </dataValidation>
    <dataValidation sqref="R7:R306" showDropDown="0" showInputMessage="0" showErrorMessage="0" allowBlank="1" errorTitle="Número inválido" error="Escriba un número mayor o igual a 0." type="decimal" errorStyle="stop" operator="greaterThanOrEqual">
      <formula1>0</formula1>
    </dataValidation>
    <dataValidation sqref="B7:B306" showDropDown="0" showInputMessage="0" showErrorMessage="0" allowBlank="1" errorTitle="Fecha inválida" error="Escriba una fecha válida (dd/mm/aaaa)." type="date" errorStyle="stop" operator="greaterThan">
      <formula1>DATE(2000,1,1)</formula1>
    </dataValidation>
    <dataValidation sqref="Q7:Q306" showDropDown="0" showInputMessage="0" showErrorMessage="0" allowBlank="1" errorTitle="Fecha inválida" error="Escriba una fecha válida (dd/mm/aaaa)." type="date" errorStyle="stop" operator="greaterThan">
      <formula1>DATE(2000,1,1)</formula1>
    </dataValidation>
  </dataValidations>
  <printOptions horizontalCentered="1"/>
  <pageMargins left="0.4" right="0.4" top="0.5" bottom="0.5" header="0.5" footer="0.5"/>
  <pageSetup orientation="landscape"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tabColor rgb="002E5C8A"/>
    <outlinePr summaryBelow="1" summaryRight="1"/>
    <pageSetUpPr fitToPage="1"/>
  </sheetPr>
  <dimension ref="A1:X66"/>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13" customWidth="1" min="1" max="1"/>
    <col width="32" customWidth="1" min="2" max="2"/>
    <col width="15" customWidth="1" min="3" max="3"/>
    <col width="12" customWidth="1" min="4" max="4"/>
    <col width="11" customWidth="1" min="5" max="5"/>
    <col width="10" customWidth="1" min="6" max="6"/>
    <col width="10" customWidth="1" min="7" max="7"/>
    <col width="10" customWidth="1" min="8" max="8"/>
    <col width="12" customWidth="1" min="9" max="9"/>
    <col width="11" customWidth="1" min="10" max="10"/>
    <col width="11" customWidth="1" min="11" max="11"/>
    <col width="12" customWidth="1" min="12" max="12"/>
    <col width="13" customWidth="1" min="13" max="13"/>
    <col width="13" customWidth="1" min="14" max="14"/>
    <col width="15" customWidth="1" min="15" max="15"/>
    <col width="16" customWidth="1" min="16" max="16"/>
    <col width="13" customWidth="1" min="17" max="17"/>
    <col width="14" customWidth="1" min="18" max="18"/>
    <col width="15" customWidth="1" min="19" max="19"/>
    <col width="13" customWidth="1" min="20" max="20"/>
    <col width="12" customWidth="1" min="21" max="21"/>
    <col width="12" customWidth="1" min="22" max="22"/>
    <col width="13" customWidth="1" min="23" max="23"/>
    <col width="12" customWidth="1" min="24" max="24"/>
  </cols>
  <sheetData>
    <row r="1">
      <c r="A1" s="1" t="inlineStr">
        <is>
          <t>INVENTARIO — Existencias y valorización</t>
        </is>
      </c>
    </row>
    <row r="2">
      <c r="A2" s="2" t="inlineStr">
        <is>
          <t>Hoja calculada: Stock actual = Stock inicial + Compras − Ventas + Ajustes. Solo se editan «Stock inicial» y «Ajustes» (mermas, devoluciones, conteos físicos).</t>
        </is>
      </c>
    </row>
    <row r="3">
      <c r="A3" s="16" t="inlineStr">
        <is>
          <t>Costo unitario aplicado = costo promedio ponderado de las compras registradas; si aún no hay compras, se usa el COSTO REAL UNITARIO de la hoja COSTOS. Si no existe ninguno de los dos, el inventario queda PENDIENTE de valorizar (nunca se inventa un costo).</t>
        </is>
      </c>
    </row>
    <row r="4"/>
    <row r="6" ht="46" customHeight="1">
      <c r="A6" s="11" t="inlineStr">
        <is>
          <t>SKU</t>
        </is>
      </c>
      <c r="B6" s="11" t="inlineStr">
        <is>
          <t>Producto</t>
        </is>
      </c>
      <c r="C6" s="11" t="inlineStr">
        <is>
          <t>Categoría</t>
        </is>
      </c>
      <c r="D6" s="11" t="inlineStr">
        <is>
          <t>Presentación</t>
        </is>
      </c>
      <c r="E6" s="11" t="inlineStr">
        <is>
          <t>Stock inicial</t>
        </is>
      </c>
      <c r="F6" s="11" t="inlineStr">
        <is>
          <t>Compras</t>
        </is>
      </c>
      <c r="G6" s="11" t="inlineStr">
        <is>
          <t>Ventas</t>
        </is>
      </c>
      <c r="H6" s="11" t="inlineStr">
        <is>
          <t>Ajustes</t>
        </is>
      </c>
      <c r="I6" s="11" t="inlineStr">
        <is>
          <t>Stock actual</t>
        </is>
      </c>
      <c r="J6" s="11" t="inlineStr">
        <is>
          <t>Stock mínimo</t>
        </is>
      </c>
      <c r="K6" s="11" t="inlineStr">
        <is>
          <t>Stock máximo</t>
        </is>
      </c>
      <c r="L6" s="11" t="inlineStr">
        <is>
          <t>Costo unitario estándar</t>
        </is>
      </c>
      <c r="M6" s="11" t="inlineStr">
        <is>
          <t>Costo promedio ponderado</t>
        </is>
      </c>
      <c r="N6" s="11" t="inlineStr">
        <is>
          <t>Costo unitario aplicado</t>
        </is>
      </c>
      <c r="O6" s="11" t="inlineStr">
        <is>
          <t>Método de costo</t>
        </is>
      </c>
      <c r="P6" s="11" t="inlineStr">
        <is>
          <t>VALOR DEL INVENTARIO</t>
        </is>
      </c>
      <c r="Q6" s="11" t="inlineStr">
        <is>
          <t>Precio de venta actual</t>
        </is>
      </c>
      <c r="R6" s="11" t="inlineStr">
        <is>
          <t>Valor a precio de venta</t>
        </is>
      </c>
      <c r="S6" s="11" t="inlineStr">
        <is>
          <t>ESTADO</t>
        </is>
      </c>
      <c r="T6" s="11" t="inlineStr">
        <is>
          <t>Unidades sugeridas a comprar</t>
        </is>
      </c>
      <c r="U6" s="11" t="inlineStr">
        <is>
          <t>Última compra</t>
        </is>
      </c>
      <c r="V6" s="11" t="inlineStr">
        <is>
          <t>Última venta</t>
        </is>
      </c>
      <c r="W6" s="11" t="inlineStr">
        <is>
          <t>Unidades vendidas (últimos 30 días)</t>
        </is>
      </c>
      <c r="X6" s="11" t="inlineStr">
        <is>
          <t>Cobertura estimada (días)</t>
        </is>
      </c>
    </row>
    <row r="7">
      <c r="A7" s="51">
        <f>IFERROR(IF(INDEX(tblProductos[SKU],ROW()-6)="","",INDEX(tblProductos[SKU],ROW()-6)),"")</f>
        <v/>
      </c>
      <c r="B7" s="51">
        <f>IF($A7="","",IFERROR(IF(INDEX(tblProductos[Nombre del producto],MATCH($A7,tblProductos[SKU],0))="","",INDEX(tblProductos[Nombre del producto],MATCH($A7,tblProductos[SKU],0))),""))</f>
        <v/>
      </c>
      <c r="C7" s="51">
        <f>IF($A7="","",IFERROR(IF(INDEX(tblProductos[Categoría],MATCH($A7,tblProductos[SKU],0))="","",INDEX(tblProductos[Categoría],MATCH($A7,tblProductos[SKU],0))),""))</f>
        <v/>
      </c>
      <c r="D7" s="51">
        <f>IF($A7="","",IFERROR(IF(INDEX(tblProductos[Presentación],MATCH($A7,tblProductos[SKU],0))="","",INDEX(tblProductos[Presentación],MATCH($A7,tblProductos[SKU],0))),""))</f>
        <v/>
      </c>
      <c r="E7" s="34" t="n"/>
      <c r="F7" s="39">
        <f>IF($A7="","",SUMIFS(tblCompras[Cantidad],tblCompras[SKU],$A7))</f>
        <v/>
      </c>
      <c r="G7" s="39">
        <f>IF($A7="","",SUMIFS(tblVentas[Unidades efectivas],tblVentas[SKU],$A7))</f>
        <v/>
      </c>
      <c r="H7" s="34" t="n"/>
      <c r="I7" s="39">
        <f>IF($A7="","",IF(ISNUMBER($E7),$E7,0)+$F7-$G7+IF(ISNUMBER($H7),$H7,0))</f>
        <v/>
      </c>
      <c r="J7" s="39">
        <f>IF($A7="","",IFERROR(IF(INDEX(tblProductos[Stock mínimo],MATCH($A7,tblProductos[SKU],0))="","",INDEX(tblProductos[Stock mínimo],MATCH($A7,tblProductos[SKU],0))),""))</f>
        <v/>
      </c>
      <c r="K7" s="39">
        <f>IF($A7="","",IFERROR(IF(INDEX(tblProductos[Stock máximo],MATCH($A7,tblProductos[SKU],0))="","",INDEX(tblProductos[Stock máximo],MATCH($A7,tblProductos[SKU],0))),""))</f>
        <v/>
      </c>
      <c r="L7" s="37">
        <f>IF($A7="","",IFERROR(IF(INDEX(tblCostos[COSTO REAL UNITARIO],MATCH($A7,tblCostos[SKU],0))="","PENDIENTE",INDEX(tblCostos[COSTO REAL UNITARIO],MATCH($A7,tblCostos[SKU],0))),"PENDIENTE"))</f>
        <v/>
      </c>
      <c r="M7" s="37">
        <f>IF($A7="","",IF(SUMIFS(tblCompras[Cantidad],tblCompras[SKU],$A7)&lt;=0,"",SUMIFS(tblCompras[Costo total de adquisición],tblCompras[SKU],$A7)/SUMIFS(tblCompras[Cantidad],tblCompras[SKU],$A7)))</f>
        <v/>
      </c>
      <c r="N7" s="37">
        <f>IF($A7="","",IF(ISNUMBER($M7),$M7,IF(ISNUMBER($L7),$L7,"")))</f>
        <v/>
      </c>
      <c r="O7" s="51">
        <f>IF($A7="","",IF(ISNUMBER($M7),"Promedio ponderado",IF(ISNUMBER($L7),"Costo estándar","PENDIENTE")))</f>
        <v/>
      </c>
      <c r="P7" s="49">
        <f>IF($A7="","",IF(OR(NOT(ISNUMBER($I7)),NOT(ISNUMBER($N7))),"PENDIENTE",$I7*$N7))</f>
        <v/>
      </c>
      <c r="Q7" s="37">
        <f>IF($A7="","",IFERROR(IF(INDEX(tblProductos[Precio de venta actual],MATCH($A7,tblProductos[SKU],0))="","PENDIENTE",INDEX(tblProductos[Precio de venta actual],MATCH($A7,tblProductos[SKU],0))),"PENDIENTE"))</f>
        <v/>
      </c>
      <c r="R7" s="37">
        <f>IF($A7="","",IF(OR(NOT(ISNUMBER($I7)),NOT(ISNUMBER($Q7))),"PENDIENTE",$I7*$Q7))</f>
        <v/>
      </c>
      <c r="S7" s="52">
        <f>IF($A7="","",IF(NOT(ISNUMBER($I7)),"ERROR",IF($I7&lt;0,"ERROR",IF($I7=0,"AGOTADO",IF(AND(ISNUMBER($J7),$I7&lt;=N($J7)*MAX(1,IF(ISNUMBER(PAR_ALERTA_STOCK),PAR_ALERTA_STOCK,1))),"REABASTECER","OK")))))</f>
        <v/>
      </c>
      <c r="T7" s="39">
        <f>IF($A7="","",IF(OR(NOT(ISNUMBER($I7)),NOT(ISNUMBER($K7))),"",IF(OR($S7="REABASTECER",$S7="AGOTADO"),MAX(0,$K7-$I7),0)))</f>
        <v/>
      </c>
      <c r="U7" s="53">
        <f>IF($A7="","",IFERROR(IF(SUMPRODUCT(MAX((tblCompras[SKU]=$A7)*(tblCompras[Fecha])))=0,"",SUMPRODUCT(MAX((tblCompras[SKU]=$A7)*(tblCompras[Fecha])))),""))</f>
        <v/>
      </c>
      <c r="V7" s="53">
        <f>IF($A7="","",IFERROR(IF(SUMPRODUCT(MAX((tblVentas[SKU]=$A7)*(tblVentas[Fecha])))=0,"",SUMPRODUCT(MAX((tblVentas[SKU]=$A7)*(tblVentas[Fecha])))),""))</f>
        <v/>
      </c>
      <c r="W7" s="39">
        <f>IF($A7="","",SUMIFS(tblVentas[Unidades efectivas],tblVentas[SKU],$A7,tblVentas[Fecha],"&gt;="&amp;TODAY()-30,tblVentas[Fecha],"&lt;="&amp;TODAY()))</f>
        <v/>
      </c>
      <c r="X7" s="39">
        <f>IF($A7="","",IF(OR(NOT(ISNUMBER($I7)),NOT(ISNUMBER($W7)),$W7&lt;=0),"",ROUND($I7/($W7/30),0)))</f>
        <v/>
      </c>
    </row>
    <row r="8">
      <c r="A8" s="51">
        <f>IFERROR(IF(INDEX(tblProductos[SKU],ROW()-6)="","",INDEX(tblProductos[SKU],ROW()-6)),"")</f>
        <v/>
      </c>
      <c r="B8" s="51">
        <f>IF($A8="","",IFERROR(IF(INDEX(tblProductos[Nombre del producto],MATCH($A8,tblProductos[SKU],0))="","",INDEX(tblProductos[Nombre del producto],MATCH($A8,tblProductos[SKU],0))),""))</f>
        <v/>
      </c>
      <c r="C8" s="51">
        <f>IF($A8="","",IFERROR(IF(INDEX(tblProductos[Categoría],MATCH($A8,tblProductos[SKU],0))="","",INDEX(tblProductos[Categoría],MATCH($A8,tblProductos[SKU],0))),""))</f>
        <v/>
      </c>
      <c r="D8" s="51">
        <f>IF($A8="","",IFERROR(IF(INDEX(tblProductos[Presentación],MATCH($A8,tblProductos[SKU],0))="","",INDEX(tblProductos[Presentación],MATCH($A8,tblProductos[SKU],0))),""))</f>
        <v/>
      </c>
      <c r="E8" s="34" t="n"/>
      <c r="F8" s="39">
        <f>IF($A8="","",SUMIFS(tblCompras[Cantidad],tblCompras[SKU],$A8))</f>
        <v/>
      </c>
      <c r="G8" s="39">
        <f>IF($A8="","",SUMIFS(tblVentas[Unidades efectivas],tblVentas[SKU],$A8))</f>
        <v/>
      </c>
      <c r="H8" s="34" t="n"/>
      <c r="I8" s="39">
        <f>IF($A8="","",IF(ISNUMBER($E8),$E8,0)+$F8-$G8+IF(ISNUMBER($H8),$H8,0))</f>
        <v/>
      </c>
      <c r="J8" s="39">
        <f>IF($A8="","",IFERROR(IF(INDEX(tblProductos[Stock mínimo],MATCH($A8,tblProductos[SKU],0))="","",INDEX(tblProductos[Stock mínimo],MATCH($A8,tblProductos[SKU],0))),""))</f>
        <v/>
      </c>
      <c r="K8" s="39">
        <f>IF($A8="","",IFERROR(IF(INDEX(tblProductos[Stock máximo],MATCH($A8,tblProductos[SKU],0))="","",INDEX(tblProductos[Stock máximo],MATCH($A8,tblProductos[SKU],0))),""))</f>
        <v/>
      </c>
      <c r="L8" s="37">
        <f>IF($A8="","",IFERROR(IF(INDEX(tblCostos[COSTO REAL UNITARIO],MATCH($A8,tblCostos[SKU],0))="","PENDIENTE",INDEX(tblCostos[COSTO REAL UNITARIO],MATCH($A8,tblCostos[SKU],0))),"PENDIENTE"))</f>
        <v/>
      </c>
      <c r="M8" s="37">
        <f>IF($A8="","",IF(SUMIFS(tblCompras[Cantidad],tblCompras[SKU],$A8)&lt;=0,"",SUMIFS(tblCompras[Costo total de adquisición],tblCompras[SKU],$A8)/SUMIFS(tblCompras[Cantidad],tblCompras[SKU],$A8)))</f>
        <v/>
      </c>
      <c r="N8" s="37">
        <f>IF($A8="","",IF(ISNUMBER($M8),$M8,IF(ISNUMBER($L8),$L8,"")))</f>
        <v/>
      </c>
      <c r="O8" s="51">
        <f>IF($A8="","",IF(ISNUMBER($M8),"Promedio ponderado",IF(ISNUMBER($L8),"Costo estándar","PENDIENTE")))</f>
        <v/>
      </c>
      <c r="P8" s="49">
        <f>IF($A8="","",IF(OR(NOT(ISNUMBER($I8)),NOT(ISNUMBER($N8))),"PENDIENTE",$I8*$N8))</f>
        <v/>
      </c>
      <c r="Q8" s="37">
        <f>IF($A8="","",IFERROR(IF(INDEX(tblProductos[Precio de venta actual],MATCH($A8,tblProductos[SKU],0))="","PENDIENTE",INDEX(tblProductos[Precio de venta actual],MATCH($A8,tblProductos[SKU],0))),"PENDIENTE"))</f>
        <v/>
      </c>
      <c r="R8" s="37">
        <f>IF($A8="","",IF(OR(NOT(ISNUMBER($I8)),NOT(ISNUMBER($Q8))),"PENDIENTE",$I8*$Q8))</f>
        <v/>
      </c>
      <c r="S8" s="52">
        <f>IF($A8="","",IF(NOT(ISNUMBER($I8)),"ERROR",IF($I8&lt;0,"ERROR",IF($I8=0,"AGOTADO",IF(AND(ISNUMBER($J8),$I8&lt;=N($J8)*MAX(1,IF(ISNUMBER(PAR_ALERTA_STOCK),PAR_ALERTA_STOCK,1))),"REABASTECER","OK")))))</f>
        <v/>
      </c>
      <c r="T8" s="39">
        <f>IF($A8="","",IF(OR(NOT(ISNUMBER($I8)),NOT(ISNUMBER($K8))),"",IF(OR($S8="REABASTECER",$S8="AGOTADO"),MAX(0,$K8-$I8),0)))</f>
        <v/>
      </c>
      <c r="U8" s="53">
        <f>IF($A8="","",IFERROR(IF(SUMPRODUCT(MAX((tblCompras[SKU]=$A8)*(tblCompras[Fecha])))=0,"",SUMPRODUCT(MAX((tblCompras[SKU]=$A8)*(tblCompras[Fecha])))),""))</f>
        <v/>
      </c>
      <c r="V8" s="53">
        <f>IF($A8="","",IFERROR(IF(SUMPRODUCT(MAX((tblVentas[SKU]=$A8)*(tblVentas[Fecha])))=0,"",SUMPRODUCT(MAX((tblVentas[SKU]=$A8)*(tblVentas[Fecha])))),""))</f>
        <v/>
      </c>
      <c r="W8" s="39">
        <f>IF($A8="","",SUMIFS(tblVentas[Unidades efectivas],tblVentas[SKU],$A8,tblVentas[Fecha],"&gt;="&amp;TODAY()-30,tblVentas[Fecha],"&lt;="&amp;TODAY()))</f>
        <v/>
      </c>
      <c r="X8" s="39">
        <f>IF($A8="","",IF(OR(NOT(ISNUMBER($I8)),NOT(ISNUMBER($W8)),$W8&lt;=0),"",ROUND($I8/($W8/30),0)))</f>
        <v/>
      </c>
    </row>
    <row r="9">
      <c r="A9" s="51">
        <f>IFERROR(IF(INDEX(tblProductos[SKU],ROW()-6)="","",INDEX(tblProductos[SKU],ROW()-6)),"")</f>
        <v/>
      </c>
      <c r="B9" s="51">
        <f>IF($A9="","",IFERROR(IF(INDEX(tblProductos[Nombre del producto],MATCH($A9,tblProductos[SKU],0))="","",INDEX(tblProductos[Nombre del producto],MATCH($A9,tblProductos[SKU],0))),""))</f>
        <v/>
      </c>
      <c r="C9" s="51">
        <f>IF($A9="","",IFERROR(IF(INDEX(tblProductos[Categoría],MATCH($A9,tblProductos[SKU],0))="","",INDEX(tblProductos[Categoría],MATCH($A9,tblProductos[SKU],0))),""))</f>
        <v/>
      </c>
      <c r="D9" s="51">
        <f>IF($A9="","",IFERROR(IF(INDEX(tblProductos[Presentación],MATCH($A9,tblProductos[SKU],0))="","",INDEX(tblProductos[Presentación],MATCH($A9,tblProductos[SKU],0))),""))</f>
        <v/>
      </c>
      <c r="E9" s="34" t="n"/>
      <c r="F9" s="39">
        <f>IF($A9="","",SUMIFS(tblCompras[Cantidad],tblCompras[SKU],$A9))</f>
        <v/>
      </c>
      <c r="G9" s="39">
        <f>IF($A9="","",SUMIFS(tblVentas[Unidades efectivas],tblVentas[SKU],$A9))</f>
        <v/>
      </c>
      <c r="H9" s="34" t="n"/>
      <c r="I9" s="39">
        <f>IF($A9="","",IF(ISNUMBER($E9),$E9,0)+$F9-$G9+IF(ISNUMBER($H9),$H9,0))</f>
        <v/>
      </c>
      <c r="J9" s="39">
        <f>IF($A9="","",IFERROR(IF(INDEX(tblProductos[Stock mínimo],MATCH($A9,tblProductos[SKU],0))="","",INDEX(tblProductos[Stock mínimo],MATCH($A9,tblProductos[SKU],0))),""))</f>
        <v/>
      </c>
      <c r="K9" s="39">
        <f>IF($A9="","",IFERROR(IF(INDEX(tblProductos[Stock máximo],MATCH($A9,tblProductos[SKU],0))="","",INDEX(tblProductos[Stock máximo],MATCH($A9,tblProductos[SKU],0))),""))</f>
        <v/>
      </c>
      <c r="L9" s="37">
        <f>IF($A9="","",IFERROR(IF(INDEX(tblCostos[COSTO REAL UNITARIO],MATCH($A9,tblCostos[SKU],0))="","PENDIENTE",INDEX(tblCostos[COSTO REAL UNITARIO],MATCH($A9,tblCostos[SKU],0))),"PENDIENTE"))</f>
        <v/>
      </c>
      <c r="M9" s="37">
        <f>IF($A9="","",IF(SUMIFS(tblCompras[Cantidad],tblCompras[SKU],$A9)&lt;=0,"",SUMIFS(tblCompras[Costo total de adquisición],tblCompras[SKU],$A9)/SUMIFS(tblCompras[Cantidad],tblCompras[SKU],$A9)))</f>
        <v/>
      </c>
      <c r="N9" s="37">
        <f>IF($A9="","",IF(ISNUMBER($M9),$M9,IF(ISNUMBER($L9),$L9,"")))</f>
        <v/>
      </c>
      <c r="O9" s="51">
        <f>IF($A9="","",IF(ISNUMBER($M9),"Promedio ponderado",IF(ISNUMBER($L9),"Costo estándar","PENDIENTE")))</f>
        <v/>
      </c>
      <c r="P9" s="49">
        <f>IF($A9="","",IF(OR(NOT(ISNUMBER($I9)),NOT(ISNUMBER($N9))),"PENDIENTE",$I9*$N9))</f>
        <v/>
      </c>
      <c r="Q9" s="37">
        <f>IF($A9="","",IFERROR(IF(INDEX(tblProductos[Precio de venta actual],MATCH($A9,tblProductos[SKU],0))="","PENDIENTE",INDEX(tblProductos[Precio de venta actual],MATCH($A9,tblProductos[SKU],0))),"PENDIENTE"))</f>
        <v/>
      </c>
      <c r="R9" s="37">
        <f>IF($A9="","",IF(OR(NOT(ISNUMBER($I9)),NOT(ISNUMBER($Q9))),"PENDIENTE",$I9*$Q9))</f>
        <v/>
      </c>
      <c r="S9" s="52">
        <f>IF($A9="","",IF(NOT(ISNUMBER($I9)),"ERROR",IF($I9&lt;0,"ERROR",IF($I9=0,"AGOTADO",IF(AND(ISNUMBER($J9),$I9&lt;=N($J9)*MAX(1,IF(ISNUMBER(PAR_ALERTA_STOCK),PAR_ALERTA_STOCK,1))),"REABASTECER","OK")))))</f>
        <v/>
      </c>
      <c r="T9" s="39">
        <f>IF($A9="","",IF(OR(NOT(ISNUMBER($I9)),NOT(ISNUMBER($K9))),"",IF(OR($S9="REABASTECER",$S9="AGOTADO"),MAX(0,$K9-$I9),0)))</f>
        <v/>
      </c>
      <c r="U9" s="53">
        <f>IF($A9="","",IFERROR(IF(SUMPRODUCT(MAX((tblCompras[SKU]=$A9)*(tblCompras[Fecha])))=0,"",SUMPRODUCT(MAX((tblCompras[SKU]=$A9)*(tblCompras[Fecha])))),""))</f>
        <v/>
      </c>
      <c r="V9" s="53">
        <f>IF($A9="","",IFERROR(IF(SUMPRODUCT(MAX((tblVentas[SKU]=$A9)*(tblVentas[Fecha])))=0,"",SUMPRODUCT(MAX((tblVentas[SKU]=$A9)*(tblVentas[Fecha])))),""))</f>
        <v/>
      </c>
      <c r="W9" s="39">
        <f>IF($A9="","",SUMIFS(tblVentas[Unidades efectivas],tblVentas[SKU],$A9,tblVentas[Fecha],"&gt;="&amp;TODAY()-30,tblVentas[Fecha],"&lt;="&amp;TODAY()))</f>
        <v/>
      </c>
      <c r="X9" s="39">
        <f>IF($A9="","",IF(OR(NOT(ISNUMBER($I9)),NOT(ISNUMBER($W9)),$W9&lt;=0),"",ROUND($I9/($W9/30),0)))</f>
        <v/>
      </c>
    </row>
    <row r="10">
      <c r="A10" s="51">
        <f>IFERROR(IF(INDEX(tblProductos[SKU],ROW()-6)="","",INDEX(tblProductos[SKU],ROW()-6)),"")</f>
        <v/>
      </c>
      <c r="B10" s="51">
        <f>IF($A10="","",IFERROR(IF(INDEX(tblProductos[Nombre del producto],MATCH($A10,tblProductos[SKU],0))="","",INDEX(tblProductos[Nombre del producto],MATCH($A10,tblProductos[SKU],0))),""))</f>
        <v/>
      </c>
      <c r="C10" s="51">
        <f>IF($A10="","",IFERROR(IF(INDEX(tblProductos[Categoría],MATCH($A10,tblProductos[SKU],0))="","",INDEX(tblProductos[Categoría],MATCH($A10,tblProductos[SKU],0))),""))</f>
        <v/>
      </c>
      <c r="D10" s="51">
        <f>IF($A10="","",IFERROR(IF(INDEX(tblProductos[Presentación],MATCH($A10,tblProductos[SKU],0))="","",INDEX(tblProductos[Presentación],MATCH($A10,tblProductos[SKU],0))),""))</f>
        <v/>
      </c>
      <c r="E10" s="34" t="n"/>
      <c r="F10" s="39">
        <f>IF($A10="","",SUMIFS(tblCompras[Cantidad],tblCompras[SKU],$A10))</f>
        <v/>
      </c>
      <c r="G10" s="39">
        <f>IF($A10="","",SUMIFS(tblVentas[Unidades efectivas],tblVentas[SKU],$A10))</f>
        <v/>
      </c>
      <c r="H10" s="34" t="n"/>
      <c r="I10" s="39">
        <f>IF($A10="","",IF(ISNUMBER($E10),$E10,0)+$F10-$G10+IF(ISNUMBER($H10),$H10,0))</f>
        <v/>
      </c>
      <c r="J10" s="39">
        <f>IF($A10="","",IFERROR(IF(INDEX(tblProductos[Stock mínimo],MATCH($A10,tblProductos[SKU],0))="","",INDEX(tblProductos[Stock mínimo],MATCH($A10,tblProductos[SKU],0))),""))</f>
        <v/>
      </c>
      <c r="K10" s="39">
        <f>IF($A10="","",IFERROR(IF(INDEX(tblProductos[Stock máximo],MATCH($A10,tblProductos[SKU],0))="","",INDEX(tblProductos[Stock máximo],MATCH($A10,tblProductos[SKU],0))),""))</f>
        <v/>
      </c>
      <c r="L10" s="37">
        <f>IF($A10="","",IFERROR(IF(INDEX(tblCostos[COSTO REAL UNITARIO],MATCH($A10,tblCostos[SKU],0))="","PENDIENTE",INDEX(tblCostos[COSTO REAL UNITARIO],MATCH($A10,tblCostos[SKU],0))),"PENDIENTE"))</f>
        <v/>
      </c>
      <c r="M10" s="37">
        <f>IF($A10="","",IF(SUMIFS(tblCompras[Cantidad],tblCompras[SKU],$A10)&lt;=0,"",SUMIFS(tblCompras[Costo total de adquisición],tblCompras[SKU],$A10)/SUMIFS(tblCompras[Cantidad],tblCompras[SKU],$A10)))</f>
        <v/>
      </c>
      <c r="N10" s="37">
        <f>IF($A10="","",IF(ISNUMBER($M10),$M10,IF(ISNUMBER($L10),$L10,"")))</f>
        <v/>
      </c>
      <c r="O10" s="51">
        <f>IF($A10="","",IF(ISNUMBER($M10),"Promedio ponderado",IF(ISNUMBER($L10),"Costo estándar","PENDIENTE")))</f>
        <v/>
      </c>
      <c r="P10" s="49">
        <f>IF($A10="","",IF(OR(NOT(ISNUMBER($I10)),NOT(ISNUMBER($N10))),"PENDIENTE",$I10*$N10))</f>
        <v/>
      </c>
      <c r="Q10" s="37">
        <f>IF($A10="","",IFERROR(IF(INDEX(tblProductos[Precio de venta actual],MATCH($A10,tblProductos[SKU],0))="","PENDIENTE",INDEX(tblProductos[Precio de venta actual],MATCH($A10,tblProductos[SKU],0))),"PENDIENTE"))</f>
        <v/>
      </c>
      <c r="R10" s="37">
        <f>IF($A10="","",IF(OR(NOT(ISNUMBER($I10)),NOT(ISNUMBER($Q10))),"PENDIENTE",$I10*$Q10))</f>
        <v/>
      </c>
      <c r="S10" s="52">
        <f>IF($A10="","",IF(NOT(ISNUMBER($I10)),"ERROR",IF($I10&lt;0,"ERROR",IF($I10=0,"AGOTADO",IF(AND(ISNUMBER($J10),$I10&lt;=N($J10)*MAX(1,IF(ISNUMBER(PAR_ALERTA_STOCK),PAR_ALERTA_STOCK,1))),"REABASTECER","OK")))))</f>
        <v/>
      </c>
      <c r="T10" s="39">
        <f>IF($A10="","",IF(OR(NOT(ISNUMBER($I10)),NOT(ISNUMBER($K10))),"",IF(OR($S10="REABASTECER",$S10="AGOTADO"),MAX(0,$K10-$I10),0)))</f>
        <v/>
      </c>
      <c r="U10" s="53">
        <f>IF($A10="","",IFERROR(IF(SUMPRODUCT(MAX((tblCompras[SKU]=$A10)*(tblCompras[Fecha])))=0,"",SUMPRODUCT(MAX((tblCompras[SKU]=$A10)*(tblCompras[Fecha])))),""))</f>
        <v/>
      </c>
      <c r="V10" s="53">
        <f>IF($A10="","",IFERROR(IF(SUMPRODUCT(MAX((tblVentas[SKU]=$A10)*(tblVentas[Fecha])))=0,"",SUMPRODUCT(MAX((tblVentas[SKU]=$A10)*(tblVentas[Fecha])))),""))</f>
        <v/>
      </c>
      <c r="W10" s="39">
        <f>IF($A10="","",SUMIFS(tblVentas[Unidades efectivas],tblVentas[SKU],$A10,tblVentas[Fecha],"&gt;="&amp;TODAY()-30,tblVentas[Fecha],"&lt;="&amp;TODAY()))</f>
        <v/>
      </c>
      <c r="X10" s="39">
        <f>IF($A10="","",IF(OR(NOT(ISNUMBER($I10)),NOT(ISNUMBER($W10)),$W10&lt;=0),"",ROUND($I10/($W10/30),0)))</f>
        <v/>
      </c>
    </row>
    <row r="11">
      <c r="A11" s="51">
        <f>IFERROR(IF(INDEX(tblProductos[SKU],ROW()-6)="","",INDEX(tblProductos[SKU],ROW()-6)),"")</f>
        <v/>
      </c>
      <c r="B11" s="51">
        <f>IF($A11="","",IFERROR(IF(INDEX(tblProductos[Nombre del producto],MATCH($A11,tblProductos[SKU],0))="","",INDEX(tblProductos[Nombre del producto],MATCH($A11,tblProductos[SKU],0))),""))</f>
        <v/>
      </c>
      <c r="C11" s="51">
        <f>IF($A11="","",IFERROR(IF(INDEX(tblProductos[Categoría],MATCH($A11,tblProductos[SKU],0))="","",INDEX(tblProductos[Categoría],MATCH($A11,tblProductos[SKU],0))),""))</f>
        <v/>
      </c>
      <c r="D11" s="51">
        <f>IF($A11="","",IFERROR(IF(INDEX(tblProductos[Presentación],MATCH($A11,tblProductos[SKU],0))="","",INDEX(tblProductos[Presentación],MATCH($A11,tblProductos[SKU],0))),""))</f>
        <v/>
      </c>
      <c r="E11" s="34" t="n"/>
      <c r="F11" s="39">
        <f>IF($A11="","",SUMIFS(tblCompras[Cantidad],tblCompras[SKU],$A11))</f>
        <v/>
      </c>
      <c r="G11" s="39">
        <f>IF($A11="","",SUMIFS(tblVentas[Unidades efectivas],tblVentas[SKU],$A11))</f>
        <v/>
      </c>
      <c r="H11" s="34" t="n"/>
      <c r="I11" s="39">
        <f>IF($A11="","",IF(ISNUMBER($E11),$E11,0)+$F11-$G11+IF(ISNUMBER($H11),$H11,0))</f>
        <v/>
      </c>
      <c r="J11" s="39">
        <f>IF($A11="","",IFERROR(IF(INDEX(tblProductos[Stock mínimo],MATCH($A11,tblProductos[SKU],0))="","",INDEX(tblProductos[Stock mínimo],MATCH($A11,tblProductos[SKU],0))),""))</f>
        <v/>
      </c>
      <c r="K11" s="39">
        <f>IF($A11="","",IFERROR(IF(INDEX(tblProductos[Stock máximo],MATCH($A11,tblProductos[SKU],0))="","",INDEX(tblProductos[Stock máximo],MATCH($A11,tblProductos[SKU],0))),""))</f>
        <v/>
      </c>
      <c r="L11" s="37">
        <f>IF($A11="","",IFERROR(IF(INDEX(tblCostos[COSTO REAL UNITARIO],MATCH($A11,tblCostos[SKU],0))="","PENDIENTE",INDEX(tblCostos[COSTO REAL UNITARIO],MATCH($A11,tblCostos[SKU],0))),"PENDIENTE"))</f>
        <v/>
      </c>
      <c r="M11" s="37">
        <f>IF($A11="","",IF(SUMIFS(tblCompras[Cantidad],tblCompras[SKU],$A11)&lt;=0,"",SUMIFS(tblCompras[Costo total de adquisición],tblCompras[SKU],$A11)/SUMIFS(tblCompras[Cantidad],tblCompras[SKU],$A11)))</f>
        <v/>
      </c>
      <c r="N11" s="37">
        <f>IF($A11="","",IF(ISNUMBER($M11),$M11,IF(ISNUMBER($L11),$L11,"")))</f>
        <v/>
      </c>
      <c r="O11" s="51">
        <f>IF($A11="","",IF(ISNUMBER($M11),"Promedio ponderado",IF(ISNUMBER($L11),"Costo estándar","PENDIENTE")))</f>
        <v/>
      </c>
      <c r="P11" s="49">
        <f>IF($A11="","",IF(OR(NOT(ISNUMBER($I11)),NOT(ISNUMBER($N11))),"PENDIENTE",$I11*$N11))</f>
        <v/>
      </c>
      <c r="Q11" s="37">
        <f>IF($A11="","",IFERROR(IF(INDEX(tblProductos[Precio de venta actual],MATCH($A11,tblProductos[SKU],0))="","PENDIENTE",INDEX(tblProductos[Precio de venta actual],MATCH($A11,tblProductos[SKU],0))),"PENDIENTE"))</f>
        <v/>
      </c>
      <c r="R11" s="37">
        <f>IF($A11="","",IF(OR(NOT(ISNUMBER($I11)),NOT(ISNUMBER($Q11))),"PENDIENTE",$I11*$Q11))</f>
        <v/>
      </c>
      <c r="S11" s="52">
        <f>IF($A11="","",IF(NOT(ISNUMBER($I11)),"ERROR",IF($I11&lt;0,"ERROR",IF($I11=0,"AGOTADO",IF(AND(ISNUMBER($J11),$I11&lt;=N($J11)*MAX(1,IF(ISNUMBER(PAR_ALERTA_STOCK),PAR_ALERTA_STOCK,1))),"REABASTECER","OK")))))</f>
        <v/>
      </c>
      <c r="T11" s="39">
        <f>IF($A11="","",IF(OR(NOT(ISNUMBER($I11)),NOT(ISNUMBER($K11))),"",IF(OR($S11="REABASTECER",$S11="AGOTADO"),MAX(0,$K11-$I11),0)))</f>
        <v/>
      </c>
      <c r="U11" s="53">
        <f>IF($A11="","",IFERROR(IF(SUMPRODUCT(MAX((tblCompras[SKU]=$A11)*(tblCompras[Fecha])))=0,"",SUMPRODUCT(MAX((tblCompras[SKU]=$A11)*(tblCompras[Fecha])))),""))</f>
        <v/>
      </c>
      <c r="V11" s="53">
        <f>IF($A11="","",IFERROR(IF(SUMPRODUCT(MAX((tblVentas[SKU]=$A11)*(tblVentas[Fecha])))=0,"",SUMPRODUCT(MAX((tblVentas[SKU]=$A11)*(tblVentas[Fecha])))),""))</f>
        <v/>
      </c>
      <c r="W11" s="39">
        <f>IF($A11="","",SUMIFS(tblVentas[Unidades efectivas],tblVentas[SKU],$A11,tblVentas[Fecha],"&gt;="&amp;TODAY()-30,tblVentas[Fecha],"&lt;="&amp;TODAY()))</f>
        <v/>
      </c>
      <c r="X11" s="39">
        <f>IF($A11="","",IF(OR(NOT(ISNUMBER($I11)),NOT(ISNUMBER($W11)),$W11&lt;=0),"",ROUND($I11/($W11/30),0)))</f>
        <v/>
      </c>
    </row>
    <row r="12">
      <c r="A12" s="51">
        <f>IFERROR(IF(INDEX(tblProductos[SKU],ROW()-6)="","",INDEX(tblProductos[SKU],ROW()-6)),"")</f>
        <v/>
      </c>
      <c r="B12" s="51">
        <f>IF($A12="","",IFERROR(IF(INDEX(tblProductos[Nombre del producto],MATCH($A12,tblProductos[SKU],0))="","",INDEX(tblProductos[Nombre del producto],MATCH($A12,tblProductos[SKU],0))),""))</f>
        <v/>
      </c>
      <c r="C12" s="51">
        <f>IF($A12="","",IFERROR(IF(INDEX(tblProductos[Categoría],MATCH($A12,tblProductos[SKU],0))="","",INDEX(tblProductos[Categoría],MATCH($A12,tblProductos[SKU],0))),""))</f>
        <v/>
      </c>
      <c r="D12" s="51">
        <f>IF($A12="","",IFERROR(IF(INDEX(tblProductos[Presentación],MATCH($A12,tblProductos[SKU],0))="","",INDEX(tblProductos[Presentación],MATCH($A12,tblProductos[SKU],0))),""))</f>
        <v/>
      </c>
      <c r="E12" s="34" t="n"/>
      <c r="F12" s="39">
        <f>IF($A12="","",SUMIFS(tblCompras[Cantidad],tblCompras[SKU],$A12))</f>
        <v/>
      </c>
      <c r="G12" s="39">
        <f>IF($A12="","",SUMIFS(tblVentas[Unidades efectivas],tblVentas[SKU],$A12))</f>
        <v/>
      </c>
      <c r="H12" s="34" t="n"/>
      <c r="I12" s="39">
        <f>IF($A12="","",IF(ISNUMBER($E12),$E12,0)+$F12-$G12+IF(ISNUMBER($H12),$H12,0))</f>
        <v/>
      </c>
      <c r="J12" s="39">
        <f>IF($A12="","",IFERROR(IF(INDEX(tblProductos[Stock mínimo],MATCH($A12,tblProductos[SKU],0))="","",INDEX(tblProductos[Stock mínimo],MATCH($A12,tblProductos[SKU],0))),""))</f>
        <v/>
      </c>
      <c r="K12" s="39">
        <f>IF($A12="","",IFERROR(IF(INDEX(tblProductos[Stock máximo],MATCH($A12,tblProductos[SKU],0))="","",INDEX(tblProductos[Stock máximo],MATCH($A12,tblProductos[SKU],0))),""))</f>
        <v/>
      </c>
      <c r="L12" s="37">
        <f>IF($A12="","",IFERROR(IF(INDEX(tblCostos[COSTO REAL UNITARIO],MATCH($A12,tblCostos[SKU],0))="","PENDIENTE",INDEX(tblCostos[COSTO REAL UNITARIO],MATCH($A12,tblCostos[SKU],0))),"PENDIENTE"))</f>
        <v/>
      </c>
      <c r="M12" s="37">
        <f>IF($A12="","",IF(SUMIFS(tblCompras[Cantidad],tblCompras[SKU],$A12)&lt;=0,"",SUMIFS(tblCompras[Costo total de adquisición],tblCompras[SKU],$A12)/SUMIFS(tblCompras[Cantidad],tblCompras[SKU],$A12)))</f>
        <v/>
      </c>
      <c r="N12" s="37">
        <f>IF($A12="","",IF(ISNUMBER($M12),$M12,IF(ISNUMBER($L12),$L12,"")))</f>
        <v/>
      </c>
      <c r="O12" s="51">
        <f>IF($A12="","",IF(ISNUMBER($M12),"Promedio ponderado",IF(ISNUMBER($L12),"Costo estándar","PENDIENTE")))</f>
        <v/>
      </c>
      <c r="P12" s="49">
        <f>IF($A12="","",IF(OR(NOT(ISNUMBER($I12)),NOT(ISNUMBER($N12))),"PENDIENTE",$I12*$N12))</f>
        <v/>
      </c>
      <c r="Q12" s="37">
        <f>IF($A12="","",IFERROR(IF(INDEX(tblProductos[Precio de venta actual],MATCH($A12,tblProductos[SKU],0))="","PENDIENTE",INDEX(tblProductos[Precio de venta actual],MATCH($A12,tblProductos[SKU],0))),"PENDIENTE"))</f>
        <v/>
      </c>
      <c r="R12" s="37">
        <f>IF($A12="","",IF(OR(NOT(ISNUMBER($I12)),NOT(ISNUMBER($Q12))),"PENDIENTE",$I12*$Q12))</f>
        <v/>
      </c>
      <c r="S12" s="52">
        <f>IF($A12="","",IF(NOT(ISNUMBER($I12)),"ERROR",IF($I12&lt;0,"ERROR",IF($I12=0,"AGOTADO",IF(AND(ISNUMBER($J12),$I12&lt;=N($J12)*MAX(1,IF(ISNUMBER(PAR_ALERTA_STOCK),PAR_ALERTA_STOCK,1))),"REABASTECER","OK")))))</f>
        <v/>
      </c>
      <c r="T12" s="39">
        <f>IF($A12="","",IF(OR(NOT(ISNUMBER($I12)),NOT(ISNUMBER($K12))),"",IF(OR($S12="REABASTECER",$S12="AGOTADO"),MAX(0,$K12-$I12),0)))</f>
        <v/>
      </c>
      <c r="U12" s="53">
        <f>IF($A12="","",IFERROR(IF(SUMPRODUCT(MAX((tblCompras[SKU]=$A12)*(tblCompras[Fecha])))=0,"",SUMPRODUCT(MAX((tblCompras[SKU]=$A12)*(tblCompras[Fecha])))),""))</f>
        <v/>
      </c>
      <c r="V12" s="53">
        <f>IF($A12="","",IFERROR(IF(SUMPRODUCT(MAX((tblVentas[SKU]=$A12)*(tblVentas[Fecha])))=0,"",SUMPRODUCT(MAX((tblVentas[SKU]=$A12)*(tblVentas[Fecha])))),""))</f>
        <v/>
      </c>
      <c r="W12" s="39">
        <f>IF($A12="","",SUMIFS(tblVentas[Unidades efectivas],tblVentas[SKU],$A12,tblVentas[Fecha],"&gt;="&amp;TODAY()-30,tblVentas[Fecha],"&lt;="&amp;TODAY()))</f>
        <v/>
      </c>
      <c r="X12" s="39">
        <f>IF($A12="","",IF(OR(NOT(ISNUMBER($I12)),NOT(ISNUMBER($W12)),$W12&lt;=0),"",ROUND($I12/($W12/30),0)))</f>
        <v/>
      </c>
    </row>
    <row r="13">
      <c r="A13" s="51">
        <f>IFERROR(IF(INDEX(tblProductos[SKU],ROW()-6)="","",INDEX(tblProductos[SKU],ROW()-6)),"")</f>
        <v/>
      </c>
      <c r="B13" s="51">
        <f>IF($A13="","",IFERROR(IF(INDEX(tblProductos[Nombre del producto],MATCH($A13,tblProductos[SKU],0))="","",INDEX(tblProductos[Nombre del producto],MATCH($A13,tblProductos[SKU],0))),""))</f>
        <v/>
      </c>
      <c r="C13" s="51">
        <f>IF($A13="","",IFERROR(IF(INDEX(tblProductos[Categoría],MATCH($A13,tblProductos[SKU],0))="","",INDEX(tblProductos[Categoría],MATCH($A13,tblProductos[SKU],0))),""))</f>
        <v/>
      </c>
      <c r="D13" s="51">
        <f>IF($A13="","",IFERROR(IF(INDEX(tblProductos[Presentación],MATCH($A13,tblProductos[SKU],0))="","",INDEX(tblProductos[Presentación],MATCH($A13,tblProductos[SKU],0))),""))</f>
        <v/>
      </c>
      <c r="E13" s="34" t="n"/>
      <c r="F13" s="39">
        <f>IF($A13="","",SUMIFS(tblCompras[Cantidad],tblCompras[SKU],$A13))</f>
        <v/>
      </c>
      <c r="G13" s="39">
        <f>IF($A13="","",SUMIFS(tblVentas[Unidades efectivas],tblVentas[SKU],$A13))</f>
        <v/>
      </c>
      <c r="H13" s="34" t="n"/>
      <c r="I13" s="39">
        <f>IF($A13="","",IF(ISNUMBER($E13),$E13,0)+$F13-$G13+IF(ISNUMBER($H13),$H13,0))</f>
        <v/>
      </c>
      <c r="J13" s="39">
        <f>IF($A13="","",IFERROR(IF(INDEX(tblProductos[Stock mínimo],MATCH($A13,tblProductos[SKU],0))="","",INDEX(tblProductos[Stock mínimo],MATCH($A13,tblProductos[SKU],0))),""))</f>
        <v/>
      </c>
      <c r="K13" s="39">
        <f>IF($A13="","",IFERROR(IF(INDEX(tblProductos[Stock máximo],MATCH($A13,tblProductos[SKU],0))="","",INDEX(tblProductos[Stock máximo],MATCH($A13,tblProductos[SKU],0))),""))</f>
        <v/>
      </c>
      <c r="L13" s="37">
        <f>IF($A13="","",IFERROR(IF(INDEX(tblCostos[COSTO REAL UNITARIO],MATCH($A13,tblCostos[SKU],0))="","PENDIENTE",INDEX(tblCostos[COSTO REAL UNITARIO],MATCH($A13,tblCostos[SKU],0))),"PENDIENTE"))</f>
        <v/>
      </c>
      <c r="M13" s="37">
        <f>IF($A13="","",IF(SUMIFS(tblCompras[Cantidad],tblCompras[SKU],$A13)&lt;=0,"",SUMIFS(tblCompras[Costo total de adquisición],tblCompras[SKU],$A13)/SUMIFS(tblCompras[Cantidad],tblCompras[SKU],$A13)))</f>
        <v/>
      </c>
      <c r="N13" s="37">
        <f>IF($A13="","",IF(ISNUMBER($M13),$M13,IF(ISNUMBER($L13),$L13,"")))</f>
        <v/>
      </c>
      <c r="O13" s="51">
        <f>IF($A13="","",IF(ISNUMBER($M13),"Promedio ponderado",IF(ISNUMBER($L13),"Costo estándar","PENDIENTE")))</f>
        <v/>
      </c>
      <c r="P13" s="49">
        <f>IF($A13="","",IF(OR(NOT(ISNUMBER($I13)),NOT(ISNUMBER($N13))),"PENDIENTE",$I13*$N13))</f>
        <v/>
      </c>
      <c r="Q13" s="37">
        <f>IF($A13="","",IFERROR(IF(INDEX(tblProductos[Precio de venta actual],MATCH($A13,tblProductos[SKU],0))="","PENDIENTE",INDEX(tblProductos[Precio de venta actual],MATCH($A13,tblProductos[SKU],0))),"PENDIENTE"))</f>
        <v/>
      </c>
      <c r="R13" s="37">
        <f>IF($A13="","",IF(OR(NOT(ISNUMBER($I13)),NOT(ISNUMBER($Q13))),"PENDIENTE",$I13*$Q13))</f>
        <v/>
      </c>
      <c r="S13" s="52">
        <f>IF($A13="","",IF(NOT(ISNUMBER($I13)),"ERROR",IF($I13&lt;0,"ERROR",IF($I13=0,"AGOTADO",IF(AND(ISNUMBER($J13),$I13&lt;=N($J13)*MAX(1,IF(ISNUMBER(PAR_ALERTA_STOCK),PAR_ALERTA_STOCK,1))),"REABASTECER","OK")))))</f>
        <v/>
      </c>
      <c r="T13" s="39">
        <f>IF($A13="","",IF(OR(NOT(ISNUMBER($I13)),NOT(ISNUMBER($K13))),"",IF(OR($S13="REABASTECER",$S13="AGOTADO"),MAX(0,$K13-$I13),0)))</f>
        <v/>
      </c>
      <c r="U13" s="53">
        <f>IF($A13="","",IFERROR(IF(SUMPRODUCT(MAX((tblCompras[SKU]=$A13)*(tblCompras[Fecha])))=0,"",SUMPRODUCT(MAX((tblCompras[SKU]=$A13)*(tblCompras[Fecha])))),""))</f>
        <v/>
      </c>
      <c r="V13" s="53">
        <f>IF($A13="","",IFERROR(IF(SUMPRODUCT(MAX((tblVentas[SKU]=$A13)*(tblVentas[Fecha])))=0,"",SUMPRODUCT(MAX((tblVentas[SKU]=$A13)*(tblVentas[Fecha])))),""))</f>
        <v/>
      </c>
      <c r="W13" s="39">
        <f>IF($A13="","",SUMIFS(tblVentas[Unidades efectivas],tblVentas[SKU],$A13,tblVentas[Fecha],"&gt;="&amp;TODAY()-30,tblVentas[Fecha],"&lt;="&amp;TODAY()))</f>
        <v/>
      </c>
      <c r="X13" s="39">
        <f>IF($A13="","",IF(OR(NOT(ISNUMBER($I13)),NOT(ISNUMBER($W13)),$W13&lt;=0),"",ROUND($I13/($W13/30),0)))</f>
        <v/>
      </c>
    </row>
    <row r="14">
      <c r="A14" s="51">
        <f>IFERROR(IF(INDEX(tblProductos[SKU],ROW()-6)="","",INDEX(tblProductos[SKU],ROW()-6)),"")</f>
        <v/>
      </c>
      <c r="B14" s="51">
        <f>IF($A14="","",IFERROR(IF(INDEX(tblProductos[Nombre del producto],MATCH($A14,tblProductos[SKU],0))="","",INDEX(tblProductos[Nombre del producto],MATCH($A14,tblProductos[SKU],0))),""))</f>
        <v/>
      </c>
      <c r="C14" s="51">
        <f>IF($A14="","",IFERROR(IF(INDEX(tblProductos[Categoría],MATCH($A14,tblProductos[SKU],0))="","",INDEX(tblProductos[Categoría],MATCH($A14,tblProductos[SKU],0))),""))</f>
        <v/>
      </c>
      <c r="D14" s="51">
        <f>IF($A14="","",IFERROR(IF(INDEX(tblProductos[Presentación],MATCH($A14,tblProductos[SKU],0))="","",INDEX(tblProductos[Presentación],MATCH($A14,tblProductos[SKU],0))),""))</f>
        <v/>
      </c>
      <c r="E14" s="34" t="n"/>
      <c r="F14" s="39">
        <f>IF($A14="","",SUMIFS(tblCompras[Cantidad],tblCompras[SKU],$A14))</f>
        <v/>
      </c>
      <c r="G14" s="39">
        <f>IF($A14="","",SUMIFS(tblVentas[Unidades efectivas],tblVentas[SKU],$A14))</f>
        <v/>
      </c>
      <c r="H14" s="34" t="n"/>
      <c r="I14" s="39">
        <f>IF($A14="","",IF(ISNUMBER($E14),$E14,0)+$F14-$G14+IF(ISNUMBER($H14),$H14,0))</f>
        <v/>
      </c>
      <c r="J14" s="39">
        <f>IF($A14="","",IFERROR(IF(INDEX(tblProductos[Stock mínimo],MATCH($A14,tblProductos[SKU],0))="","",INDEX(tblProductos[Stock mínimo],MATCH($A14,tblProductos[SKU],0))),""))</f>
        <v/>
      </c>
      <c r="K14" s="39">
        <f>IF($A14="","",IFERROR(IF(INDEX(tblProductos[Stock máximo],MATCH($A14,tblProductos[SKU],0))="","",INDEX(tblProductos[Stock máximo],MATCH($A14,tblProductos[SKU],0))),""))</f>
        <v/>
      </c>
      <c r="L14" s="37">
        <f>IF($A14="","",IFERROR(IF(INDEX(tblCostos[COSTO REAL UNITARIO],MATCH($A14,tblCostos[SKU],0))="","PENDIENTE",INDEX(tblCostos[COSTO REAL UNITARIO],MATCH($A14,tblCostos[SKU],0))),"PENDIENTE"))</f>
        <v/>
      </c>
      <c r="M14" s="37">
        <f>IF($A14="","",IF(SUMIFS(tblCompras[Cantidad],tblCompras[SKU],$A14)&lt;=0,"",SUMIFS(tblCompras[Costo total de adquisición],tblCompras[SKU],$A14)/SUMIFS(tblCompras[Cantidad],tblCompras[SKU],$A14)))</f>
        <v/>
      </c>
      <c r="N14" s="37">
        <f>IF($A14="","",IF(ISNUMBER($M14),$M14,IF(ISNUMBER($L14),$L14,"")))</f>
        <v/>
      </c>
      <c r="O14" s="51">
        <f>IF($A14="","",IF(ISNUMBER($M14),"Promedio ponderado",IF(ISNUMBER($L14),"Costo estándar","PENDIENTE")))</f>
        <v/>
      </c>
      <c r="P14" s="49">
        <f>IF($A14="","",IF(OR(NOT(ISNUMBER($I14)),NOT(ISNUMBER($N14))),"PENDIENTE",$I14*$N14))</f>
        <v/>
      </c>
      <c r="Q14" s="37">
        <f>IF($A14="","",IFERROR(IF(INDEX(tblProductos[Precio de venta actual],MATCH($A14,tblProductos[SKU],0))="","PENDIENTE",INDEX(tblProductos[Precio de venta actual],MATCH($A14,tblProductos[SKU],0))),"PENDIENTE"))</f>
        <v/>
      </c>
      <c r="R14" s="37">
        <f>IF($A14="","",IF(OR(NOT(ISNUMBER($I14)),NOT(ISNUMBER($Q14))),"PENDIENTE",$I14*$Q14))</f>
        <v/>
      </c>
      <c r="S14" s="52">
        <f>IF($A14="","",IF(NOT(ISNUMBER($I14)),"ERROR",IF($I14&lt;0,"ERROR",IF($I14=0,"AGOTADO",IF(AND(ISNUMBER($J14),$I14&lt;=N($J14)*MAX(1,IF(ISNUMBER(PAR_ALERTA_STOCK),PAR_ALERTA_STOCK,1))),"REABASTECER","OK")))))</f>
        <v/>
      </c>
      <c r="T14" s="39">
        <f>IF($A14="","",IF(OR(NOT(ISNUMBER($I14)),NOT(ISNUMBER($K14))),"",IF(OR($S14="REABASTECER",$S14="AGOTADO"),MAX(0,$K14-$I14),0)))</f>
        <v/>
      </c>
      <c r="U14" s="53">
        <f>IF($A14="","",IFERROR(IF(SUMPRODUCT(MAX((tblCompras[SKU]=$A14)*(tblCompras[Fecha])))=0,"",SUMPRODUCT(MAX((tblCompras[SKU]=$A14)*(tblCompras[Fecha])))),""))</f>
        <v/>
      </c>
      <c r="V14" s="53">
        <f>IF($A14="","",IFERROR(IF(SUMPRODUCT(MAX((tblVentas[SKU]=$A14)*(tblVentas[Fecha])))=0,"",SUMPRODUCT(MAX((tblVentas[SKU]=$A14)*(tblVentas[Fecha])))),""))</f>
        <v/>
      </c>
      <c r="W14" s="39">
        <f>IF($A14="","",SUMIFS(tblVentas[Unidades efectivas],tblVentas[SKU],$A14,tblVentas[Fecha],"&gt;="&amp;TODAY()-30,tblVentas[Fecha],"&lt;="&amp;TODAY()))</f>
        <v/>
      </c>
      <c r="X14" s="39">
        <f>IF($A14="","",IF(OR(NOT(ISNUMBER($I14)),NOT(ISNUMBER($W14)),$W14&lt;=0),"",ROUND($I14/($W14/30),0)))</f>
        <v/>
      </c>
    </row>
    <row r="15">
      <c r="A15" s="51">
        <f>IFERROR(IF(INDEX(tblProductos[SKU],ROW()-6)="","",INDEX(tblProductos[SKU],ROW()-6)),"")</f>
        <v/>
      </c>
      <c r="B15" s="51">
        <f>IF($A15="","",IFERROR(IF(INDEX(tblProductos[Nombre del producto],MATCH($A15,tblProductos[SKU],0))="","",INDEX(tblProductos[Nombre del producto],MATCH($A15,tblProductos[SKU],0))),""))</f>
        <v/>
      </c>
      <c r="C15" s="51">
        <f>IF($A15="","",IFERROR(IF(INDEX(tblProductos[Categoría],MATCH($A15,tblProductos[SKU],0))="","",INDEX(tblProductos[Categoría],MATCH($A15,tblProductos[SKU],0))),""))</f>
        <v/>
      </c>
      <c r="D15" s="51">
        <f>IF($A15="","",IFERROR(IF(INDEX(tblProductos[Presentación],MATCH($A15,tblProductos[SKU],0))="","",INDEX(tblProductos[Presentación],MATCH($A15,tblProductos[SKU],0))),""))</f>
        <v/>
      </c>
      <c r="E15" s="34" t="n"/>
      <c r="F15" s="39">
        <f>IF($A15="","",SUMIFS(tblCompras[Cantidad],tblCompras[SKU],$A15))</f>
        <v/>
      </c>
      <c r="G15" s="39">
        <f>IF($A15="","",SUMIFS(tblVentas[Unidades efectivas],tblVentas[SKU],$A15))</f>
        <v/>
      </c>
      <c r="H15" s="34" t="n"/>
      <c r="I15" s="39">
        <f>IF($A15="","",IF(ISNUMBER($E15),$E15,0)+$F15-$G15+IF(ISNUMBER($H15),$H15,0))</f>
        <v/>
      </c>
      <c r="J15" s="39">
        <f>IF($A15="","",IFERROR(IF(INDEX(tblProductos[Stock mínimo],MATCH($A15,tblProductos[SKU],0))="","",INDEX(tblProductos[Stock mínimo],MATCH($A15,tblProductos[SKU],0))),""))</f>
        <v/>
      </c>
      <c r="K15" s="39">
        <f>IF($A15="","",IFERROR(IF(INDEX(tblProductos[Stock máximo],MATCH($A15,tblProductos[SKU],0))="","",INDEX(tblProductos[Stock máximo],MATCH($A15,tblProductos[SKU],0))),""))</f>
        <v/>
      </c>
      <c r="L15" s="37">
        <f>IF($A15="","",IFERROR(IF(INDEX(tblCostos[COSTO REAL UNITARIO],MATCH($A15,tblCostos[SKU],0))="","PENDIENTE",INDEX(tblCostos[COSTO REAL UNITARIO],MATCH($A15,tblCostos[SKU],0))),"PENDIENTE"))</f>
        <v/>
      </c>
      <c r="M15" s="37">
        <f>IF($A15="","",IF(SUMIFS(tblCompras[Cantidad],tblCompras[SKU],$A15)&lt;=0,"",SUMIFS(tblCompras[Costo total de adquisición],tblCompras[SKU],$A15)/SUMIFS(tblCompras[Cantidad],tblCompras[SKU],$A15)))</f>
        <v/>
      </c>
      <c r="N15" s="37">
        <f>IF($A15="","",IF(ISNUMBER($M15),$M15,IF(ISNUMBER($L15),$L15,"")))</f>
        <v/>
      </c>
      <c r="O15" s="51">
        <f>IF($A15="","",IF(ISNUMBER($M15),"Promedio ponderado",IF(ISNUMBER($L15),"Costo estándar","PENDIENTE")))</f>
        <v/>
      </c>
      <c r="P15" s="49">
        <f>IF($A15="","",IF(OR(NOT(ISNUMBER($I15)),NOT(ISNUMBER($N15))),"PENDIENTE",$I15*$N15))</f>
        <v/>
      </c>
      <c r="Q15" s="37">
        <f>IF($A15="","",IFERROR(IF(INDEX(tblProductos[Precio de venta actual],MATCH($A15,tblProductos[SKU],0))="","PENDIENTE",INDEX(tblProductos[Precio de venta actual],MATCH($A15,tblProductos[SKU],0))),"PENDIENTE"))</f>
        <v/>
      </c>
      <c r="R15" s="37">
        <f>IF($A15="","",IF(OR(NOT(ISNUMBER($I15)),NOT(ISNUMBER($Q15))),"PENDIENTE",$I15*$Q15))</f>
        <v/>
      </c>
      <c r="S15" s="52">
        <f>IF($A15="","",IF(NOT(ISNUMBER($I15)),"ERROR",IF($I15&lt;0,"ERROR",IF($I15=0,"AGOTADO",IF(AND(ISNUMBER($J15),$I15&lt;=N($J15)*MAX(1,IF(ISNUMBER(PAR_ALERTA_STOCK),PAR_ALERTA_STOCK,1))),"REABASTECER","OK")))))</f>
        <v/>
      </c>
      <c r="T15" s="39">
        <f>IF($A15="","",IF(OR(NOT(ISNUMBER($I15)),NOT(ISNUMBER($K15))),"",IF(OR($S15="REABASTECER",$S15="AGOTADO"),MAX(0,$K15-$I15),0)))</f>
        <v/>
      </c>
      <c r="U15" s="53">
        <f>IF($A15="","",IFERROR(IF(SUMPRODUCT(MAX((tblCompras[SKU]=$A15)*(tblCompras[Fecha])))=0,"",SUMPRODUCT(MAX((tblCompras[SKU]=$A15)*(tblCompras[Fecha])))),""))</f>
        <v/>
      </c>
      <c r="V15" s="53">
        <f>IF($A15="","",IFERROR(IF(SUMPRODUCT(MAX((tblVentas[SKU]=$A15)*(tblVentas[Fecha])))=0,"",SUMPRODUCT(MAX((tblVentas[SKU]=$A15)*(tblVentas[Fecha])))),""))</f>
        <v/>
      </c>
      <c r="W15" s="39">
        <f>IF($A15="","",SUMIFS(tblVentas[Unidades efectivas],tblVentas[SKU],$A15,tblVentas[Fecha],"&gt;="&amp;TODAY()-30,tblVentas[Fecha],"&lt;="&amp;TODAY()))</f>
        <v/>
      </c>
      <c r="X15" s="39">
        <f>IF($A15="","",IF(OR(NOT(ISNUMBER($I15)),NOT(ISNUMBER($W15)),$W15&lt;=0),"",ROUND($I15/($W15/30),0)))</f>
        <v/>
      </c>
    </row>
    <row r="16">
      <c r="A16" s="51">
        <f>IFERROR(IF(INDEX(tblProductos[SKU],ROW()-6)="","",INDEX(tblProductos[SKU],ROW()-6)),"")</f>
        <v/>
      </c>
      <c r="B16" s="51">
        <f>IF($A16="","",IFERROR(IF(INDEX(tblProductos[Nombre del producto],MATCH($A16,tblProductos[SKU],0))="","",INDEX(tblProductos[Nombre del producto],MATCH($A16,tblProductos[SKU],0))),""))</f>
        <v/>
      </c>
      <c r="C16" s="51">
        <f>IF($A16="","",IFERROR(IF(INDEX(tblProductos[Categoría],MATCH($A16,tblProductos[SKU],0))="","",INDEX(tblProductos[Categoría],MATCH($A16,tblProductos[SKU],0))),""))</f>
        <v/>
      </c>
      <c r="D16" s="51">
        <f>IF($A16="","",IFERROR(IF(INDEX(tblProductos[Presentación],MATCH($A16,tblProductos[SKU],0))="","",INDEX(tblProductos[Presentación],MATCH($A16,tblProductos[SKU],0))),""))</f>
        <v/>
      </c>
      <c r="E16" s="34" t="n"/>
      <c r="F16" s="39">
        <f>IF($A16="","",SUMIFS(tblCompras[Cantidad],tblCompras[SKU],$A16))</f>
        <v/>
      </c>
      <c r="G16" s="39">
        <f>IF($A16="","",SUMIFS(tblVentas[Unidades efectivas],tblVentas[SKU],$A16))</f>
        <v/>
      </c>
      <c r="H16" s="34" t="n"/>
      <c r="I16" s="39">
        <f>IF($A16="","",IF(ISNUMBER($E16),$E16,0)+$F16-$G16+IF(ISNUMBER($H16),$H16,0))</f>
        <v/>
      </c>
      <c r="J16" s="39">
        <f>IF($A16="","",IFERROR(IF(INDEX(tblProductos[Stock mínimo],MATCH($A16,tblProductos[SKU],0))="","",INDEX(tblProductos[Stock mínimo],MATCH($A16,tblProductos[SKU],0))),""))</f>
        <v/>
      </c>
      <c r="K16" s="39">
        <f>IF($A16="","",IFERROR(IF(INDEX(tblProductos[Stock máximo],MATCH($A16,tblProductos[SKU],0))="","",INDEX(tblProductos[Stock máximo],MATCH($A16,tblProductos[SKU],0))),""))</f>
        <v/>
      </c>
      <c r="L16" s="37">
        <f>IF($A16="","",IFERROR(IF(INDEX(tblCostos[COSTO REAL UNITARIO],MATCH($A16,tblCostos[SKU],0))="","PENDIENTE",INDEX(tblCostos[COSTO REAL UNITARIO],MATCH($A16,tblCostos[SKU],0))),"PENDIENTE"))</f>
        <v/>
      </c>
      <c r="M16" s="37">
        <f>IF($A16="","",IF(SUMIFS(tblCompras[Cantidad],tblCompras[SKU],$A16)&lt;=0,"",SUMIFS(tblCompras[Costo total de adquisición],tblCompras[SKU],$A16)/SUMIFS(tblCompras[Cantidad],tblCompras[SKU],$A16)))</f>
        <v/>
      </c>
      <c r="N16" s="37">
        <f>IF($A16="","",IF(ISNUMBER($M16),$M16,IF(ISNUMBER($L16),$L16,"")))</f>
        <v/>
      </c>
      <c r="O16" s="51">
        <f>IF($A16="","",IF(ISNUMBER($M16),"Promedio ponderado",IF(ISNUMBER($L16),"Costo estándar","PENDIENTE")))</f>
        <v/>
      </c>
      <c r="P16" s="49">
        <f>IF($A16="","",IF(OR(NOT(ISNUMBER($I16)),NOT(ISNUMBER($N16))),"PENDIENTE",$I16*$N16))</f>
        <v/>
      </c>
      <c r="Q16" s="37">
        <f>IF($A16="","",IFERROR(IF(INDEX(tblProductos[Precio de venta actual],MATCH($A16,tblProductos[SKU],0))="","PENDIENTE",INDEX(tblProductos[Precio de venta actual],MATCH($A16,tblProductos[SKU],0))),"PENDIENTE"))</f>
        <v/>
      </c>
      <c r="R16" s="37">
        <f>IF($A16="","",IF(OR(NOT(ISNUMBER($I16)),NOT(ISNUMBER($Q16))),"PENDIENTE",$I16*$Q16))</f>
        <v/>
      </c>
      <c r="S16" s="52">
        <f>IF($A16="","",IF(NOT(ISNUMBER($I16)),"ERROR",IF($I16&lt;0,"ERROR",IF($I16=0,"AGOTADO",IF(AND(ISNUMBER($J16),$I16&lt;=N($J16)*MAX(1,IF(ISNUMBER(PAR_ALERTA_STOCK),PAR_ALERTA_STOCK,1))),"REABASTECER","OK")))))</f>
        <v/>
      </c>
      <c r="T16" s="39">
        <f>IF($A16="","",IF(OR(NOT(ISNUMBER($I16)),NOT(ISNUMBER($K16))),"",IF(OR($S16="REABASTECER",$S16="AGOTADO"),MAX(0,$K16-$I16),0)))</f>
        <v/>
      </c>
      <c r="U16" s="53">
        <f>IF($A16="","",IFERROR(IF(SUMPRODUCT(MAX((tblCompras[SKU]=$A16)*(tblCompras[Fecha])))=0,"",SUMPRODUCT(MAX((tblCompras[SKU]=$A16)*(tblCompras[Fecha])))),""))</f>
        <v/>
      </c>
      <c r="V16" s="53">
        <f>IF($A16="","",IFERROR(IF(SUMPRODUCT(MAX((tblVentas[SKU]=$A16)*(tblVentas[Fecha])))=0,"",SUMPRODUCT(MAX((tblVentas[SKU]=$A16)*(tblVentas[Fecha])))),""))</f>
        <v/>
      </c>
      <c r="W16" s="39">
        <f>IF($A16="","",SUMIFS(tblVentas[Unidades efectivas],tblVentas[SKU],$A16,tblVentas[Fecha],"&gt;="&amp;TODAY()-30,tblVentas[Fecha],"&lt;="&amp;TODAY()))</f>
        <v/>
      </c>
      <c r="X16" s="39">
        <f>IF($A16="","",IF(OR(NOT(ISNUMBER($I16)),NOT(ISNUMBER($W16)),$W16&lt;=0),"",ROUND($I16/($W16/30),0)))</f>
        <v/>
      </c>
    </row>
    <row r="17">
      <c r="A17" s="51">
        <f>IFERROR(IF(INDEX(tblProductos[SKU],ROW()-6)="","",INDEX(tblProductos[SKU],ROW()-6)),"")</f>
        <v/>
      </c>
      <c r="B17" s="51">
        <f>IF($A17="","",IFERROR(IF(INDEX(tblProductos[Nombre del producto],MATCH($A17,tblProductos[SKU],0))="","",INDEX(tblProductos[Nombre del producto],MATCH($A17,tblProductos[SKU],0))),""))</f>
        <v/>
      </c>
      <c r="C17" s="51">
        <f>IF($A17="","",IFERROR(IF(INDEX(tblProductos[Categoría],MATCH($A17,tblProductos[SKU],0))="","",INDEX(tblProductos[Categoría],MATCH($A17,tblProductos[SKU],0))),""))</f>
        <v/>
      </c>
      <c r="D17" s="51">
        <f>IF($A17="","",IFERROR(IF(INDEX(tblProductos[Presentación],MATCH($A17,tblProductos[SKU],0))="","",INDEX(tblProductos[Presentación],MATCH($A17,tblProductos[SKU],0))),""))</f>
        <v/>
      </c>
      <c r="E17" s="34" t="n"/>
      <c r="F17" s="39">
        <f>IF($A17="","",SUMIFS(tblCompras[Cantidad],tblCompras[SKU],$A17))</f>
        <v/>
      </c>
      <c r="G17" s="39">
        <f>IF($A17="","",SUMIFS(tblVentas[Unidades efectivas],tblVentas[SKU],$A17))</f>
        <v/>
      </c>
      <c r="H17" s="34" t="n"/>
      <c r="I17" s="39">
        <f>IF($A17="","",IF(ISNUMBER($E17),$E17,0)+$F17-$G17+IF(ISNUMBER($H17),$H17,0))</f>
        <v/>
      </c>
      <c r="J17" s="39">
        <f>IF($A17="","",IFERROR(IF(INDEX(tblProductos[Stock mínimo],MATCH($A17,tblProductos[SKU],0))="","",INDEX(tblProductos[Stock mínimo],MATCH($A17,tblProductos[SKU],0))),""))</f>
        <v/>
      </c>
      <c r="K17" s="39">
        <f>IF($A17="","",IFERROR(IF(INDEX(tblProductos[Stock máximo],MATCH($A17,tblProductos[SKU],0))="","",INDEX(tblProductos[Stock máximo],MATCH($A17,tblProductos[SKU],0))),""))</f>
        <v/>
      </c>
      <c r="L17" s="37">
        <f>IF($A17="","",IFERROR(IF(INDEX(tblCostos[COSTO REAL UNITARIO],MATCH($A17,tblCostos[SKU],0))="","PENDIENTE",INDEX(tblCostos[COSTO REAL UNITARIO],MATCH($A17,tblCostos[SKU],0))),"PENDIENTE"))</f>
        <v/>
      </c>
      <c r="M17" s="37">
        <f>IF($A17="","",IF(SUMIFS(tblCompras[Cantidad],tblCompras[SKU],$A17)&lt;=0,"",SUMIFS(tblCompras[Costo total de adquisición],tblCompras[SKU],$A17)/SUMIFS(tblCompras[Cantidad],tblCompras[SKU],$A17)))</f>
        <v/>
      </c>
      <c r="N17" s="37">
        <f>IF($A17="","",IF(ISNUMBER($M17),$M17,IF(ISNUMBER($L17),$L17,"")))</f>
        <v/>
      </c>
      <c r="O17" s="51">
        <f>IF($A17="","",IF(ISNUMBER($M17),"Promedio ponderado",IF(ISNUMBER($L17),"Costo estándar","PENDIENTE")))</f>
        <v/>
      </c>
      <c r="P17" s="49">
        <f>IF($A17="","",IF(OR(NOT(ISNUMBER($I17)),NOT(ISNUMBER($N17))),"PENDIENTE",$I17*$N17))</f>
        <v/>
      </c>
      <c r="Q17" s="37">
        <f>IF($A17="","",IFERROR(IF(INDEX(tblProductos[Precio de venta actual],MATCH($A17,tblProductos[SKU],0))="","PENDIENTE",INDEX(tblProductos[Precio de venta actual],MATCH($A17,tblProductos[SKU],0))),"PENDIENTE"))</f>
        <v/>
      </c>
      <c r="R17" s="37">
        <f>IF($A17="","",IF(OR(NOT(ISNUMBER($I17)),NOT(ISNUMBER($Q17))),"PENDIENTE",$I17*$Q17))</f>
        <v/>
      </c>
      <c r="S17" s="52">
        <f>IF($A17="","",IF(NOT(ISNUMBER($I17)),"ERROR",IF($I17&lt;0,"ERROR",IF($I17=0,"AGOTADO",IF(AND(ISNUMBER($J17),$I17&lt;=N($J17)*MAX(1,IF(ISNUMBER(PAR_ALERTA_STOCK),PAR_ALERTA_STOCK,1))),"REABASTECER","OK")))))</f>
        <v/>
      </c>
      <c r="T17" s="39">
        <f>IF($A17="","",IF(OR(NOT(ISNUMBER($I17)),NOT(ISNUMBER($K17))),"",IF(OR($S17="REABASTECER",$S17="AGOTADO"),MAX(0,$K17-$I17),0)))</f>
        <v/>
      </c>
      <c r="U17" s="53">
        <f>IF($A17="","",IFERROR(IF(SUMPRODUCT(MAX((tblCompras[SKU]=$A17)*(tblCompras[Fecha])))=0,"",SUMPRODUCT(MAX((tblCompras[SKU]=$A17)*(tblCompras[Fecha])))),""))</f>
        <v/>
      </c>
      <c r="V17" s="53">
        <f>IF($A17="","",IFERROR(IF(SUMPRODUCT(MAX((tblVentas[SKU]=$A17)*(tblVentas[Fecha])))=0,"",SUMPRODUCT(MAX((tblVentas[SKU]=$A17)*(tblVentas[Fecha])))),""))</f>
        <v/>
      </c>
      <c r="W17" s="39">
        <f>IF($A17="","",SUMIFS(tblVentas[Unidades efectivas],tblVentas[SKU],$A17,tblVentas[Fecha],"&gt;="&amp;TODAY()-30,tblVentas[Fecha],"&lt;="&amp;TODAY()))</f>
        <v/>
      </c>
      <c r="X17" s="39">
        <f>IF($A17="","",IF(OR(NOT(ISNUMBER($I17)),NOT(ISNUMBER($W17)),$W17&lt;=0),"",ROUND($I17/($W17/30),0)))</f>
        <v/>
      </c>
    </row>
    <row r="18">
      <c r="A18" s="51">
        <f>IFERROR(IF(INDEX(tblProductos[SKU],ROW()-6)="","",INDEX(tblProductos[SKU],ROW()-6)),"")</f>
        <v/>
      </c>
      <c r="B18" s="51">
        <f>IF($A18="","",IFERROR(IF(INDEX(tblProductos[Nombre del producto],MATCH($A18,tblProductos[SKU],0))="","",INDEX(tblProductos[Nombre del producto],MATCH($A18,tblProductos[SKU],0))),""))</f>
        <v/>
      </c>
      <c r="C18" s="51">
        <f>IF($A18="","",IFERROR(IF(INDEX(tblProductos[Categoría],MATCH($A18,tblProductos[SKU],0))="","",INDEX(tblProductos[Categoría],MATCH($A18,tblProductos[SKU],0))),""))</f>
        <v/>
      </c>
      <c r="D18" s="51">
        <f>IF($A18="","",IFERROR(IF(INDEX(tblProductos[Presentación],MATCH($A18,tblProductos[SKU],0))="","",INDEX(tblProductos[Presentación],MATCH($A18,tblProductos[SKU],0))),""))</f>
        <v/>
      </c>
      <c r="E18" s="34" t="n"/>
      <c r="F18" s="39">
        <f>IF($A18="","",SUMIFS(tblCompras[Cantidad],tblCompras[SKU],$A18))</f>
        <v/>
      </c>
      <c r="G18" s="39">
        <f>IF($A18="","",SUMIFS(tblVentas[Unidades efectivas],tblVentas[SKU],$A18))</f>
        <v/>
      </c>
      <c r="H18" s="34" t="n"/>
      <c r="I18" s="39">
        <f>IF($A18="","",IF(ISNUMBER($E18),$E18,0)+$F18-$G18+IF(ISNUMBER($H18),$H18,0))</f>
        <v/>
      </c>
      <c r="J18" s="39">
        <f>IF($A18="","",IFERROR(IF(INDEX(tblProductos[Stock mínimo],MATCH($A18,tblProductos[SKU],0))="","",INDEX(tblProductos[Stock mínimo],MATCH($A18,tblProductos[SKU],0))),""))</f>
        <v/>
      </c>
      <c r="K18" s="39">
        <f>IF($A18="","",IFERROR(IF(INDEX(tblProductos[Stock máximo],MATCH($A18,tblProductos[SKU],0))="","",INDEX(tblProductos[Stock máximo],MATCH($A18,tblProductos[SKU],0))),""))</f>
        <v/>
      </c>
      <c r="L18" s="37">
        <f>IF($A18="","",IFERROR(IF(INDEX(tblCostos[COSTO REAL UNITARIO],MATCH($A18,tblCostos[SKU],0))="","PENDIENTE",INDEX(tblCostos[COSTO REAL UNITARIO],MATCH($A18,tblCostos[SKU],0))),"PENDIENTE"))</f>
        <v/>
      </c>
      <c r="M18" s="37">
        <f>IF($A18="","",IF(SUMIFS(tblCompras[Cantidad],tblCompras[SKU],$A18)&lt;=0,"",SUMIFS(tblCompras[Costo total de adquisición],tblCompras[SKU],$A18)/SUMIFS(tblCompras[Cantidad],tblCompras[SKU],$A18)))</f>
        <v/>
      </c>
      <c r="N18" s="37">
        <f>IF($A18="","",IF(ISNUMBER($M18),$M18,IF(ISNUMBER($L18),$L18,"")))</f>
        <v/>
      </c>
      <c r="O18" s="51">
        <f>IF($A18="","",IF(ISNUMBER($M18),"Promedio ponderado",IF(ISNUMBER($L18),"Costo estándar","PENDIENTE")))</f>
        <v/>
      </c>
      <c r="P18" s="49">
        <f>IF($A18="","",IF(OR(NOT(ISNUMBER($I18)),NOT(ISNUMBER($N18))),"PENDIENTE",$I18*$N18))</f>
        <v/>
      </c>
      <c r="Q18" s="37">
        <f>IF($A18="","",IFERROR(IF(INDEX(tblProductos[Precio de venta actual],MATCH($A18,tblProductos[SKU],0))="","PENDIENTE",INDEX(tblProductos[Precio de venta actual],MATCH($A18,tblProductos[SKU],0))),"PENDIENTE"))</f>
        <v/>
      </c>
      <c r="R18" s="37">
        <f>IF($A18="","",IF(OR(NOT(ISNUMBER($I18)),NOT(ISNUMBER($Q18))),"PENDIENTE",$I18*$Q18))</f>
        <v/>
      </c>
      <c r="S18" s="52">
        <f>IF($A18="","",IF(NOT(ISNUMBER($I18)),"ERROR",IF($I18&lt;0,"ERROR",IF($I18=0,"AGOTADO",IF(AND(ISNUMBER($J18),$I18&lt;=N($J18)*MAX(1,IF(ISNUMBER(PAR_ALERTA_STOCK),PAR_ALERTA_STOCK,1))),"REABASTECER","OK")))))</f>
        <v/>
      </c>
      <c r="T18" s="39">
        <f>IF($A18="","",IF(OR(NOT(ISNUMBER($I18)),NOT(ISNUMBER($K18))),"",IF(OR($S18="REABASTECER",$S18="AGOTADO"),MAX(0,$K18-$I18),0)))</f>
        <v/>
      </c>
      <c r="U18" s="53">
        <f>IF($A18="","",IFERROR(IF(SUMPRODUCT(MAX((tblCompras[SKU]=$A18)*(tblCompras[Fecha])))=0,"",SUMPRODUCT(MAX((tblCompras[SKU]=$A18)*(tblCompras[Fecha])))),""))</f>
        <v/>
      </c>
      <c r="V18" s="53">
        <f>IF($A18="","",IFERROR(IF(SUMPRODUCT(MAX((tblVentas[SKU]=$A18)*(tblVentas[Fecha])))=0,"",SUMPRODUCT(MAX((tblVentas[SKU]=$A18)*(tblVentas[Fecha])))),""))</f>
        <v/>
      </c>
      <c r="W18" s="39">
        <f>IF($A18="","",SUMIFS(tblVentas[Unidades efectivas],tblVentas[SKU],$A18,tblVentas[Fecha],"&gt;="&amp;TODAY()-30,tblVentas[Fecha],"&lt;="&amp;TODAY()))</f>
        <v/>
      </c>
      <c r="X18" s="39">
        <f>IF($A18="","",IF(OR(NOT(ISNUMBER($I18)),NOT(ISNUMBER($W18)),$W18&lt;=0),"",ROUND($I18/($W18/30),0)))</f>
        <v/>
      </c>
    </row>
    <row r="19">
      <c r="A19" s="51">
        <f>IFERROR(IF(INDEX(tblProductos[SKU],ROW()-6)="","",INDEX(tblProductos[SKU],ROW()-6)),"")</f>
        <v/>
      </c>
      <c r="B19" s="51">
        <f>IF($A19="","",IFERROR(IF(INDEX(tblProductos[Nombre del producto],MATCH($A19,tblProductos[SKU],0))="","",INDEX(tblProductos[Nombre del producto],MATCH($A19,tblProductos[SKU],0))),""))</f>
        <v/>
      </c>
      <c r="C19" s="51">
        <f>IF($A19="","",IFERROR(IF(INDEX(tblProductos[Categoría],MATCH($A19,tblProductos[SKU],0))="","",INDEX(tblProductos[Categoría],MATCH($A19,tblProductos[SKU],0))),""))</f>
        <v/>
      </c>
      <c r="D19" s="51">
        <f>IF($A19="","",IFERROR(IF(INDEX(tblProductos[Presentación],MATCH($A19,tblProductos[SKU],0))="","",INDEX(tblProductos[Presentación],MATCH($A19,tblProductos[SKU],0))),""))</f>
        <v/>
      </c>
      <c r="E19" s="34" t="n"/>
      <c r="F19" s="39">
        <f>IF($A19="","",SUMIFS(tblCompras[Cantidad],tblCompras[SKU],$A19))</f>
        <v/>
      </c>
      <c r="G19" s="39">
        <f>IF($A19="","",SUMIFS(tblVentas[Unidades efectivas],tblVentas[SKU],$A19))</f>
        <v/>
      </c>
      <c r="H19" s="34" t="n"/>
      <c r="I19" s="39">
        <f>IF($A19="","",IF(ISNUMBER($E19),$E19,0)+$F19-$G19+IF(ISNUMBER($H19),$H19,0))</f>
        <v/>
      </c>
      <c r="J19" s="39">
        <f>IF($A19="","",IFERROR(IF(INDEX(tblProductos[Stock mínimo],MATCH($A19,tblProductos[SKU],0))="","",INDEX(tblProductos[Stock mínimo],MATCH($A19,tblProductos[SKU],0))),""))</f>
        <v/>
      </c>
      <c r="K19" s="39">
        <f>IF($A19="","",IFERROR(IF(INDEX(tblProductos[Stock máximo],MATCH($A19,tblProductos[SKU],0))="","",INDEX(tblProductos[Stock máximo],MATCH($A19,tblProductos[SKU],0))),""))</f>
        <v/>
      </c>
      <c r="L19" s="37">
        <f>IF($A19="","",IFERROR(IF(INDEX(tblCostos[COSTO REAL UNITARIO],MATCH($A19,tblCostos[SKU],0))="","PENDIENTE",INDEX(tblCostos[COSTO REAL UNITARIO],MATCH($A19,tblCostos[SKU],0))),"PENDIENTE"))</f>
        <v/>
      </c>
      <c r="M19" s="37">
        <f>IF($A19="","",IF(SUMIFS(tblCompras[Cantidad],tblCompras[SKU],$A19)&lt;=0,"",SUMIFS(tblCompras[Costo total de adquisición],tblCompras[SKU],$A19)/SUMIFS(tblCompras[Cantidad],tblCompras[SKU],$A19)))</f>
        <v/>
      </c>
      <c r="N19" s="37">
        <f>IF($A19="","",IF(ISNUMBER($M19),$M19,IF(ISNUMBER($L19),$L19,"")))</f>
        <v/>
      </c>
      <c r="O19" s="51">
        <f>IF($A19="","",IF(ISNUMBER($M19),"Promedio ponderado",IF(ISNUMBER($L19),"Costo estándar","PENDIENTE")))</f>
        <v/>
      </c>
      <c r="P19" s="49">
        <f>IF($A19="","",IF(OR(NOT(ISNUMBER($I19)),NOT(ISNUMBER($N19))),"PENDIENTE",$I19*$N19))</f>
        <v/>
      </c>
      <c r="Q19" s="37">
        <f>IF($A19="","",IFERROR(IF(INDEX(tblProductos[Precio de venta actual],MATCH($A19,tblProductos[SKU],0))="","PENDIENTE",INDEX(tblProductos[Precio de venta actual],MATCH($A19,tblProductos[SKU],0))),"PENDIENTE"))</f>
        <v/>
      </c>
      <c r="R19" s="37">
        <f>IF($A19="","",IF(OR(NOT(ISNUMBER($I19)),NOT(ISNUMBER($Q19))),"PENDIENTE",$I19*$Q19))</f>
        <v/>
      </c>
      <c r="S19" s="52">
        <f>IF($A19="","",IF(NOT(ISNUMBER($I19)),"ERROR",IF($I19&lt;0,"ERROR",IF($I19=0,"AGOTADO",IF(AND(ISNUMBER($J19),$I19&lt;=N($J19)*MAX(1,IF(ISNUMBER(PAR_ALERTA_STOCK),PAR_ALERTA_STOCK,1))),"REABASTECER","OK")))))</f>
        <v/>
      </c>
      <c r="T19" s="39">
        <f>IF($A19="","",IF(OR(NOT(ISNUMBER($I19)),NOT(ISNUMBER($K19))),"",IF(OR($S19="REABASTECER",$S19="AGOTADO"),MAX(0,$K19-$I19),0)))</f>
        <v/>
      </c>
      <c r="U19" s="53">
        <f>IF($A19="","",IFERROR(IF(SUMPRODUCT(MAX((tblCompras[SKU]=$A19)*(tblCompras[Fecha])))=0,"",SUMPRODUCT(MAX((tblCompras[SKU]=$A19)*(tblCompras[Fecha])))),""))</f>
        <v/>
      </c>
      <c r="V19" s="53">
        <f>IF($A19="","",IFERROR(IF(SUMPRODUCT(MAX((tblVentas[SKU]=$A19)*(tblVentas[Fecha])))=0,"",SUMPRODUCT(MAX((tblVentas[SKU]=$A19)*(tblVentas[Fecha])))),""))</f>
        <v/>
      </c>
      <c r="W19" s="39">
        <f>IF($A19="","",SUMIFS(tblVentas[Unidades efectivas],tblVentas[SKU],$A19,tblVentas[Fecha],"&gt;="&amp;TODAY()-30,tblVentas[Fecha],"&lt;="&amp;TODAY()))</f>
        <v/>
      </c>
      <c r="X19" s="39">
        <f>IF($A19="","",IF(OR(NOT(ISNUMBER($I19)),NOT(ISNUMBER($W19)),$W19&lt;=0),"",ROUND($I19/($W19/30),0)))</f>
        <v/>
      </c>
    </row>
    <row r="20">
      <c r="A20" s="51">
        <f>IFERROR(IF(INDEX(tblProductos[SKU],ROW()-6)="","",INDEX(tblProductos[SKU],ROW()-6)),"")</f>
        <v/>
      </c>
      <c r="B20" s="51">
        <f>IF($A20="","",IFERROR(IF(INDEX(tblProductos[Nombre del producto],MATCH($A20,tblProductos[SKU],0))="","",INDEX(tblProductos[Nombre del producto],MATCH($A20,tblProductos[SKU],0))),""))</f>
        <v/>
      </c>
      <c r="C20" s="51">
        <f>IF($A20="","",IFERROR(IF(INDEX(tblProductos[Categoría],MATCH($A20,tblProductos[SKU],0))="","",INDEX(tblProductos[Categoría],MATCH($A20,tblProductos[SKU],0))),""))</f>
        <v/>
      </c>
      <c r="D20" s="51">
        <f>IF($A20="","",IFERROR(IF(INDEX(tblProductos[Presentación],MATCH($A20,tblProductos[SKU],0))="","",INDEX(tblProductos[Presentación],MATCH($A20,tblProductos[SKU],0))),""))</f>
        <v/>
      </c>
      <c r="E20" s="34" t="n"/>
      <c r="F20" s="39">
        <f>IF($A20="","",SUMIFS(tblCompras[Cantidad],tblCompras[SKU],$A20))</f>
        <v/>
      </c>
      <c r="G20" s="39">
        <f>IF($A20="","",SUMIFS(tblVentas[Unidades efectivas],tblVentas[SKU],$A20))</f>
        <v/>
      </c>
      <c r="H20" s="34" t="n"/>
      <c r="I20" s="39">
        <f>IF($A20="","",IF(ISNUMBER($E20),$E20,0)+$F20-$G20+IF(ISNUMBER($H20),$H20,0))</f>
        <v/>
      </c>
      <c r="J20" s="39">
        <f>IF($A20="","",IFERROR(IF(INDEX(tblProductos[Stock mínimo],MATCH($A20,tblProductos[SKU],0))="","",INDEX(tblProductos[Stock mínimo],MATCH($A20,tblProductos[SKU],0))),""))</f>
        <v/>
      </c>
      <c r="K20" s="39">
        <f>IF($A20="","",IFERROR(IF(INDEX(tblProductos[Stock máximo],MATCH($A20,tblProductos[SKU],0))="","",INDEX(tblProductos[Stock máximo],MATCH($A20,tblProductos[SKU],0))),""))</f>
        <v/>
      </c>
      <c r="L20" s="37">
        <f>IF($A20="","",IFERROR(IF(INDEX(tblCostos[COSTO REAL UNITARIO],MATCH($A20,tblCostos[SKU],0))="","PENDIENTE",INDEX(tblCostos[COSTO REAL UNITARIO],MATCH($A20,tblCostos[SKU],0))),"PENDIENTE"))</f>
        <v/>
      </c>
      <c r="M20" s="37">
        <f>IF($A20="","",IF(SUMIFS(tblCompras[Cantidad],tblCompras[SKU],$A20)&lt;=0,"",SUMIFS(tblCompras[Costo total de adquisición],tblCompras[SKU],$A20)/SUMIFS(tblCompras[Cantidad],tblCompras[SKU],$A20)))</f>
        <v/>
      </c>
      <c r="N20" s="37">
        <f>IF($A20="","",IF(ISNUMBER($M20),$M20,IF(ISNUMBER($L20),$L20,"")))</f>
        <v/>
      </c>
      <c r="O20" s="51">
        <f>IF($A20="","",IF(ISNUMBER($M20),"Promedio ponderado",IF(ISNUMBER($L20),"Costo estándar","PENDIENTE")))</f>
        <v/>
      </c>
      <c r="P20" s="49">
        <f>IF($A20="","",IF(OR(NOT(ISNUMBER($I20)),NOT(ISNUMBER($N20))),"PENDIENTE",$I20*$N20))</f>
        <v/>
      </c>
      <c r="Q20" s="37">
        <f>IF($A20="","",IFERROR(IF(INDEX(tblProductos[Precio de venta actual],MATCH($A20,tblProductos[SKU],0))="","PENDIENTE",INDEX(tblProductos[Precio de venta actual],MATCH($A20,tblProductos[SKU],0))),"PENDIENTE"))</f>
        <v/>
      </c>
      <c r="R20" s="37">
        <f>IF($A20="","",IF(OR(NOT(ISNUMBER($I20)),NOT(ISNUMBER($Q20))),"PENDIENTE",$I20*$Q20))</f>
        <v/>
      </c>
      <c r="S20" s="52">
        <f>IF($A20="","",IF(NOT(ISNUMBER($I20)),"ERROR",IF($I20&lt;0,"ERROR",IF($I20=0,"AGOTADO",IF(AND(ISNUMBER($J20),$I20&lt;=N($J20)*MAX(1,IF(ISNUMBER(PAR_ALERTA_STOCK),PAR_ALERTA_STOCK,1))),"REABASTECER","OK")))))</f>
        <v/>
      </c>
      <c r="T20" s="39">
        <f>IF($A20="","",IF(OR(NOT(ISNUMBER($I20)),NOT(ISNUMBER($K20))),"",IF(OR($S20="REABASTECER",$S20="AGOTADO"),MAX(0,$K20-$I20),0)))</f>
        <v/>
      </c>
      <c r="U20" s="53">
        <f>IF($A20="","",IFERROR(IF(SUMPRODUCT(MAX((tblCompras[SKU]=$A20)*(tblCompras[Fecha])))=0,"",SUMPRODUCT(MAX((tblCompras[SKU]=$A20)*(tblCompras[Fecha])))),""))</f>
        <v/>
      </c>
      <c r="V20" s="53">
        <f>IF($A20="","",IFERROR(IF(SUMPRODUCT(MAX((tblVentas[SKU]=$A20)*(tblVentas[Fecha])))=0,"",SUMPRODUCT(MAX((tblVentas[SKU]=$A20)*(tblVentas[Fecha])))),""))</f>
        <v/>
      </c>
      <c r="W20" s="39">
        <f>IF($A20="","",SUMIFS(tblVentas[Unidades efectivas],tblVentas[SKU],$A20,tblVentas[Fecha],"&gt;="&amp;TODAY()-30,tblVentas[Fecha],"&lt;="&amp;TODAY()))</f>
        <v/>
      </c>
      <c r="X20" s="39">
        <f>IF($A20="","",IF(OR(NOT(ISNUMBER($I20)),NOT(ISNUMBER($W20)),$W20&lt;=0),"",ROUND($I20/($W20/30),0)))</f>
        <v/>
      </c>
    </row>
    <row r="21">
      <c r="A21" s="51">
        <f>IFERROR(IF(INDEX(tblProductos[SKU],ROW()-6)="","",INDEX(tblProductos[SKU],ROW()-6)),"")</f>
        <v/>
      </c>
      <c r="B21" s="51">
        <f>IF($A21="","",IFERROR(IF(INDEX(tblProductos[Nombre del producto],MATCH($A21,tblProductos[SKU],0))="","",INDEX(tblProductos[Nombre del producto],MATCH($A21,tblProductos[SKU],0))),""))</f>
        <v/>
      </c>
      <c r="C21" s="51">
        <f>IF($A21="","",IFERROR(IF(INDEX(tblProductos[Categoría],MATCH($A21,tblProductos[SKU],0))="","",INDEX(tblProductos[Categoría],MATCH($A21,tblProductos[SKU],0))),""))</f>
        <v/>
      </c>
      <c r="D21" s="51">
        <f>IF($A21="","",IFERROR(IF(INDEX(tblProductos[Presentación],MATCH($A21,tblProductos[SKU],0))="","",INDEX(tblProductos[Presentación],MATCH($A21,tblProductos[SKU],0))),""))</f>
        <v/>
      </c>
      <c r="E21" s="34" t="n"/>
      <c r="F21" s="39">
        <f>IF($A21="","",SUMIFS(tblCompras[Cantidad],tblCompras[SKU],$A21))</f>
        <v/>
      </c>
      <c r="G21" s="39">
        <f>IF($A21="","",SUMIFS(tblVentas[Unidades efectivas],tblVentas[SKU],$A21))</f>
        <v/>
      </c>
      <c r="H21" s="34" t="n"/>
      <c r="I21" s="39">
        <f>IF($A21="","",IF(ISNUMBER($E21),$E21,0)+$F21-$G21+IF(ISNUMBER($H21),$H21,0))</f>
        <v/>
      </c>
      <c r="J21" s="39">
        <f>IF($A21="","",IFERROR(IF(INDEX(tblProductos[Stock mínimo],MATCH($A21,tblProductos[SKU],0))="","",INDEX(tblProductos[Stock mínimo],MATCH($A21,tblProductos[SKU],0))),""))</f>
        <v/>
      </c>
      <c r="K21" s="39">
        <f>IF($A21="","",IFERROR(IF(INDEX(tblProductos[Stock máximo],MATCH($A21,tblProductos[SKU],0))="","",INDEX(tblProductos[Stock máximo],MATCH($A21,tblProductos[SKU],0))),""))</f>
        <v/>
      </c>
      <c r="L21" s="37">
        <f>IF($A21="","",IFERROR(IF(INDEX(tblCostos[COSTO REAL UNITARIO],MATCH($A21,tblCostos[SKU],0))="","PENDIENTE",INDEX(tblCostos[COSTO REAL UNITARIO],MATCH($A21,tblCostos[SKU],0))),"PENDIENTE"))</f>
        <v/>
      </c>
      <c r="M21" s="37">
        <f>IF($A21="","",IF(SUMIFS(tblCompras[Cantidad],tblCompras[SKU],$A21)&lt;=0,"",SUMIFS(tblCompras[Costo total de adquisición],tblCompras[SKU],$A21)/SUMIFS(tblCompras[Cantidad],tblCompras[SKU],$A21)))</f>
        <v/>
      </c>
      <c r="N21" s="37">
        <f>IF($A21="","",IF(ISNUMBER($M21),$M21,IF(ISNUMBER($L21),$L21,"")))</f>
        <v/>
      </c>
      <c r="O21" s="51">
        <f>IF($A21="","",IF(ISNUMBER($M21),"Promedio ponderado",IF(ISNUMBER($L21),"Costo estándar","PENDIENTE")))</f>
        <v/>
      </c>
      <c r="P21" s="49">
        <f>IF($A21="","",IF(OR(NOT(ISNUMBER($I21)),NOT(ISNUMBER($N21))),"PENDIENTE",$I21*$N21))</f>
        <v/>
      </c>
      <c r="Q21" s="37">
        <f>IF($A21="","",IFERROR(IF(INDEX(tblProductos[Precio de venta actual],MATCH($A21,tblProductos[SKU],0))="","PENDIENTE",INDEX(tblProductos[Precio de venta actual],MATCH($A21,tblProductos[SKU],0))),"PENDIENTE"))</f>
        <v/>
      </c>
      <c r="R21" s="37">
        <f>IF($A21="","",IF(OR(NOT(ISNUMBER($I21)),NOT(ISNUMBER($Q21))),"PENDIENTE",$I21*$Q21))</f>
        <v/>
      </c>
      <c r="S21" s="52">
        <f>IF($A21="","",IF(NOT(ISNUMBER($I21)),"ERROR",IF($I21&lt;0,"ERROR",IF($I21=0,"AGOTADO",IF(AND(ISNUMBER($J21),$I21&lt;=N($J21)*MAX(1,IF(ISNUMBER(PAR_ALERTA_STOCK),PAR_ALERTA_STOCK,1))),"REABASTECER","OK")))))</f>
        <v/>
      </c>
      <c r="T21" s="39">
        <f>IF($A21="","",IF(OR(NOT(ISNUMBER($I21)),NOT(ISNUMBER($K21))),"",IF(OR($S21="REABASTECER",$S21="AGOTADO"),MAX(0,$K21-$I21),0)))</f>
        <v/>
      </c>
      <c r="U21" s="53">
        <f>IF($A21="","",IFERROR(IF(SUMPRODUCT(MAX((tblCompras[SKU]=$A21)*(tblCompras[Fecha])))=0,"",SUMPRODUCT(MAX((tblCompras[SKU]=$A21)*(tblCompras[Fecha])))),""))</f>
        <v/>
      </c>
      <c r="V21" s="53">
        <f>IF($A21="","",IFERROR(IF(SUMPRODUCT(MAX((tblVentas[SKU]=$A21)*(tblVentas[Fecha])))=0,"",SUMPRODUCT(MAX((tblVentas[SKU]=$A21)*(tblVentas[Fecha])))),""))</f>
        <v/>
      </c>
      <c r="W21" s="39">
        <f>IF($A21="","",SUMIFS(tblVentas[Unidades efectivas],tblVentas[SKU],$A21,tblVentas[Fecha],"&gt;="&amp;TODAY()-30,tblVentas[Fecha],"&lt;="&amp;TODAY()))</f>
        <v/>
      </c>
      <c r="X21" s="39">
        <f>IF($A21="","",IF(OR(NOT(ISNUMBER($I21)),NOT(ISNUMBER($W21)),$W21&lt;=0),"",ROUND($I21/($W21/30),0)))</f>
        <v/>
      </c>
    </row>
    <row r="22">
      <c r="A22" s="51">
        <f>IFERROR(IF(INDEX(tblProductos[SKU],ROW()-6)="","",INDEX(tblProductos[SKU],ROW()-6)),"")</f>
        <v/>
      </c>
      <c r="B22" s="51">
        <f>IF($A22="","",IFERROR(IF(INDEX(tblProductos[Nombre del producto],MATCH($A22,tblProductos[SKU],0))="","",INDEX(tblProductos[Nombre del producto],MATCH($A22,tblProductos[SKU],0))),""))</f>
        <v/>
      </c>
      <c r="C22" s="51">
        <f>IF($A22="","",IFERROR(IF(INDEX(tblProductos[Categoría],MATCH($A22,tblProductos[SKU],0))="","",INDEX(tblProductos[Categoría],MATCH($A22,tblProductos[SKU],0))),""))</f>
        <v/>
      </c>
      <c r="D22" s="51">
        <f>IF($A22="","",IFERROR(IF(INDEX(tblProductos[Presentación],MATCH($A22,tblProductos[SKU],0))="","",INDEX(tblProductos[Presentación],MATCH($A22,tblProductos[SKU],0))),""))</f>
        <v/>
      </c>
      <c r="E22" s="34" t="n"/>
      <c r="F22" s="39">
        <f>IF($A22="","",SUMIFS(tblCompras[Cantidad],tblCompras[SKU],$A22))</f>
        <v/>
      </c>
      <c r="G22" s="39">
        <f>IF($A22="","",SUMIFS(tblVentas[Unidades efectivas],tblVentas[SKU],$A22))</f>
        <v/>
      </c>
      <c r="H22" s="34" t="n"/>
      <c r="I22" s="39">
        <f>IF($A22="","",IF(ISNUMBER($E22),$E22,0)+$F22-$G22+IF(ISNUMBER($H22),$H22,0))</f>
        <v/>
      </c>
      <c r="J22" s="39">
        <f>IF($A22="","",IFERROR(IF(INDEX(tblProductos[Stock mínimo],MATCH($A22,tblProductos[SKU],0))="","",INDEX(tblProductos[Stock mínimo],MATCH($A22,tblProductos[SKU],0))),""))</f>
        <v/>
      </c>
      <c r="K22" s="39">
        <f>IF($A22="","",IFERROR(IF(INDEX(tblProductos[Stock máximo],MATCH($A22,tblProductos[SKU],0))="","",INDEX(tblProductos[Stock máximo],MATCH($A22,tblProductos[SKU],0))),""))</f>
        <v/>
      </c>
      <c r="L22" s="37">
        <f>IF($A22="","",IFERROR(IF(INDEX(tblCostos[COSTO REAL UNITARIO],MATCH($A22,tblCostos[SKU],0))="","PENDIENTE",INDEX(tblCostos[COSTO REAL UNITARIO],MATCH($A22,tblCostos[SKU],0))),"PENDIENTE"))</f>
        <v/>
      </c>
      <c r="M22" s="37">
        <f>IF($A22="","",IF(SUMIFS(tblCompras[Cantidad],tblCompras[SKU],$A22)&lt;=0,"",SUMIFS(tblCompras[Costo total de adquisición],tblCompras[SKU],$A22)/SUMIFS(tblCompras[Cantidad],tblCompras[SKU],$A22)))</f>
        <v/>
      </c>
      <c r="N22" s="37">
        <f>IF($A22="","",IF(ISNUMBER($M22),$M22,IF(ISNUMBER($L22),$L22,"")))</f>
        <v/>
      </c>
      <c r="O22" s="51">
        <f>IF($A22="","",IF(ISNUMBER($M22),"Promedio ponderado",IF(ISNUMBER($L22),"Costo estándar","PENDIENTE")))</f>
        <v/>
      </c>
      <c r="P22" s="49">
        <f>IF($A22="","",IF(OR(NOT(ISNUMBER($I22)),NOT(ISNUMBER($N22))),"PENDIENTE",$I22*$N22))</f>
        <v/>
      </c>
      <c r="Q22" s="37">
        <f>IF($A22="","",IFERROR(IF(INDEX(tblProductos[Precio de venta actual],MATCH($A22,tblProductos[SKU],0))="","PENDIENTE",INDEX(tblProductos[Precio de venta actual],MATCH($A22,tblProductos[SKU],0))),"PENDIENTE"))</f>
        <v/>
      </c>
      <c r="R22" s="37">
        <f>IF($A22="","",IF(OR(NOT(ISNUMBER($I22)),NOT(ISNUMBER($Q22))),"PENDIENTE",$I22*$Q22))</f>
        <v/>
      </c>
      <c r="S22" s="52">
        <f>IF($A22="","",IF(NOT(ISNUMBER($I22)),"ERROR",IF($I22&lt;0,"ERROR",IF($I22=0,"AGOTADO",IF(AND(ISNUMBER($J22),$I22&lt;=N($J22)*MAX(1,IF(ISNUMBER(PAR_ALERTA_STOCK),PAR_ALERTA_STOCK,1))),"REABASTECER","OK")))))</f>
        <v/>
      </c>
      <c r="T22" s="39">
        <f>IF($A22="","",IF(OR(NOT(ISNUMBER($I22)),NOT(ISNUMBER($K22))),"",IF(OR($S22="REABASTECER",$S22="AGOTADO"),MAX(0,$K22-$I22),0)))</f>
        <v/>
      </c>
      <c r="U22" s="53">
        <f>IF($A22="","",IFERROR(IF(SUMPRODUCT(MAX((tblCompras[SKU]=$A22)*(tblCompras[Fecha])))=0,"",SUMPRODUCT(MAX((tblCompras[SKU]=$A22)*(tblCompras[Fecha])))),""))</f>
        <v/>
      </c>
      <c r="V22" s="53">
        <f>IF($A22="","",IFERROR(IF(SUMPRODUCT(MAX((tblVentas[SKU]=$A22)*(tblVentas[Fecha])))=0,"",SUMPRODUCT(MAX((tblVentas[SKU]=$A22)*(tblVentas[Fecha])))),""))</f>
        <v/>
      </c>
      <c r="W22" s="39">
        <f>IF($A22="","",SUMIFS(tblVentas[Unidades efectivas],tblVentas[SKU],$A22,tblVentas[Fecha],"&gt;="&amp;TODAY()-30,tblVentas[Fecha],"&lt;="&amp;TODAY()))</f>
        <v/>
      </c>
      <c r="X22" s="39">
        <f>IF($A22="","",IF(OR(NOT(ISNUMBER($I22)),NOT(ISNUMBER($W22)),$W22&lt;=0),"",ROUND($I22/($W22/30),0)))</f>
        <v/>
      </c>
    </row>
    <row r="23">
      <c r="A23" s="51">
        <f>IFERROR(IF(INDEX(tblProductos[SKU],ROW()-6)="","",INDEX(tblProductos[SKU],ROW()-6)),"")</f>
        <v/>
      </c>
      <c r="B23" s="51">
        <f>IF($A23="","",IFERROR(IF(INDEX(tblProductos[Nombre del producto],MATCH($A23,tblProductos[SKU],0))="","",INDEX(tblProductos[Nombre del producto],MATCH($A23,tblProductos[SKU],0))),""))</f>
        <v/>
      </c>
      <c r="C23" s="51">
        <f>IF($A23="","",IFERROR(IF(INDEX(tblProductos[Categoría],MATCH($A23,tblProductos[SKU],0))="","",INDEX(tblProductos[Categoría],MATCH($A23,tblProductos[SKU],0))),""))</f>
        <v/>
      </c>
      <c r="D23" s="51">
        <f>IF($A23="","",IFERROR(IF(INDEX(tblProductos[Presentación],MATCH($A23,tblProductos[SKU],0))="","",INDEX(tblProductos[Presentación],MATCH($A23,tblProductos[SKU],0))),""))</f>
        <v/>
      </c>
      <c r="E23" s="34" t="n"/>
      <c r="F23" s="39">
        <f>IF($A23="","",SUMIFS(tblCompras[Cantidad],tblCompras[SKU],$A23))</f>
        <v/>
      </c>
      <c r="G23" s="39">
        <f>IF($A23="","",SUMIFS(tblVentas[Unidades efectivas],tblVentas[SKU],$A23))</f>
        <v/>
      </c>
      <c r="H23" s="34" t="n"/>
      <c r="I23" s="39">
        <f>IF($A23="","",IF(ISNUMBER($E23),$E23,0)+$F23-$G23+IF(ISNUMBER($H23),$H23,0))</f>
        <v/>
      </c>
      <c r="J23" s="39">
        <f>IF($A23="","",IFERROR(IF(INDEX(tblProductos[Stock mínimo],MATCH($A23,tblProductos[SKU],0))="","",INDEX(tblProductos[Stock mínimo],MATCH($A23,tblProductos[SKU],0))),""))</f>
        <v/>
      </c>
      <c r="K23" s="39">
        <f>IF($A23="","",IFERROR(IF(INDEX(tblProductos[Stock máximo],MATCH($A23,tblProductos[SKU],0))="","",INDEX(tblProductos[Stock máximo],MATCH($A23,tblProductos[SKU],0))),""))</f>
        <v/>
      </c>
      <c r="L23" s="37">
        <f>IF($A23="","",IFERROR(IF(INDEX(tblCostos[COSTO REAL UNITARIO],MATCH($A23,tblCostos[SKU],0))="","PENDIENTE",INDEX(tblCostos[COSTO REAL UNITARIO],MATCH($A23,tblCostos[SKU],0))),"PENDIENTE"))</f>
        <v/>
      </c>
      <c r="M23" s="37">
        <f>IF($A23="","",IF(SUMIFS(tblCompras[Cantidad],tblCompras[SKU],$A23)&lt;=0,"",SUMIFS(tblCompras[Costo total de adquisición],tblCompras[SKU],$A23)/SUMIFS(tblCompras[Cantidad],tblCompras[SKU],$A23)))</f>
        <v/>
      </c>
      <c r="N23" s="37">
        <f>IF($A23="","",IF(ISNUMBER($M23),$M23,IF(ISNUMBER($L23),$L23,"")))</f>
        <v/>
      </c>
      <c r="O23" s="51">
        <f>IF($A23="","",IF(ISNUMBER($M23),"Promedio ponderado",IF(ISNUMBER($L23),"Costo estándar","PENDIENTE")))</f>
        <v/>
      </c>
      <c r="P23" s="49">
        <f>IF($A23="","",IF(OR(NOT(ISNUMBER($I23)),NOT(ISNUMBER($N23))),"PENDIENTE",$I23*$N23))</f>
        <v/>
      </c>
      <c r="Q23" s="37">
        <f>IF($A23="","",IFERROR(IF(INDEX(tblProductos[Precio de venta actual],MATCH($A23,tblProductos[SKU],0))="","PENDIENTE",INDEX(tblProductos[Precio de venta actual],MATCH($A23,tblProductos[SKU],0))),"PENDIENTE"))</f>
        <v/>
      </c>
      <c r="R23" s="37">
        <f>IF($A23="","",IF(OR(NOT(ISNUMBER($I23)),NOT(ISNUMBER($Q23))),"PENDIENTE",$I23*$Q23))</f>
        <v/>
      </c>
      <c r="S23" s="52">
        <f>IF($A23="","",IF(NOT(ISNUMBER($I23)),"ERROR",IF($I23&lt;0,"ERROR",IF($I23=0,"AGOTADO",IF(AND(ISNUMBER($J23),$I23&lt;=N($J23)*MAX(1,IF(ISNUMBER(PAR_ALERTA_STOCK),PAR_ALERTA_STOCK,1))),"REABASTECER","OK")))))</f>
        <v/>
      </c>
      <c r="T23" s="39">
        <f>IF($A23="","",IF(OR(NOT(ISNUMBER($I23)),NOT(ISNUMBER($K23))),"",IF(OR($S23="REABASTECER",$S23="AGOTADO"),MAX(0,$K23-$I23),0)))</f>
        <v/>
      </c>
      <c r="U23" s="53">
        <f>IF($A23="","",IFERROR(IF(SUMPRODUCT(MAX((tblCompras[SKU]=$A23)*(tblCompras[Fecha])))=0,"",SUMPRODUCT(MAX((tblCompras[SKU]=$A23)*(tblCompras[Fecha])))),""))</f>
        <v/>
      </c>
      <c r="V23" s="53">
        <f>IF($A23="","",IFERROR(IF(SUMPRODUCT(MAX((tblVentas[SKU]=$A23)*(tblVentas[Fecha])))=0,"",SUMPRODUCT(MAX((tblVentas[SKU]=$A23)*(tblVentas[Fecha])))),""))</f>
        <v/>
      </c>
      <c r="W23" s="39">
        <f>IF($A23="","",SUMIFS(tblVentas[Unidades efectivas],tblVentas[SKU],$A23,tblVentas[Fecha],"&gt;="&amp;TODAY()-30,tblVentas[Fecha],"&lt;="&amp;TODAY()))</f>
        <v/>
      </c>
      <c r="X23" s="39">
        <f>IF($A23="","",IF(OR(NOT(ISNUMBER($I23)),NOT(ISNUMBER($W23)),$W23&lt;=0),"",ROUND($I23/($W23/30),0)))</f>
        <v/>
      </c>
    </row>
    <row r="24">
      <c r="A24" s="51">
        <f>IFERROR(IF(INDEX(tblProductos[SKU],ROW()-6)="","",INDEX(tblProductos[SKU],ROW()-6)),"")</f>
        <v/>
      </c>
      <c r="B24" s="51">
        <f>IF($A24="","",IFERROR(IF(INDEX(tblProductos[Nombre del producto],MATCH($A24,tblProductos[SKU],0))="","",INDEX(tblProductos[Nombre del producto],MATCH($A24,tblProductos[SKU],0))),""))</f>
        <v/>
      </c>
      <c r="C24" s="51">
        <f>IF($A24="","",IFERROR(IF(INDEX(tblProductos[Categoría],MATCH($A24,tblProductos[SKU],0))="","",INDEX(tblProductos[Categoría],MATCH($A24,tblProductos[SKU],0))),""))</f>
        <v/>
      </c>
      <c r="D24" s="51">
        <f>IF($A24="","",IFERROR(IF(INDEX(tblProductos[Presentación],MATCH($A24,tblProductos[SKU],0))="","",INDEX(tblProductos[Presentación],MATCH($A24,tblProductos[SKU],0))),""))</f>
        <v/>
      </c>
      <c r="E24" s="34" t="n"/>
      <c r="F24" s="39">
        <f>IF($A24="","",SUMIFS(tblCompras[Cantidad],tblCompras[SKU],$A24))</f>
        <v/>
      </c>
      <c r="G24" s="39">
        <f>IF($A24="","",SUMIFS(tblVentas[Unidades efectivas],tblVentas[SKU],$A24))</f>
        <v/>
      </c>
      <c r="H24" s="34" t="n"/>
      <c r="I24" s="39">
        <f>IF($A24="","",IF(ISNUMBER($E24),$E24,0)+$F24-$G24+IF(ISNUMBER($H24),$H24,0))</f>
        <v/>
      </c>
      <c r="J24" s="39">
        <f>IF($A24="","",IFERROR(IF(INDEX(tblProductos[Stock mínimo],MATCH($A24,tblProductos[SKU],0))="","",INDEX(tblProductos[Stock mínimo],MATCH($A24,tblProductos[SKU],0))),""))</f>
        <v/>
      </c>
      <c r="K24" s="39">
        <f>IF($A24="","",IFERROR(IF(INDEX(tblProductos[Stock máximo],MATCH($A24,tblProductos[SKU],0))="","",INDEX(tblProductos[Stock máximo],MATCH($A24,tblProductos[SKU],0))),""))</f>
        <v/>
      </c>
      <c r="L24" s="37">
        <f>IF($A24="","",IFERROR(IF(INDEX(tblCostos[COSTO REAL UNITARIO],MATCH($A24,tblCostos[SKU],0))="","PENDIENTE",INDEX(tblCostos[COSTO REAL UNITARIO],MATCH($A24,tblCostos[SKU],0))),"PENDIENTE"))</f>
        <v/>
      </c>
      <c r="M24" s="37">
        <f>IF($A24="","",IF(SUMIFS(tblCompras[Cantidad],tblCompras[SKU],$A24)&lt;=0,"",SUMIFS(tblCompras[Costo total de adquisición],tblCompras[SKU],$A24)/SUMIFS(tblCompras[Cantidad],tblCompras[SKU],$A24)))</f>
        <v/>
      </c>
      <c r="N24" s="37">
        <f>IF($A24="","",IF(ISNUMBER($M24),$M24,IF(ISNUMBER($L24),$L24,"")))</f>
        <v/>
      </c>
      <c r="O24" s="51">
        <f>IF($A24="","",IF(ISNUMBER($M24),"Promedio ponderado",IF(ISNUMBER($L24),"Costo estándar","PENDIENTE")))</f>
        <v/>
      </c>
      <c r="P24" s="49">
        <f>IF($A24="","",IF(OR(NOT(ISNUMBER($I24)),NOT(ISNUMBER($N24))),"PENDIENTE",$I24*$N24))</f>
        <v/>
      </c>
      <c r="Q24" s="37">
        <f>IF($A24="","",IFERROR(IF(INDEX(tblProductos[Precio de venta actual],MATCH($A24,tblProductos[SKU],0))="","PENDIENTE",INDEX(tblProductos[Precio de venta actual],MATCH($A24,tblProductos[SKU],0))),"PENDIENTE"))</f>
        <v/>
      </c>
      <c r="R24" s="37">
        <f>IF($A24="","",IF(OR(NOT(ISNUMBER($I24)),NOT(ISNUMBER($Q24))),"PENDIENTE",$I24*$Q24))</f>
        <v/>
      </c>
      <c r="S24" s="52">
        <f>IF($A24="","",IF(NOT(ISNUMBER($I24)),"ERROR",IF($I24&lt;0,"ERROR",IF($I24=0,"AGOTADO",IF(AND(ISNUMBER($J24),$I24&lt;=N($J24)*MAX(1,IF(ISNUMBER(PAR_ALERTA_STOCK),PAR_ALERTA_STOCK,1))),"REABASTECER","OK")))))</f>
        <v/>
      </c>
      <c r="T24" s="39">
        <f>IF($A24="","",IF(OR(NOT(ISNUMBER($I24)),NOT(ISNUMBER($K24))),"",IF(OR($S24="REABASTECER",$S24="AGOTADO"),MAX(0,$K24-$I24),0)))</f>
        <v/>
      </c>
      <c r="U24" s="53">
        <f>IF($A24="","",IFERROR(IF(SUMPRODUCT(MAX((tblCompras[SKU]=$A24)*(tblCompras[Fecha])))=0,"",SUMPRODUCT(MAX((tblCompras[SKU]=$A24)*(tblCompras[Fecha])))),""))</f>
        <v/>
      </c>
      <c r="V24" s="53">
        <f>IF($A24="","",IFERROR(IF(SUMPRODUCT(MAX((tblVentas[SKU]=$A24)*(tblVentas[Fecha])))=0,"",SUMPRODUCT(MAX((tblVentas[SKU]=$A24)*(tblVentas[Fecha])))),""))</f>
        <v/>
      </c>
      <c r="W24" s="39">
        <f>IF($A24="","",SUMIFS(tblVentas[Unidades efectivas],tblVentas[SKU],$A24,tblVentas[Fecha],"&gt;="&amp;TODAY()-30,tblVentas[Fecha],"&lt;="&amp;TODAY()))</f>
        <v/>
      </c>
      <c r="X24" s="39">
        <f>IF($A24="","",IF(OR(NOT(ISNUMBER($I24)),NOT(ISNUMBER($W24)),$W24&lt;=0),"",ROUND($I24/($W24/30),0)))</f>
        <v/>
      </c>
    </row>
    <row r="25">
      <c r="A25" s="51">
        <f>IFERROR(IF(INDEX(tblProductos[SKU],ROW()-6)="","",INDEX(tblProductos[SKU],ROW()-6)),"")</f>
        <v/>
      </c>
      <c r="B25" s="51">
        <f>IF($A25="","",IFERROR(IF(INDEX(tblProductos[Nombre del producto],MATCH($A25,tblProductos[SKU],0))="","",INDEX(tblProductos[Nombre del producto],MATCH($A25,tblProductos[SKU],0))),""))</f>
        <v/>
      </c>
      <c r="C25" s="51">
        <f>IF($A25="","",IFERROR(IF(INDEX(tblProductos[Categoría],MATCH($A25,tblProductos[SKU],0))="","",INDEX(tblProductos[Categoría],MATCH($A25,tblProductos[SKU],0))),""))</f>
        <v/>
      </c>
      <c r="D25" s="51">
        <f>IF($A25="","",IFERROR(IF(INDEX(tblProductos[Presentación],MATCH($A25,tblProductos[SKU],0))="","",INDEX(tblProductos[Presentación],MATCH($A25,tblProductos[SKU],0))),""))</f>
        <v/>
      </c>
      <c r="E25" s="34" t="n"/>
      <c r="F25" s="39">
        <f>IF($A25="","",SUMIFS(tblCompras[Cantidad],tblCompras[SKU],$A25))</f>
        <v/>
      </c>
      <c r="G25" s="39">
        <f>IF($A25="","",SUMIFS(tblVentas[Unidades efectivas],tblVentas[SKU],$A25))</f>
        <v/>
      </c>
      <c r="H25" s="34" t="n"/>
      <c r="I25" s="39">
        <f>IF($A25="","",IF(ISNUMBER($E25),$E25,0)+$F25-$G25+IF(ISNUMBER($H25),$H25,0))</f>
        <v/>
      </c>
      <c r="J25" s="39">
        <f>IF($A25="","",IFERROR(IF(INDEX(tblProductos[Stock mínimo],MATCH($A25,tblProductos[SKU],0))="","",INDEX(tblProductos[Stock mínimo],MATCH($A25,tblProductos[SKU],0))),""))</f>
        <v/>
      </c>
      <c r="K25" s="39">
        <f>IF($A25="","",IFERROR(IF(INDEX(tblProductos[Stock máximo],MATCH($A25,tblProductos[SKU],0))="","",INDEX(tblProductos[Stock máximo],MATCH($A25,tblProductos[SKU],0))),""))</f>
        <v/>
      </c>
      <c r="L25" s="37">
        <f>IF($A25="","",IFERROR(IF(INDEX(tblCostos[COSTO REAL UNITARIO],MATCH($A25,tblCostos[SKU],0))="","PENDIENTE",INDEX(tblCostos[COSTO REAL UNITARIO],MATCH($A25,tblCostos[SKU],0))),"PENDIENTE"))</f>
        <v/>
      </c>
      <c r="M25" s="37">
        <f>IF($A25="","",IF(SUMIFS(tblCompras[Cantidad],tblCompras[SKU],$A25)&lt;=0,"",SUMIFS(tblCompras[Costo total de adquisición],tblCompras[SKU],$A25)/SUMIFS(tblCompras[Cantidad],tblCompras[SKU],$A25)))</f>
        <v/>
      </c>
      <c r="N25" s="37">
        <f>IF($A25="","",IF(ISNUMBER($M25),$M25,IF(ISNUMBER($L25),$L25,"")))</f>
        <v/>
      </c>
      <c r="O25" s="51">
        <f>IF($A25="","",IF(ISNUMBER($M25),"Promedio ponderado",IF(ISNUMBER($L25),"Costo estándar","PENDIENTE")))</f>
        <v/>
      </c>
      <c r="P25" s="49">
        <f>IF($A25="","",IF(OR(NOT(ISNUMBER($I25)),NOT(ISNUMBER($N25))),"PENDIENTE",$I25*$N25))</f>
        <v/>
      </c>
      <c r="Q25" s="37">
        <f>IF($A25="","",IFERROR(IF(INDEX(tblProductos[Precio de venta actual],MATCH($A25,tblProductos[SKU],0))="","PENDIENTE",INDEX(tblProductos[Precio de venta actual],MATCH($A25,tblProductos[SKU],0))),"PENDIENTE"))</f>
        <v/>
      </c>
      <c r="R25" s="37">
        <f>IF($A25="","",IF(OR(NOT(ISNUMBER($I25)),NOT(ISNUMBER($Q25))),"PENDIENTE",$I25*$Q25))</f>
        <v/>
      </c>
      <c r="S25" s="52">
        <f>IF($A25="","",IF(NOT(ISNUMBER($I25)),"ERROR",IF($I25&lt;0,"ERROR",IF($I25=0,"AGOTADO",IF(AND(ISNUMBER($J25),$I25&lt;=N($J25)*MAX(1,IF(ISNUMBER(PAR_ALERTA_STOCK),PAR_ALERTA_STOCK,1))),"REABASTECER","OK")))))</f>
        <v/>
      </c>
      <c r="T25" s="39">
        <f>IF($A25="","",IF(OR(NOT(ISNUMBER($I25)),NOT(ISNUMBER($K25))),"",IF(OR($S25="REABASTECER",$S25="AGOTADO"),MAX(0,$K25-$I25),0)))</f>
        <v/>
      </c>
      <c r="U25" s="53">
        <f>IF($A25="","",IFERROR(IF(SUMPRODUCT(MAX((tblCompras[SKU]=$A25)*(tblCompras[Fecha])))=0,"",SUMPRODUCT(MAX((tblCompras[SKU]=$A25)*(tblCompras[Fecha])))),""))</f>
        <v/>
      </c>
      <c r="V25" s="53">
        <f>IF($A25="","",IFERROR(IF(SUMPRODUCT(MAX((tblVentas[SKU]=$A25)*(tblVentas[Fecha])))=0,"",SUMPRODUCT(MAX((tblVentas[SKU]=$A25)*(tblVentas[Fecha])))),""))</f>
        <v/>
      </c>
      <c r="W25" s="39">
        <f>IF($A25="","",SUMIFS(tblVentas[Unidades efectivas],tblVentas[SKU],$A25,tblVentas[Fecha],"&gt;="&amp;TODAY()-30,tblVentas[Fecha],"&lt;="&amp;TODAY()))</f>
        <v/>
      </c>
      <c r="X25" s="39">
        <f>IF($A25="","",IF(OR(NOT(ISNUMBER($I25)),NOT(ISNUMBER($W25)),$W25&lt;=0),"",ROUND($I25/($W25/30),0)))</f>
        <v/>
      </c>
    </row>
    <row r="26">
      <c r="A26" s="51">
        <f>IFERROR(IF(INDEX(tblProductos[SKU],ROW()-6)="","",INDEX(tblProductos[SKU],ROW()-6)),"")</f>
        <v/>
      </c>
      <c r="B26" s="51">
        <f>IF($A26="","",IFERROR(IF(INDEX(tblProductos[Nombre del producto],MATCH($A26,tblProductos[SKU],0))="","",INDEX(tblProductos[Nombre del producto],MATCH($A26,tblProductos[SKU],0))),""))</f>
        <v/>
      </c>
      <c r="C26" s="51">
        <f>IF($A26="","",IFERROR(IF(INDEX(tblProductos[Categoría],MATCH($A26,tblProductos[SKU],0))="","",INDEX(tblProductos[Categoría],MATCH($A26,tblProductos[SKU],0))),""))</f>
        <v/>
      </c>
      <c r="D26" s="51">
        <f>IF($A26="","",IFERROR(IF(INDEX(tblProductos[Presentación],MATCH($A26,tblProductos[SKU],0))="","",INDEX(tblProductos[Presentación],MATCH($A26,tblProductos[SKU],0))),""))</f>
        <v/>
      </c>
      <c r="E26" s="34" t="n"/>
      <c r="F26" s="39">
        <f>IF($A26="","",SUMIFS(tblCompras[Cantidad],tblCompras[SKU],$A26))</f>
        <v/>
      </c>
      <c r="G26" s="39">
        <f>IF($A26="","",SUMIFS(tblVentas[Unidades efectivas],tblVentas[SKU],$A26))</f>
        <v/>
      </c>
      <c r="H26" s="34" t="n"/>
      <c r="I26" s="39">
        <f>IF($A26="","",IF(ISNUMBER($E26),$E26,0)+$F26-$G26+IF(ISNUMBER($H26),$H26,0))</f>
        <v/>
      </c>
      <c r="J26" s="39">
        <f>IF($A26="","",IFERROR(IF(INDEX(tblProductos[Stock mínimo],MATCH($A26,tblProductos[SKU],0))="","",INDEX(tblProductos[Stock mínimo],MATCH($A26,tblProductos[SKU],0))),""))</f>
        <v/>
      </c>
      <c r="K26" s="39">
        <f>IF($A26="","",IFERROR(IF(INDEX(tblProductos[Stock máximo],MATCH($A26,tblProductos[SKU],0))="","",INDEX(tblProductos[Stock máximo],MATCH($A26,tblProductos[SKU],0))),""))</f>
        <v/>
      </c>
      <c r="L26" s="37">
        <f>IF($A26="","",IFERROR(IF(INDEX(tblCostos[COSTO REAL UNITARIO],MATCH($A26,tblCostos[SKU],0))="","PENDIENTE",INDEX(tblCostos[COSTO REAL UNITARIO],MATCH($A26,tblCostos[SKU],0))),"PENDIENTE"))</f>
        <v/>
      </c>
      <c r="M26" s="37">
        <f>IF($A26="","",IF(SUMIFS(tblCompras[Cantidad],tblCompras[SKU],$A26)&lt;=0,"",SUMIFS(tblCompras[Costo total de adquisición],tblCompras[SKU],$A26)/SUMIFS(tblCompras[Cantidad],tblCompras[SKU],$A26)))</f>
        <v/>
      </c>
      <c r="N26" s="37">
        <f>IF($A26="","",IF(ISNUMBER($M26),$M26,IF(ISNUMBER($L26),$L26,"")))</f>
        <v/>
      </c>
      <c r="O26" s="51">
        <f>IF($A26="","",IF(ISNUMBER($M26),"Promedio ponderado",IF(ISNUMBER($L26),"Costo estándar","PENDIENTE")))</f>
        <v/>
      </c>
      <c r="P26" s="49">
        <f>IF($A26="","",IF(OR(NOT(ISNUMBER($I26)),NOT(ISNUMBER($N26))),"PENDIENTE",$I26*$N26))</f>
        <v/>
      </c>
      <c r="Q26" s="37">
        <f>IF($A26="","",IFERROR(IF(INDEX(tblProductos[Precio de venta actual],MATCH($A26,tblProductos[SKU],0))="","PENDIENTE",INDEX(tblProductos[Precio de venta actual],MATCH($A26,tblProductos[SKU],0))),"PENDIENTE"))</f>
        <v/>
      </c>
      <c r="R26" s="37">
        <f>IF($A26="","",IF(OR(NOT(ISNUMBER($I26)),NOT(ISNUMBER($Q26))),"PENDIENTE",$I26*$Q26))</f>
        <v/>
      </c>
      <c r="S26" s="52">
        <f>IF($A26="","",IF(NOT(ISNUMBER($I26)),"ERROR",IF($I26&lt;0,"ERROR",IF($I26=0,"AGOTADO",IF(AND(ISNUMBER($J26),$I26&lt;=N($J26)*MAX(1,IF(ISNUMBER(PAR_ALERTA_STOCK),PAR_ALERTA_STOCK,1))),"REABASTECER","OK")))))</f>
        <v/>
      </c>
      <c r="T26" s="39">
        <f>IF($A26="","",IF(OR(NOT(ISNUMBER($I26)),NOT(ISNUMBER($K26))),"",IF(OR($S26="REABASTECER",$S26="AGOTADO"),MAX(0,$K26-$I26),0)))</f>
        <v/>
      </c>
      <c r="U26" s="53">
        <f>IF($A26="","",IFERROR(IF(SUMPRODUCT(MAX((tblCompras[SKU]=$A26)*(tblCompras[Fecha])))=0,"",SUMPRODUCT(MAX((tblCompras[SKU]=$A26)*(tblCompras[Fecha])))),""))</f>
        <v/>
      </c>
      <c r="V26" s="53">
        <f>IF($A26="","",IFERROR(IF(SUMPRODUCT(MAX((tblVentas[SKU]=$A26)*(tblVentas[Fecha])))=0,"",SUMPRODUCT(MAX((tblVentas[SKU]=$A26)*(tblVentas[Fecha])))),""))</f>
        <v/>
      </c>
      <c r="W26" s="39">
        <f>IF($A26="","",SUMIFS(tblVentas[Unidades efectivas],tblVentas[SKU],$A26,tblVentas[Fecha],"&gt;="&amp;TODAY()-30,tblVentas[Fecha],"&lt;="&amp;TODAY()))</f>
        <v/>
      </c>
      <c r="X26" s="39">
        <f>IF($A26="","",IF(OR(NOT(ISNUMBER($I26)),NOT(ISNUMBER($W26)),$W26&lt;=0),"",ROUND($I26/($W26/30),0)))</f>
        <v/>
      </c>
    </row>
    <row r="27">
      <c r="A27" s="51">
        <f>IFERROR(IF(INDEX(tblProductos[SKU],ROW()-6)="","",INDEX(tblProductos[SKU],ROW()-6)),"")</f>
        <v/>
      </c>
      <c r="B27" s="51">
        <f>IF($A27="","",IFERROR(IF(INDEX(tblProductos[Nombre del producto],MATCH($A27,tblProductos[SKU],0))="","",INDEX(tblProductos[Nombre del producto],MATCH($A27,tblProductos[SKU],0))),""))</f>
        <v/>
      </c>
      <c r="C27" s="51">
        <f>IF($A27="","",IFERROR(IF(INDEX(tblProductos[Categoría],MATCH($A27,tblProductos[SKU],0))="","",INDEX(tblProductos[Categoría],MATCH($A27,tblProductos[SKU],0))),""))</f>
        <v/>
      </c>
      <c r="D27" s="51">
        <f>IF($A27="","",IFERROR(IF(INDEX(tblProductos[Presentación],MATCH($A27,tblProductos[SKU],0))="","",INDEX(tblProductos[Presentación],MATCH($A27,tblProductos[SKU],0))),""))</f>
        <v/>
      </c>
      <c r="E27" s="34" t="n"/>
      <c r="F27" s="39">
        <f>IF($A27="","",SUMIFS(tblCompras[Cantidad],tblCompras[SKU],$A27))</f>
        <v/>
      </c>
      <c r="G27" s="39">
        <f>IF($A27="","",SUMIFS(tblVentas[Unidades efectivas],tblVentas[SKU],$A27))</f>
        <v/>
      </c>
      <c r="H27" s="34" t="n"/>
      <c r="I27" s="39">
        <f>IF($A27="","",IF(ISNUMBER($E27),$E27,0)+$F27-$G27+IF(ISNUMBER($H27),$H27,0))</f>
        <v/>
      </c>
      <c r="J27" s="39">
        <f>IF($A27="","",IFERROR(IF(INDEX(tblProductos[Stock mínimo],MATCH($A27,tblProductos[SKU],0))="","",INDEX(tblProductos[Stock mínimo],MATCH($A27,tblProductos[SKU],0))),""))</f>
        <v/>
      </c>
      <c r="K27" s="39">
        <f>IF($A27="","",IFERROR(IF(INDEX(tblProductos[Stock máximo],MATCH($A27,tblProductos[SKU],0))="","",INDEX(tblProductos[Stock máximo],MATCH($A27,tblProductos[SKU],0))),""))</f>
        <v/>
      </c>
      <c r="L27" s="37">
        <f>IF($A27="","",IFERROR(IF(INDEX(tblCostos[COSTO REAL UNITARIO],MATCH($A27,tblCostos[SKU],0))="","PENDIENTE",INDEX(tblCostos[COSTO REAL UNITARIO],MATCH($A27,tblCostos[SKU],0))),"PENDIENTE"))</f>
        <v/>
      </c>
      <c r="M27" s="37">
        <f>IF($A27="","",IF(SUMIFS(tblCompras[Cantidad],tblCompras[SKU],$A27)&lt;=0,"",SUMIFS(tblCompras[Costo total de adquisición],tblCompras[SKU],$A27)/SUMIFS(tblCompras[Cantidad],tblCompras[SKU],$A27)))</f>
        <v/>
      </c>
      <c r="N27" s="37">
        <f>IF($A27="","",IF(ISNUMBER($M27),$M27,IF(ISNUMBER($L27),$L27,"")))</f>
        <v/>
      </c>
      <c r="O27" s="51">
        <f>IF($A27="","",IF(ISNUMBER($M27),"Promedio ponderado",IF(ISNUMBER($L27),"Costo estándar","PENDIENTE")))</f>
        <v/>
      </c>
      <c r="P27" s="49">
        <f>IF($A27="","",IF(OR(NOT(ISNUMBER($I27)),NOT(ISNUMBER($N27))),"PENDIENTE",$I27*$N27))</f>
        <v/>
      </c>
      <c r="Q27" s="37">
        <f>IF($A27="","",IFERROR(IF(INDEX(tblProductos[Precio de venta actual],MATCH($A27,tblProductos[SKU],0))="","PENDIENTE",INDEX(tblProductos[Precio de venta actual],MATCH($A27,tblProductos[SKU],0))),"PENDIENTE"))</f>
        <v/>
      </c>
      <c r="R27" s="37">
        <f>IF($A27="","",IF(OR(NOT(ISNUMBER($I27)),NOT(ISNUMBER($Q27))),"PENDIENTE",$I27*$Q27))</f>
        <v/>
      </c>
      <c r="S27" s="52">
        <f>IF($A27="","",IF(NOT(ISNUMBER($I27)),"ERROR",IF($I27&lt;0,"ERROR",IF($I27=0,"AGOTADO",IF(AND(ISNUMBER($J27),$I27&lt;=N($J27)*MAX(1,IF(ISNUMBER(PAR_ALERTA_STOCK),PAR_ALERTA_STOCK,1))),"REABASTECER","OK")))))</f>
        <v/>
      </c>
      <c r="T27" s="39">
        <f>IF($A27="","",IF(OR(NOT(ISNUMBER($I27)),NOT(ISNUMBER($K27))),"",IF(OR($S27="REABASTECER",$S27="AGOTADO"),MAX(0,$K27-$I27),0)))</f>
        <v/>
      </c>
      <c r="U27" s="53">
        <f>IF($A27="","",IFERROR(IF(SUMPRODUCT(MAX((tblCompras[SKU]=$A27)*(tblCompras[Fecha])))=0,"",SUMPRODUCT(MAX((tblCompras[SKU]=$A27)*(tblCompras[Fecha])))),""))</f>
        <v/>
      </c>
      <c r="V27" s="53">
        <f>IF($A27="","",IFERROR(IF(SUMPRODUCT(MAX((tblVentas[SKU]=$A27)*(tblVentas[Fecha])))=0,"",SUMPRODUCT(MAX((tblVentas[SKU]=$A27)*(tblVentas[Fecha])))),""))</f>
        <v/>
      </c>
      <c r="W27" s="39">
        <f>IF($A27="","",SUMIFS(tblVentas[Unidades efectivas],tblVentas[SKU],$A27,tblVentas[Fecha],"&gt;="&amp;TODAY()-30,tblVentas[Fecha],"&lt;="&amp;TODAY()))</f>
        <v/>
      </c>
      <c r="X27" s="39">
        <f>IF($A27="","",IF(OR(NOT(ISNUMBER($I27)),NOT(ISNUMBER($W27)),$W27&lt;=0),"",ROUND($I27/($W27/30),0)))</f>
        <v/>
      </c>
    </row>
    <row r="28">
      <c r="A28" s="51">
        <f>IFERROR(IF(INDEX(tblProductos[SKU],ROW()-6)="","",INDEX(tblProductos[SKU],ROW()-6)),"")</f>
        <v/>
      </c>
      <c r="B28" s="51">
        <f>IF($A28="","",IFERROR(IF(INDEX(tblProductos[Nombre del producto],MATCH($A28,tblProductos[SKU],0))="","",INDEX(tblProductos[Nombre del producto],MATCH($A28,tblProductos[SKU],0))),""))</f>
        <v/>
      </c>
      <c r="C28" s="51">
        <f>IF($A28="","",IFERROR(IF(INDEX(tblProductos[Categoría],MATCH($A28,tblProductos[SKU],0))="","",INDEX(tblProductos[Categoría],MATCH($A28,tblProductos[SKU],0))),""))</f>
        <v/>
      </c>
      <c r="D28" s="51">
        <f>IF($A28="","",IFERROR(IF(INDEX(tblProductos[Presentación],MATCH($A28,tblProductos[SKU],0))="","",INDEX(tblProductos[Presentación],MATCH($A28,tblProductos[SKU],0))),""))</f>
        <v/>
      </c>
      <c r="E28" s="34" t="n"/>
      <c r="F28" s="39">
        <f>IF($A28="","",SUMIFS(tblCompras[Cantidad],tblCompras[SKU],$A28))</f>
        <v/>
      </c>
      <c r="G28" s="39">
        <f>IF($A28="","",SUMIFS(tblVentas[Unidades efectivas],tblVentas[SKU],$A28))</f>
        <v/>
      </c>
      <c r="H28" s="34" t="n"/>
      <c r="I28" s="39">
        <f>IF($A28="","",IF(ISNUMBER($E28),$E28,0)+$F28-$G28+IF(ISNUMBER($H28),$H28,0))</f>
        <v/>
      </c>
      <c r="J28" s="39">
        <f>IF($A28="","",IFERROR(IF(INDEX(tblProductos[Stock mínimo],MATCH($A28,tblProductos[SKU],0))="","",INDEX(tblProductos[Stock mínimo],MATCH($A28,tblProductos[SKU],0))),""))</f>
        <v/>
      </c>
      <c r="K28" s="39">
        <f>IF($A28="","",IFERROR(IF(INDEX(tblProductos[Stock máximo],MATCH($A28,tblProductos[SKU],0))="","",INDEX(tblProductos[Stock máximo],MATCH($A28,tblProductos[SKU],0))),""))</f>
        <v/>
      </c>
      <c r="L28" s="37">
        <f>IF($A28="","",IFERROR(IF(INDEX(tblCostos[COSTO REAL UNITARIO],MATCH($A28,tblCostos[SKU],0))="","PENDIENTE",INDEX(tblCostos[COSTO REAL UNITARIO],MATCH($A28,tblCostos[SKU],0))),"PENDIENTE"))</f>
        <v/>
      </c>
      <c r="M28" s="37">
        <f>IF($A28="","",IF(SUMIFS(tblCompras[Cantidad],tblCompras[SKU],$A28)&lt;=0,"",SUMIFS(tblCompras[Costo total de adquisición],tblCompras[SKU],$A28)/SUMIFS(tblCompras[Cantidad],tblCompras[SKU],$A28)))</f>
        <v/>
      </c>
      <c r="N28" s="37">
        <f>IF($A28="","",IF(ISNUMBER($M28),$M28,IF(ISNUMBER($L28),$L28,"")))</f>
        <v/>
      </c>
      <c r="O28" s="51">
        <f>IF($A28="","",IF(ISNUMBER($M28),"Promedio ponderado",IF(ISNUMBER($L28),"Costo estándar","PENDIENTE")))</f>
        <v/>
      </c>
      <c r="P28" s="49">
        <f>IF($A28="","",IF(OR(NOT(ISNUMBER($I28)),NOT(ISNUMBER($N28))),"PENDIENTE",$I28*$N28))</f>
        <v/>
      </c>
      <c r="Q28" s="37">
        <f>IF($A28="","",IFERROR(IF(INDEX(tblProductos[Precio de venta actual],MATCH($A28,tblProductos[SKU],0))="","PENDIENTE",INDEX(tblProductos[Precio de venta actual],MATCH($A28,tblProductos[SKU],0))),"PENDIENTE"))</f>
        <v/>
      </c>
      <c r="R28" s="37">
        <f>IF($A28="","",IF(OR(NOT(ISNUMBER($I28)),NOT(ISNUMBER($Q28))),"PENDIENTE",$I28*$Q28))</f>
        <v/>
      </c>
      <c r="S28" s="52">
        <f>IF($A28="","",IF(NOT(ISNUMBER($I28)),"ERROR",IF($I28&lt;0,"ERROR",IF($I28=0,"AGOTADO",IF(AND(ISNUMBER($J28),$I28&lt;=N($J28)*MAX(1,IF(ISNUMBER(PAR_ALERTA_STOCK),PAR_ALERTA_STOCK,1))),"REABASTECER","OK")))))</f>
        <v/>
      </c>
      <c r="T28" s="39">
        <f>IF($A28="","",IF(OR(NOT(ISNUMBER($I28)),NOT(ISNUMBER($K28))),"",IF(OR($S28="REABASTECER",$S28="AGOTADO"),MAX(0,$K28-$I28),0)))</f>
        <v/>
      </c>
      <c r="U28" s="53">
        <f>IF($A28="","",IFERROR(IF(SUMPRODUCT(MAX((tblCompras[SKU]=$A28)*(tblCompras[Fecha])))=0,"",SUMPRODUCT(MAX((tblCompras[SKU]=$A28)*(tblCompras[Fecha])))),""))</f>
        <v/>
      </c>
      <c r="V28" s="53">
        <f>IF($A28="","",IFERROR(IF(SUMPRODUCT(MAX((tblVentas[SKU]=$A28)*(tblVentas[Fecha])))=0,"",SUMPRODUCT(MAX((tblVentas[SKU]=$A28)*(tblVentas[Fecha])))),""))</f>
        <v/>
      </c>
      <c r="W28" s="39">
        <f>IF($A28="","",SUMIFS(tblVentas[Unidades efectivas],tblVentas[SKU],$A28,tblVentas[Fecha],"&gt;="&amp;TODAY()-30,tblVentas[Fecha],"&lt;="&amp;TODAY()))</f>
        <v/>
      </c>
      <c r="X28" s="39">
        <f>IF($A28="","",IF(OR(NOT(ISNUMBER($I28)),NOT(ISNUMBER($W28)),$W28&lt;=0),"",ROUND($I28/($W28/30),0)))</f>
        <v/>
      </c>
    </row>
    <row r="29">
      <c r="A29" s="51">
        <f>IFERROR(IF(INDEX(tblProductos[SKU],ROW()-6)="","",INDEX(tblProductos[SKU],ROW()-6)),"")</f>
        <v/>
      </c>
      <c r="B29" s="51">
        <f>IF($A29="","",IFERROR(IF(INDEX(tblProductos[Nombre del producto],MATCH($A29,tblProductos[SKU],0))="","",INDEX(tblProductos[Nombre del producto],MATCH($A29,tblProductos[SKU],0))),""))</f>
        <v/>
      </c>
      <c r="C29" s="51">
        <f>IF($A29="","",IFERROR(IF(INDEX(tblProductos[Categoría],MATCH($A29,tblProductos[SKU],0))="","",INDEX(tblProductos[Categoría],MATCH($A29,tblProductos[SKU],0))),""))</f>
        <v/>
      </c>
      <c r="D29" s="51">
        <f>IF($A29="","",IFERROR(IF(INDEX(tblProductos[Presentación],MATCH($A29,tblProductos[SKU],0))="","",INDEX(tblProductos[Presentación],MATCH($A29,tblProductos[SKU],0))),""))</f>
        <v/>
      </c>
      <c r="E29" s="34" t="n"/>
      <c r="F29" s="39">
        <f>IF($A29="","",SUMIFS(tblCompras[Cantidad],tblCompras[SKU],$A29))</f>
        <v/>
      </c>
      <c r="G29" s="39">
        <f>IF($A29="","",SUMIFS(tblVentas[Unidades efectivas],tblVentas[SKU],$A29))</f>
        <v/>
      </c>
      <c r="H29" s="34" t="n"/>
      <c r="I29" s="39">
        <f>IF($A29="","",IF(ISNUMBER($E29),$E29,0)+$F29-$G29+IF(ISNUMBER($H29),$H29,0))</f>
        <v/>
      </c>
      <c r="J29" s="39">
        <f>IF($A29="","",IFERROR(IF(INDEX(tblProductos[Stock mínimo],MATCH($A29,tblProductos[SKU],0))="","",INDEX(tblProductos[Stock mínimo],MATCH($A29,tblProductos[SKU],0))),""))</f>
        <v/>
      </c>
      <c r="K29" s="39">
        <f>IF($A29="","",IFERROR(IF(INDEX(tblProductos[Stock máximo],MATCH($A29,tblProductos[SKU],0))="","",INDEX(tblProductos[Stock máximo],MATCH($A29,tblProductos[SKU],0))),""))</f>
        <v/>
      </c>
      <c r="L29" s="37">
        <f>IF($A29="","",IFERROR(IF(INDEX(tblCostos[COSTO REAL UNITARIO],MATCH($A29,tblCostos[SKU],0))="","PENDIENTE",INDEX(tblCostos[COSTO REAL UNITARIO],MATCH($A29,tblCostos[SKU],0))),"PENDIENTE"))</f>
        <v/>
      </c>
      <c r="M29" s="37">
        <f>IF($A29="","",IF(SUMIFS(tblCompras[Cantidad],tblCompras[SKU],$A29)&lt;=0,"",SUMIFS(tblCompras[Costo total de adquisición],tblCompras[SKU],$A29)/SUMIFS(tblCompras[Cantidad],tblCompras[SKU],$A29)))</f>
        <v/>
      </c>
      <c r="N29" s="37">
        <f>IF($A29="","",IF(ISNUMBER($M29),$M29,IF(ISNUMBER($L29),$L29,"")))</f>
        <v/>
      </c>
      <c r="O29" s="51">
        <f>IF($A29="","",IF(ISNUMBER($M29),"Promedio ponderado",IF(ISNUMBER($L29),"Costo estándar","PENDIENTE")))</f>
        <v/>
      </c>
      <c r="P29" s="49">
        <f>IF($A29="","",IF(OR(NOT(ISNUMBER($I29)),NOT(ISNUMBER($N29))),"PENDIENTE",$I29*$N29))</f>
        <v/>
      </c>
      <c r="Q29" s="37">
        <f>IF($A29="","",IFERROR(IF(INDEX(tblProductos[Precio de venta actual],MATCH($A29,tblProductos[SKU],0))="","PENDIENTE",INDEX(tblProductos[Precio de venta actual],MATCH($A29,tblProductos[SKU],0))),"PENDIENTE"))</f>
        <v/>
      </c>
      <c r="R29" s="37">
        <f>IF($A29="","",IF(OR(NOT(ISNUMBER($I29)),NOT(ISNUMBER($Q29))),"PENDIENTE",$I29*$Q29))</f>
        <v/>
      </c>
      <c r="S29" s="52">
        <f>IF($A29="","",IF(NOT(ISNUMBER($I29)),"ERROR",IF($I29&lt;0,"ERROR",IF($I29=0,"AGOTADO",IF(AND(ISNUMBER($J29),$I29&lt;=N($J29)*MAX(1,IF(ISNUMBER(PAR_ALERTA_STOCK),PAR_ALERTA_STOCK,1))),"REABASTECER","OK")))))</f>
        <v/>
      </c>
      <c r="T29" s="39">
        <f>IF($A29="","",IF(OR(NOT(ISNUMBER($I29)),NOT(ISNUMBER($K29))),"",IF(OR($S29="REABASTECER",$S29="AGOTADO"),MAX(0,$K29-$I29),0)))</f>
        <v/>
      </c>
      <c r="U29" s="53">
        <f>IF($A29="","",IFERROR(IF(SUMPRODUCT(MAX((tblCompras[SKU]=$A29)*(tblCompras[Fecha])))=0,"",SUMPRODUCT(MAX((tblCompras[SKU]=$A29)*(tblCompras[Fecha])))),""))</f>
        <v/>
      </c>
      <c r="V29" s="53">
        <f>IF($A29="","",IFERROR(IF(SUMPRODUCT(MAX((tblVentas[SKU]=$A29)*(tblVentas[Fecha])))=0,"",SUMPRODUCT(MAX((tblVentas[SKU]=$A29)*(tblVentas[Fecha])))),""))</f>
        <v/>
      </c>
      <c r="W29" s="39">
        <f>IF($A29="","",SUMIFS(tblVentas[Unidades efectivas],tblVentas[SKU],$A29,tblVentas[Fecha],"&gt;="&amp;TODAY()-30,tblVentas[Fecha],"&lt;="&amp;TODAY()))</f>
        <v/>
      </c>
      <c r="X29" s="39">
        <f>IF($A29="","",IF(OR(NOT(ISNUMBER($I29)),NOT(ISNUMBER($W29)),$W29&lt;=0),"",ROUND($I29/($W29/30),0)))</f>
        <v/>
      </c>
    </row>
    <row r="30">
      <c r="A30" s="51">
        <f>IFERROR(IF(INDEX(tblProductos[SKU],ROW()-6)="","",INDEX(tblProductos[SKU],ROW()-6)),"")</f>
        <v/>
      </c>
      <c r="B30" s="51">
        <f>IF($A30="","",IFERROR(IF(INDEX(tblProductos[Nombre del producto],MATCH($A30,tblProductos[SKU],0))="","",INDEX(tblProductos[Nombre del producto],MATCH($A30,tblProductos[SKU],0))),""))</f>
        <v/>
      </c>
      <c r="C30" s="51">
        <f>IF($A30="","",IFERROR(IF(INDEX(tblProductos[Categoría],MATCH($A30,tblProductos[SKU],0))="","",INDEX(tblProductos[Categoría],MATCH($A30,tblProductos[SKU],0))),""))</f>
        <v/>
      </c>
      <c r="D30" s="51">
        <f>IF($A30="","",IFERROR(IF(INDEX(tblProductos[Presentación],MATCH($A30,tblProductos[SKU],0))="","",INDEX(tblProductos[Presentación],MATCH($A30,tblProductos[SKU],0))),""))</f>
        <v/>
      </c>
      <c r="E30" s="34" t="n"/>
      <c r="F30" s="39">
        <f>IF($A30="","",SUMIFS(tblCompras[Cantidad],tblCompras[SKU],$A30))</f>
        <v/>
      </c>
      <c r="G30" s="39">
        <f>IF($A30="","",SUMIFS(tblVentas[Unidades efectivas],tblVentas[SKU],$A30))</f>
        <v/>
      </c>
      <c r="H30" s="34" t="n"/>
      <c r="I30" s="39">
        <f>IF($A30="","",IF(ISNUMBER($E30),$E30,0)+$F30-$G30+IF(ISNUMBER($H30),$H30,0))</f>
        <v/>
      </c>
      <c r="J30" s="39">
        <f>IF($A30="","",IFERROR(IF(INDEX(tblProductos[Stock mínimo],MATCH($A30,tblProductos[SKU],0))="","",INDEX(tblProductos[Stock mínimo],MATCH($A30,tblProductos[SKU],0))),""))</f>
        <v/>
      </c>
      <c r="K30" s="39">
        <f>IF($A30="","",IFERROR(IF(INDEX(tblProductos[Stock máximo],MATCH($A30,tblProductos[SKU],0))="","",INDEX(tblProductos[Stock máximo],MATCH($A30,tblProductos[SKU],0))),""))</f>
        <v/>
      </c>
      <c r="L30" s="37">
        <f>IF($A30="","",IFERROR(IF(INDEX(tblCostos[COSTO REAL UNITARIO],MATCH($A30,tblCostos[SKU],0))="","PENDIENTE",INDEX(tblCostos[COSTO REAL UNITARIO],MATCH($A30,tblCostos[SKU],0))),"PENDIENTE"))</f>
        <v/>
      </c>
      <c r="M30" s="37">
        <f>IF($A30="","",IF(SUMIFS(tblCompras[Cantidad],tblCompras[SKU],$A30)&lt;=0,"",SUMIFS(tblCompras[Costo total de adquisición],tblCompras[SKU],$A30)/SUMIFS(tblCompras[Cantidad],tblCompras[SKU],$A30)))</f>
        <v/>
      </c>
      <c r="N30" s="37">
        <f>IF($A30="","",IF(ISNUMBER($M30),$M30,IF(ISNUMBER($L30),$L30,"")))</f>
        <v/>
      </c>
      <c r="O30" s="51">
        <f>IF($A30="","",IF(ISNUMBER($M30),"Promedio ponderado",IF(ISNUMBER($L30),"Costo estándar","PENDIENTE")))</f>
        <v/>
      </c>
      <c r="P30" s="49">
        <f>IF($A30="","",IF(OR(NOT(ISNUMBER($I30)),NOT(ISNUMBER($N30))),"PENDIENTE",$I30*$N30))</f>
        <v/>
      </c>
      <c r="Q30" s="37">
        <f>IF($A30="","",IFERROR(IF(INDEX(tblProductos[Precio de venta actual],MATCH($A30,tblProductos[SKU],0))="","PENDIENTE",INDEX(tblProductos[Precio de venta actual],MATCH($A30,tblProductos[SKU],0))),"PENDIENTE"))</f>
        <v/>
      </c>
      <c r="R30" s="37">
        <f>IF($A30="","",IF(OR(NOT(ISNUMBER($I30)),NOT(ISNUMBER($Q30))),"PENDIENTE",$I30*$Q30))</f>
        <v/>
      </c>
      <c r="S30" s="52">
        <f>IF($A30="","",IF(NOT(ISNUMBER($I30)),"ERROR",IF($I30&lt;0,"ERROR",IF($I30=0,"AGOTADO",IF(AND(ISNUMBER($J30),$I30&lt;=N($J30)*MAX(1,IF(ISNUMBER(PAR_ALERTA_STOCK),PAR_ALERTA_STOCK,1))),"REABASTECER","OK")))))</f>
        <v/>
      </c>
      <c r="T30" s="39">
        <f>IF($A30="","",IF(OR(NOT(ISNUMBER($I30)),NOT(ISNUMBER($K30))),"",IF(OR($S30="REABASTECER",$S30="AGOTADO"),MAX(0,$K30-$I30),0)))</f>
        <v/>
      </c>
      <c r="U30" s="53">
        <f>IF($A30="","",IFERROR(IF(SUMPRODUCT(MAX((tblCompras[SKU]=$A30)*(tblCompras[Fecha])))=0,"",SUMPRODUCT(MAX((tblCompras[SKU]=$A30)*(tblCompras[Fecha])))),""))</f>
        <v/>
      </c>
      <c r="V30" s="53">
        <f>IF($A30="","",IFERROR(IF(SUMPRODUCT(MAX((tblVentas[SKU]=$A30)*(tblVentas[Fecha])))=0,"",SUMPRODUCT(MAX((tblVentas[SKU]=$A30)*(tblVentas[Fecha])))),""))</f>
        <v/>
      </c>
      <c r="W30" s="39">
        <f>IF($A30="","",SUMIFS(tblVentas[Unidades efectivas],tblVentas[SKU],$A30,tblVentas[Fecha],"&gt;="&amp;TODAY()-30,tblVentas[Fecha],"&lt;="&amp;TODAY()))</f>
        <v/>
      </c>
      <c r="X30" s="39">
        <f>IF($A30="","",IF(OR(NOT(ISNUMBER($I30)),NOT(ISNUMBER($W30)),$W30&lt;=0),"",ROUND($I30/($W30/30),0)))</f>
        <v/>
      </c>
    </row>
    <row r="31">
      <c r="A31" s="51">
        <f>IFERROR(IF(INDEX(tblProductos[SKU],ROW()-6)="","",INDEX(tblProductos[SKU],ROW()-6)),"")</f>
        <v/>
      </c>
      <c r="B31" s="51">
        <f>IF($A31="","",IFERROR(IF(INDEX(tblProductos[Nombre del producto],MATCH($A31,tblProductos[SKU],0))="","",INDEX(tblProductos[Nombre del producto],MATCH($A31,tblProductos[SKU],0))),""))</f>
        <v/>
      </c>
      <c r="C31" s="51">
        <f>IF($A31="","",IFERROR(IF(INDEX(tblProductos[Categoría],MATCH($A31,tblProductos[SKU],0))="","",INDEX(tblProductos[Categoría],MATCH($A31,tblProductos[SKU],0))),""))</f>
        <v/>
      </c>
      <c r="D31" s="51">
        <f>IF($A31="","",IFERROR(IF(INDEX(tblProductos[Presentación],MATCH($A31,tblProductos[SKU],0))="","",INDEX(tblProductos[Presentación],MATCH($A31,tblProductos[SKU],0))),""))</f>
        <v/>
      </c>
      <c r="E31" s="34" t="n"/>
      <c r="F31" s="39">
        <f>IF($A31="","",SUMIFS(tblCompras[Cantidad],tblCompras[SKU],$A31))</f>
        <v/>
      </c>
      <c r="G31" s="39">
        <f>IF($A31="","",SUMIFS(tblVentas[Unidades efectivas],tblVentas[SKU],$A31))</f>
        <v/>
      </c>
      <c r="H31" s="34" t="n"/>
      <c r="I31" s="39">
        <f>IF($A31="","",IF(ISNUMBER($E31),$E31,0)+$F31-$G31+IF(ISNUMBER($H31),$H31,0))</f>
        <v/>
      </c>
      <c r="J31" s="39">
        <f>IF($A31="","",IFERROR(IF(INDEX(tblProductos[Stock mínimo],MATCH($A31,tblProductos[SKU],0))="","",INDEX(tblProductos[Stock mínimo],MATCH($A31,tblProductos[SKU],0))),""))</f>
        <v/>
      </c>
      <c r="K31" s="39">
        <f>IF($A31="","",IFERROR(IF(INDEX(tblProductos[Stock máximo],MATCH($A31,tblProductos[SKU],0))="","",INDEX(tblProductos[Stock máximo],MATCH($A31,tblProductos[SKU],0))),""))</f>
        <v/>
      </c>
      <c r="L31" s="37">
        <f>IF($A31="","",IFERROR(IF(INDEX(tblCostos[COSTO REAL UNITARIO],MATCH($A31,tblCostos[SKU],0))="","PENDIENTE",INDEX(tblCostos[COSTO REAL UNITARIO],MATCH($A31,tblCostos[SKU],0))),"PENDIENTE"))</f>
        <v/>
      </c>
      <c r="M31" s="37">
        <f>IF($A31="","",IF(SUMIFS(tblCompras[Cantidad],tblCompras[SKU],$A31)&lt;=0,"",SUMIFS(tblCompras[Costo total de adquisición],tblCompras[SKU],$A31)/SUMIFS(tblCompras[Cantidad],tblCompras[SKU],$A31)))</f>
        <v/>
      </c>
      <c r="N31" s="37">
        <f>IF($A31="","",IF(ISNUMBER($M31),$M31,IF(ISNUMBER($L31),$L31,"")))</f>
        <v/>
      </c>
      <c r="O31" s="51">
        <f>IF($A31="","",IF(ISNUMBER($M31),"Promedio ponderado",IF(ISNUMBER($L31),"Costo estándar","PENDIENTE")))</f>
        <v/>
      </c>
      <c r="P31" s="49">
        <f>IF($A31="","",IF(OR(NOT(ISNUMBER($I31)),NOT(ISNUMBER($N31))),"PENDIENTE",$I31*$N31))</f>
        <v/>
      </c>
      <c r="Q31" s="37">
        <f>IF($A31="","",IFERROR(IF(INDEX(tblProductos[Precio de venta actual],MATCH($A31,tblProductos[SKU],0))="","PENDIENTE",INDEX(tblProductos[Precio de venta actual],MATCH($A31,tblProductos[SKU],0))),"PENDIENTE"))</f>
        <v/>
      </c>
      <c r="R31" s="37">
        <f>IF($A31="","",IF(OR(NOT(ISNUMBER($I31)),NOT(ISNUMBER($Q31))),"PENDIENTE",$I31*$Q31))</f>
        <v/>
      </c>
      <c r="S31" s="52">
        <f>IF($A31="","",IF(NOT(ISNUMBER($I31)),"ERROR",IF($I31&lt;0,"ERROR",IF($I31=0,"AGOTADO",IF(AND(ISNUMBER($J31),$I31&lt;=N($J31)*MAX(1,IF(ISNUMBER(PAR_ALERTA_STOCK),PAR_ALERTA_STOCK,1))),"REABASTECER","OK")))))</f>
        <v/>
      </c>
      <c r="T31" s="39">
        <f>IF($A31="","",IF(OR(NOT(ISNUMBER($I31)),NOT(ISNUMBER($K31))),"",IF(OR($S31="REABASTECER",$S31="AGOTADO"),MAX(0,$K31-$I31),0)))</f>
        <v/>
      </c>
      <c r="U31" s="53">
        <f>IF($A31="","",IFERROR(IF(SUMPRODUCT(MAX((tblCompras[SKU]=$A31)*(tblCompras[Fecha])))=0,"",SUMPRODUCT(MAX((tblCompras[SKU]=$A31)*(tblCompras[Fecha])))),""))</f>
        <v/>
      </c>
      <c r="V31" s="53">
        <f>IF($A31="","",IFERROR(IF(SUMPRODUCT(MAX((tblVentas[SKU]=$A31)*(tblVentas[Fecha])))=0,"",SUMPRODUCT(MAX((tblVentas[SKU]=$A31)*(tblVentas[Fecha])))),""))</f>
        <v/>
      </c>
      <c r="W31" s="39">
        <f>IF($A31="","",SUMIFS(tblVentas[Unidades efectivas],tblVentas[SKU],$A31,tblVentas[Fecha],"&gt;="&amp;TODAY()-30,tblVentas[Fecha],"&lt;="&amp;TODAY()))</f>
        <v/>
      </c>
      <c r="X31" s="39">
        <f>IF($A31="","",IF(OR(NOT(ISNUMBER($I31)),NOT(ISNUMBER($W31)),$W31&lt;=0),"",ROUND($I31/($W31/30),0)))</f>
        <v/>
      </c>
    </row>
    <row r="32">
      <c r="A32" s="51">
        <f>IFERROR(IF(INDEX(tblProductos[SKU],ROW()-6)="","",INDEX(tblProductos[SKU],ROW()-6)),"")</f>
        <v/>
      </c>
      <c r="B32" s="51">
        <f>IF($A32="","",IFERROR(IF(INDEX(tblProductos[Nombre del producto],MATCH($A32,tblProductos[SKU],0))="","",INDEX(tblProductos[Nombre del producto],MATCH($A32,tblProductos[SKU],0))),""))</f>
        <v/>
      </c>
      <c r="C32" s="51">
        <f>IF($A32="","",IFERROR(IF(INDEX(tblProductos[Categoría],MATCH($A32,tblProductos[SKU],0))="","",INDEX(tblProductos[Categoría],MATCH($A32,tblProductos[SKU],0))),""))</f>
        <v/>
      </c>
      <c r="D32" s="51">
        <f>IF($A32="","",IFERROR(IF(INDEX(tblProductos[Presentación],MATCH($A32,tblProductos[SKU],0))="","",INDEX(tblProductos[Presentación],MATCH($A32,tblProductos[SKU],0))),""))</f>
        <v/>
      </c>
      <c r="E32" s="34" t="n"/>
      <c r="F32" s="39">
        <f>IF($A32="","",SUMIFS(tblCompras[Cantidad],tblCompras[SKU],$A32))</f>
        <v/>
      </c>
      <c r="G32" s="39">
        <f>IF($A32="","",SUMIFS(tblVentas[Unidades efectivas],tblVentas[SKU],$A32))</f>
        <v/>
      </c>
      <c r="H32" s="34" t="n"/>
      <c r="I32" s="39">
        <f>IF($A32="","",IF(ISNUMBER($E32),$E32,0)+$F32-$G32+IF(ISNUMBER($H32),$H32,0))</f>
        <v/>
      </c>
      <c r="J32" s="39">
        <f>IF($A32="","",IFERROR(IF(INDEX(tblProductos[Stock mínimo],MATCH($A32,tblProductos[SKU],0))="","",INDEX(tblProductos[Stock mínimo],MATCH($A32,tblProductos[SKU],0))),""))</f>
        <v/>
      </c>
      <c r="K32" s="39">
        <f>IF($A32="","",IFERROR(IF(INDEX(tblProductos[Stock máximo],MATCH($A32,tblProductos[SKU],0))="","",INDEX(tblProductos[Stock máximo],MATCH($A32,tblProductos[SKU],0))),""))</f>
        <v/>
      </c>
      <c r="L32" s="37">
        <f>IF($A32="","",IFERROR(IF(INDEX(tblCostos[COSTO REAL UNITARIO],MATCH($A32,tblCostos[SKU],0))="","PENDIENTE",INDEX(tblCostos[COSTO REAL UNITARIO],MATCH($A32,tblCostos[SKU],0))),"PENDIENTE"))</f>
        <v/>
      </c>
      <c r="M32" s="37">
        <f>IF($A32="","",IF(SUMIFS(tblCompras[Cantidad],tblCompras[SKU],$A32)&lt;=0,"",SUMIFS(tblCompras[Costo total de adquisición],tblCompras[SKU],$A32)/SUMIFS(tblCompras[Cantidad],tblCompras[SKU],$A32)))</f>
        <v/>
      </c>
      <c r="N32" s="37">
        <f>IF($A32="","",IF(ISNUMBER($M32),$M32,IF(ISNUMBER($L32),$L32,"")))</f>
        <v/>
      </c>
      <c r="O32" s="51">
        <f>IF($A32="","",IF(ISNUMBER($M32),"Promedio ponderado",IF(ISNUMBER($L32),"Costo estándar","PENDIENTE")))</f>
        <v/>
      </c>
      <c r="P32" s="49">
        <f>IF($A32="","",IF(OR(NOT(ISNUMBER($I32)),NOT(ISNUMBER($N32))),"PENDIENTE",$I32*$N32))</f>
        <v/>
      </c>
      <c r="Q32" s="37">
        <f>IF($A32="","",IFERROR(IF(INDEX(tblProductos[Precio de venta actual],MATCH($A32,tblProductos[SKU],0))="","PENDIENTE",INDEX(tblProductos[Precio de venta actual],MATCH($A32,tblProductos[SKU],0))),"PENDIENTE"))</f>
        <v/>
      </c>
      <c r="R32" s="37">
        <f>IF($A32="","",IF(OR(NOT(ISNUMBER($I32)),NOT(ISNUMBER($Q32))),"PENDIENTE",$I32*$Q32))</f>
        <v/>
      </c>
      <c r="S32" s="52">
        <f>IF($A32="","",IF(NOT(ISNUMBER($I32)),"ERROR",IF($I32&lt;0,"ERROR",IF($I32=0,"AGOTADO",IF(AND(ISNUMBER($J32),$I32&lt;=N($J32)*MAX(1,IF(ISNUMBER(PAR_ALERTA_STOCK),PAR_ALERTA_STOCK,1))),"REABASTECER","OK")))))</f>
        <v/>
      </c>
      <c r="T32" s="39">
        <f>IF($A32="","",IF(OR(NOT(ISNUMBER($I32)),NOT(ISNUMBER($K32))),"",IF(OR($S32="REABASTECER",$S32="AGOTADO"),MAX(0,$K32-$I32),0)))</f>
        <v/>
      </c>
      <c r="U32" s="53">
        <f>IF($A32="","",IFERROR(IF(SUMPRODUCT(MAX((tblCompras[SKU]=$A32)*(tblCompras[Fecha])))=0,"",SUMPRODUCT(MAX((tblCompras[SKU]=$A32)*(tblCompras[Fecha])))),""))</f>
        <v/>
      </c>
      <c r="V32" s="53">
        <f>IF($A32="","",IFERROR(IF(SUMPRODUCT(MAX((tblVentas[SKU]=$A32)*(tblVentas[Fecha])))=0,"",SUMPRODUCT(MAX((tblVentas[SKU]=$A32)*(tblVentas[Fecha])))),""))</f>
        <v/>
      </c>
      <c r="W32" s="39">
        <f>IF($A32="","",SUMIFS(tblVentas[Unidades efectivas],tblVentas[SKU],$A32,tblVentas[Fecha],"&gt;="&amp;TODAY()-30,tblVentas[Fecha],"&lt;="&amp;TODAY()))</f>
        <v/>
      </c>
      <c r="X32" s="39">
        <f>IF($A32="","",IF(OR(NOT(ISNUMBER($I32)),NOT(ISNUMBER($W32)),$W32&lt;=0),"",ROUND($I32/($W32/30),0)))</f>
        <v/>
      </c>
    </row>
    <row r="33">
      <c r="A33" s="51">
        <f>IFERROR(IF(INDEX(tblProductos[SKU],ROW()-6)="","",INDEX(tblProductos[SKU],ROW()-6)),"")</f>
        <v/>
      </c>
      <c r="B33" s="51">
        <f>IF($A33="","",IFERROR(IF(INDEX(tblProductos[Nombre del producto],MATCH($A33,tblProductos[SKU],0))="","",INDEX(tblProductos[Nombre del producto],MATCH($A33,tblProductos[SKU],0))),""))</f>
        <v/>
      </c>
      <c r="C33" s="51">
        <f>IF($A33="","",IFERROR(IF(INDEX(tblProductos[Categoría],MATCH($A33,tblProductos[SKU],0))="","",INDEX(tblProductos[Categoría],MATCH($A33,tblProductos[SKU],0))),""))</f>
        <v/>
      </c>
      <c r="D33" s="51">
        <f>IF($A33="","",IFERROR(IF(INDEX(tblProductos[Presentación],MATCH($A33,tblProductos[SKU],0))="","",INDEX(tblProductos[Presentación],MATCH($A33,tblProductos[SKU],0))),""))</f>
        <v/>
      </c>
      <c r="E33" s="34" t="n"/>
      <c r="F33" s="39">
        <f>IF($A33="","",SUMIFS(tblCompras[Cantidad],tblCompras[SKU],$A33))</f>
        <v/>
      </c>
      <c r="G33" s="39">
        <f>IF($A33="","",SUMIFS(tblVentas[Unidades efectivas],tblVentas[SKU],$A33))</f>
        <v/>
      </c>
      <c r="H33" s="34" t="n"/>
      <c r="I33" s="39">
        <f>IF($A33="","",IF(ISNUMBER($E33),$E33,0)+$F33-$G33+IF(ISNUMBER($H33),$H33,0))</f>
        <v/>
      </c>
      <c r="J33" s="39">
        <f>IF($A33="","",IFERROR(IF(INDEX(tblProductos[Stock mínimo],MATCH($A33,tblProductos[SKU],0))="","",INDEX(tblProductos[Stock mínimo],MATCH($A33,tblProductos[SKU],0))),""))</f>
        <v/>
      </c>
      <c r="K33" s="39">
        <f>IF($A33="","",IFERROR(IF(INDEX(tblProductos[Stock máximo],MATCH($A33,tblProductos[SKU],0))="","",INDEX(tblProductos[Stock máximo],MATCH($A33,tblProductos[SKU],0))),""))</f>
        <v/>
      </c>
      <c r="L33" s="37">
        <f>IF($A33="","",IFERROR(IF(INDEX(tblCostos[COSTO REAL UNITARIO],MATCH($A33,tblCostos[SKU],0))="","PENDIENTE",INDEX(tblCostos[COSTO REAL UNITARIO],MATCH($A33,tblCostos[SKU],0))),"PENDIENTE"))</f>
        <v/>
      </c>
      <c r="M33" s="37">
        <f>IF($A33="","",IF(SUMIFS(tblCompras[Cantidad],tblCompras[SKU],$A33)&lt;=0,"",SUMIFS(tblCompras[Costo total de adquisición],tblCompras[SKU],$A33)/SUMIFS(tblCompras[Cantidad],tblCompras[SKU],$A33)))</f>
        <v/>
      </c>
      <c r="N33" s="37">
        <f>IF($A33="","",IF(ISNUMBER($M33),$M33,IF(ISNUMBER($L33),$L33,"")))</f>
        <v/>
      </c>
      <c r="O33" s="51">
        <f>IF($A33="","",IF(ISNUMBER($M33),"Promedio ponderado",IF(ISNUMBER($L33),"Costo estándar","PENDIENTE")))</f>
        <v/>
      </c>
      <c r="P33" s="49">
        <f>IF($A33="","",IF(OR(NOT(ISNUMBER($I33)),NOT(ISNUMBER($N33))),"PENDIENTE",$I33*$N33))</f>
        <v/>
      </c>
      <c r="Q33" s="37">
        <f>IF($A33="","",IFERROR(IF(INDEX(tblProductos[Precio de venta actual],MATCH($A33,tblProductos[SKU],0))="","PENDIENTE",INDEX(tblProductos[Precio de venta actual],MATCH($A33,tblProductos[SKU],0))),"PENDIENTE"))</f>
        <v/>
      </c>
      <c r="R33" s="37">
        <f>IF($A33="","",IF(OR(NOT(ISNUMBER($I33)),NOT(ISNUMBER($Q33))),"PENDIENTE",$I33*$Q33))</f>
        <v/>
      </c>
      <c r="S33" s="52">
        <f>IF($A33="","",IF(NOT(ISNUMBER($I33)),"ERROR",IF($I33&lt;0,"ERROR",IF($I33=0,"AGOTADO",IF(AND(ISNUMBER($J33),$I33&lt;=N($J33)*MAX(1,IF(ISNUMBER(PAR_ALERTA_STOCK),PAR_ALERTA_STOCK,1))),"REABASTECER","OK")))))</f>
        <v/>
      </c>
      <c r="T33" s="39">
        <f>IF($A33="","",IF(OR(NOT(ISNUMBER($I33)),NOT(ISNUMBER($K33))),"",IF(OR($S33="REABASTECER",$S33="AGOTADO"),MAX(0,$K33-$I33),0)))</f>
        <v/>
      </c>
      <c r="U33" s="53">
        <f>IF($A33="","",IFERROR(IF(SUMPRODUCT(MAX((tblCompras[SKU]=$A33)*(tblCompras[Fecha])))=0,"",SUMPRODUCT(MAX((tblCompras[SKU]=$A33)*(tblCompras[Fecha])))),""))</f>
        <v/>
      </c>
      <c r="V33" s="53">
        <f>IF($A33="","",IFERROR(IF(SUMPRODUCT(MAX((tblVentas[SKU]=$A33)*(tblVentas[Fecha])))=0,"",SUMPRODUCT(MAX((tblVentas[SKU]=$A33)*(tblVentas[Fecha])))),""))</f>
        <v/>
      </c>
      <c r="W33" s="39">
        <f>IF($A33="","",SUMIFS(tblVentas[Unidades efectivas],tblVentas[SKU],$A33,tblVentas[Fecha],"&gt;="&amp;TODAY()-30,tblVentas[Fecha],"&lt;="&amp;TODAY()))</f>
        <v/>
      </c>
      <c r="X33" s="39">
        <f>IF($A33="","",IF(OR(NOT(ISNUMBER($I33)),NOT(ISNUMBER($W33)),$W33&lt;=0),"",ROUND($I33/($W33/30),0)))</f>
        <v/>
      </c>
    </row>
    <row r="34">
      <c r="A34" s="51">
        <f>IFERROR(IF(INDEX(tblProductos[SKU],ROW()-6)="","",INDEX(tblProductos[SKU],ROW()-6)),"")</f>
        <v/>
      </c>
      <c r="B34" s="51">
        <f>IF($A34="","",IFERROR(IF(INDEX(tblProductos[Nombre del producto],MATCH($A34,tblProductos[SKU],0))="","",INDEX(tblProductos[Nombre del producto],MATCH($A34,tblProductos[SKU],0))),""))</f>
        <v/>
      </c>
      <c r="C34" s="51">
        <f>IF($A34="","",IFERROR(IF(INDEX(tblProductos[Categoría],MATCH($A34,tblProductos[SKU],0))="","",INDEX(tblProductos[Categoría],MATCH($A34,tblProductos[SKU],0))),""))</f>
        <v/>
      </c>
      <c r="D34" s="51">
        <f>IF($A34="","",IFERROR(IF(INDEX(tblProductos[Presentación],MATCH($A34,tblProductos[SKU],0))="","",INDEX(tblProductos[Presentación],MATCH($A34,tblProductos[SKU],0))),""))</f>
        <v/>
      </c>
      <c r="E34" s="34" t="n"/>
      <c r="F34" s="39">
        <f>IF($A34="","",SUMIFS(tblCompras[Cantidad],tblCompras[SKU],$A34))</f>
        <v/>
      </c>
      <c r="G34" s="39">
        <f>IF($A34="","",SUMIFS(tblVentas[Unidades efectivas],tblVentas[SKU],$A34))</f>
        <v/>
      </c>
      <c r="H34" s="34" t="n"/>
      <c r="I34" s="39">
        <f>IF($A34="","",IF(ISNUMBER($E34),$E34,0)+$F34-$G34+IF(ISNUMBER($H34),$H34,0))</f>
        <v/>
      </c>
      <c r="J34" s="39">
        <f>IF($A34="","",IFERROR(IF(INDEX(tblProductos[Stock mínimo],MATCH($A34,tblProductos[SKU],0))="","",INDEX(tblProductos[Stock mínimo],MATCH($A34,tblProductos[SKU],0))),""))</f>
        <v/>
      </c>
      <c r="K34" s="39">
        <f>IF($A34="","",IFERROR(IF(INDEX(tblProductos[Stock máximo],MATCH($A34,tblProductos[SKU],0))="","",INDEX(tblProductos[Stock máximo],MATCH($A34,tblProductos[SKU],0))),""))</f>
        <v/>
      </c>
      <c r="L34" s="37">
        <f>IF($A34="","",IFERROR(IF(INDEX(tblCostos[COSTO REAL UNITARIO],MATCH($A34,tblCostos[SKU],0))="","PENDIENTE",INDEX(tblCostos[COSTO REAL UNITARIO],MATCH($A34,tblCostos[SKU],0))),"PENDIENTE"))</f>
        <v/>
      </c>
      <c r="M34" s="37">
        <f>IF($A34="","",IF(SUMIFS(tblCompras[Cantidad],tblCompras[SKU],$A34)&lt;=0,"",SUMIFS(tblCompras[Costo total de adquisición],tblCompras[SKU],$A34)/SUMIFS(tblCompras[Cantidad],tblCompras[SKU],$A34)))</f>
        <v/>
      </c>
      <c r="N34" s="37">
        <f>IF($A34="","",IF(ISNUMBER($M34),$M34,IF(ISNUMBER($L34),$L34,"")))</f>
        <v/>
      </c>
      <c r="O34" s="51">
        <f>IF($A34="","",IF(ISNUMBER($M34),"Promedio ponderado",IF(ISNUMBER($L34),"Costo estándar","PENDIENTE")))</f>
        <v/>
      </c>
      <c r="P34" s="49">
        <f>IF($A34="","",IF(OR(NOT(ISNUMBER($I34)),NOT(ISNUMBER($N34))),"PENDIENTE",$I34*$N34))</f>
        <v/>
      </c>
      <c r="Q34" s="37">
        <f>IF($A34="","",IFERROR(IF(INDEX(tblProductos[Precio de venta actual],MATCH($A34,tblProductos[SKU],0))="","PENDIENTE",INDEX(tblProductos[Precio de venta actual],MATCH($A34,tblProductos[SKU],0))),"PENDIENTE"))</f>
        <v/>
      </c>
      <c r="R34" s="37">
        <f>IF($A34="","",IF(OR(NOT(ISNUMBER($I34)),NOT(ISNUMBER($Q34))),"PENDIENTE",$I34*$Q34))</f>
        <v/>
      </c>
      <c r="S34" s="52">
        <f>IF($A34="","",IF(NOT(ISNUMBER($I34)),"ERROR",IF($I34&lt;0,"ERROR",IF($I34=0,"AGOTADO",IF(AND(ISNUMBER($J34),$I34&lt;=N($J34)*MAX(1,IF(ISNUMBER(PAR_ALERTA_STOCK),PAR_ALERTA_STOCK,1))),"REABASTECER","OK")))))</f>
        <v/>
      </c>
      <c r="T34" s="39">
        <f>IF($A34="","",IF(OR(NOT(ISNUMBER($I34)),NOT(ISNUMBER($K34))),"",IF(OR($S34="REABASTECER",$S34="AGOTADO"),MAX(0,$K34-$I34),0)))</f>
        <v/>
      </c>
      <c r="U34" s="53">
        <f>IF($A34="","",IFERROR(IF(SUMPRODUCT(MAX((tblCompras[SKU]=$A34)*(tblCompras[Fecha])))=0,"",SUMPRODUCT(MAX((tblCompras[SKU]=$A34)*(tblCompras[Fecha])))),""))</f>
        <v/>
      </c>
      <c r="V34" s="53">
        <f>IF($A34="","",IFERROR(IF(SUMPRODUCT(MAX((tblVentas[SKU]=$A34)*(tblVentas[Fecha])))=0,"",SUMPRODUCT(MAX((tblVentas[SKU]=$A34)*(tblVentas[Fecha])))),""))</f>
        <v/>
      </c>
      <c r="W34" s="39">
        <f>IF($A34="","",SUMIFS(tblVentas[Unidades efectivas],tblVentas[SKU],$A34,tblVentas[Fecha],"&gt;="&amp;TODAY()-30,tblVentas[Fecha],"&lt;="&amp;TODAY()))</f>
        <v/>
      </c>
      <c r="X34" s="39">
        <f>IF($A34="","",IF(OR(NOT(ISNUMBER($I34)),NOT(ISNUMBER($W34)),$W34&lt;=0),"",ROUND($I34/($W34/30),0)))</f>
        <v/>
      </c>
    </row>
    <row r="35">
      <c r="A35" s="51">
        <f>IFERROR(IF(INDEX(tblProductos[SKU],ROW()-6)="","",INDEX(tblProductos[SKU],ROW()-6)),"")</f>
        <v/>
      </c>
      <c r="B35" s="51">
        <f>IF($A35="","",IFERROR(IF(INDEX(tblProductos[Nombre del producto],MATCH($A35,tblProductos[SKU],0))="","",INDEX(tblProductos[Nombre del producto],MATCH($A35,tblProductos[SKU],0))),""))</f>
        <v/>
      </c>
      <c r="C35" s="51">
        <f>IF($A35="","",IFERROR(IF(INDEX(tblProductos[Categoría],MATCH($A35,tblProductos[SKU],0))="","",INDEX(tblProductos[Categoría],MATCH($A35,tblProductos[SKU],0))),""))</f>
        <v/>
      </c>
      <c r="D35" s="51">
        <f>IF($A35="","",IFERROR(IF(INDEX(tblProductos[Presentación],MATCH($A35,tblProductos[SKU],0))="","",INDEX(tblProductos[Presentación],MATCH($A35,tblProductos[SKU],0))),""))</f>
        <v/>
      </c>
      <c r="E35" s="34" t="n"/>
      <c r="F35" s="39">
        <f>IF($A35="","",SUMIFS(tblCompras[Cantidad],tblCompras[SKU],$A35))</f>
        <v/>
      </c>
      <c r="G35" s="39">
        <f>IF($A35="","",SUMIFS(tblVentas[Unidades efectivas],tblVentas[SKU],$A35))</f>
        <v/>
      </c>
      <c r="H35" s="34" t="n"/>
      <c r="I35" s="39">
        <f>IF($A35="","",IF(ISNUMBER($E35),$E35,0)+$F35-$G35+IF(ISNUMBER($H35),$H35,0))</f>
        <v/>
      </c>
      <c r="J35" s="39">
        <f>IF($A35="","",IFERROR(IF(INDEX(tblProductos[Stock mínimo],MATCH($A35,tblProductos[SKU],0))="","",INDEX(tblProductos[Stock mínimo],MATCH($A35,tblProductos[SKU],0))),""))</f>
        <v/>
      </c>
      <c r="K35" s="39">
        <f>IF($A35="","",IFERROR(IF(INDEX(tblProductos[Stock máximo],MATCH($A35,tblProductos[SKU],0))="","",INDEX(tblProductos[Stock máximo],MATCH($A35,tblProductos[SKU],0))),""))</f>
        <v/>
      </c>
      <c r="L35" s="37">
        <f>IF($A35="","",IFERROR(IF(INDEX(tblCostos[COSTO REAL UNITARIO],MATCH($A35,tblCostos[SKU],0))="","PENDIENTE",INDEX(tblCostos[COSTO REAL UNITARIO],MATCH($A35,tblCostos[SKU],0))),"PENDIENTE"))</f>
        <v/>
      </c>
      <c r="M35" s="37">
        <f>IF($A35="","",IF(SUMIFS(tblCompras[Cantidad],tblCompras[SKU],$A35)&lt;=0,"",SUMIFS(tblCompras[Costo total de adquisición],tblCompras[SKU],$A35)/SUMIFS(tblCompras[Cantidad],tblCompras[SKU],$A35)))</f>
        <v/>
      </c>
      <c r="N35" s="37">
        <f>IF($A35="","",IF(ISNUMBER($M35),$M35,IF(ISNUMBER($L35),$L35,"")))</f>
        <v/>
      </c>
      <c r="O35" s="51">
        <f>IF($A35="","",IF(ISNUMBER($M35),"Promedio ponderado",IF(ISNUMBER($L35),"Costo estándar","PENDIENTE")))</f>
        <v/>
      </c>
      <c r="P35" s="49">
        <f>IF($A35="","",IF(OR(NOT(ISNUMBER($I35)),NOT(ISNUMBER($N35))),"PENDIENTE",$I35*$N35))</f>
        <v/>
      </c>
      <c r="Q35" s="37">
        <f>IF($A35="","",IFERROR(IF(INDEX(tblProductos[Precio de venta actual],MATCH($A35,tblProductos[SKU],0))="","PENDIENTE",INDEX(tblProductos[Precio de venta actual],MATCH($A35,tblProductos[SKU],0))),"PENDIENTE"))</f>
        <v/>
      </c>
      <c r="R35" s="37">
        <f>IF($A35="","",IF(OR(NOT(ISNUMBER($I35)),NOT(ISNUMBER($Q35))),"PENDIENTE",$I35*$Q35))</f>
        <v/>
      </c>
      <c r="S35" s="52">
        <f>IF($A35="","",IF(NOT(ISNUMBER($I35)),"ERROR",IF($I35&lt;0,"ERROR",IF($I35=0,"AGOTADO",IF(AND(ISNUMBER($J35),$I35&lt;=N($J35)*MAX(1,IF(ISNUMBER(PAR_ALERTA_STOCK),PAR_ALERTA_STOCK,1))),"REABASTECER","OK")))))</f>
        <v/>
      </c>
      <c r="T35" s="39">
        <f>IF($A35="","",IF(OR(NOT(ISNUMBER($I35)),NOT(ISNUMBER($K35))),"",IF(OR($S35="REABASTECER",$S35="AGOTADO"),MAX(0,$K35-$I35),0)))</f>
        <v/>
      </c>
      <c r="U35" s="53">
        <f>IF($A35="","",IFERROR(IF(SUMPRODUCT(MAX((tblCompras[SKU]=$A35)*(tblCompras[Fecha])))=0,"",SUMPRODUCT(MAX((tblCompras[SKU]=$A35)*(tblCompras[Fecha])))),""))</f>
        <v/>
      </c>
      <c r="V35" s="53">
        <f>IF($A35="","",IFERROR(IF(SUMPRODUCT(MAX((tblVentas[SKU]=$A35)*(tblVentas[Fecha])))=0,"",SUMPRODUCT(MAX((tblVentas[SKU]=$A35)*(tblVentas[Fecha])))),""))</f>
        <v/>
      </c>
      <c r="W35" s="39">
        <f>IF($A35="","",SUMIFS(tblVentas[Unidades efectivas],tblVentas[SKU],$A35,tblVentas[Fecha],"&gt;="&amp;TODAY()-30,tblVentas[Fecha],"&lt;="&amp;TODAY()))</f>
        <v/>
      </c>
      <c r="X35" s="39">
        <f>IF($A35="","",IF(OR(NOT(ISNUMBER($I35)),NOT(ISNUMBER($W35)),$W35&lt;=0),"",ROUND($I35/($W35/30),0)))</f>
        <v/>
      </c>
    </row>
    <row r="36">
      <c r="A36" s="51">
        <f>IFERROR(IF(INDEX(tblProductos[SKU],ROW()-6)="","",INDEX(tblProductos[SKU],ROW()-6)),"")</f>
        <v/>
      </c>
      <c r="B36" s="51">
        <f>IF($A36="","",IFERROR(IF(INDEX(tblProductos[Nombre del producto],MATCH($A36,tblProductos[SKU],0))="","",INDEX(tblProductos[Nombre del producto],MATCH($A36,tblProductos[SKU],0))),""))</f>
        <v/>
      </c>
      <c r="C36" s="51">
        <f>IF($A36="","",IFERROR(IF(INDEX(tblProductos[Categoría],MATCH($A36,tblProductos[SKU],0))="","",INDEX(tblProductos[Categoría],MATCH($A36,tblProductos[SKU],0))),""))</f>
        <v/>
      </c>
      <c r="D36" s="51">
        <f>IF($A36="","",IFERROR(IF(INDEX(tblProductos[Presentación],MATCH($A36,tblProductos[SKU],0))="","",INDEX(tblProductos[Presentación],MATCH($A36,tblProductos[SKU],0))),""))</f>
        <v/>
      </c>
      <c r="E36" s="34" t="n"/>
      <c r="F36" s="39">
        <f>IF($A36="","",SUMIFS(tblCompras[Cantidad],tblCompras[SKU],$A36))</f>
        <v/>
      </c>
      <c r="G36" s="39">
        <f>IF($A36="","",SUMIFS(tblVentas[Unidades efectivas],tblVentas[SKU],$A36))</f>
        <v/>
      </c>
      <c r="H36" s="34" t="n"/>
      <c r="I36" s="39">
        <f>IF($A36="","",IF(ISNUMBER($E36),$E36,0)+$F36-$G36+IF(ISNUMBER($H36),$H36,0))</f>
        <v/>
      </c>
      <c r="J36" s="39">
        <f>IF($A36="","",IFERROR(IF(INDEX(tblProductos[Stock mínimo],MATCH($A36,tblProductos[SKU],0))="","",INDEX(tblProductos[Stock mínimo],MATCH($A36,tblProductos[SKU],0))),""))</f>
        <v/>
      </c>
      <c r="K36" s="39">
        <f>IF($A36="","",IFERROR(IF(INDEX(tblProductos[Stock máximo],MATCH($A36,tblProductos[SKU],0))="","",INDEX(tblProductos[Stock máximo],MATCH($A36,tblProductos[SKU],0))),""))</f>
        <v/>
      </c>
      <c r="L36" s="37">
        <f>IF($A36="","",IFERROR(IF(INDEX(tblCostos[COSTO REAL UNITARIO],MATCH($A36,tblCostos[SKU],0))="","PENDIENTE",INDEX(tblCostos[COSTO REAL UNITARIO],MATCH($A36,tblCostos[SKU],0))),"PENDIENTE"))</f>
        <v/>
      </c>
      <c r="M36" s="37">
        <f>IF($A36="","",IF(SUMIFS(tblCompras[Cantidad],tblCompras[SKU],$A36)&lt;=0,"",SUMIFS(tblCompras[Costo total de adquisición],tblCompras[SKU],$A36)/SUMIFS(tblCompras[Cantidad],tblCompras[SKU],$A36)))</f>
        <v/>
      </c>
      <c r="N36" s="37">
        <f>IF($A36="","",IF(ISNUMBER($M36),$M36,IF(ISNUMBER($L36),$L36,"")))</f>
        <v/>
      </c>
      <c r="O36" s="51">
        <f>IF($A36="","",IF(ISNUMBER($M36),"Promedio ponderado",IF(ISNUMBER($L36),"Costo estándar","PENDIENTE")))</f>
        <v/>
      </c>
      <c r="P36" s="49">
        <f>IF($A36="","",IF(OR(NOT(ISNUMBER($I36)),NOT(ISNUMBER($N36))),"PENDIENTE",$I36*$N36))</f>
        <v/>
      </c>
      <c r="Q36" s="37">
        <f>IF($A36="","",IFERROR(IF(INDEX(tblProductos[Precio de venta actual],MATCH($A36,tblProductos[SKU],0))="","PENDIENTE",INDEX(tblProductos[Precio de venta actual],MATCH($A36,tblProductos[SKU],0))),"PENDIENTE"))</f>
        <v/>
      </c>
      <c r="R36" s="37">
        <f>IF($A36="","",IF(OR(NOT(ISNUMBER($I36)),NOT(ISNUMBER($Q36))),"PENDIENTE",$I36*$Q36))</f>
        <v/>
      </c>
      <c r="S36" s="52">
        <f>IF($A36="","",IF(NOT(ISNUMBER($I36)),"ERROR",IF($I36&lt;0,"ERROR",IF($I36=0,"AGOTADO",IF(AND(ISNUMBER($J36),$I36&lt;=N($J36)*MAX(1,IF(ISNUMBER(PAR_ALERTA_STOCK),PAR_ALERTA_STOCK,1))),"REABASTECER","OK")))))</f>
        <v/>
      </c>
      <c r="T36" s="39">
        <f>IF($A36="","",IF(OR(NOT(ISNUMBER($I36)),NOT(ISNUMBER($K36))),"",IF(OR($S36="REABASTECER",$S36="AGOTADO"),MAX(0,$K36-$I36),0)))</f>
        <v/>
      </c>
      <c r="U36" s="53">
        <f>IF($A36="","",IFERROR(IF(SUMPRODUCT(MAX((tblCompras[SKU]=$A36)*(tblCompras[Fecha])))=0,"",SUMPRODUCT(MAX((tblCompras[SKU]=$A36)*(tblCompras[Fecha])))),""))</f>
        <v/>
      </c>
      <c r="V36" s="53">
        <f>IF($A36="","",IFERROR(IF(SUMPRODUCT(MAX((tblVentas[SKU]=$A36)*(tblVentas[Fecha])))=0,"",SUMPRODUCT(MAX((tblVentas[SKU]=$A36)*(tblVentas[Fecha])))),""))</f>
        <v/>
      </c>
      <c r="W36" s="39">
        <f>IF($A36="","",SUMIFS(tblVentas[Unidades efectivas],tblVentas[SKU],$A36,tblVentas[Fecha],"&gt;="&amp;TODAY()-30,tblVentas[Fecha],"&lt;="&amp;TODAY()))</f>
        <v/>
      </c>
      <c r="X36" s="39">
        <f>IF($A36="","",IF(OR(NOT(ISNUMBER($I36)),NOT(ISNUMBER($W36)),$W36&lt;=0),"",ROUND($I36/($W36/30),0)))</f>
        <v/>
      </c>
    </row>
    <row r="37">
      <c r="A37" s="51">
        <f>IFERROR(IF(INDEX(tblProductos[SKU],ROW()-6)="","",INDEX(tblProductos[SKU],ROW()-6)),"")</f>
        <v/>
      </c>
      <c r="B37" s="51">
        <f>IF($A37="","",IFERROR(IF(INDEX(tblProductos[Nombre del producto],MATCH($A37,tblProductos[SKU],0))="","",INDEX(tblProductos[Nombre del producto],MATCH($A37,tblProductos[SKU],0))),""))</f>
        <v/>
      </c>
      <c r="C37" s="51">
        <f>IF($A37="","",IFERROR(IF(INDEX(tblProductos[Categoría],MATCH($A37,tblProductos[SKU],0))="","",INDEX(tblProductos[Categoría],MATCH($A37,tblProductos[SKU],0))),""))</f>
        <v/>
      </c>
      <c r="D37" s="51">
        <f>IF($A37="","",IFERROR(IF(INDEX(tblProductos[Presentación],MATCH($A37,tblProductos[SKU],0))="","",INDEX(tblProductos[Presentación],MATCH($A37,tblProductos[SKU],0))),""))</f>
        <v/>
      </c>
      <c r="E37" s="34" t="n"/>
      <c r="F37" s="39">
        <f>IF($A37="","",SUMIFS(tblCompras[Cantidad],tblCompras[SKU],$A37))</f>
        <v/>
      </c>
      <c r="G37" s="39">
        <f>IF($A37="","",SUMIFS(tblVentas[Unidades efectivas],tblVentas[SKU],$A37))</f>
        <v/>
      </c>
      <c r="H37" s="34" t="n"/>
      <c r="I37" s="39">
        <f>IF($A37="","",IF(ISNUMBER($E37),$E37,0)+$F37-$G37+IF(ISNUMBER($H37),$H37,0))</f>
        <v/>
      </c>
      <c r="J37" s="39">
        <f>IF($A37="","",IFERROR(IF(INDEX(tblProductos[Stock mínimo],MATCH($A37,tblProductos[SKU],0))="","",INDEX(tblProductos[Stock mínimo],MATCH($A37,tblProductos[SKU],0))),""))</f>
        <v/>
      </c>
      <c r="K37" s="39">
        <f>IF($A37="","",IFERROR(IF(INDEX(tblProductos[Stock máximo],MATCH($A37,tblProductos[SKU],0))="","",INDEX(tblProductos[Stock máximo],MATCH($A37,tblProductos[SKU],0))),""))</f>
        <v/>
      </c>
      <c r="L37" s="37">
        <f>IF($A37="","",IFERROR(IF(INDEX(tblCostos[COSTO REAL UNITARIO],MATCH($A37,tblCostos[SKU],0))="","PENDIENTE",INDEX(tblCostos[COSTO REAL UNITARIO],MATCH($A37,tblCostos[SKU],0))),"PENDIENTE"))</f>
        <v/>
      </c>
      <c r="M37" s="37">
        <f>IF($A37="","",IF(SUMIFS(tblCompras[Cantidad],tblCompras[SKU],$A37)&lt;=0,"",SUMIFS(tblCompras[Costo total de adquisición],tblCompras[SKU],$A37)/SUMIFS(tblCompras[Cantidad],tblCompras[SKU],$A37)))</f>
        <v/>
      </c>
      <c r="N37" s="37">
        <f>IF($A37="","",IF(ISNUMBER($M37),$M37,IF(ISNUMBER($L37),$L37,"")))</f>
        <v/>
      </c>
      <c r="O37" s="51">
        <f>IF($A37="","",IF(ISNUMBER($M37),"Promedio ponderado",IF(ISNUMBER($L37),"Costo estándar","PENDIENTE")))</f>
        <v/>
      </c>
      <c r="P37" s="49">
        <f>IF($A37="","",IF(OR(NOT(ISNUMBER($I37)),NOT(ISNUMBER($N37))),"PENDIENTE",$I37*$N37))</f>
        <v/>
      </c>
      <c r="Q37" s="37">
        <f>IF($A37="","",IFERROR(IF(INDEX(tblProductos[Precio de venta actual],MATCH($A37,tblProductos[SKU],0))="","PENDIENTE",INDEX(tblProductos[Precio de venta actual],MATCH($A37,tblProductos[SKU],0))),"PENDIENTE"))</f>
        <v/>
      </c>
      <c r="R37" s="37">
        <f>IF($A37="","",IF(OR(NOT(ISNUMBER($I37)),NOT(ISNUMBER($Q37))),"PENDIENTE",$I37*$Q37))</f>
        <v/>
      </c>
      <c r="S37" s="52">
        <f>IF($A37="","",IF(NOT(ISNUMBER($I37)),"ERROR",IF($I37&lt;0,"ERROR",IF($I37=0,"AGOTADO",IF(AND(ISNUMBER($J37),$I37&lt;=N($J37)*MAX(1,IF(ISNUMBER(PAR_ALERTA_STOCK),PAR_ALERTA_STOCK,1))),"REABASTECER","OK")))))</f>
        <v/>
      </c>
      <c r="T37" s="39">
        <f>IF($A37="","",IF(OR(NOT(ISNUMBER($I37)),NOT(ISNUMBER($K37))),"",IF(OR($S37="REABASTECER",$S37="AGOTADO"),MAX(0,$K37-$I37),0)))</f>
        <v/>
      </c>
      <c r="U37" s="53">
        <f>IF($A37="","",IFERROR(IF(SUMPRODUCT(MAX((tblCompras[SKU]=$A37)*(tblCompras[Fecha])))=0,"",SUMPRODUCT(MAX((tblCompras[SKU]=$A37)*(tblCompras[Fecha])))),""))</f>
        <v/>
      </c>
      <c r="V37" s="53">
        <f>IF($A37="","",IFERROR(IF(SUMPRODUCT(MAX((tblVentas[SKU]=$A37)*(tblVentas[Fecha])))=0,"",SUMPRODUCT(MAX((tblVentas[SKU]=$A37)*(tblVentas[Fecha])))),""))</f>
        <v/>
      </c>
      <c r="W37" s="39">
        <f>IF($A37="","",SUMIFS(tblVentas[Unidades efectivas],tblVentas[SKU],$A37,tblVentas[Fecha],"&gt;="&amp;TODAY()-30,tblVentas[Fecha],"&lt;="&amp;TODAY()))</f>
        <v/>
      </c>
      <c r="X37" s="39">
        <f>IF($A37="","",IF(OR(NOT(ISNUMBER($I37)),NOT(ISNUMBER($W37)),$W37&lt;=0),"",ROUND($I37/($W37/30),0)))</f>
        <v/>
      </c>
    </row>
    <row r="38">
      <c r="A38" s="51">
        <f>IFERROR(IF(INDEX(tblProductos[SKU],ROW()-6)="","",INDEX(tblProductos[SKU],ROW()-6)),"")</f>
        <v/>
      </c>
      <c r="B38" s="51">
        <f>IF($A38="","",IFERROR(IF(INDEX(tblProductos[Nombre del producto],MATCH($A38,tblProductos[SKU],0))="","",INDEX(tblProductos[Nombre del producto],MATCH($A38,tblProductos[SKU],0))),""))</f>
        <v/>
      </c>
      <c r="C38" s="51">
        <f>IF($A38="","",IFERROR(IF(INDEX(tblProductos[Categoría],MATCH($A38,tblProductos[SKU],0))="","",INDEX(tblProductos[Categoría],MATCH($A38,tblProductos[SKU],0))),""))</f>
        <v/>
      </c>
      <c r="D38" s="51">
        <f>IF($A38="","",IFERROR(IF(INDEX(tblProductos[Presentación],MATCH($A38,tblProductos[SKU],0))="","",INDEX(tblProductos[Presentación],MATCH($A38,tblProductos[SKU],0))),""))</f>
        <v/>
      </c>
      <c r="E38" s="34" t="n"/>
      <c r="F38" s="39">
        <f>IF($A38="","",SUMIFS(tblCompras[Cantidad],tblCompras[SKU],$A38))</f>
        <v/>
      </c>
      <c r="G38" s="39">
        <f>IF($A38="","",SUMIFS(tblVentas[Unidades efectivas],tblVentas[SKU],$A38))</f>
        <v/>
      </c>
      <c r="H38" s="34" t="n"/>
      <c r="I38" s="39">
        <f>IF($A38="","",IF(ISNUMBER($E38),$E38,0)+$F38-$G38+IF(ISNUMBER($H38),$H38,0))</f>
        <v/>
      </c>
      <c r="J38" s="39">
        <f>IF($A38="","",IFERROR(IF(INDEX(tblProductos[Stock mínimo],MATCH($A38,tblProductos[SKU],0))="","",INDEX(tblProductos[Stock mínimo],MATCH($A38,tblProductos[SKU],0))),""))</f>
        <v/>
      </c>
      <c r="K38" s="39">
        <f>IF($A38="","",IFERROR(IF(INDEX(tblProductos[Stock máximo],MATCH($A38,tblProductos[SKU],0))="","",INDEX(tblProductos[Stock máximo],MATCH($A38,tblProductos[SKU],0))),""))</f>
        <v/>
      </c>
      <c r="L38" s="37">
        <f>IF($A38="","",IFERROR(IF(INDEX(tblCostos[COSTO REAL UNITARIO],MATCH($A38,tblCostos[SKU],0))="","PENDIENTE",INDEX(tblCostos[COSTO REAL UNITARIO],MATCH($A38,tblCostos[SKU],0))),"PENDIENTE"))</f>
        <v/>
      </c>
      <c r="M38" s="37">
        <f>IF($A38="","",IF(SUMIFS(tblCompras[Cantidad],tblCompras[SKU],$A38)&lt;=0,"",SUMIFS(tblCompras[Costo total de adquisición],tblCompras[SKU],$A38)/SUMIFS(tblCompras[Cantidad],tblCompras[SKU],$A38)))</f>
        <v/>
      </c>
      <c r="N38" s="37">
        <f>IF($A38="","",IF(ISNUMBER($M38),$M38,IF(ISNUMBER($L38),$L38,"")))</f>
        <v/>
      </c>
      <c r="O38" s="51">
        <f>IF($A38="","",IF(ISNUMBER($M38),"Promedio ponderado",IF(ISNUMBER($L38),"Costo estándar","PENDIENTE")))</f>
        <v/>
      </c>
      <c r="P38" s="49">
        <f>IF($A38="","",IF(OR(NOT(ISNUMBER($I38)),NOT(ISNUMBER($N38))),"PENDIENTE",$I38*$N38))</f>
        <v/>
      </c>
      <c r="Q38" s="37">
        <f>IF($A38="","",IFERROR(IF(INDEX(tblProductos[Precio de venta actual],MATCH($A38,tblProductos[SKU],0))="","PENDIENTE",INDEX(tblProductos[Precio de venta actual],MATCH($A38,tblProductos[SKU],0))),"PENDIENTE"))</f>
        <v/>
      </c>
      <c r="R38" s="37">
        <f>IF($A38="","",IF(OR(NOT(ISNUMBER($I38)),NOT(ISNUMBER($Q38))),"PENDIENTE",$I38*$Q38))</f>
        <v/>
      </c>
      <c r="S38" s="52">
        <f>IF($A38="","",IF(NOT(ISNUMBER($I38)),"ERROR",IF($I38&lt;0,"ERROR",IF($I38=0,"AGOTADO",IF(AND(ISNUMBER($J38),$I38&lt;=N($J38)*MAX(1,IF(ISNUMBER(PAR_ALERTA_STOCK),PAR_ALERTA_STOCK,1))),"REABASTECER","OK")))))</f>
        <v/>
      </c>
      <c r="T38" s="39">
        <f>IF($A38="","",IF(OR(NOT(ISNUMBER($I38)),NOT(ISNUMBER($K38))),"",IF(OR($S38="REABASTECER",$S38="AGOTADO"),MAX(0,$K38-$I38),0)))</f>
        <v/>
      </c>
      <c r="U38" s="53">
        <f>IF($A38="","",IFERROR(IF(SUMPRODUCT(MAX((tblCompras[SKU]=$A38)*(tblCompras[Fecha])))=0,"",SUMPRODUCT(MAX((tblCompras[SKU]=$A38)*(tblCompras[Fecha])))),""))</f>
        <v/>
      </c>
      <c r="V38" s="53">
        <f>IF($A38="","",IFERROR(IF(SUMPRODUCT(MAX((tblVentas[SKU]=$A38)*(tblVentas[Fecha])))=0,"",SUMPRODUCT(MAX((tblVentas[SKU]=$A38)*(tblVentas[Fecha])))),""))</f>
        <v/>
      </c>
      <c r="W38" s="39">
        <f>IF($A38="","",SUMIFS(tblVentas[Unidades efectivas],tblVentas[SKU],$A38,tblVentas[Fecha],"&gt;="&amp;TODAY()-30,tblVentas[Fecha],"&lt;="&amp;TODAY()))</f>
        <v/>
      </c>
      <c r="X38" s="39">
        <f>IF($A38="","",IF(OR(NOT(ISNUMBER($I38)),NOT(ISNUMBER($W38)),$W38&lt;=0),"",ROUND($I38/($W38/30),0)))</f>
        <v/>
      </c>
    </row>
    <row r="39">
      <c r="A39" s="51">
        <f>IFERROR(IF(INDEX(tblProductos[SKU],ROW()-6)="","",INDEX(tblProductos[SKU],ROW()-6)),"")</f>
        <v/>
      </c>
      <c r="B39" s="51">
        <f>IF($A39="","",IFERROR(IF(INDEX(tblProductos[Nombre del producto],MATCH($A39,tblProductos[SKU],0))="","",INDEX(tblProductos[Nombre del producto],MATCH($A39,tblProductos[SKU],0))),""))</f>
        <v/>
      </c>
      <c r="C39" s="51">
        <f>IF($A39="","",IFERROR(IF(INDEX(tblProductos[Categoría],MATCH($A39,tblProductos[SKU],0))="","",INDEX(tblProductos[Categoría],MATCH($A39,tblProductos[SKU],0))),""))</f>
        <v/>
      </c>
      <c r="D39" s="51">
        <f>IF($A39="","",IFERROR(IF(INDEX(tblProductos[Presentación],MATCH($A39,tblProductos[SKU],0))="","",INDEX(tblProductos[Presentación],MATCH($A39,tblProductos[SKU],0))),""))</f>
        <v/>
      </c>
      <c r="E39" s="34" t="n"/>
      <c r="F39" s="39">
        <f>IF($A39="","",SUMIFS(tblCompras[Cantidad],tblCompras[SKU],$A39))</f>
        <v/>
      </c>
      <c r="G39" s="39">
        <f>IF($A39="","",SUMIFS(tblVentas[Unidades efectivas],tblVentas[SKU],$A39))</f>
        <v/>
      </c>
      <c r="H39" s="34" t="n"/>
      <c r="I39" s="39">
        <f>IF($A39="","",IF(ISNUMBER($E39),$E39,0)+$F39-$G39+IF(ISNUMBER($H39),$H39,0))</f>
        <v/>
      </c>
      <c r="J39" s="39">
        <f>IF($A39="","",IFERROR(IF(INDEX(tblProductos[Stock mínimo],MATCH($A39,tblProductos[SKU],0))="","",INDEX(tblProductos[Stock mínimo],MATCH($A39,tblProductos[SKU],0))),""))</f>
        <v/>
      </c>
      <c r="K39" s="39">
        <f>IF($A39="","",IFERROR(IF(INDEX(tblProductos[Stock máximo],MATCH($A39,tblProductos[SKU],0))="","",INDEX(tblProductos[Stock máximo],MATCH($A39,tblProductos[SKU],0))),""))</f>
        <v/>
      </c>
      <c r="L39" s="37">
        <f>IF($A39="","",IFERROR(IF(INDEX(tblCostos[COSTO REAL UNITARIO],MATCH($A39,tblCostos[SKU],0))="","PENDIENTE",INDEX(tblCostos[COSTO REAL UNITARIO],MATCH($A39,tblCostos[SKU],0))),"PENDIENTE"))</f>
        <v/>
      </c>
      <c r="M39" s="37">
        <f>IF($A39="","",IF(SUMIFS(tblCompras[Cantidad],tblCompras[SKU],$A39)&lt;=0,"",SUMIFS(tblCompras[Costo total de adquisición],tblCompras[SKU],$A39)/SUMIFS(tblCompras[Cantidad],tblCompras[SKU],$A39)))</f>
        <v/>
      </c>
      <c r="N39" s="37">
        <f>IF($A39="","",IF(ISNUMBER($M39),$M39,IF(ISNUMBER($L39),$L39,"")))</f>
        <v/>
      </c>
      <c r="O39" s="51">
        <f>IF($A39="","",IF(ISNUMBER($M39),"Promedio ponderado",IF(ISNUMBER($L39),"Costo estándar","PENDIENTE")))</f>
        <v/>
      </c>
      <c r="P39" s="49">
        <f>IF($A39="","",IF(OR(NOT(ISNUMBER($I39)),NOT(ISNUMBER($N39))),"PENDIENTE",$I39*$N39))</f>
        <v/>
      </c>
      <c r="Q39" s="37">
        <f>IF($A39="","",IFERROR(IF(INDEX(tblProductos[Precio de venta actual],MATCH($A39,tblProductos[SKU],0))="","PENDIENTE",INDEX(tblProductos[Precio de venta actual],MATCH($A39,tblProductos[SKU],0))),"PENDIENTE"))</f>
        <v/>
      </c>
      <c r="R39" s="37">
        <f>IF($A39="","",IF(OR(NOT(ISNUMBER($I39)),NOT(ISNUMBER($Q39))),"PENDIENTE",$I39*$Q39))</f>
        <v/>
      </c>
      <c r="S39" s="52">
        <f>IF($A39="","",IF(NOT(ISNUMBER($I39)),"ERROR",IF($I39&lt;0,"ERROR",IF($I39=0,"AGOTADO",IF(AND(ISNUMBER($J39),$I39&lt;=N($J39)*MAX(1,IF(ISNUMBER(PAR_ALERTA_STOCK),PAR_ALERTA_STOCK,1))),"REABASTECER","OK")))))</f>
        <v/>
      </c>
      <c r="T39" s="39">
        <f>IF($A39="","",IF(OR(NOT(ISNUMBER($I39)),NOT(ISNUMBER($K39))),"",IF(OR($S39="REABASTECER",$S39="AGOTADO"),MAX(0,$K39-$I39),0)))</f>
        <v/>
      </c>
      <c r="U39" s="53">
        <f>IF($A39="","",IFERROR(IF(SUMPRODUCT(MAX((tblCompras[SKU]=$A39)*(tblCompras[Fecha])))=0,"",SUMPRODUCT(MAX((tblCompras[SKU]=$A39)*(tblCompras[Fecha])))),""))</f>
        <v/>
      </c>
      <c r="V39" s="53">
        <f>IF($A39="","",IFERROR(IF(SUMPRODUCT(MAX((tblVentas[SKU]=$A39)*(tblVentas[Fecha])))=0,"",SUMPRODUCT(MAX((tblVentas[SKU]=$A39)*(tblVentas[Fecha])))),""))</f>
        <v/>
      </c>
      <c r="W39" s="39">
        <f>IF($A39="","",SUMIFS(tblVentas[Unidades efectivas],tblVentas[SKU],$A39,tblVentas[Fecha],"&gt;="&amp;TODAY()-30,tblVentas[Fecha],"&lt;="&amp;TODAY()))</f>
        <v/>
      </c>
      <c r="X39" s="39">
        <f>IF($A39="","",IF(OR(NOT(ISNUMBER($I39)),NOT(ISNUMBER($W39)),$W39&lt;=0),"",ROUND($I39/($W39/30),0)))</f>
        <v/>
      </c>
    </row>
    <row r="40">
      <c r="A40" s="51">
        <f>IFERROR(IF(INDEX(tblProductos[SKU],ROW()-6)="","",INDEX(tblProductos[SKU],ROW()-6)),"")</f>
        <v/>
      </c>
      <c r="B40" s="51">
        <f>IF($A40="","",IFERROR(IF(INDEX(tblProductos[Nombre del producto],MATCH($A40,tblProductos[SKU],0))="","",INDEX(tblProductos[Nombre del producto],MATCH($A40,tblProductos[SKU],0))),""))</f>
        <v/>
      </c>
      <c r="C40" s="51">
        <f>IF($A40="","",IFERROR(IF(INDEX(tblProductos[Categoría],MATCH($A40,tblProductos[SKU],0))="","",INDEX(tblProductos[Categoría],MATCH($A40,tblProductos[SKU],0))),""))</f>
        <v/>
      </c>
      <c r="D40" s="51">
        <f>IF($A40="","",IFERROR(IF(INDEX(tblProductos[Presentación],MATCH($A40,tblProductos[SKU],0))="","",INDEX(tblProductos[Presentación],MATCH($A40,tblProductos[SKU],0))),""))</f>
        <v/>
      </c>
      <c r="E40" s="34" t="n"/>
      <c r="F40" s="39">
        <f>IF($A40="","",SUMIFS(tblCompras[Cantidad],tblCompras[SKU],$A40))</f>
        <v/>
      </c>
      <c r="G40" s="39">
        <f>IF($A40="","",SUMIFS(tblVentas[Unidades efectivas],tblVentas[SKU],$A40))</f>
        <v/>
      </c>
      <c r="H40" s="34" t="n"/>
      <c r="I40" s="39">
        <f>IF($A40="","",IF(ISNUMBER($E40),$E40,0)+$F40-$G40+IF(ISNUMBER($H40),$H40,0))</f>
        <v/>
      </c>
      <c r="J40" s="39">
        <f>IF($A40="","",IFERROR(IF(INDEX(tblProductos[Stock mínimo],MATCH($A40,tblProductos[SKU],0))="","",INDEX(tblProductos[Stock mínimo],MATCH($A40,tblProductos[SKU],0))),""))</f>
        <v/>
      </c>
      <c r="K40" s="39">
        <f>IF($A40="","",IFERROR(IF(INDEX(tblProductos[Stock máximo],MATCH($A40,tblProductos[SKU],0))="","",INDEX(tblProductos[Stock máximo],MATCH($A40,tblProductos[SKU],0))),""))</f>
        <v/>
      </c>
      <c r="L40" s="37">
        <f>IF($A40="","",IFERROR(IF(INDEX(tblCostos[COSTO REAL UNITARIO],MATCH($A40,tblCostos[SKU],0))="","PENDIENTE",INDEX(tblCostos[COSTO REAL UNITARIO],MATCH($A40,tblCostos[SKU],0))),"PENDIENTE"))</f>
        <v/>
      </c>
      <c r="M40" s="37">
        <f>IF($A40="","",IF(SUMIFS(tblCompras[Cantidad],tblCompras[SKU],$A40)&lt;=0,"",SUMIFS(tblCompras[Costo total de adquisición],tblCompras[SKU],$A40)/SUMIFS(tblCompras[Cantidad],tblCompras[SKU],$A40)))</f>
        <v/>
      </c>
      <c r="N40" s="37">
        <f>IF($A40="","",IF(ISNUMBER($M40),$M40,IF(ISNUMBER($L40),$L40,"")))</f>
        <v/>
      </c>
      <c r="O40" s="51">
        <f>IF($A40="","",IF(ISNUMBER($M40),"Promedio ponderado",IF(ISNUMBER($L40),"Costo estándar","PENDIENTE")))</f>
        <v/>
      </c>
      <c r="P40" s="49">
        <f>IF($A40="","",IF(OR(NOT(ISNUMBER($I40)),NOT(ISNUMBER($N40))),"PENDIENTE",$I40*$N40))</f>
        <v/>
      </c>
      <c r="Q40" s="37">
        <f>IF($A40="","",IFERROR(IF(INDEX(tblProductos[Precio de venta actual],MATCH($A40,tblProductos[SKU],0))="","PENDIENTE",INDEX(tblProductos[Precio de venta actual],MATCH($A40,tblProductos[SKU],0))),"PENDIENTE"))</f>
        <v/>
      </c>
      <c r="R40" s="37">
        <f>IF($A40="","",IF(OR(NOT(ISNUMBER($I40)),NOT(ISNUMBER($Q40))),"PENDIENTE",$I40*$Q40))</f>
        <v/>
      </c>
      <c r="S40" s="52">
        <f>IF($A40="","",IF(NOT(ISNUMBER($I40)),"ERROR",IF($I40&lt;0,"ERROR",IF($I40=0,"AGOTADO",IF(AND(ISNUMBER($J40),$I40&lt;=N($J40)*MAX(1,IF(ISNUMBER(PAR_ALERTA_STOCK),PAR_ALERTA_STOCK,1))),"REABASTECER","OK")))))</f>
        <v/>
      </c>
      <c r="T40" s="39">
        <f>IF($A40="","",IF(OR(NOT(ISNUMBER($I40)),NOT(ISNUMBER($K40))),"",IF(OR($S40="REABASTECER",$S40="AGOTADO"),MAX(0,$K40-$I40),0)))</f>
        <v/>
      </c>
      <c r="U40" s="53">
        <f>IF($A40="","",IFERROR(IF(SUMPRODUCT(MAX((tblCompras[SKU]=$A40)*(tblCompras[Fecha])))=0,"",SUMPRODUCT(MAX((tblCompras[SKU]=$A40)*(tblCompras[Fecha])))),""))</f>
        <v/>
      </c>
      <c r="V40" s="53">
        <f>IF($A40="","",IFERROR(IF(SUMPRODUCT(MAX((tblVentas[SKU]=$A40)*(tblVentas[Fecha])))=0,"",SUMPRODUCT(MAX((tblVentas[SKU]=$A40)*(tblVentas[Fecha])))),""))</f>
        <v/>
      </c>
      <c r="W40" s="39">
        <f>IF($A40="","",SUMIFS(tblVentas[Unidades efectivas],tblVentas[SKU],$A40,tblVentas[Fecha],"&gt;="&amp;TODAY()-30,tblVentas[Fecha],"&lt;="&amp;TODAY()))</f>
        <v/>
      </c>
      <c r="X40" s="39">
        <f>IF($A40="","",IF(OR(NOT(ISNUMBER($I40)),NOT(ISNUMBER($W40)),$W40&lt;=0),"",ROUND($I40/($W40/30),0)))</f>
        <v/>
      </c>
    </row>
    <row r="41">
      <c r="A41" s="51">
        <f>IFERROR(IF(INDEX(tblProductos[SKU],ROW()-6)="","",INDEX(tblProductos[SKU],ROW()-6)),"")</f>
        <v/>
      </c>
      <c r="B41" s="51">
        <f>IF($A41="","",IFERROR(IF(INDEX(tblProductos[Nombre del producto],MATCH($A41,tblProductos[SKU],0))="","",INDEX(tblProductos[Nombre del producto],MATCH($A41,tblProductos[SKU],0))),""))</f>
        <v/>
      </c>
      <c r="C41" s="51">
        <f>IF($A41="","",IFERROR(IF(INDEX(tblProductos[Categoría],MATCH($A41,tblProductos[SKU],0))="","",INDEX(tblProductos[Categoría],MATCH($A41,tblProductos[SKU],0))),""))</f>
        <v/>
      </c>
      <c r="D41" s="51">
        <f>IF($A41="","",IFERROR(IF(INDEX(tblProductos[Presentación],MATCH($A41,tblProductos[SKU],0))="","",INDEX(tblProductos[Presentación],MATCH($A41,tblProductos[SKU],0))),""))</f>
        <v/>
      </c>
      <c r="E41" s="34" t="n"/>
      <c r="F41" s="39">
        <f>IF($A41="","",SUMIFS(tblCompras[Cantidad],tblCompras[SKU],$A41))</f>
        <v/>
      </c>
      <c r="G41" s="39">
        <f>IF($A41="","",SUMIFS(tblVentas[Unidades efectivas],tblVentas[SKU],$A41))</f>
        <v/>
      </c>
      <c r="H41" s="34" t="n"/>
      <c r="I41" s="39">
        <f>IF($A41="","",IF(ISNUMBER($E41),$E41,0)+$F41-$G41+IF(ISNUMBER($H41),$H41,0))</f>
        <v/>
      </c>
      <c r="J41" s="39">
        <f>IF($A41="","",IFERROR(IF(INDEX(tblProductos[Stock mínimo],MATCH($A41,tblProductos[SKU],0))="","",INDEX(tblProductos[Stock mínimo],MATCH($A41,tblProductos[SKU],0))),""))</f>
        <v/>
      </c>
      <c r="K41" s="39">
        <f>IF($A41="","",IFERROR(IF(INDEX(tblProductos[Stock máximo],MATCH($A41,tblProductos[SKU],0))="","",INDEX(tblProductos[Stock máximo],MATCH($A41,tblProductos[SKU],0))),""))</f>
        <v/>
      </c>
      <c r="L41" s="37">
        <f>IF($A41="","",IFERROR(IF(INDEX(tblCostos[COSTO REAL UNITARIO],MATCH($A41,tblCostos[SKU],0))="","PENDIENTE",INDEX(tblCostos[COSTO REAL UNITARIO],MATCH($A41,tblCostos[SKU],0))),"PENDIENTE"))</f>
        <v/>
      </c>
      <c r="M41" s="37">
        <f>IF($A41="","",IF(SUMIFS(tblCompras[Cantidad],tblCompras[SKU],$A41)&lt;=0,"",SUMIFS(tblCompras[Costo total de adquisición],tblCompras[SKU],$A41)/SUMIFS(tblCompras[Cantidad],tblCompras[SKU],$A41)))</f>
        <v/>
      </c>
      <c r="N41" s="37">
        <f>IF($A41="","",IF(ISNUMBER($M41),$M41,IF(ISNUMBER($L41),$L41,"")))</f>
        <v/>
      </c>
      <c r="O41" s="51">
        <f>IF($A41="","",IF(ISNUMBER($M41),"Promedio ponderado",IF(ISNUMBER($L41),"Costo estándar","PENDIENTE")))</f>
        <v/>
      </c>
      <c r="P41" s="49">
        <f>IF($A41="","",IF(OR(NOT(ISNUMBER($I41)),NOT(ISNUMBER($N41))),"PENDIENTE",$I41*$N41))</f>
        <v/>
      </c>
      <c r="Q41" s="37">
        <f>IF($A41="","",IFERROR(IF(INDEX(tblProductos[Precio de venta actual],MATCH($A41,tblProductos[SKU],0))="","PENDIENTE",INDEX(tblProductos[Precio de venta actual],MATCH($A41,tblProductos[SKU],0))),"PENDIENTE"))</f>
        <v/>
      </c>
      <c r="R41" s="37">
        <f>IF($A41="","",IF(OR(NOT(ISNUMBER($I41)),NOT(ISNUMBER($Q41))),"PENDIENTE",$I41*$Q41))</f>
        <v/>
      </c>
      <c r="S41" s="52">
        <f>IF($A41="","",IF(NOT(ISNUMBER($I41)),"ERROR",IF($I41&lt;0,"ERROR",IF($I41=0,"AGOTADO",IF(AND(ISNUMBER($J41),$I41&lt;=N($J41)*MAX(1,IF(ISNUMBER(PAR_ALERTA_STOCK),PAR_ALERTA_STOCK,1))),"REABASTECER","OK")))))</f>
        <v/>
      </c>
      <c r="T41" s="39">
        <f>IF($A41="","",IF(OR(NOT(ISNUMBER($I41)),NOT(ISNUMBER($K41))),"",IF(OR($S41="REABASTECER",$S41="AGOTADO"),MAX(0,$K41-$I41),0)))</f>
        <v/>
      </c>
      <c r="U41" s="53">
        <f>IF($A41="","",IFERROR(IF(SUMPRODUCT(MAX((tblCompras[SKU]=$A41)*(tblCompras[Fecha])))=0,"",SUMPRODUCT(MAX((tblCompras[SKU]=$A41)*(tblCompras[Fecha])))),""))</f>
        <v/>
      </c>
      <c r="V41" s="53">
        <f>IF($A41="","",IFERROR(IF(SUMPRODUCT(MAX((tblVentas[SKU]=$A41)*(tblVentas[Fecha])))=0,"",SUMPRODUCT(MAX((tblVentas[SKU]=$A41)*(tblVentas[Fecha])))),""))</f>
        <v/>
      </c>
      <c r="W41" s="39">
        <f>IF($A41="","",SUMIFS(tblVentas[Unidades efectivas],tblVentas[SKU],$A41,tblVentas[Fecha],"&gt;="&amp;TODAY()-30,tblVentas[Fecha],"&lt;="&amp;TODAY()))</f>
        <v/>
      </c>
      <c r="X41" s="39">
        <f>IF($A41="","",IF(OR(NOT(ISNUMBER($I41)),NOT(ISNUMBER($W41)),$W41&lt;=0),"",ROUND($I41/($W41/30),0)))</f>
        <v/>
      </c>
    </row>
    <row r="42">
      <c r="A42" s="51">
        <f>IFERROR(IF(INDEX(tblProductos[SKU],ROW()-6)="","",INDEX(tblProductos[SKU],ROW()-6)),"")</f>
        <v/>
      </c>
      <c r="B42" s="51">
        <f>IF($A42="","",IFERROR(IF(INDEX(tblProductos[Nombre del producto],MATCH($A42,tblProductos[SKU],0))="","",INDEX(tblProductos[Nombre del producto],MATCH($A42,tblProductos[SKU],0))),""))</f>
        <v/>
      </c>
      <c r="C42" s="51">
        <f>IF($A42="","",IFERROR(IF(INDEX(tblProductos[Categoría],MATCH($A42,tblProductos[SKU],0))="","",INDEX(tblProductos[Categoría],MATCH($A42,tblProductos[SKU],0))),""))</f>
        <v/>
      </c>
      <c r="D42" s="51">
        <f>IF($A42="","",IFERROR(IF(INDEX(tblProductos[Presentación],MATCH($A42,tblProductos[SKU],0))="","",INDEX(tblProductos[Presentación],MATCH($A42,tblProductos[SKU],0))),""))</f>
        <v/>
      </c>
      <c r="E42" s="34" t="n"/>
      <c r="F42" s="39">
        <f>IF($A42="","",SUMIFS(tblCompras[Cantidad],tblCompras[SKU],$A42))</f>
        <v/>
      </c>
      <c r="G42" s="39">
        <f>IF($A42="","",SUMIFS(tblVentas[Unidades efectivas],tblVentas[SKU],$A42))</f>
        <v/>
      </c>
      <c r="H42" s="34" t="n"/>
      <c r="I42" s="39">
        <f>IF($A42="","",IF(ISNUMBER($E42),$E42,0)+$F42-$G42+IF(ISNUMBER($H42),$H42,0))</f>
        <v/>
      </c>
      <c r="J42" s="39">
        <f>IF($A42="","",IFERROR(IF(INDEX(tblProductos[Stock mínimo],MATCH($A42,tblProductos[SKU],0))="","",INDEX(tblProductos[Stock mínimo],MATCH($A42,tblProductos[SKU],0))),""))</f>
        <v/>
      </c>
      <c r="K42" s="39">
        <f>IF($A42="","",IFERROR(IF(INDEX(tblProductos[Stock máximo],MATCH($A42,tblProductos[SKU],0))="","",INDEX(tblProductos[Stock máximo],MATCH($A42,tblProductos[SKU],0))),""))</f>
        <v/>
      </c>
      <c r="L42" s="37">
        <f>IF($A42="","",IFERROR(IF(INDEX(tblCostos[COSTO REAL UNITARIO],MATCH($A42,tblCostos[SKU],0))="","PENDIENTE",INDEX(tblCostos[COSTO REAL UNITARIO],MATCH($A42,tblCostos[SKU],0))),"PENDIENTE"))</f>
        <v/>
      </c>
      <c r="M42" s="37">
        <f>IF($A42="","",IF(SUMIFS(tblCompras[Cantidad],tblCompras[SKU],$A42)&lt;=0,"",SUMIFS(tblCompras[Costo total de adquisición],tblCompras[SKU],$A42)/SUMIFS(tblCompras[Cantidad],tblCompras[SKU],$A42)))</f>
        <v/>
      </c>
      <c r="N42" s="37">
        <f>IF($A42="","",IF(ISNUMBER($M42),$M42,IF(ISNUMBER($L42),$L42,"")))</f>
        <v/>
      </c>
      <c r="O42" s="51">
        <f>IF($A42="","",IF(ISNUMBER($M42),"Promedio ponderado",IF(ISNUMBER($L42),"Costo estándar","PENDIENTE")))</f>
        <v/>
      </c>
      <c r="P42" s="49">
        <f>IF($A42="","",IF(OR(NOT(ISNUMBER($I42)),NOT(ISNUMBER($N42))),"PENDIENTE",$I42*$N42))</f>
        <v/>
      </c>
      <c r="Q42" s="37">
        <f>IF($A42="","",IFERROR(IF(INDEX(tblProductos[Precio de venta actual],MATCH($A42,tblProductos[SKU],0))="","PENDIENTE",INDEX(tblProductos[Precio de venta actual],MATCH($A42,tblProductos[SKU],0))),"PENDIENTE"))</f>
        <v/>
      </c>
      <c r="R42" s="37">
        <f>IF($A42="","",IF(OR(NOT(ISNUMBER($I42)),NOT(ISNUMBER($Q42))),"PENDIENTE",$I42*$Q42))</f>
        <v/>
      </c>
      <c r="S42" s="52">
        <f>IF($A42="","",IF(NOT(ISNUMBER($I42)),"ERROR",IF($I42&lt;0,"ERROR",IF($I42=0,"AGOTADO",IF(AND(ISNUMBER($J42),$I42&lt;=N($J42)*MAX(1,IF(ISNUMBER(PAR_ALERTA_STOCK),PAR_ALERTA_STOCK,1))),"REABASTECER","OK")))))</f>
        <v/>
      </c>
      <c r="T42" s="39">
        <f>IF($A42="","",IF(OR(NOT(ISNUMBER($I42)),NOT(ISNUMBER($K42))),"",IF(OR($S42="REABASTECER",$S42="AGOTADO"),MAX(0,$K42-$I42),0)))</f>
        <v/>
      </c>
      <c r="U42" s="53">
        <f>IF($A42="","",IFERROR(IF(SUMPRODUCT(MAX((tblCompras[SKU]=$A42)*(tblCompras[Fecha])))=0,"",SUMPRODUCT(MAX((tblCompras[SKU]=$A42)*(tblCompras[Fecha])))),""))</f>
        <v/>
      </c>
      <c r="V42" s="53">
        <f>IF($A42="","",IFERROR(IF(SUMPRODUCT(MAX((tblVentas[SKU]=$A42)*(tblVentas[Fecha])))=0,"",SUMPRODUCT(MAX((tblVentas[SKU]=$A42)*(tblVentas[Fecha])))),""))</f>
        <v/>
      </c>
      <c r="W42" s="39">
        <f>IF($A42="","",SUMIFS(tblVentas[Unidades efectivas],tblVentas[SKU],$A42,tblVentas[Fecha],"&gt;="&amp;TODAY()-30,tblVentas[Fecha],"&lt;="&amp;TODAY()))</f>
        <v/>
      </c>
      <c r="X42" s="39">
        <f>IF($A42="","",IF(OR(NOT(ISNUMBER($I42)),NOT(ISNUMBER($W42)),$W42&lt;=0),"",ROUND($I42/($W42/30),0)))</f>
        <v/>
      </c>
    </row>
    <row r="43">
      <c r="A43" s="51">
        <f>IFERROR(IF(INDEX(tblProductos[SKU],ROW()-6)="","",INDEX(tblProductos[SKU],ROW()-6)),"")</f>
        <v/>
      </c>
      <c r="B43" s="51">
        <f>IF($A43="","",IFERROR(IF(INDEX(tblProductos[Nombre del producto],MATCH($A43,tblProductos[SKU],0))="","",INDEX(tblProductos[Nombre del producto],MATCH($A43,tblProductos[SKU],0))),""))</f>
        <v/>
      </c>
      <c r="C43" s="51">
        <f>IF($A43="","",IFERROR(IF(INDEX(tblProductos[Categoría],MATCH($A43,tblProductos[SKU],0))="","",INDEX(tblProductos[Categoría],MATCH($A43,tblProductos[SKU],0))),""))</f>
        <v/>
      </c>
      <c r="D43" s="51">
        <f>IF($A43="","",IFERROR(IF(INDEX(tblProductos[Presentación],MATCH($A43,tblProductos[SKU],0))="","",INDEX(tblProductos[Presentación],MATCH($A43,tblProductos[SKU],0))),""))</f>
        <v/>
      </c>
      <c r="E43" s="34" t="n"/>
      <c r="F43" s="39">
        <f>IF($A43="","",SUMIFS(tblCompras[Cantidad],tblCompras[SKU],$A43))</f>
        <v/>
      </c>
      <c r="G43" s="39">
        <f>IF($A43="","",SUMIFS(tblVentas[Unidades efectivas],tblVentas[SKU],$A43))</f>
        <v/>
      </c>
      <c r="H43" s="34" t="n"/>
      <c r="I43" s="39">
        <f>IF($A43="","",IF(ISNUMBER($E43),$E43,0)+$F43-$G43+IF(ISNUMBER($H43),$H43,0))</f>
        <v/>
      </c>
      <c r="J43" s="39">
        <f>IF($A43="","",IFERROR(IF(INDEX(tblProductos[Stock mínimo],MATCH($A43,tblProductos[SKU],0))="","",INDEX(tblProductos[Stock mínimo],MATCH($A43,tblProductos[SKU],0))),""))</f>
        <v/>
      </c>
      <c r="K43" s="39">
        <f>IF($A43="","",IFERROR(IF(INDEX(tblProductos[Stock máximo],MATCH($A43,tblProductos[SKU],0))="","",INDEX(tblProductos[Stock máximo],MATCH($A43,tblProductos[SKU],0))),""))</f>
        <v/>
      </c>
      <c r="L43" s="37">
        <f>IF($A43="","",IFERROR(IF(INDEX(tblCostos[COSTO REAL UNITARIO],MATCH($A43,tblCostos[SKU],0))="","PENDIENTE",INDEX(tblCostos[COSTO REAL UNITARIO],MATCH($A43,tblCostos[SKU],0))),"PENDIENTE"))</f>
        <v/>
      </c>
      <c r="M43" s="37">
        <f>IF($A43="","",IF(SUMIFS(tblCompras[Cantidad],tblCompras[SKU],$A43)&lt;=0,"",SUMIFS(tblCompras[Costo total de adquisición],tblCompras[SKU],$A43)/SUMIFS(tblCompras[Cantidad],tblCompras[SKU],$A43)))</f>
        <v/>
      </c>
      <c r="N43" s="37">
        <f>IF($A43="","",IF(ISNUMBER($M43),$M43,IF(ISNUMBER($L43),$L43,"")))</f>
        <v/>
      </c>
      <c r="O43" s="51">
        <f>IF($A43="","",IF(ISNUMBER($M43),"Promedio ponderado",IF(ISNUMBER($L43),"Costo estándar","PENDIENTE")))</f>
        <v/>
      </c>
      <c r="P43" s="49">
        <f>IF($A43="","",IF(OR(NOT(ISNUMBER($I43)),NOT(ISNUMBER($N43))),"PENDIENTE",$I43*$N43))</f>
        <v/>
      </c>
      <c r="Q43" s="37">
        <f>IF($A43="","",IFERROR(IF(INDEX(tblProductos[Precio de venta actual],MATCH($A43,tblProductos[SKU],0))="","PENDIENTE",INDEX(tblProductos[Precio de venta actual],MATCH($A43,tblProductos[SKU],0))),"PENDIENTE"))</f>
        <v/>
      </c>
      <c r="R43" s="37">
        <f>IF($A43="","",IF(OR(NOT(ISNUMBER($I43)),NOT(ISNUMBER($Q43))),"PENDIENTE",$I43*$Q43))</f>
        <v/>
      </c>
      <c r="S43" s="52">
        <f>IF($A43="","",IF(NOT(ISNUMBER($I43)),"ERROR",IF($I43&lt;0,"ERROR",IF($I43=0,"AGOTADO",IF(AND(ISNUMBER($J43),$I43&lt;=N($J43)*MAX(1,IF(ISNUMBER(PAR_ALERTA_STOCK),PAR_ALERTA_STOCK,1))),"REABASTECER","OK")))))</f>
        <v/>
      </c>
      <c r="T43" s="39">
        <f>IF($A43="","",IF(OR(NOT(ISNUMBER($I43)),NOT(ISNUMBER($K43))),"",IF(OR($S43="REABASTECER",$S43="AGOTADO"),MAX(0,$K43-$I43),0)))</f>
        <v/>
      </c>
      <c r="U43" s="53">
        <f>IF($A43="","",IFERROR(IF(SUMPRODUCT(MAX((tblCompras[SKU]=$A43)*(tblCompras[Fecha])))=0,"",SUMPRODUCT(MAX((tblCompras[SKU]=$A43)*(tblCompras[Fecha])))),""))</f>
        <v/>
      </c>
      <c r="V43" s="53">
        <f>IF($A43="","",IFERROR(IF(SUMPRODUCT(MAX((tblVentas[SKU]=$A43)*(tblVentas[Fecha])))=0,"",SUMPRODUCT(MAX((tblVentas[SKU]=$A43)*(tblVentas[Fecha])))),""))</f>
        <v/>
      </c>
      <c r="W43" s="39">
        <f>IF($A43="","",SUMIFS(tblVentas[Unidades efectivas],tblVentas[SKU],$A43,tblVentas[Fecha],"&gt;="&amp;TODAY()-30,tblVentas[Fecha],"&lt;="&amp;TODAY()))</f>
        <v/>
      </c>
      <c r="X43" s="39">
        <f>IF($A43="","",IF(OR(NOT(ISNUMBER($I43)),NOT(ISNUMBER($W43)),$W43&lt;=0),"",ROUND($I43/($W43/30),0)))</f>
        <v/>
      </c>
    </row>
    <row r="44">
      <c r="A44" s="51">
        <f>IFERROR(IF(INDEX(tblProductos[SKU],ROW()-6)="","",INDEX(tblProductos[SKU],ROW()-6)),"")</f>
        <v/>
      </c>
      <c r="B44" s="51">
        <f>IF($A44="","",IFERROR(IF(INDEX(tblProductos[Nombre del producto],MATCH($A44,tblProductos[SKU],0))="","",INDEX(tblProductos[Nombre del producto],MATCH($A44,tblProductos[SKU],0))),""))</f>
        <v/>
      </c>
      <c r="C44" s="51">
        <f>IF($A44="","",IFERROR(IF(INDEX(tblProductos[Categoría],MATCH($A44,tblProductos[SKU],0))="","",INDEX(tblProductos[Categoría],MATCH($A44,tblProductos[SKU],0))),""))</f>
        <v/>
      </c>
      <c r="D44" s="51">
        <f>IF($A44="","",IFERROR(IF(INDEX(tblProductos[Presentación],MATCH($A44,tblProductos[SKU],0))="","",INDEX(tblProductos[Presentación],MATCH($A44,tblProductos[SKU],0))),""))</f>
        <v/>
      </c>
      <c r="E44" s="34" t="n"/>
      <c r="F44" s="39">
        <f>IF($A44="","",SUMIFS(tblCompras[Cantidad],tblCompras[SKU],$A44))</f>
        <v/>
      </c>
      <c r="G44" s="39">
        <f>IF($A44="","",SUMIFS(tblVentas[Unidades efectivas],tblVentas[SKU],$A44))</f>
        <v/>
      </c>
      <c r="H44" s="34" t="n"/>
      <c r="I44" s="39">
        <f>IF($A44="","",IF(ISNUMBER($E44),$E44,0)+$F44-$G44+IF(ISNUMBER($H44),$H44,0))</f>
        <v/>
      </c>
      <c r="J44" s="39">
        <f>IF($A44="","",IFERROR(IF(INDEX(tblProductos[Stock mínimo],MATCH($A44,tblProductos[SKU],0))="","",INDEX(tblProductos[Stock mínimo],MATCH($A44,tblProductos[SKU],0))),""))</f>
        <v/>
      </c>
      <c r="K44" s="39">
        <f>IF($A44="","",IFERROR(IF(INDEX(tblProductos[Stock máximo],MATCH($A44,tblProductos[SKU],0))="","",INDEX(tblProductos[Stock máximo],MATCH($A44,tblProductos[SKU],0))),""))</f>
        <v/>
      </c>
      <c r="L44" s="37">
        <f>IF($A44="","",IFERROR(IF(INDEX(tblCostos[COSTO REAL UNITARIO],MATCH($A44,tblCostos[SKU],0))="","PENDIENTE",INDEX(tblCostos[COSTO REAL UNITARIO],MATCH($A44,tblCostos[SKU],0))),"PENDIENTE"))</f>
        <v/>
      </c>
      <c r="M44" s="37">
        <f>IF($A44="","",IF(SUMIFS(tblCompras[Cantidad],tblCompras[SKU],$A44)&lt;=0,"",SUMIFS(tblCompras[Costo total de adquisición],tblCompras[SKU],$A44)/SUMIFS(tblCompras[Cantidad],tblCompras[SKU],$A44)))</f>
        <v/>
      </c>
      <c r="N44" s="37">
        <f>IF($A44="","",IF(ISNUMBER($M44),$M44,IF(ISNUMBER($L44),$L44,"")))</f>
        <v/>
      </c>
      <c r="O44" s="51">
        <f>IF($A44="","",IF(ISNUMBER($M44),"Promedio ponderado",IF(ISNUMBER($L44),"Costo estándar","PENDIENTE")))</f>
        <v/>
      </c>
      <c r="P44" s="49">
        <f>IF($A44="","",IF(OR(NOT(ISNUMBER($I44)),NOT(ISNUMBER($N44))),"PENDIENTE",$I44*$N44))</f>
        <v/>
      </c>
      <c r="Q44" s="37">
        <f>IF($A44="","",IFERROR(IF(INDEX(tblProductos[Precio de venta actual],MATCH($A44,tblProductos[SKU],0))="","PENDIENTE",INDEX(tblProductos[Precio de venta actual],MATCH($A44,tblProductos[SKU],0))),"PENDIENTE"))</f>
        <v/>
      </c>
      <c r="R44" s="37">
        <f>IF($A44="","",IF(OR(NOT(ISNUMBER($I44)),NOT(ISNUMBER($Q44))),"PENDIENTE",$I44*$Q44))</f>
        <v/>
      </c>
      <c r="S44" s="52">
        <f>IF($A44="","",IF(NOT(ISNUMBER($I44)),"ERROR",IF($I44&lt;0,"ERROR",IF($I44=0,"AGOTADO",IF(AND(ISNUMBER($J44),$I44&lt;=N($J44)*MAX(1,IF(ISNUMBER(PAR_ALERTA_STOCK),PAR_ALERTA_STOCK,1))),"REABASTECER","OK")))))</f>
        <v/>
      </c>
      <c r="T44" s="39">
        <f>IF($A44="","",IF(OR(NOT(ISNUMBER($I44)),NOT(ISNUMBER($K44))),"",IF(OR($S44="REABASTECER",$S44="AGOTADO"),MAX(0,$K44-$I44),0)))</f>
        <v/>
      </c>
      <c r="U44" s="53">
        <f>IF($A44="","",IFERROR(IF(SUMPRODUCT(MAX((tblCompras[SKU]=$A44)*(tblCompras[Fecha])))=0,"",SUMPRODUCT(MAX((tblCompras[SKU]=$A44)*(tblCompras[Fecha])))),""))</f>
        <v/>
      </c>
      <c r="V44" s="53">
        <f>IF($A44="","",IFERROR(IF(SUMPRODUCT(MAX((tblVentas[SKU]=$A44)*(tblVentas[Fecha])))=0,"",SUMPRODUCT(MAX((tblVentas[SKU]=$A44)*(tblVentas[Fecha])))),""))</f>
        <v/>
      </c>
      <c r="W44" s="39">
        <f>IF($A44="","",SUMIFS(tblVentas[Unidades efectivas],tblVentas[SKU],$A44,tblVentas[Fecha],"&gt;="&amp;TODAY()-30,tblVentas[Fecha],"&lt;="&amp;TODAY()))</f>
        <v/>
      </c>
      <c r="X44" s="39">
        <f>IF($A44="","",IF(OR(NOT(ISNUMBER($I44)),NOT(ISNUMBER($W44)),$W44&lt;=0),"",ROUND($I44/($W44/30),0)))</f>
        <v/>
      </c>
    </row>
    <row r="45">
      <c r="A45" s="51">
        <f>IFERROR(IF(INDEX(tblProductos[SKU],ROW()-6)="","",INDEX(tblProductos[SKU],ROW()-6)),"")</f>
        <v/>
      </c>
      <c r="B45" s="51">
        <f>IF($A45="","",IFERROR(IF(INDEX(tblProductos[Nombre del producto],MATCH($A45,tblProductos[SKU],0))="","",INDEX(tblProductos[Nombre del producto],MATCH($A45,tblProductos[SKU],0))),""))</f>
        <v/>
      </c>
      <c r="C45" s="51">
        <f>IF($A45="","",IFERROR(IF(INDEX(tblProductos[Categoría],MATCH($A45,tblProductos[SKU],0))="","",INDEX(tblProductos[Categoría],MATCH($A45,tblProductos[SKU],0))),""))</f>
        <v/>
      </c>
      <c r="D45" s="51">
        <f>IF($A45="","",IFERROR(IF(INDEX(tblProductos[Presentación],MATCH($A45,tblProductos[SKU],0))="","",INDEX(tblProductos[Presentación],MATCH($A45,tblProductos[SKU],0))),""))</f>
        <v/>
      </c>
      <c r="E45" s="34" t="n"/>
      <c r="F45" s="39">
        <f>IF($A45="","",SUMIFS(tblCompras[Cantidad],tblCompras[SKU],$A45))</f>
        <v/>
      </c>
      <c r="G45" s="39">
        <f>IF($A45="","",SUMIFS(tblVentas[Unidades efectivas],tblVentas[SKU],$A45))</f>
        <v/>
      </c>
      <c r="H45" s="34" t="n"/>
      <c r="I45" s="39">
        <f>IF($A45="","",IF(ISNUMBER($E45),$E45,0)+$F45-$G45+IF(ISNUMBER($H45),$H45,0))</f>
        <v/>
      </c>
      <c r="J45" s="39">
        <f>IF($A45="","",IFERROR(IF(INDEX(tblProductos[Stock mínimo],MATCH($A45,tblProductos[SKU],0))="","",INDEX(tblProductos[Stock mínimo],MATCH($A45,tblProductos[SKU],0))),""))</f>
        <v/>
      </c>
      <c r="K45" s="39">
        <f>IF($A45="","",IFERROR(IF(INDEX(tblProductos[Stock máximo],MATCH($A45,tblProductos[SKU],0))="","",INDEX(tblProductos[Stock máximo],MATCH($A45,tblProductos[SKU],0))),""))</f>
        <v/>
      </c>
      <c r="L45" s="37">
        <f>IF($A45="","",IFERROR(IF(INDEX(tblCostos[COSTO REAL UNITARIO],MATCH($A45,tblCostos[SKU],0))="","PENDIENTE",INDEX(tblCostos[COSTO REAL UNITARIO],MATCH($A45,tblCostos[SKU],0))),"PENDIENTE"))</f>
        <v/>
      </c>
      <c r="M45" s="37">
        <f>IF($A45="","",IF(SUMIFS(tblCompras[Cantidad],tblCompras[SKU],$A45)&lt;=0,"",SUMIFS(tblCompras[Costo total de adquisición],tblCompras[SKU],$A45)/SUMIFS(tblCompras[Cantidad],tblCompras[SKU],$A45)))</f>
        <v/>
      </c>
      <c r="N45" s="37">
        <f>IF($A45="","",IF(ISNUMBER($M45),$M45,IF(ISNUMBER($L45),$L45,"")))</f>
        <v/>
      </c>
      <c r="O45" s="51">
        <f>IF($A45="","",IF(ISNUMBER($M45),"Promedio ponderado",IF(ISNUMBER($L45),"Costo estándar","PENDIENTE")))</f>
        <v/>
      </c>
      <c r="P45" s="49">
        <f>IF($A45="","",IF(OR(NOT(ISNUMBER($I45)),NOT(ISNUMBER($N45))),"PENDIENTE",$I45*$N45))</f>
        <v/>
      </c>
      <c r="Q45" s="37">
        <f>IF($A45="","",IFERROR(IF(INDEX(tblProductos[Precio de venta actual],MATCH($A45,tblProductos[SKU],0))="","PENDIENTE",INDEX(tblProductos[Precio de venta actual],MATCH($A45,tblProductos[SKU],0))),"PENDIENTE"))</f>
        <v/>
      </c>
      <c r="R45" s="37">
        <f>IF($A45="","",IF(OR(NOT(ISNUMBER($I45)),NOT(ISNUMBER($Q45))),"PENDIENTE",$I45*$Q45))</f>
        <v/>
      </c>
      <c r="S45" s="52">
        <f>IF($A45="","",IF(NOT(ISNUMBER($I45)),"ERROR",IF($I45&lt;0,"ERROR",IF($I45=0,"AGOTADO",IF(AND(ISNUMBER($J45),$I45&lt;=N($J45)*MAX(1,IF(ISNUMBER(PAR_ALERTA_STOCK),PAR_ALERTA_STOCK,1))),"REABASTECER","OK")))))</f>
        <v/>
      </c>
      <c r="T45" s="39">
        <f>IF($A45="","",IF(OR(NOT(ISNUMBER($I45)),NOT(ISNUMBER($K45))),"",IF(OR($S45="REABASTECER",$S45="AGOTADO"),MAX(0,$K45-$I45),0)))</f>
        <v/>
      </c>
      <c r="U45" s="53">
        <f>IF($A45="","",IFERROR(IF(SUMPRODUCT(MAX((tblCompras[SKU]=$A45)*(tblCompras[Fecha])))=0,"",SUMPRODUCT(MAX((tblCompras[SKU]=$A45)*(tblCompras[Fecha])))),""))</f>
        <v/>
      </c>
      <c r="V45" s="53">
        <f>IF($A45="","",IFERROR(IF(SUMPRODUCT(MAX((tblVentas[SKU]=$A45)*(tblVentas[Fecha])))=0,"",SUMPRODUCT(MAX((tblVentas[SKU]=$A45)*(tblVentas[Fecha])))),""))</f>
        <v/>
      </c>
      <c r="W45" s="39">
        <f>IF($A45="","",SUMIFS(tblVentas[Unidades efectivas],tblVentas[SKU],$A45,tblVentas[Fecha],"&gt;="&amp;TODAY()-30,tblVentas[Fecha],"&lt;="&amp;TODAY()))</f>
        <v/>
      </c>
      <c r="X45" s="39">
        <f>IF($A45="","",IF(OR(NOT(ISNUMBER($I45)),NOT(ISNUMBER($W45)),$W45&lt;=0),"",ROUND($I45/($W45/30),0)))</f>
        <v/>
      </c>
    </row>
    <row r="46">
      <c r="A46" s="51">
        <f>IFERROR(IF(INDEX(tblProductos[SKU],ROW()-6)="","",INDEX(tblProductos[SKU],ROW()-6)),"")</f>
        <v/>
      </c>
      <c r="B46" s="51">
        <f>IF($A46="","",IFERROR(IF(INDEX(tblProductos[Nombre del producto],MATCH($A46,tblProductos[SKU],0))="","",INDEX(tblProductos[Nombre del producto],MATCH($A46,tblProductos[SKU],0))),""))</f>
        <v/>
      </c>
      <c r="C46" s="51">
        <f>IF($A46="","",IFERROR(IF(INDEX(tblProductos[Categoría],MATCH($A46,tblProductos[SKU],0))="","",INDEX(tblProductos[Categoría],MATCH($A46,tblProductos[SKU],0))),""))</f>
        <v/>
      </c>
      <c r="D46" s="51">
        <f>IF($A46="","",IFERROR(IF(INDEX(tblProductos[Presentación],MATCH($A46,tblProductos[SKU],0))="","",INDEX(tblProductos[Presentación],MATCH($A46,tblProductos[SKU],0))),""))</f>
        <v/>
      </c>
      <c r="E46" s="34" t="n"/>
      <c r="F46" s="39">
        <f>IF($A46="","",SUMIFS(tblCompras[Cantidad],tblCompras[SKU],$A46))</f>
        <v/>
      </c>
      <c r="G46" s="39">
        <f>IF($A46="","",SUMIFS(tblVentas[Unidades efectivas],tblVentas[SKU],$A46))</f>
        <v/>
      </c>
      <c r="H46" s="34" t="n"/>
      <c r="I46" s="39">
        <f>IF($A46="","",IF(ISNUMBER($E46),$E46,0)+$F46-$G46+IF(ISNUMBER($H46),$H46,0))</f>
        <v/>
      </c>
      <c r="J46" s="39">
        <f>IF($A46="","",IFERROR(IF(INDEX(tblProductos[Stock mínimo],MATCH($A46,tblProductos[SKU],0))="","",INDEX(tblProductos[Stock mínimo],MATCH($A46,tblProductos[SKU],0))),""))</f>
        <v/>
      </c>
      <c r="K46" s="39">
        <f>IF($A46="","",IFERROR(IF(INDEX(tblProductos[Stock máximo],MATCH($A46,tblProductos[SKU],0))="","",INDEX(tblProductos[Stock máximo],MATCH($A46,tblProductos[SKU],0))),""))</f>
        <v/>
      </c>
      <c r="L46" s="37">
        <f>IF($A46="","",IFERROR(IF(INDEX(tblCostos[COSTO REAL UNITARIO],MATCH($A46,tblCostos[SKU],0))="","PENDIENTE",INDEX(tblCostos[COSTO REAL UNITARIO],MATCH($A46,tblCostos[SKU],0))),"PENDIENTE"))</f>
        <v/>
      </c>
      <c r="M46" s="37">
        <f>IF($A46="","",IF(SUMIFS(tblCompras[Cantidad],tblCompras[SKU],$A46)&lt;=0,"",SUMIFS(tblCompras[Costo total de adquisición],tblCompras[SKU],$A46)/SUMIFS(tblCompras[Cantidad],tblCompras[SKU],$A46)))</f>
        <v/>
      </c>
      <c r="N46" s="37">
        <f>IF($A46="","",IF(ISNUMBER($M46),$M46,IF(ISNUMBER($L46),$L46,"")))</f>
        <v/>
      </c>
      <c r="O46" s="51">
        <f>IF($A46="","",IF(ISNUMBER($M46),"Promedio ponderado",IF(ISNUMBER($L46),"Costo estándar","PENDIENTE")))</f>
        <v/>
      </c>
      <c r="P46" s="49">
        <f>IF($A46="","",IF(OR(NOT(ISNUMBER($I46)),NOT(ISNUMBER($N46))),"PENDIENTE",$I46*$N46))</f>
        <v/>
      </c>
      <c r="Q46" s="37">
        <f>IF($A46="","",IFERROR(IF(INDEX(tblProductos[Precio de venta actual],MATCH($A46,tblProductos[SKU],0))="","PENDIENTE",INDEX(tblProductos[Precio de venta actual],MATCH($A46,tblProductos[SKU],0))),"PENDIENTE"))</f>
        <v/>
      </c>
      <c r="R46" s="37">
        <f>IF($A46="","",IF(OR(NOT(ISNUMBER($I46)),NOT(ISNUMBER($Q46))),"PENDIENTE",$I46*$Q46))</f>
        <v/>
      </c>
      <c r="S46" s="52">
        <f>IF($A46="","",IF(NOT(ISNUMBER($I46)),"ERROR",IF($I46&lt;0,"ERROR",IF($I46=0,"AGOTADO",IF(AND(ISNUMBER($J46),$I46&lt;=N($J46)*MAX(1,IF(ISNUMBER(PAR_ALERTA_STOCK),PAR_ALERTA_STOCK,1))),"REABASTECER","OK")))))</f>
        <v/>
      </c>
      <c r="T46" s="39">
        <f>IF($A46="","",IF(OR(NOT(ISNUMBER($I46)),NOT(ISNUMBER($K46))),"",IF(OR($S46="REABASTECER",$S46="AGOTADO"),MAX(0,$K46-$I46),0)))</f>
        <v/>
      </c>
      <c r="U46" s="53">
        <f>IF($A46="","",IFERROR(IF(SUMPRODUCT(MAX((tblCompras[SKU]=$A46)*(tblCompras[Fecha])))=0,"",SUMPRODUCT(MAX((tblCompras[SKU]=$A46)*(tblCompras[Fecha])))),""))</f>
        <v/>
      </c>
      <c r="V46" s="53">
        <f>IF($A46="","",IFERROR(IF(SUMPRODUCT(MAX((tblVentas[SKU]=$A46)*(tblVentas[Fecha])))=0,"",SUMPRODUCT(MAX((tblVentas[SKU]=$A46)*(tblVentas[Fecha])))),""))</f>
        <v/>
      </c>
      <c r="W46" s="39">
        <f>IF($A46="","",SUMIFS(tblVentas[Unidades efectivas],tblVentas[SKU],$A46,tblVentas[Fecha],"&gt;="&amp;TODAY()-30,tblVentas[Fecha],"&lt;="&amp;TODAY()))</f>
        <v/>
      </c>
      <c r="X46" s="39">
        <f>IF($A46="","",IF(OR(NOT(ISNUMBER($I46)),NOT(ISNUMBER($W46)),$W46&lt;=0),"",ROUND($I46/($W46/30),0)))</f>
        <v/>
      </c>
    </row>
    <row r="47">
      <c r="A47" s="51">
        <f>IFERROR(IF(INDEX(tblProductos[SKU],ROW()-6)="","",INDEX(tblProductos[SKU],ROW()-6)),"")</f>
        <v/>
      </c>
      <c r="B47" s="51">
        <f>IF($A47="","",IFERROR(IF(INDEX(tblProductos[Nombre del producto],MATCH($A47,tblProductos[SKU],0))="","",INDEX(tblProductos[Nombre del producto],MATCH($A47,tblProductos[SKU],0))),""))</f>
        <v/>
      </c>
      <c r="C47" s="51">
        <f>IF($A47="","",IFERROR(IF(INDEX(tblProductos[Categoría],MATCH($A47,tblProductos[SKU],0))="","",INDEX(tblProductos[Categoría],MATCH($A47,tblProductos[SKU],0))),""))</f>
        <v/>
      </c>
      <c r="D47" s="51">
        <f>IF($A47="","",IFERROR(IF(INDEX(tblProductos[Presentación],MATCH($A47,tblProductos[SKU],0))="","",INDEX(tblProductos[Presentación],MATCH($A47,tblProductos[SKU],0))),""))</f>
        <v/>
      </c>
      <c r="E47" s="34" t="n"/>
      <c r="F47" s="39">
        <f>IF($A47="","",SUMIFS(tblCompras[Cantidad],tblCompras[SKU],$A47))</f>
        <v/>
      </c>
      <c r="G47" s="39">
        <f>IF($A47="","",SUMIFS(tblVentas[Unidades efectivas],tblVentas[SKU],$A47))</f>
        <v/>
      </c>
      <c r="H47" s="34" t="n"/>
      <c r="I47" s="39">
        <f>IF($A47="","",IF(ISNUMBER($E47),$E47,0)+$F47-$G47+IF(ISNUMBER($H47),$H47,0))</f>
        <v/>
      </c>
      <c r="J47" s="39">
        <f>IF($A47="","",IFERROR(IF(INDEX(tblProductos[Stock mínimo],MATCH($A47,tblProductos[SKU],0))="","",INDEX(tblProductos[Stock mínimo],MATCH($A47,tblProductos[SKU],0))),""))</f>
        <v/>
      </c>
      <c r="K47" s="39">
        <f>IF($A47="","",IFERROR(IF(INDEX(tblProductos[Stock máximo],MATCH($A47,tblProductos[SKU],0))="","",INDEX(tblProductos[Stock máximo],MATCH($A47,tblProductos[SKU],0))),""))</f>
        <v/>
      </c>
      <c r="L47" s="37">
        <f>IF($A47="","",IFERROR(IF(INDEX(tblCostos[COSTO REAL UNITARIO],MATCH($A47,tblCostos[SKU],0))="","PENDIENTE",INDEX(tblCostos[COSTO REAL UNITARIO],MATCH($A47,tblCostos[SKU],0))),"PENDIENTE"))</f>
        <v/>
      </c>
      <c r="M47" s="37">
        <f>IF($A47="","",IF(SUMIFS(tblCompras[Cantidad],tblCompras[SKU],$A47)&lt;=0,"",SUMIFS(tblCompras[Costo total de adquisición],tblCompras[SKU],$A47)/SUMIFS(tblCompras[Cantidad],tblCompras[SKU],$A47)))</f>
        <v/>
      </c>
      <c r="N47" s="37">
        <f>IF($A47="","",IF(ISNUMBER($M47),$M47,IF(ISNUMBER($L47),$L47,"")))</f>
        <v/>
      </c>
      <c r="O47" s="51">
        <f>IF($A47="","",IF(ISNUMBER($M47),"Promedio ponderado",IF(ISNUMBER($L47),"Costo estándar","PENDIENTE")))</f>
        <v/>
      </c>
      <c r="P47" s="49">
        <f>IF($A47="","",IF(OR(NOT(ISNUMBER($I47)),NOT(ISNUMBER($N47))),"PENDIENTE",$I47*$N47))</f>
        <v/>
      </c>
      <c r="Q47" s="37">
        <f>IF($A47="","",IFERROR(IF(INDEX(tblProductos[Precio de venta actual],MATCH($A47,tblProductos[SKU],0))="","PENDIENTE",INDEX(tblProductos[Precio de venta actual],MATCH($A47,tblProductos[SKU],0))),"PENDIENTE"))</f>
        <v/>
      </c>
      <c r="R47" s="37">
        <f>IF($A47="","",IF(OR(NOT(ISNUMBER($I47)),NOT(ISNUMBER($Q47))),"PENDIENTE",$I47*$Q47))</f>
        <v/>
      </c>
      <c r="S47" s="52">
        <f>IF($A47="","",IF(NOT(ISNUMBER($I47)),"ERROR",IF($I47&lt;0,"ERROR",IF($I47=0,"AGOTADO",IF(AND(ISNUMBER($J47),$I47&lt;=N($J47)*MAX(1,IF(ISNUMBER(PAR_ALERTA_STOCK),PAR_ALERTA_STOCK,1))),"REABASTECER","OK")))))</f>
        <v/>
      </c>
      <c r="T47" s="39">
        <f>IF($A47="","",IF(OR(NOT(ISNUMBER($I47)),NOT(ISNUMBER($K47))),"",IF(OR($S47="REABASTECER",$S47="AGOTADO"),MAX(0,$K47-$I47),0)))</f>
        <v/>
      </c>
      <c r="U47" s="53">
        <f>IF($A47="","",IFERROR(IF(SUMPRODUCT(MAX((tblCompras[SKU]=$A47)*(tblCompras[Fecha])))=0,"",SUMPRODUCT(MAX((tblCompras[SKU]=$A47)*(tblCompras[Fecha])))),""))</f>
        <v/>
      </c>
      <c r="V47" s="53">
        <f>IF($A47="","",IFERROR(IF(SUMPRODUCT(MAX((tblVentas[SKU]=$A47)*(tblVentas[Fecha])))=0,"",SUMPRODUCT(MAX((tblVentas[SKU]=$A47)*(tblVentas[Fecha])))),""))</f>
        <v/>
      </c>
      <c r="W47" s="39">
        <f>IF($A47="","",SUMIFS(tblVentas[Unidades efectivas],tblVentas[SKU],$A47,tblVentas[Fecha],"&gt;="&amp;TODAY()-30,tblVentas[Fecha],"&lt;="&amp;TODAY()))</f>
        <v/>
      </c>
      <c r="X47" s="39">
        <f>IF($A47="","",IF(OR(NOT(ISNUMBER($I47)),NOT(ISNUMBER($W47)),$W47&lt;=0),"",ROUND($I47/($W47/30),0)))</f>
        <v/>
      </c>
    </row>
    <row r="48">
      <c r="A48" s="51">
        <f>IFERROR(IF(INDEX(tblProductos[SKU],ROW()-6)="","",INDEX(tblProductos[SKU],ROW()-6)),"")</f>
        <v/>
      </c>
      <c r="B48" s="51">
        <f>IF($A48="","",IFERROR(IF(INDEX(tblProductos[Nombre del producto],MATCH($A48,tblProductos[SKU],0))="","",INDEX(tblProductos[Nombre del producto],MATCH($A48,tblProductos[SKU],0))),""))</f>
        <v/>
      </c>
      <c r="C48" s="51">
        <f>IF($A48="","",IFERROR(IF(INDEX(tblProductos[Categoría],MATCH($A48,tblProductos[SKU],0))="","",INDEX(tblProductos[Categoría],MATCH($A48,tblProductos[SKU],0))),""))</f>
        <v/>
      </c>
      <c r="D48" s="51">
        <f>IF($A48="","",IFERROR(IF(INDEX(tblProductos[Presentación],MATCH($A48,tblProductos[SKU],0))="","",INDEX(tblProductos[Presentación],MATCH($A48,tblProductos[SKU],0))),""))</f>
        <v/>
      </c>
      <c r="E48" s="34" t="n"/>
      <c r="F48" s="39">
        <f>IF($A48="","",SUMIFS(tblCompras[Cantidad],tblCompras[SKU],$A48))</f>
        <v/>
      </c>
      <c r="G48" s="39">
        <f>IF($A48="","",SUMIFS(tblVentas[Unidades efectivas],tblVentas[SKU],$A48))</f>
        <v/>
      </c>
      <c r="H48" s="34" t="n"/>
      <c r="I48" s="39">
        <f>IF($A48="","",IF(ISNUMBER($E48),$E48,0)+$F48-$G48+IF(ISNUMBER($H48),$H48,0))</f>
        <v/>
      </c>
      <c r="J48" s="39">
        <f>IF($A48="","",IFERROR(IF(INDEX(tblProductos[Stock mínimo],MATCH($A48,tblProductos[SKU],0))="","",INDEX(tblProductos[Stock mínimo],MATCH($A48,tblProductos[SKU],0))),""))</f>
        <v/>
      </c>
      <c r="K48" s="39">
        <f>IF($A48="","",IFERROR(IF(INDEX(tblProductos[Stock máximo],MATCH($A48,tblProductos[SKU],0))="","",INDEX(tblProductos[Stock máximo],MATCH($A48,tblProductos[SKU],0))),""))</f>
        <v/>
      </c>
      <c r="L48" s="37">
        <f>IF($A48="","",IFERROR(IF(INDEX(tblCostos[COSTO REAL UNITARIO],MATCH($A48,tblCostos[SKU],0))="","PENDIENTE",INDEX(tblCostos[COSTO REAL UNITARIO],MATCH($A48,tblCostos[SKU],0))),"PENDIENTE"))</f>
        <v/>
      </c>
      <c r="M48" s="37">
        <f>IF($A48="","",IF(SUMIFS(tblCompras[Cantidad],tblCompras[SKU],$A48)&lt;=0,"",SUMIFS(tblCompras[Costo total de adquisición],tblCompras[SKU],$A48)/SUMIFS(tblCompras[Cantidad],tblCompras[SKU],$A48)))</f>
        <v/>
      </c>
      <c r="N48" s="37">
        <f>IF($A48="","",IF(ISNUMBER($M48),$M48,IF(ISNUMBER($L48),$L48,"")))</f>
        <v/>
      </c>
      <c r="O48" s="51">
        <f>IF($A48="","",IF(ISNUMBER($M48),"Promedio ponderado",IF(ISNUMBER($L48),"Costo estándar","PENDIENTE")))</f>
        <v/>
      </c>
      <c r="P48" s="49">
        <f>IF($A48="","",IF(OR(NOT(ISNUMBER($I48)),NOT(ISNUMBER($N48))),"PENDIENTE",$I48*$N48))</f>
        <v/>
      </c>
      <c r="Q48" s="37">
        <f>IF($A48="","",IFERROR(IF(INDEX(tblProductos[Precio de venta actual],MATCH($A48,tblProductos[SKU],0))="","PENDIENTE",INDEX(tblProductos[Precio de venta actual],MATCH($A48,tblProductos[SKU],0))),"PENDIENTE"))</f>
        <v/>
      </c>
      <c r="R48" s="37">
        <f>IF($A48="","",IF(OR(NOT(ISNUMBER($I48)),NOT(ISNUMBER($Q48))),"PENDIENTE",$I48*$Q48))</f>
        <v/>
      </c>
      <c r="S48" s="52">
        <f>IF($A48="","",IF(NOT(ISNUMBER($I48)),"ERROR",IF($I48&lt;0,"ERROR",IF($I48=0,"AGOTADO",IF(AND(ISNUMBER($J48),$I48&lt;=N($J48)*MAX(1,IF(ISNUMBER(PAR_ALERTA_STOCK),PAR_ALERTA_STOCK,1))),"REABASTECER","OK")))))</f>
        <v/>
      </c>
      <c r="T48" s="39">
        <f>IF($A48="","",IF(OR(NOT(ISNUMBER($I48)),NOT(ISNUMBER($K48))),"",IF(OR($S48="REABASTECER",$S48="AGOTADO"),MAX(0,$K48-$I48),0)))</f>
        <v/>
      </c>
      <c r="U48" s="53">
        <f>IF($A48="","",IFERROR(IF(SUMPRODUCT(MAX((tblCompras[SKU]=$A48)*(tblCompras[Fecha])))=0,"",SUMPRODUCT(MAX((tblCompras[SKU]=$A48)*(tblCompras[Fecha])))),""))</f>
        <v/>
      </c>
      <c r="V48" s="53">
        <f>IF($A48="","",IFERROR(IF(SUMPRODUCT(MAX((tblVentas[SKU]=$A48)*(tblVentas[Fecha])))=0,"",SUMPRODUCT(MAX((tblVentas[SKU]=$A48)*(tblVentas[Fecha])))),""))</f>
        <v/>
      </c>
      <c r="W48" s="39">
        <f>IF($A48="","",SUMIFS(tblVentas[Unidades efectivas],tblVentas[SKU],$A48,tblVentas[Fecha],"&gt;="&amp;TODAY()-30,tblVentas[Fecha],"&lt;="&amp;TODAY()))</f>
        <v/>
      </c>
      <c r="X48" s="39">
        <f>IF($A48="","",IF(OR(NOT(ISNUMBER($I48)),NOT(ISNUMBER($W48)),$W48&lt;=0),"",ROUND($I48/($W48/30),0)))</f>
        <v/>
      </c>
    </row>
    <row r="49">
      <c r="A49" s="51">
        <f>IFERROR(IF(INDEX(tblProductos[SKU],ROW()-6)="","",INDEX(tblProductos[SKU],ROW()-6)),"")</f>
        <v/>
      </c>
      <c r="B49" s="51">
        <f>IF($A49="","",IFERROR(IF(INDEX(tblProductos[Nombre del producto],MATCH($A49,tblProductos[SKU],0))="","",INDEX(tblProductos[Nombre del producto],MATCH($A49,tblProductos[SKU],0))),""))</f>
        <v/>
      </c>
      <c r="C49" s="51">
        <f>IF($A49="","",IFERROR(IF(INDEX(tblProductos[Categoría],MATCH($A49,tblProductos[SKU],0))="","",INDEX(tblProductos[Categoría],MATCH($A49,tblProductos[SKU],0))),""))</f>
        <v/>
      </c>
      <c r="D49" s="51">
        <f>IF($A49="","",IFERROR(IF(INDEX(tblProductos[Presentación],MATCH($A49,tblProductos[SKU],0))="","",INDEX(tblProductos[Presentación],MATCH($A49,tblProductos[SKU],0))),""))</f>
        <v/>
      </c>
      <c r="E49" s="34" t="n"/>
      <c r="F49" s="39">
        <f>IF($A49="","",SUMIFS(tblCompras[Cantidad],tblCompras[SKU],$A49))</f>
        <v/>
      </c>
      <c r="G49" s="39">
        <f>IF($A49="","",SUMIFS(tblVentas[Unidades efectivas],tblVentas[SKU],$A49))</f>
        <v/>
      </c>
      <c r="H49" s="34" t="n"/>
      <c r="I49" s="39">
        <f>IF($A49="","",IF(ISNUMBER($E49),$E49,0)+$F49-$G49+IF(ISNUMBER($H49),$H49,0))</f>
        <v/>
      </c>
      <c r="J49" s="39">
        <f>IF($A49="","",IFERROR(IF(INDEX(tblProductos[Stock mínimo],MATCH($A49,tblProductos[SKU],0))="","",INDEX(tblProductos[Stock mínimo],MATCH($A49,tblProductos[SKU],0))),""))</f>
        <v/>
      </c>
      <c r="K49" s="39">
        <f>IF($A49="","",IFERROR(IF(INDEX(tblProductos[Stock máximo],MATCH($A49,tblProductos[SKU],0))="","",INDEX(tblProductos[Stock máximo],MATCH($A49,tblProductos[SKU],0))),""))</f>
        <v/>
      </c>
      <c r="L49" s="37">
        <f>IF($A49="","",IFERROR(IF(INDEX(tblCostos[COSTO REAL UNITARIO],MATCH($A49,tblCostos[SKU],0))="","PENDIENTE",INDEX(tblCostos[COSTO REAL UNITARIO],MATCH($A49,tblCostos[SKU],0))),"PENDIENTE"))</f>
        <v/>
      </c>
      <c r="M49" s="37">
        <f>IF($A49="","",IF(SUMIFS(tblCompras[Cantidad],tblCompras[SKU],$A49)&lt;=0,"",SUMIFS(tblCompras[Costo total de adquisición],tblCompras[SKU],$A49)/SUMIFS(tblCompras[Cantidad],tblCompras[SKU],$A49)))</f>
        <v/>
      </c>
      <c r="N49" s="37">
        <f>IF($A49="","",IF(ISNUMBER($M49),$M49,IF(ISNUMBER($L49),$L49,"")))</f>
        <v/>
      </c>
      <c r="O49" s="51">
        <f>IF($A49="","",IF(ISNUMBER($M49),"Promedio ponderado",IF(ISNUMBER($L49),"Costo estándar","PENDIENTE")))</f>
        <v/>
      </c>
      <c r="P49" s="49">
        <f>IF($A49="","",IF(OR(NOT(ISNUMBER($I49)),NOT(ISNUMBER($N49))),"PENDIENTE",$I49*$N49))</f>
        <v/>
      </c>
      <c r="Q49" s="37">
        <f>IF($A49="","",IFERROR(IF(INDEX(tblProductos[Precio de venta actual],MATCH($A49,tblProductos[SKU],0))="","PENDIENTE",INDEX(tblProductos[Precio de venta actual],MATCH($A49,tblProductos[SKU],0))),"PENDIENTE"))</f>
        <v/>
      </c>
      <c r="R49" s="37">
        <f>IF($A49="","",IF(OR(NOT(ISNUMBER($I49)),NOT(ISNUMBER($Q49))),"PENDIENTE",$I49*$Q49))</f>
        <v/>
      </c>
      <c r="S49" s="52">
        <f>IF($A49="","",IF(NOT(ISNUMBER($I49)),"ERROR",IF($I49&lt;0,"ERROR",IF($I49=0,"AGOTADO",IF(AND(ISNUMBER($J49),$I49&lt;=N($J49)*MAX(1,IF(ISNUMBER(PAR_ALERTA_STOCK),PAR_ALERTA_STOCK,1))),"REABASTECER","OK")))))</f>
        <v/>
      </c>
      <c r="T49" s="39">
        <f>IF($A49="","",IF(OR(NOT(ISNUMBER($I49)),NOT(ISNUMBER($K49))),"",IF(OR($S49="REABASTECER",$S49="AGOTADO"),MAX(0,$K49-$I49),0)))</f>
        <v/>
      </c>
      <c r="U49" s="53">
        <f>IF($A49="","",IFERROR(IF(SUMPRODUCT(MAX((tblCompras[SKU]=$A49)*(tblCompras[Fecha])))=0,"",SUMPRODUCT(MAX((tblCompras[SKU]=$A49)*(tblCompras[Fecha])))),""))</f>
        <v/>
      </c>
      <c r="V49" s="53">
        <f>IF($A49="","",IFERROR(IF(SUMPRODUCT(MAX((tblVentas[SKU]=$A49)*(tblVentas[Fecha])))=0,"",SUMPRODUCT(MAX((tblVentas[SKU]=$A49)*(tblVentas[Fecha])))),""))</f>
        <v/>
      </c>
      <c r="W49" s="39">
        <f>IF($A49="","",SUMIFS(tblVentas[Unidades efectivas],tblVentas[SKU],$A49,tblVentas[Fecha],"&gt;="&amp;TODAY()-30,tblVentas[Fecha],"&lt;="&amp;TODAY()))</f>
        <v/>
      </c>
      <c r="X49" s="39">
        <f>IF($A49="","",IF(OR(NOT(ISNUMBER($I49)),NOT(ISNUMBER($W49)),$W49&lt;=0),"",ROUND($I49/($W49/30),0)))</f>
        <v/>
      </c>
    </row>
    <row r="50">
      <c r="A50" s="51">
        <f>IFERROR(IF(INDEX(tblProductos[SKU],ROW()-6)="","",INDEX(tblProductos[SKU],ROW()-6)),"")</f>
        <v/>
      </c>
      <c r="B50" s="51">
        <f>IF($A50="","",IFERROR(IF(INDEX(tblProductos[Nombre del producto],MATCH($A50,tblProductos[SKU],0))="","",INDEX(tblProductos[Nombre del producto],MATCH($A50,tblProductos[SKU],0))),""))</f>
        <v/>
      </c>
      <c r="C50" s="51">
        <f>IF($A50="","",IFERROR(IF(INDEX(tblProductos[Categoría],MATCH($A50,tblProductos[SKU],0))="","",INDEX(tblProductos[Categoría],MATCH($A50,tblProductos[SKU],0))),""))</f>
        <v/>
      </c>
      <c r="D50" s="51">
        <f>IF($A50="","",IFERROR(IF(INDEX(tblProductos[Presentación],MATCH($A50,tblProductos[SKU],0))="","",INDEX(tblProductos[Presentación],MATCH($A50,tblProductos[SKU],0))),""))</f>
        <v/>
      </c>
      <c r="E50" s="34" t="n"/>
      <c r="F50" s="39">
        <f>IF($A50="","",SUMIFS(tblCompras[Cantidad],tblCompras[SKU],$A50))</f>
        <v/>
      </c>
      <c r="G50" s="39">
        <f>IF($A50="","",SUMIFS(tblVentas[Unidades efectivas],tblVentas[SKU],$A50))</f>
        <v/>
      </c>
      <c r="H50" s="34" t="n"/>
      <c r="I50" s="39">
        <f>IF($A50="","",IF(ISNUMBER($E50),$E50,0)+$F50-$G50+IF(ISNUMBER($H50),$H50,0))</f>
        <v/>
      </c>
      <c r="J50" s="39">
        <f>IF($A50="","",IFERROR(IF(INDEX(tblProductos[Stock mínimo],MATCH($A50,tblProductos[SKU],0))="","",INDEX(tblProductos[Stock mínimo],MATCH($A50,tblProductos[SKU],0))),""))</f>
        <v/>
      </c>
      <c r="K50" s="39">
        <f>IF($A50="","",IFERROR(IF(INDEX(tblProductos[Stock máximo],MATCH($A50,tblProductos[SKU],0))="","",INDEX(tblProductos[Stock máximo],MATCH($A50,tblProductos[SKU],0))),""))</f>
        <v/>
      </c>
      <c r="L50" s="37">
        <f>IF($A50="","",IFERROR(IF(INDEX(tblCostos[COSTO REAL UNITARIO],MATCH($A50,tblCostos[SKU],0))="","PENDIENTE",INDEX(tblCostos[COSTO REAL UNITARIO],MATCH($A50,tblCostos[SKU],0))),"PENDIENTE"))</f>
        <v/>
      </c>
      <c r="M50" s="37">
        <f>IF($A50="","",IF(SUMIFS(tblCompras[Cantidad],tblCompras[SKU],$A50)&lt;=0,"",SUMIFS(tblCompras[Costo total de adquisición],tblCompras[SKU],$A50)/SUMIFS(tblCompras[Cantidad],tblCompras[SKU],$A50)))</f>
        <v/>
      </c>
      <c r="N50" s="37">
        <f>IF($A50="","",IF(ISNUMBER($M50),$M50,IF(ISNUMBER($L50),$L50,"")))</f>
        <v/>
      </c>
      <c r="O50" s="51">
        <f>IF($A50="","",IF(ISNUMBER($M50),"Promedio ponderado",IF(ISNUMBER($L50),"Costo estándar","PENDIENTE")))</f>
        <v/>
      </c>
      <c r="P50" s="49">
        <f>IF($A50="","",IF(OR(NOT(ISNUMBER($I50)),NOT(ISNUMBER($N50))),"PENDIENTE",$I50*$N50))</f>
        <v/>
      </c>
      <c r="Q50" s="37">
        <f>IF($A50="","",IFERROR(IF(INDEX(tblProductos[Precio de venta actual],MATCH($A50,tblProductos[SKU],0))="","PENDIENTE",INDEX(tblProductos[Precio de venta actual],MATCH($A50,tblProductos[SKU],0))),"PENDIENTE"))</f>
        <v/>
      </c>
      <c r="R50" s="37">
        <f>IF($A50="","",IF(OR(NOT(ISNUMBER($I50)),NOT(ISNUMBER($Q50))),"PENDIENTE",$I50*$Q50))</f>
        <v/>
      </c>
      <c r="S50" s="52">
        <f>IF($A50="","",IF(NOT(ISNUMBER($I50)),"ERROR",IF($I50&lt;0,"ERROR",IF($I50=0,"AGOTADO",IF(AND(ISNUMBER($J50),$I50&lt;=N($J50)*MAX(1,IF(ISNUMBER(PAR_ALERTA_STOCK),PAR_ALERTA_STOCK,1))),"REABASTECER","OK")))))</f>
        <v/>
      </c>
      <c r="T50" s="39">
        <f>IF($A50="","",IF(OR(NOT(ISNUMBER($I50)),NOT(ISNUMBER($K50))),"",IF(OR($S50="REABASTECER",$S50="AGOTADO"),MAX(0,$K50-$I50),0)))</f>
        <v/>
      </c>
      <c r="U50" s="53">
        <f>IF($A50="","",IFERROR(IF(SUMPRODUCT(MAX((tblCompras[SKU]=$A50)*(tblCompras[Fecha])))=0,"",SUMPRODUCT(MAX((tblCompras[SKU]=$A50)*(tblCompras[Fecha])))),""))</f>
        <v/>
      </c>
      <c r="V50" s="53">
        <f>IF($A50="","",IFERROR(IF(SUMPRODUCT(MAX((tblVentas[SKU]=$A50)*(tblVentas[Fecha])))=0,"",SUMPRODUCT(MAX((tblVentas[SKU]=$A50)*(tblVentas[Fecha])))),""))</f>
        <v/>
      </c>
      <c r="W50" s="39">
        <f>IF($A50="","",SUMIFS(tblVentas[Unidades efectivas],tblVentas[SKU],$A50,tblVentas[Fecha],"&gt;="&amp;TODAY()-30,tblVentas[Fecha],"&lt;="&amp;TODAY()))</f>
        <v/>
      </c>
      <c r="X50" s="39">
        <f>IF($A50="","",IF(OR(NOT(ISNUMBER($I50)),NOT(ISNUMBER($W50)),$W50&lt;=0),"",ROUND($I50/($W50/30),0)))</f>
        <v/>
      </c>
    </row>
    <row r="51">
      <c r="A51" s="51">
        <f>IFERROR(IF(INDEX(tblProductos[SKU],ROW()-6)="","",INDEX(tblProductos[SKU],ROW()-6)),"")</f>
        <v/>
      </c>
      <c r="B51" s="51">
        <f>IF($A51="","",IFERROR(IF(INDEX(tblProductos[Nombre del producto],MATCH($A51,tblProductos[SKU],0))="","",INDEX(tblProductos[Nombre del producto],MATCH($A51,tblProductos[SKU],0))),""))</f>
        <v/>
      </c>
      <c r="C51" s="51">
        <f>IF($A51="","",IFERROR(IF(INDEX(tblProductos[Categoría],MATCH($A51,tblProductos[SKU],0))="","",INDEX(tblProductos[Categoría],MATCH($A51,tblProductos[SKU],0))),""))</f>
        <v/>
      </c>
      <c r="D51" s="51">
        <f>IF($A51="","",IFERROR(IF(INDEX(tblProductos[Presentación],MATCH($A51,tblProductos[SKU],0))="","",INDEX(tblProductos[Presentación],MATCH($A51,tblProductos[SKU],0))),""))</f>
        <v/>
      </c>
      <c r="E51" s="34" t="n"/>
      <c r="F51" s="39">
        <f>IF($A51="","",SUMIFS(tblCompras[Cantidad],tblCompras[SKU],$A51))</f>
        <v/>
      </c>
      <c r="G51" s="39">
        <f>IF($A51="","",SUMIFS(tblVentas[Unidades efectivas],tblVentas[SKU],$A51))</f>
        <v/>
      </c>
      <c r="H51" s="34" t="n"/>
      <c r="I51" s="39">
        <f>IF($A51="","",IF(ISNUMBER($E51),$E51,0)+$F51-$G51+IF(ISNUMBER($H51),$H51,0))</f>
        <v/>
      </c>
      <c r="J51" s="39">
        <f>IF($A51="","",IFERROR(IF(INDEX(tblProductos[Stock mínimo],MATCH($A51,tblProductos[SKU],0))="","",INDEX(tblProductos[Stock mínimo],MATCH($A51,tblProductos[SKU],0))),""))</f>
        <v/>
      </c>
      <c r="K51" s="39">
        <f>IF($A51="","",IFERROR(IF(INDEX(tblProductos[Stock máximo],MATCH($A51,tblProductos[SKU],0))="","",INDEX(tblProductos[Stock máximo],MATCH($A51,tblProductos[SKU],0))),""))</f>
        <v/>
      </c>
      <c r="L51" s="37">
        <f>IF($A51="","",IFERROR(IF(INDEX(tblCostos[COSTO REAL UNITARIO],MATCH($A51,tblCostos[SKU],0))="","PENDIENTE",INDEX(tblCostos[COSTO REAL UNITARIO],MATCH($A51,tblCostos[SKU],0))),"PENDIENTE"))</f>
        <v/>
      </c>
      <c r="M51" s="37">
        <f>IF($A51="","",IF(SUMIFS(tblCompras[Cantidad],tblCompras[SKU],$A51)&lt;=0,"",SUMIFS(tblCompras[Costo total de adquisición],tblCompras[SKU],$A51)/SUMIFS(tblCompras[Cantidad],tblCompras[SKU],$A51)))</f>
        <v/>
      </c>
      <c r="N51" s="37">
        <f>IF($A51="","",IF(ISNUMBER($M51),$M51,IF(ISNUMBER($L51),$L51,"")))</f>
        <v/>
      </c>
      <c r="O51" s="51">
        <f>IF($A51="","",IF(ISNUMBER($M51),"Promedio ponderado",IF(ISNUMBER($L51),"Costo estándar","PENDIENTE")))</f>
        <v/>
      </c>
      <c r="P51" s="49">
        <f>IF($A51="","",IF(OR(NOT(ISNUMBER($I51)),NOT(ISNUMBER($N51))),"PENDIENTE",$I51*$N51))</f>
        <v/>
      </c>
      <c r="Q51" s="37">
        <f>IF($A51="","",IFERROR(IF(INDEX(tblProductos[Precio de venta actual],MATCH($A51,tblProductos[SKU],0))="","PENDIENTE",INDEX(tblProductos[Precio de venta actual],MATCH($A51,tblProductos[SKU],0))),"PENDIENTE"))</f>
        <v/>
      </c>
      <c r="R51" s="37">
        <f>IF($A51="","",IF(OR(NOT(ISNUMBER($I51)),NOT(ISNUMBER($Q51))),"PENDIENTE",$I51*$Q51))</f>
        <v/>
      </c>
      <c r="S51" s="52">
        <f>IF($A51="","",IF(NOT(ISNUMBER($I51)),"ERROR",IF($I51&lt;0,"ERROR",IF($I51=0,"AGOTADO",IF(AND(ISNUMBER($J51),$I51&lt;=N($J51)*MAX(1,IF(ISNUMBER(PAR_ALERTA_STOCK),PAR_ALERTA_STOCK,1))),"REABASTECER","OK")))))</f>
        <v/>
      </c>
      <c r="T51" s="39">
        <f>IF($A51="","",IF(OR(NOT(ISNUMBER($I51)),NOT(ISNUMBER($K51))),"",IF(OR($S51="REABASTECER",$S51="AGOTADO"),MAX(0,$K51-$I51),0)))</f>
        <v/>
      </c>
      <c r="U51" s="53">
        <f>IF($A51="","",IFERROR(IF(SUMPRODUCT(MAX((tblCompras[SKU]=$A51)*(tblCompras[Fecha])))=0,"",SUMPRODUCT(MAX((tblCompras[SKU]=$A51)*(tblCompras[Fecha])))),""))</f>
        <v/>
      </c>
      <c r="V51" s="53">
        <f>IF($A51="","",IFERROR(IF(SUMPRODUCT(MAX((tblVentas[SKU]=$A51)*(tblVentas[Fecha])))=0,"",SUMPRODUCT(MAX((tblVentas[SKU]=$A51)*(tblVentas[Fecha])))),""))</f>
        <v/>
      </c>
      <c r="W51" s="39">
        <f>IF($A51="","",SUMIFS(tblVentas[Unidades efectivas],tblVentas[SKU],$A51,tblVentas[Fecha],"&gt;="&amp;TODAY()-30,tblVentas[Fecha],"&lt;="&amp;TODAY()))</f>
        <v/>
      </c>
      <c r="X51" s="39">
        <f>IF($A51="","",IF(OR(NOT(ISNUMBER($I51)),NOT(ISNUMBER($W51)),$W51&lt;=0),"",ROUND($I51/($W51/30),0)))</f>
        <v/>
      </c>
    </row>
    <row r="52">
      <c r="A52" s="51">
        <f>IFERROR(IF(INDEX(tblProductos[SKU],ROW()-6)="","",INDEX(tblProductos[SKU],ROW()-6)),"")</f>
        <v/>
      </c>
      <c r="B52" s="51">
        <f>IF($A52="","",IFERROR(IF(INDEX(tblProductos[Nombre del producto],MATCH($A52,tblProductos[SKU],0))="","",INDEX(tblProductos[Nombre del producto],MATCH($A52,tblProductos[SKU],0))),""))</f>
        <v/>
      </c>
      <c r="C52" s="51">
        <f>IF($A52="","",IFERROR(IF(INDEX(tblProductos[Categoría],MATCH($A52,tblProductos[SKU],0))="","",INDEX(tblProductos[Categoría],MATCH($A52,tblProductos[SKU],0))),""))</f>
        <v/>
      </c>
      <c r="D52" s="51">
        <f>IF($A52="","",IFERROR(IF(INDEX(tblProductos[Presentación],MATCH($A52,tblProductos[SKU],0))="","",INDEX(tblProductos[Presentación],MATCH($A52,tblProductos[SKU],0))),""))</f>
        <v/>
      </c>
      <c r="E52" s="34" t="n"/>
      <c r="F52" s="39">
        <f>IF($A52="","",SUMIFS(tblCompras[Cantidad],tblCompras[SKU],$A52))</f>
        <v/>
      </c>
      <c r="G52" s="39">
        <f>IF($A52="","",SUMIFS(tblVentas[Unidades efectivas],tblVentas[SKU],$A52))</f>
        <v/>
      </c>
      <c r="H52" s="34" t="n"/>
      <c r="I52" s="39">
        <f>IF($A52="","",IF(ISNUMBER($E52),$E52,0)+$F52-$G52+IF(ISNUMBER($H52),$H52,0))</f>
        <v/>
      </c>
      <c r="J52" s="39">
        <f>IF($A52="","",IFERROR(IF(INDEX(tblProductos[Stock mínimo],MATCH($A52,tblProductos[SKU],0))="","",INDEX(tblProductos[Stock mínimo],MATCH($A52,tblProductos[SKU],0))),""))</f>
        <v/>
      </c>
      <c r="K52" s="39">
        <f>IF($A52="","",IFERROR(IF(INDEX(tblProductos[Stock máximo],MATCH($A52,tblProductos[SKU],0))="","",INDEX(tblProductos[Stock máximo],MATCH($A52,tblProductos[SKU],0))),""))</f>
        <v/>
      </c>
      <c r="L52" s="37">
        <f>IF($A52="","",IFERROR(IF(INDEX(tblCostos[COSTO REAL UNITARIO],MATCH($A52,tblCostos[SKU],0))="","PENDIENTE",INDEX(tblCostos[COSTO REAL UNITARIO],MATCH($A52,tblCostos[SKU],0))),"PENDIENTE"))</f>
        <v/>
      </c>
      <c r="M52" s="37">
        <f>IF($A52="","",IF(SUMIFS(tblCompras[Cantidad],tblCompras[SKU],$A52)&lt;=0,"",SUMIFS(tblCompras[Costo total de adquisición],tblCompras[SKU],$A52)/SUMIFS(tblCompras[Cantidad],tblCompras[SKU],$A52)))</f>
        <v/>
      </c>
      <c r="N52" s="37">
        <f>IF($A52="","",IF(ISNUMBER($M52),$M52,IF(ISNUMBER($L52),$L52,"")))</f>
        <v/>
      </c>
      <c r="O52" s="51">
        <f>IF($A52="","",IF(ISNUMBER($M52),"Promedio ponderado",IF(ISNUMBER($L52),"Costo estándar","PENDIENTE")))</f>
        <v/>
      </c>
      <c r="P52" s="49">
        <f>IF($A52="","",IF(OR(NOT(ISNUMBER($I52)),NOT(ISNUMBER($N52))),"PENDIENTE",$I52*$N52))</f>
        <v/>
      </c>
      <c r="Q52" s="37">
        <f>IF($A52="","",IFERROR(IF(INDEX(tblProductos[Precio de venta actual],MATCH($A52,tblProductos[SKU],0))="","PENDIENTE",INDEX(tblProductos[Precio de venta actual],MATCH($A52,tblProductos[SKU],0))),"PENDIENTE"))</f>
        <v/>
      </c>
      <c r="R52" s="37">
        <f>IF($A52="","",IF(OR(NOT(ISNUMBER($I52)),NOT(ISNUMBER($Q52))),"PENDIENTE",$I52*$Q52))</f>
        <v/>
      </c>
      <c r="S52" s="52">
        <f>IF($A52="","",IF(NOT(ISNUMBER($I52)),"ERROR",IF($I52&lt;0,"ERROR",IF($I52=0,"AGOTADO",IF(AND(ISNUMBER($J52),$I52&lt;=N($J52)*MAX(1,IF(ISNUMBER(PAR_ALERTA_STOCK),PAR_ALERTA_STOCK,1))),"REABASTECER","OK")))))</f>
        <v/>
      </c>
      <c r="T52" s="39">
        <f>IF($A52="","",IF(OR(NOT(ISNUMBER($I52)),NOT(ISNUMBER($K52))),"",IF(OR($S52="REABASTECER",$S52="AGOTADO"),MAX(0,$K52-$I52),0)))</f>
        <v/>
      </c>
      <c r="U52" s="53">
        <f>IF($A52="","",IFERROR(IF(SUMPRODUCT(MAX((tblCompras[SKU]=$A52)*(tblCompras[Fecha])))=0,"",SUMPRODUCT(MAX((tblCompras[SKU]=$A52)*(tblCompras[Fecha])))),""))</f>
        <v/>
      </c>
      <c r="V52" s="53">
        <f>IF($A52="","",IFERROR(IF(SUMPRODUCT(MAX((tblVentas[SKU]=$A52)*(tblVentas[Fecha])))=0,"",SUMPRODUCT(MAX((tblVentas[SKU]=$A52)*(tblVentas[Fecha])))),""))</f>
        <v/>
      </c>
      <c r="W52" s="39">
        <f>IF($A52="","",SUMIFS(tblVentas[Unidades efectivas],tblVentas[SKU],$A52,tblVentas[Fecha],"&gt;="&amp;TODAY()-30,tblVentas[Fecha],"&lt;="&amp;TODAY()))</f>
        <v/>
      </c>
      <c r="X52" s="39">
        <f>IF($A52="","",IF(OR(NOT(ISNUMBER($I52)),NOT(ISNUMBER($W52)),$W52&lt;=0),"",ROUND($I52/($W52/30),0)))</f>
        <v/>
      </c>
    </row>
    <row r="53">
      <c r="A53" s="51">
        <f>IFERROR(IF(INDEX(tblProductos[SKU],ROW()-6)="","",INDEX(tblProductos[SKU],ROW()-6)),"")</f>
        <v/>
      </c>
      <c r="B53" s="51">
        <f>IF($A53="","",IFERROR(IF(INDEX(tblProductos[Nombre del producto],MATCH($A53,tblProductos[SKU],0))="","",INDEX(tblProductos[Nombre del producto],MATCH($A53,tblProductos[SKU],0))),""))</f>
        <v/>
      </c>
      <c r="C53" s="51">
        <f>IF($A53="","",IFERROR(IF(INDEX(tblProductos[Categoría],MATCH($A53,tblProductos[SKU],0))="","",INDEX(tblProductos[Categoría],MATCH($A53,tblProductos[SKU],0))),""))</f>
        <v/>
      </c>
      <c r="D53" s="51">
        <f>IF($A53="","",IFERROR(IF(INDEX(tblProductos[Presentación],MATCH($A53,tblProductos[SKU],0))="","",INDEX(tblProductos[Presentación],MATCH($A53,tblProductos[SKU],0))),""))</f>
        <v/>
      </c>
      <c r="E53" s="34" t="n"/>
      <c r="F53" s="39">
        <f>IF($A53="","",SUMIFS(tblCompras[Cantidad],tblCompras[SKU],$A53))</f>
        <v/>
      </c>
      <c r="G53" s="39">
        <f>IF($A53="","",SUMIFS(tblVentas[Unidades efectivas],tblVentas[SKU],$A53))</f>
        <v/>
      </c>
      <c r="H53" s="34" t="n"/>
      <c r="I53" s="39">
        <f>IF($A53="","",IF(ISNUMBER($E53),$E53,0)+$F53-$G53+IF(ISNUMBER($H53),$H53,0))</f>
        <v/>
      </c>
      <c r="J53" s="39">
        <f>IF($A53="","",IFERROR(IF(INDEX(tblProductos[Stock mínimo],MATCH($A53,tblProductos[SKU],0))="","",INDEX(tblProductos[Stock mínimo],MATCH($A53,tblProductos[SKU],0))),""))</f>
        <v/>
      </c>
      <c r="K53" s="39">
        <f>IF($A53="","",IFERROR(IF(INDEX(tblProductos[Stock máximo],MATCH($A53,tblProductos[SKU],0))="","",INDEX(tblProductos[Stock máximo],MATCH($A53,tblProductos[SKU],0))),""))</f>
        <v/>
      </c>
      <c r="L53" s="37">
        <f>IF($A53="","",IFERROR(IF(INDEX(tblCostos[COSTO REAL UNITARIO],MATCH($A53,tblCostos[SKU],0))="","PENDIENTE",INDEX(tblCostos[COSTO REAL UNITARIO],MATCH($A53,tblCostos[SKU],0))),"PENDIENTE"))</f>
        <v/>
      </c>
      <c r="M53" s="37">
        <f>IF($A53="","",IF(SUMIFS(tblCompras[Cantidad],tblCompras[SKU],$A53)&lt;=0,"",SUMIFS(tblCompras[Costo total de adquisición],tblCompras[SKU],$A53)/SUMIFS(tblCompras[Cantidad],tblCompras[SKU],$A53)))</f>
        <v/>
      </c>
      <c r="N53" s="37">
        <f>IF($A53="","",IF(ISNUMBER($M53),$M53,IF(ISNUMBER($L53),$L53,"")))</f>
        <v/>
      </c>
      <c r="O53" s="51">
        <f>IF($A53="","",IF(ISNUMBER($M53),"Promedio ponderado",IF(ISNUMBER($L53),"Costo estándar","PENDIENTE")))</f>
        <v/>
      </c>
      <c r="P53" s="49">
        <f>IF($A53="","",IF(OR(NOT(ISNUMBER($I53)),NOT(ISNUMBER($N53))),"PENDIENTE",$I53*$N53))</f>
        <v/>
      </c>
      <c r="Q53" s="37">
        <f>IF($A53="","",IFERROR(IF(INDEX(tblProductos[Precio de venta actual],MATCH($A53,tblProductos[SKU],0))="","PENDIENTE",INDEX(tblProductos[Precio de venta actual],MATCH($A53,tblProductos[SKU],0))),"PENDIENTE"))</f>
        <v/>
      </c>
      <c r="R53" s="37">
        <f>IF($A53="","",IF(OR(NOT(ISNUMBER($I53)),NOT(ISNUMBER($Q53))),"PENDIENTE",$I53*$Q53))</f>
        <v/>
      </c>
      <c r="S53" s="52">
        <f>IF($A53="","",IF(NOT(ISNUMBER($I53)),"ERROR",IF($I53&lt;0,"ERROR",IF($I53=0,"AGOTADO",IF(AND(ISNUMBER($J53),$I53&lt;=N($J53)*MAX(1,IF(ISNUMBER(PAR_ALERTA_STOCK),PAR_ALERTA_STOCK,1))),"REABASTECER","OK")))))</f>
        <v/>
      </c>
      <c r="T53" s="39">
        <f>IF($A53="","",IF(OR(NOT(ISNUMBER($I53)),NOT(ISNUMBER($K53))),"",IF(OR($S53="REABASTECER",$S53="AGOTADO"),MAX(0,$K53-$I53),0)))</f>
        <v/>
      </c>
      <c r="U53" s="53">
        <f>IF($A53="","",IFERROR(IF(SUMPRODUCT(MAX((tblCompras[SKU]=$A53)*(tblCompras[Fecha])))=0,"",SUMPRODUCT(MAX((tblCompras[SKU]=$A53)*(tblCompras[Fecha])))),""))</f>
        <v/>
      </c>
      <c r="V53" s="53">
        <f>IF($A53="","",IFERROR(IF(SUMPRODUCT(MAX((tblVentas[SKU]=$A53)*(tblVentas[Fecha])))=0,"",SUMPRODUCT(MAX((tblVentas[SKU]=$A53)*(tblVentas[Fecha])))),""))</f>
        <v/>
      </c>
      <c r="W53" s="39">
        <f>IF($A53="","",SUMIFS(tblVentas[Unidades efectivas],tblVentas[SKU],$A53,tblVentas[Fecha],"&gt;="&amp;TODAY()-30,tblVentas[Fecha],"&lt;="&amp;TODAY()))</f>
        <v/>
      </c>
      <c r="X53" s="39">
        <f>IF($A53="","",IF(OR(NOT(ISNUMBER($I53)),NOT(ISNUMBER($W53)),$W53&lt;=0),"",ROUND($I53/($W53/30),0)))</f>
        <v/>
      </c>
    </row>
    <row r="54">
      <c r="A54" s="51">
        <f>IFERROR(IF(INDEX(tblProductos[SKU],ROW()-6)="","",INDEX(tblProductos[SKU],ROW()-6)),"")</f>
        <v/>
      </c>
      <c r="B54" s="51">
        <f>IF($A54="","",IFERROR(IF(INDEX(tblProductos[Nombre del producto],MATCH($A54,tblProductos[SKU],0))="","",INDEX(tblProductos[Nombre del producto],MATCH($A54,tblProductos[SKU],0))),""))</f>
        <v/>
      </c>
      <c r="C54" s="51">
        <f>IF($A54="","",IFERROR(IF(INDEX(tblProductos[Categoría],MATCH($A54,tblProductos[SKU],0))="","",INDEX(tblProductos[Categoría],MATCH($A54,tblProductos[SKU],0))),""))</f>
        <v/>
      </c>
      <c r="D54" s="51">
        <f>IF($A54="","",IFERROR(IF(INDEX(tblProductos[Presentación],MATCH($A54,tblProductos[SKU],0))="","",INDEX(tblProductos[Presentación],MATCH($A54,tblProductos[SKU],0))),""))</f>
        <v/>
      </c>
      <c r="E54" s="34" t="n"/>
      <c r="F54" s="39">
        <f>IF($A54="","",SUMIFS(tblCompras[Cantidad],tblCompras[SKU],$A54))</f>
        <v/>
      </c>
      <c r="G54" s="39">
        <f>IF($A54="","",SUMIFS(tblVentas[Unidades efectivas],tblVentas[SKU],$A54))</f>
        <v/>
      </c>
      <c r="H54" s="34" t="n"/>
      <c r="I54" s="39">
        <f>IF($A54="","",IF(ISNUMBER($E54),$E54,0)+$F54-$G54+IF(ISNUMBER($H54),$H54,0))</f>
        <v/>
      </c>
      <c r="J54" s="39">
        <f>IF($A54="","",IFERROR(IF(INDEX(tblProductos[Stock mínimo],MATCH($A54,tblProductos[SKU],0))="","",INDEX(tblProductos[Stock mínimo],MATCH($A54,tblProductos[SKU],0))),""))</f>
        <v/>
      </c>
      <c r="K54" s="39">
        <f>IF($A54="","",IFERROR(IF(INDEX(tblProductos[Stock máximo],MATCH($A54,tblProductos[SKU],0))="","",INDEX(tblProductos[Stock máximo],MATCH($A54,tblProductos[SKU],0))),""))</f>
        <v/>
      </c>
      <c r="L54" s="37">
        <f>IF($A54="","",IFERROR(IF(INDEX(tblCostos[COSTO REAL UNITARIO],MATCH($A54,tblCostos[SKU],0))="","PENDIENTE",INDEX(tblCostos[COSTO REAL UNITARIO],MATCH($A54,tblCostos[SKU],0))),"PENDIENTE"))</f>
        <v/>
      </c>
      <c r="M54" s="37">
        <f>IF($A54="","",IF(SUMIFS(tblCompras[Cantidad],tblCompras[SKU],$A54)&lt;=0,"",SUMIFS(tblCompras[Costo total de adquisición],tblCompras[SKU],$A54)/SUMIFS(tblCompras[Cantidad],tblCompras[SKU],$A54)))</f>
        <v/>
      </c>
      <c r="N54" s="37">
        <f>IF($A54="","",IF(ISNUMBER($M54),$M54,IF(ISNUMBER($L54),$L54,"")))</f>
        <v/>
      </c>
      <c r="O54" s="51">
        <f>IF($A54="","",IF(ISNUMBER($M54),"Promedio ponderado",IF(ISNUMBER($L54),"Costo estándar","PENDIENTE")))</f>
        <v/>
      </c>
      <c r="P54" s="49">
        <f>IF($A54="","",IF(OR(NOT(ISNUMBER($I54)),NOT(ISNUMBER($N54))),"PENDIENTE",$I54*$N54))</f>
        <v/>
      </c>
      <c r="Q54" s="37">
        <f>IF($A54="","",IFERROR(IF(INDEX(tblProductos[Precio de venta actual],MATCH($A54,tblProductos[SKU],0))="","PENDIENTE",INDEX(tblProductos[Precio de venta actual],MATCH($A54,tblProductos[SKU],0))),"PENDIENTE"))</f>
        <v/>
      </c>
      <c r="R54" s="37">
        <f>IF($A54="","",IF(OR(NOT(ISNUMBER($I54)),NOT(ISNUMBER($Q54))),"PENDIENTE",$I54*$Q54))</f>
        <v/>
      </c>
      <c r="S54" s="52">
        <f>IF($A54="","",IF(NOT(ISNUMBER($I54)),"ERROR",IF($I54&lt;0,"ERROR",IF($I54=0,"AGOTADO",IF(AND(ISNUMBER($J54),$I54&lt;=N($J54)*MAX(1,IF(ISNUMBER(PAR_ALERTA_STOCK),PAR_ALERTA_STOCK,1))),"REABASTECER","OK")))))</f>
        <v/>
      </c>
      <c r="T54" s="39">
        <f>IF($A54="","",IF(OR(NOT(ISNUMBER($I54)),NOT(ISNUMBER($K54))),"",IF(OR($S54="REABASTECER",$S54="AGOTADO"),MAX(0,$K54-$I54),0)))</f>
        <v/>
      </c>
      <c r="U54" s="53">
        <f>IF($A54="","",IFERROR(IF(SUMPRODUCT(MAX((tblCompras[SKU]=$A54)*(tblCompras[Fecha])))=0,"",SUMPRODUCT(MAX((tblCompras[SKU]=$A54)*(tblCompras[Fecha])))),""))</f>
        <v/>
      </c>
      <c r="V54" s="53">
        <f>IF($A54="","",IFERROR(IF(SUMPRODUCT(MAX((tblVentas[SKU]=$A54)*(tblVentas[Fecha])))=0,"",SUMPRODUCT(MAX((tblVentas[SKU]=$A54)*(tblVentas[Fecha])))),""))</f>
        <v/>
      </c>
      <c r="W54" s="39">
        <f>IF($A54="","",SUMIFS(tblVentas[Unidades efectivas],tblVentas[SKU],$A54,tblVentas[Fecha],"&gt;="&amp;TODAY()-30,tblVentas[Fecha],"&lt;="&amp;TODAY()))</f>
        <v/>
      </c>
      <c r="X54" s="39">
        <f>IF($A54="","",IF(OR(NOT(ISNUMBER($I54)),NOT(ISNUMBER($W54)),$W54&lt;=0),"",ROUND($I54/($W54/30),0)))</f>
        <v/>
      </c>
    </row>
    <row r="55">
      <c r="A55" s="51">
        <f>IFERROR(IF(INDEX(tblProductos[SKU],ROW()-6)="","",INDEX(tblProductos[SKU],ROW()-6)),"")</f>
        <v/>
      </c>
      <c r="B55" s="51">
        <f>IF($A55="","",IFERROR(IF(INDEX(tblProductos[Nombre del producto],MATCH($A55,tblProductos[SKU],0))="","",INDEX(tblProductos[Nombre del producto],MATCH($A55,tblProductos[SKU],0))),""))</f>
        <v/>
      </c>
      <c r="C55" s="51">
        <f>IF($A55="","",IFERROR(IF(INDEX(tblProductos[Categoría],MATCH($A55,tblProductos[SKU],0))="","",INDEX(tblProductos[Categoría],MATCH($A55,tblProductos[SKU],0))),""))</f>
        <v/>
      </c>
      <c r="D55" s="51">
        <f>IF($A55="","",IFERROR(IF(INDEX(tblProductos[Presentación],MATCH($A55,tblProductos[SKU],0))="","",INDEX(tblProductos[Presentación],MATCH($A55,tblProductos[SKU],0))),""))</f>
        <v/>
      </c>
      <c r="E55" s="34" t="n"/>
      <c r="F55" s="39">
        <f>IF($A55="","",SUMIFS(tblCompras[Cantidad],tblCompras[SKU],$A55))</f>
        <v/>
      </c>
      <c r="G55" s="39">
        <f>IF($A55="","",SUMIFS(tblVentas[Unidades efectivas],tblVentas[SKU],$A55))</f>
        <v/>
      </c>
      <c r="H55" s="34" t="n"/>
      <c r="I55" s="39">
        <f>IF($A55="","",IF(ISNUMBER($E55),$E55,0)+$F55-$G55+IF(ISNUMBER($H55),$H55,0))</f>
        <v/>
      </c>
      <c r="J55" s="39">
        <f>IF($A55="","",IFERROR(IF(INDEX(tblProductos[Stock mínimo],MATCH($A55,tblProductos[SKU],0))="","",INDEX(tblProductos[Stock mínimo],MATCH($A55,tblProductos[SKU],0))),""))</f>
        <v/>
      </c>
      <c r="K55" s="39">
        <f>IF($A55="","",IFERROR(IF(INDEX(tblProductos[Stock máximo],MATCH($A55,tblProductos[SKU],0))="","",INDEX(tblProductos[Stock máximo],MATCH($A55,tblProductos[SKU],0))),""))</f>
        <v/>
      </c>
      <c r="L55" s="37">
        <f>IF($A55="","",IFERROR(IF(INDEX(tblCostos[COSTO REAL UNITARIO],MATCH($A55,tblCostos[SKU],0))="","PENDIENTE",INDEX(tblCostos[COSTO REAL UNITARIO],MATCH($A55,tblCostos[SKU],0))),"PENDIENTE"))</f>
        <v/>
      </c>
      <c r="M55" s="37">
        <f>IF($A55="","",IF(SUMIFS(tblCompras[Cantidad],tblCompras[SKU],$A55)&lt;=0,"",SUMIFS(tblCompras[Costo total de adquisición],tblCompras[SKU],$A55)/SUMIFS(tblCompras[Cantidad],tblCompras[SKU],$A55)))</f>
        <v/>
      </c>
      <c r="N55" s="37">
        <f>IF($A55="","",IF(ISNUMBER($M55),$M55,IF(ISNUMBER($L55),$L55,"")))</f>
        <v/>
      </c>
      <c r="O55" s="51">
        <f>IF($A55="","",IF(ISNUMBER($M55),"Promedio ponderado",IF(ISNUMBER($L55),"Costo estándar","PENDIENTE")))</f>
        <v/>
      </c>
      <c r="P55" s="49">
        <f>IF($A55="","",IF(OR(NOT(ISNUMBER($I55)),NOT(ISNUMBER($N55))),"PENDIENTE",$I55*$N55))</f>
        <v/>
      </c>
      <c r="Q55" s="37">
        <f>IF($A55="","",IFERROR(IF(INDEX(tblProductos[Precio de venta actual],MATCH($A55,tblProductos[SKU],0))="","PENDIENTE",INDEX(tblProductos[Precio de venta actual],MATCH($A55,tblProductos[SKU],0))),"PENDIENTE"))</f>
        <v/>
      </c>
      <c r="R55" s="37">
        <f>IF($A55="","",IF(OR(NOT(ISNUMBER($I55)),NOT(ISNUMBER($Q55))),"PENDIENTE",$I55*$Q55))</f>
        <v/>
      </c>
      <c r="S55" s="52">
        <f>IF($A55="","",IF(NOT(ISNUMBER($I55)),"ERROR",IF($I55&lt;0,"ERROR",IF($I55=0,"AGOTADO",IF(AND(ISNUMBER($J55),$I55&lt;=N($J55)*MAX(1,IF(ISNUMBER(PAR_ALERTA_STOCK),PAR_ALERTA_STOCK,1))),"REABASTECER","OK")))))</f>
        <v/>
      </c>
      <c r="T55" s="39">
        <f>IF($A55="","",IF(OR(NOT(ISNUMBER($I55)),NOT(ISNUMBER($K55))),"",IF(OR($S55="REABASTECER",$S55="AGOTADO"),MAX(0,$K55-$I55),0)))</f>
        <v/>
      </c>
      <c r="U55" s="53">
        <f>IF($A55="","",IFERROR(IF(SUMPRODUCT(MAX((tblCompras[SKU]=$A55)*(tblCompras[Fecha])))=0,"",SUMPRODUCT(MAX((tblCompras[SKU]=$A55)*(tblCompras[Fecha])))),""))</f>
        <v/>
      </c>
      <c r="V55" s="53">
        <f>IF($A55="","",IFERROR(IF(SUMPRODUCT(MAX((tblVentas[SKU]=$A55)*(tblVentas[Fecha])))=0,"",SUMPRODUCT(MAX((tblVentas[SKU]=$A55)*(tblVentas[Fecha])))),""))</f>
        <v/>
      </c>
      <c r="W55" s="39">
        <f>IF($A55="","",SUMIFS(tblVentas[Unidades efectivas],tblVentas[SKU],$A55,tblVentas[Fecha],"&gt;="&amp;TODAY()-30,tblVentas[Fecha],"&lt;="&amp;TODAY()))</f>
        <v/>
      </c>
      <c r="X55" s="39">
        <f>IF($A55="","",IF(OR(NOT(ISNUMBER($I55)),NOT(ISNUMBER($W55)),$W55&lt;=0),"",ROUND($I55/($W55/30),0)))</f>
        <v/>
      </c>
    </row>
    <row r="56">
      <c r="A56" s="51">
        <f>IFERROR(IF(INDEX(tblProductos[SKU],ROW()-6)="","",INDEX(tblProductos[SKU],ROW()-6)),"")</f>
        <v/>
      </c>
      <c r="B56" s="51">
        <f>IF($A56="","",IFERROR(IF(INDEX(tblProductos[Nombre del producto],MATCH($A56,tblProductos[SKU],0))="","",INDEX(tblProductos[Nombre del producto],MATCH($A56,tblProductos[SKU],0))),""))</f>
        <v/>
      </c>
      <c r="C56" s="51">
        <f>IF($A56="","",IFERROR(IF(INDEX(tblProductos[Categoría],MATCH($A56,tblProductos[SKU],0))="","",INDEX(tblProductos[Categoría],MATCH($A56,tblProductos[SKU],0))),""))</f>
        <v/>
      </c>
      <c r="D56" s="51">
        <f>IF($A56="","",IFERROR(IF(INDEX(tblProductos[Presentación],MATCH($A56,tblProductos[SKU],0))="","",INDEX(tblProductos[Presentación],MATCH($A56,tblProductos[SKU],0))),""))</f>
        <v/>
      </c>
      <c r="E56" s="34" t="n"/>
      <c r="F56" s="39">
        <f>IF($A56="","",SUMIFS(tblCompras[Cantidad],tblCompras[SKU],$A56))</f>
        <v/>
      </c>
      <c r="G56" s="39">
        <f>IF($A56="","",SUMIFS(tblVentas[Unidades efectivas],tblVentas[SKU],$A56))</f>
        <v/>
      </c>
      <c r="H56" s="34" t="n"/>
      <c r="I56" s="39">
        <f>IF($A56="","",IF(ISNUMBER($E56),$E56,0)+$F56-$G56+IF(ISNUMBER($H56),$H56,0))</f>
        <v/>
      </c>
      <c r="J56" s="39">
        <f>IF($A56="","",IFERROR(IF(INDEX(tblProductos[Stock mínimo],MATCH($A56,tblProductos[SKU],0))="","",INDEX(tblProductos[Stock mínimo],MATCH($A56,tblProductos[SKU],0))),""))</f>
        <v/>
      </c>
      <c r="K56" s="39">
        <f>IF($A56="","",IFERROR(IF(INDEX(tblProductos[Stock máximo],MATCH($A56,tblProductos[SKU],0))="","",INDEX(tblProductos[Stock máximo],MATCH($A56,tblProductos[SKU],0))),""))</f>
        <v/>
      </c>
      <c r="L56" s="37">
        <f>IF($A56="","",IFERROR(IF(INDEX(tblCostos[COSTO REAL UNITARIO],MATCH($A56,tblCostos[SKU],0))="","PENDIENTE",INDEX(tblCostos[COSTO REAL UNITARIO],MATCH($A56,tblCostos[SKU],0))),"PENDIENTE"))</f>
        <v/>
      </c>
      <c r="M56" s="37">
        <f>IF($A56="","",IF(SUMIFS(tblCompras[Cantidad],tblCompras[SKU],$A56)&lt;=0,"",SUMIFS(tblCompras[Costo total de adquisición],tblCompras[SKU],$A56)/SUMIFS(tblCompras[Cantidad],tblCompras[SKU],$A56)))</f>
        <v/>
      </c>
      <c r="N56" s="37">
        <f>IF($A56="","",IF(ISNUMBER($M56),$M56,IF(ISNUMBER($L56),$L56,"")))</f>
        <v/>
      </c>
      <c r="O56" s="51">
        <f>IF($A56="","",IF(ISNUMBER($M56),"Promedio ponderado",IF(ISNUMBER($L56),"Costo estándar","PENDIENTE")))</f>
        <v/>
      </c>
      <c r="P56" s="49">
        <f>IF($A56="","",IF(OR(NOT(ISNUMBER($I56)),NOT(ISNUMBER($N56))),"PENDIENTE",$I56*$N56))</f>
        <v/>
      </c>
      <c r="Q56" s="37">
        <f>IF($A56="","",IFERROR(IF(INDEX(tblProductos[Precio de venta actual],MATCH($A56,tblProductos[SKU],0))="","PENDIENTE",INDEX(tblProductos[Precio de venta actual],MATCH($A56,tblProductos[SKU],0))),"PENDIENTE"))</f>
        <v/>
      </c>
      <c r="R56" s="37">
        <f>IF($A56="","",IF(OR(NOT(ISNUMBER($I56)),NOT(ISNUMBER($Q56))),"PENDIENTE",$I56*$Q56))</f>
        <v/>
      </c>
      <c r="S56" s="52">
        <f>IF($A56="","",IF(NOT(ISNUMBER($I56)),"ERROR",IF($I56&lt;0,"ERROR",IF($I56=0,"AGOTADO",IF(AND(ISNUMBER($J56),$I56&lt;=N($J56)*MAX(1,IF(ISNUMBER(PAR_ALERTA_STOCK),PAR_ALERTA_STOCK,1))),"REABASTECER","OK")))))</f>
        <v/>
      </c>
      <c r="T56" s="39">
        <f>IF($A56="","",IF(OR(NOT(ISNUMBER($I56)),NOT(ISNUMBER($K56))),"",IF(OR($S56="REABASTECER",$S56="AGOTADO"),MAX(0,$K56-$I56),0)))</f>
        <v/>
      </c>
      <c r="U56" s="53">
        <f>IF($A56="","",IFERROR(IF(SUMPRODUCT(MAX((tblCompras[SKU]=$A56)*(tblCompras[Fecha])))=0,"",SUMPRODUCT(MAX((tblCompras[SKU]=$A56)*(tblCompras[Fecha])))),""))</f>
        <v/>
      </c>
      <c r="V56" s="53">
        <f>IF($A56="","",IFERROR(IF(SUMPRODUCT(MAX((tblVentas[SKU]=$A56)*(tblVentas[Fecha])))=0,"",SUMPRODUCT(MAX((tblVentas[SKU]=$A56)*(tblVentas[Fecha])))),""))</f>
        <v/>
      </c>
      <c r="W56" s="39">
        <f>IF($A56="","",SUMIFS(tblVentas[Unidades efectivas],tblVentas[SKU],$A56,tblVentas[Fecha],"&gt;="&amp;TODAY()-30,tblVentas[Fecha],"&lt;="&amp;TODAY()))</f>
        <v/>
      </c>
      <c r="X56" s="39">
        <f>IF($A56="","",IF(OR(NOT(ISNUMBER($I56)),NOT(ISNUMBER($W56)),$W56&lt;=0),"",ROUND($I56/($W56/30),0)))</f>
        <v/>
      </c>
    </row>
    <row r="57">
      <c r="A57" s="51">
        <f>IFERROR(IF(INDEX(tblProductos[SKU],ROW()-6)="","",INDEX(tblProductos[SKU],ROW()-6)),"")</f>
        <v/>
      </c>
      <c r="B57" s="51">
        <f>IF($A57="","",IFERROR(IF(INDEX(tblProductos[Nombre del producto],MATCH($A57,tblProductos[SKU],0))="","",INDEX(tblProductos[Nombre del producto],MATCH($A57,tblProductos[SKU],0))),""))</f>
        <v/>
      </c>
      <c r="C57" s="51">
        <f>IF($A57="","",IFERROR(IF(INDEX(tblProductos[Categoría],MATCH($A57,tblProductos[SKU],0))="","",INDEX(tblProductos[Categoría],MATCH($A57,tblProductos[SKU],0))),""))</f>
        <v/>
      </c>
      <c r="D57" s="51">
        <f>IF($A57="","",IFERROR(IF(INDEX(tblProductos[Presentación],MATCH($A57,tblProductos[SKU],0))="","",INDEX(tblProductos[Presentación],MATCH($A57,tblProductos[SKU],0))),""))</f>
        <v/>
      </c>
      <c r="E57" s="34" t="n"/>
      <c r="F57" s="39">
        <f>IF($A57="","",SUMIFS(tblCompras[Cantidad],tblCompras[SKU],$A57))</f>
        <v/>
      </c>
      <c r="G57" s="39">
        <f>IF($A57="","",SUMIFS(tblVentas[Unidades efectivas],tblVentas[SKU],$A57))</f>
        <v/>
      </c>
      <c r="H57" s="34" t="n"/>
      <c r="I57" s="39">
        <f>IF($A57="","",IF(ISNUMBER($E57),$E57,0)+$F57-$G57+IF(ISNUMBER($H57),$H57,0))</f>
        <v/>
      </c>
      <c r="J57" s="39">
        <f>IF($A57="","",IFERROR(IF(INDEX(tblProductos[Stock mínimo],MATCH($A57,tblProductos[SKU],0))="","",INDEX(tblProductos[Stock mínimo],MATCH($A57,tblProductos[SKU],0))),""))</f>
        <v/>
      </c>
      <c r="K57" s="39">
        <f>IF($A57="","",IFERROR(IF(INDEX(tblProductos[Stock máximo],MATCH($A57,tblProductos[SKU],0))="","",INDEX(tblProductos[Stock máximo],MATCH($A57,tblProductos[SKU],0))),""))</f>
        <v/>
      </c>
      <c r="L57" s="37">
        <f>IF($A57="","",IFERROR(IF(INDEX(tblCostos[COSTO REAL UNITARIO],MATCH($A57,tblCostos[SKU],0))="","PENDIENTE",INDEX(tblCostos[COSTO REAL UNITARIO],MATCH($A57,tblCostos[SKU],0))),"PENDIENTE"))</f>
        <v/>
      </c>
      <c r="M57" s="37">
        <f>IF($A57="","",IF(SUMIFS(tblCompras[Cantidad],tblCompras[SKU],$A57)&lt;=0,"",SUMIFS(tblCompras[Costo total de adquisición],tblCompras[SKU],$A57)/SUMIFS(tblCompras[Cantidad],tblCompras[SKU],$A57)))</f>
        <v/>
      </c>
      <c r="N57" s="37">
        <f>IF($A57="","",IF(ISNUMBER($M57),$M57,IF(ISNUMBER($L57),$L57,"")))</f>
        <v/>
      </c>
      <c r="O57" s="51">
        <f>IF($A57="","",IF(ISNUMBER($M57),"Promedio ponderado",IF(ISNUMBER($L57),"Costo estándar","PENDIENTE")))</f>
        <v/>
      </c>
      <c r="P57" s="49">
        <f>IF($A57="","",IF(OR(NOT(ISNUMBER($I57)),NOT(ISNUMBER($N57))),"PENDIENTE",$I57*$N57))</f>
        <v/>
      </c>
      <c r="Q57" s="37">
        <f>IF($A57="","",IFERROR(IF(INDEX(tblProductos[Precio de venta actual],MATCH($A57,tblProductos[SKU],0))="","PENDIENTE",INDEX(tblProductos[Precio de venta actual],MATCH($A57,tblProductos[SKU],0))),"PENDIENTE"))</f>
        <v/>
      </c>
      <c r="R57" s="37">
        <f>IF($A57="","",IF(OR(NOT(ISNUMBER($I57)),NOT(ISNUMBER($Q57))),"PENDIENTE",$I57*$Q57))</f>
        <v/>
      </c>
      <c r="S57" s="52">
        <f>IF($A57="","",IF(NOT(ISNUMBER($I57)),"ERROR",IF($I57&lt;0,"ERROR",IF($I57=0,"AGOTADO",IF(AND(ISNUMBER($J57),$I57&lt;=N($J57)*MAX(1,IF(ISNUMBER(PAR_ALERTA_STOCK),PAR_ALERTA_STOCK,1))),"REABASTECER","OK")))))</f>
        <v/>
      </c>
      <c r="T57" s="39">
        <f>IF($A57="","",IF(OR(NOT(ISNUMBER($I57)),NOT(ISNUMBER($K57))),"",IF(OR($S57="REABASTECER",$S57="AGOTADO"),MAX(0,$K57-$I57),0)))</f>
        <v/>
      </c>
      <c r="U57" s="53">
        <f>IF($A57="","",IFERROR(IF(SUMPRODUCT(MAX((tblCompras[SKU]=$A57)*(tblCompras[Fecha])))=0,"",SUMPRODUCT(MAX((tblCompras[SKU]=$A57)*(tblCompras[Fecha])))),""))</f>
        <v/>
      </c>
      <c r="V57" s="53">
        <f>IF($A57="","",IFERROR(IF(SUMPRODUCT(MAX((tblVentas[SKU]=$A57)*(tblVentas[Fecha])))=0,"",SUMPRODUCT(MAX((tblVentas[SKU]=$A57)*(tblVentas[Fecha])))),""))</f>
        <v/>
      </c>
      <c r="W57" s="39">
        <f>IF($A57="","",SUMIFS(tblVentas[Unidades efectivas],tblVentas[SKU],$A57,tblVentas[Fecha],"&gt;="&amp;TODAY()-30,tblVentas[Fecha],"&lt;="&amp;TODAY()))</f>
        <v/>
      </c>
      <c r="X57" s="39">
        <f>IF($A57="","",IF(OR(NOT(ISNUMBER($I57)),NOT(ISNUMBER($W57)),$W57&lt;=0),"",ROUND($I57/($W57/30),0)))</f>
        <v/>
      </c>
    </row>
    <row r="58">
      <c r="A58" s="51">
        <f>IFERROR(IF(INDEX(tblProductos[SKU],ROW()-6)="","",INDEX(tblProductos[SKU],ROW()-6)),"")</f>
        <v/>
      </c>
      <c r="B58" s="51">
        <f>IF($A58="","",IFERROR(IF(INDEX(tblProductos[Nombre del producto],MATCH($A58,tblProductos[SKU],0))="","",INDEX(tblProductos[Nombre del producto],MATCH($A58,tblProductos[SKU],0))),""))</f>
        <v/>
      </c>
      <c r="C58" s="51">
        <f>IF($A58="","",IFERROR(IF(INDEX(tblProductos[Categoría],MATCH($A58,tblProductos[SKU],0))="","",INDEX(tblProductos[Categoría],MATCH($A58,tblProductos[SKU],0))),""))</f>
        <v/>
      </c>
      <c r="D58" s="51">
        <f>IF($A58="","",IFERROR(IF(INDEX(tblProductos[Presentación],MATCH($A58,tblProductos[SKU],0))="","",INDEX(tblProductos[Presentación],MATCH($A58,tblProductos[SKU],0))),""))</f>
        <v/>
      </c>
      <c r="E58" s="34" t="n"/>
      <c r="F58" s="39">
        <f>IF($A58="","",SUMIFS(tblCompras[Cantidad],tblCompras[SKU],$A58))</f>
        <v/>
      </c>
      <c r="G58" s="39">
        <f>IF($A58="","",SUMIFS(tblVentas[Unidades efectivas],tblVentas[SKU],$A58))</f>
        <v/>
      </c>
      <c r="H58" s="34" t="n"/>
      <c r="I58" s="39">
        <f>IF($A58="","",IF(ISNUMBER($E58),$E58,0)+$F58-$G58+IF(ISNUMBER($H58),$H58,0))</f>
        <v/>
      </c>
      <c r="J58" s="39">
        <f>IF($A58="","",IFERROR(IF(INDEX(tblProductos[Stock mínimo],MATCH($A58,tblProductos[SKU],0))="","",INDEX(tblProductos[Stock mínimo],MATCH($A58,tblProductos[SKU],0))),""))</f>
        <v/>
      </c>
      <c r="K58" s="39">
        <f>IF($A58="","",IFERROR(IF(INDEX(tblProductos[Stock máximo],MATCH($A58,tblProductos[SKU],0))="","",INDEX(tblProductos[Stock máximo],MATCH($A58,tblProductos[SKU],0))),""))</f>
        <v/>
      </c>
      <c r="L58" s="37">
        <f>IF($A58="","",IFERROR(IF(INDEX(tblCostos[COSTO REAL UNITARIO],MATCH($A58,tblCostos[SKU],0))="","PENDIENTE",INDEX(tblCostos[COSTO REAL UNITARIO],MATCH($A58,tblCostos[SKU],0))),"PENDIENTE"))</f>
        <v/>
      </c>
      <c r="M58" s="37">
        <f>IF($A58="","",IF(SUMIFS(tblCompras[Cantidad],tblCompras[SKU],$A58)&lt;=0,"",SUMIFS(tblCompras[Costo total de adquisición],tblCompras[SKU],$A58)/SUMIFS(tblCompras[Cantidad],tblCompras[SKU],$A58)))</f>
        <v/>
      </c>
      <c r="N58" s="37">
        <f>IF($A58="","",IF(ISNUMBER($M58),$M58,IF(ISNUMBER($L58),$L58,"")))</f>
        <v/>
      </c>
      <c r="O58" s="51">
        <f>IF($A58="","",IF(ISNUMBER($M58),"Promedio ponderado",IF(ISNUMBER($L58),"Costo estándar","PENDIENTE")))</f>
        <v/>
      </c>
      <c r="P58" s="49">
        <f>IF($A58="","",IF(OR(NOT(ISNUMBER($I58)),NOT(ISNUMBER($N58))),"PENDIENTE",$I58*$N58))</f>
        <v/>
      </c>
      <c r="Q58" s="37">
        <f>IF($A58="","",IFERROR(IF(INDEX(tblProductos[Precio de venta actual],MATCH($A58,tblProductos[SKU],0))="","PENDIENTE",INDEX(tblProductos[Precio de venta actual],MATCH($A58,tblProductos[SKU],0))),"PENDIENTE"))</f>
        <v/>
      </c>
      <c r="R58" s="37">
        <f>IF($A58="","",IF(OR(NOT(ISNUMBER($I58)),NOT(ISNUMBER($Q58))),"PENDIENTE",$I58*$Q58))</f>
        <v/>
      </c>
      <c r="S58" s="52">
        <f>IF($A58="","",IF(NOT(ISNUMBER($I58)),"ERROR",IF($I58&lt;0,"ERROR",IF($I58=0,"AGOTADO",IF(AND(ISNUMBER($J58),$I58&lt;=N($J58)*MAX(1,IF(ISNUMBER(PAR_ALERTA_STOCK),PAR_ALERTA_STOCK,1))),"REABASTECER","OK")))))</f>
        <v/>
      </c>
      <c r="T58" s="39">
        <f>IF($A58="","",IF(OR(NOT(ISNUMBER($I58)),NOT(ISNUMBER($K58))),"",IF(OR($S58="REABASTECER",$S58="AGOTADO"),MAX(0,$K58-$I58),0)))</f>
        <v/>
      </c>
      <c r="U58" s="53">
        <f>IF($A58="","",IFERROR(IF(SUMPRODUCT(MAX((tblCompras[SKU]=$A58)*(tblCompras[Fecha])))=0,"",SUMPRODUCT(MAX((tblCompras[SKU]=$A58)*(tblCompras[Fecha])))),""))</f>
        <v/>
      </c>
      <c r="V58" s="53">
        <f>IF($A58="","",IFERROR(IF(SUMPRODUCT(MAX((tblVentas[SKU]=$A58)*(tblVentas[Fecha])))=0,"",SUMPRODUCT(MAX((tblVentas[SKU]=$A58)*(tblVentas[Fecha])))),""))</f>
        <v/>
      </c>
      <c r="W58" s="39">
        <f>IF($A58="","",SUMIFS(tblVentas[Unidades efectivas],tblVentas[SKU],$A58,tblVentas[Fecha],"&gt;="&amp;TODAY()-30,tblVentas[Fecha],"&lt;="&amp;TODAY()))</f>
        <v/>
      </c>
      <c r="X58" s="39">
        <f>IF($A58="","",IF(OR(NOT(ISNUMBER($I58)),NOT(ISNUMBER($W58)),$W58&lt;=0),"",ROUND($I58/($W58/30),0)))</f>
        <v/>
      </c>
    </row>
    <row r="59">
      <c r="A59" s="51">
        <f>IFERROR(IF(INDEX(tblProductos[SKU],ROW()-6)="","",INDEX(tblProductos[SKU],ROW()-6)),"")</f>
        <v/>
      </c>
      <c r="B59" s="51">
        <f>IF($A59="","",IFERROR(IF(INDEX(tblProductos[Nombre del producto],MATCH($A59,tblProductos[SKU],0))="","",INDEX(tblProductos[Nombre del producto],MATCH($A59,tblProductos[SKU],0))),""))</f>
        <v/>
      </c>
      <c r="C59" s="51">
        <f>IF($A59="","",IFERROR(IF(INDEX(tblProductos[Categoría],MATCH($A59,tblProductos[SKU],0))="","",INDEX(tblProductos[Categoría],MATCH($A59,tblProductos[SKU],0))),""))</f>
        <v/>
      </c>
      <c r="D59" s="51">
        <f>IF($A59="","",IFERROR(IF(INDEX(tblProductos[Presentación],MATCH($A59,tblProductos[SKU],0))="","",INDEX(tblProductos[Presentación],MATCH($A59,tblProductos[SKU],0))),""))</f>
        <v/>
      </c>
      <c r="E59" s="34" t="n"/>
      <c r="F59" s="39">
        <f>IF($A59="","",SUMIFS(tblCompras[Cantidad],tblCompras[SKU],$A59))</f>
        <v/>
      </c>
      <c r="G59" s="39">
        <f>IF($A59="","",SUMIFS(tblVentas[Unidades efectivas],tblVentas[SKU],$A59))</f>
        <v/>
      </c>
      <c r="H59" s="34" t="n"/>
      <c r="I59" s="39">
        <f>IF($A59="","",IF(ISNUMBER($E59),$E59,0)+$F59-$G59+IF(ISNUMBER($H59),$H59,0))</f>
        <v/>
      </c>
      <c r="J59" s="39">
        <f>IF($A59="","",IFERROR(IF(INDEX(tblProductos[Stock mínimo],MATCH($A59,tblProductos[SKU],0))="","",INDEX(tblProductos[Stock mínimo],MATCH($A59,tblProductos[SKU],0))),""))</f>
        <v/>
      </c>
      <c r="K59" s="39">
        <f>IF($A59="","",IFERROR(IF(INDEX(tblProductos[Stock máximo],MATCH($A59,tblProductos[SKU],0))="","",INDEX(tblProductos[Stock máximo],MATCH($A59,tblProductos[SKU],0))),""))</f>
        <v/>
      </c>
      <c r="L59" s="37">
        <f>IF($A59="","",IFERROR(IF(INDEX(tblCostos[COSTO REAL UNITARIO],MATCH($A59,tblCostos[SKU],0))="","PENDIENTE",INDEX(tblCostos[COSTO REAL UNITARIO],MATCH($A59,tblCostos[SKU],0))),"PENDIENTE"))</f>
        <v/>
      </c>
      <c r="M59" s="37">
        <f>IF($A59="","",IF(SUMIFS(tblCompras[Cantidad],tblCompras[SKU],$A59)&lt;=0,"",SUMIFS(tblCompras[Costo total de adquisición],tblCompras[SKU],$A59)/SUMIFS(tblCompras[Cantidad],tblCompras[SKU],$A59)))</f>
        <v/>
      </c>
      <c r="N59" s="37">
        <f>IF($A59="","",IF(ISNUMBER($M59),$M59,IF(ISNUMBER($L59),$L59,"")))</f>
        <v/>
      </c>
      <c r="O59" s="51">
        <f>IF($A59="","",IF(ISNUMBER($M59),"Promedio ponderado",IF(ISNUMBER($L59),"Costo estándar","PENDIENTE")))</f>
        <v/>
      </c>
      <c r="P59" s="49">
        <f>IF($A59="","",IF(OR(NOT(ISNUMBER($I59)),NOT(ISNUMBER($N59))),"PENDIENTE",$I59*$N59))</f>
        <v/>
      </c>
      <c r="Q59" s="37">
        <f>IF($A59="","",IFERROR(IF(INDEX(tblProductos[Precio de venta actual],MATCH($A59,tblProductos[SKU],0))="","PENDIENTE",INDEX(tblProductos[Precio de venta actual],MATCH($A59,tblProductos[SKU],0))),"PENDIENTE"))</f>
        <v/>
      </c>
      <c r="R59" s="37">
        <f>IF($A59="","",IF(OR(NOT(ISNUMBER($I59)),NOT(ISNUMBER($Q59))),"PENDIENTE",$I59*$Q59))</f>
        <v/>
      </c>
      <c r="S59" s="52">
        <f>IF($A59="","",IF(NOT(ISNUMBER($I59)),"ERROR",IF($I59&lt;0,"ERROR",IF($I59=0,"AGOTADO",IF(AND(ISNUMBER($J59),$I59&lt;=N($J59)*MAX(1,IF(ISNUMBER(PAR_ALERTA_STOCK),PAR_ALERTA_STOCK,1))),"REABASTECER","OK")))))</f>
        <v/>
      </c>
      <c r="T59" s="39">
        <f>IF($A59="","",IF(OR(NOT(ISNUMBER($I59)),NOT(ISNUMBER($K59))),"",IF(OR($S59="REABASTECER",$S59="AGOTADO"),MAX(0,$K59-$I59),0)))</f>
        <v/>
      </c>
      <c r="U59" s="53">
        <f>IF($A59="","",IFERROR(IF(SUMPRODUCT(MAX((tblCompras[SKU]=$A59)*(tblCompras[Fecha])))=0,"",SUMPRODUCT(MAX((tblCompras[SKU]=$A59)*(tblCompras[Fecha])))),""))</f>
        <v/>
      </c>
      <c r="V59" s="53">
        <f>IF($A59="","",IFERROR(IF(SUMPRODUCT(MAX((tblVentas[SKU]=$A59)*(tblVentas[Fecha])))=0,"",SUMPRODUCT(MAX((tblVentas[SKU]=$A59)*(tblVentas[Fecha])))),""))</f>
        <v/>
      </c>
      <c r="W59" s="39">
        <f>IF($A59="","",SUMIFS(tblVentas[Unidades efectivas],tblVentas[SKU],$A59,tblVentas[Fecha],"&gt;="&amp;TODAY()-30,tblVentas[Fecha],"&lt;="&amp;TODAY()))</f>
        <v/>
      </c>
      <c r="X59" s="39">
        <f>IF($A59="","",IF(OR(NOT(ISNUMBER($I59)),NOT(ISNUMBER($W59)),$W59&lt;=0),"",ROUND($I59/($W59/30),0)))</f>
        <v/>
      </c>
    </row>
    <row r="60">
      <c r="A60" s="51">
        <f>IFERROR(IF(INDEX(tblProductos[SKU],ROW()-6)="","",INDEX(tblProductos[SKU],ROW()-6)),"")</f>
        <v/>
      </c>
      <c r="B60" s="51">
        <f>IF($A60="","",IFERROR(IF(INDEX(tblProductos[Nombre del producto],MATCH($A60,tblProductos[SKU],0))="","",INDEX(tblProductos[Nombre del producto],MATCH($A60,tblProductos[SKU],0))),""))</f>
        <v/>
      </c>
      <c r="C60" s="51">
        <f>IF($A60="","",IFERROR(IF(INDEX(tblProductos[Categoría],MATCH($A60,tblProductos[SKU],0))="","",INDEX(tblProductos[Categoría],MATCH($A60,tblProductos[SKU],0))),""))</f>
        <v/>
      </c>
      <c r="D60" s="51">
        <f>IF($A60="","",IFERROR(IF(INDEX(tblProductos[Presentación],MATCH($A60,tblProductos[SKU],0))="","",INDEX(tblProductos[Presentación],MATCH($A60,tblProductos[SKU],0))),""))</f>
        <v/>
      </c>
      <c r="E60" s="34" t="n"/>
      <c r="F60" s="39">
        <f>IF($A60="","",SUMIFS(tblCompras[Cantidad],tblCompras[SKU],$A60))</f>
        <v/>
      </c>
      <c r="G60" s="39">
        <f>IF($A60="","",SUMIFS(tblVentas[Unidades efectivas],tblVentas[SKU],$A60))</f>
        <v/>
      </c>
      <c r="H60" s="34" t="n"/>
      <c r="I60" s="39">
        <f>IF($A60="","",IF(ISNUMBER($E60),$E60,0)+$F60-$G60+IF(ISNUMBER($H60),$H60,0))</f>
        <v/>
      </c>
      <c r="J60" s="39">
        <f>IF($A60="","",IFERROR(IF(INDEX(tblProductos[Stock mínimo],MATCH($A60,tblProductos[SKU],0))="","",INDEX(tblProductos[Stock mínimo],MATCH($A60,tblProductos[SKU],0))),""))</f>
        <v/>
      </c>
      <c r="K60" s="39">
        <f>IF($A60="","",IFERROR(IF(INDEX(tblProductos[Stock máximo],MATCH($A60,tblProductos[SKU],0))="","",INDEX(tblProductos[Stock máximo],MATCH($A60,tblProductos[SKU],0))),""))</f>
        <v/>
      </c>
      <c r="L60" s="37">
        <f>IF($A60="","",IFERROR(IF(INDEX(tblCostos[COSTO REAL UNITARIO],MATCH($A60,tblCostos[SKU],0))="","PENDIENTE",INDEX(tblCostos[COSTO REAL UNITARIO],MATCH($A60,tblCostos[SKU],0))),"PENDIENTE"))</f>
        <v/>
      </c>
      <c r="M60" s="37">
        <f>IF($A60="","",IF(SUMIFS(tblCompras[Cantidad],tblCompras[SKU],$A60)&lt;=0,"",SUMIFS(tblCompras[Costo total de adquisición],tblCompras[SKU],$A60)/SUMIFS(tblCompras[Cantidad],tblCompras[SKU],$A60)))</f>
        <v/>
      </c>
      <c r="N60" s="37">
        <f>IF($A60="","",IF(ISNUMBER($M60),$M60,IF(ISNUMBER($L60),$L60,"")))</f>
        <v/>
      </c>
      <c r="O60" s="51">
        <f>IF($A60="","",IF(ISNUMBER($M60),"Promedio ponderado",IF(ISNUMBER($L60),"Costo estándar","PENDIENTE")))</f>
        <v/>
      </c>
      <c r="P60" s="49">
        <f>IF($A60="","",IF(OR(NOT(ISNUMBER($I60)),NOT(ISNUMBER($N60))),"PENDIENTE",$I60*$N60))</f>
        <v/>
      </c>
      <c r="Q60" s="37">
        <f>IF($A60="","",IFERROR(IF(INDEX(tblProductos[Precio de venta actual],MATCH($A60,tblProductos[SKU],0))="","PENDIENTE",INDEX(tblProductos[Precio de venta actual],MATCH($A60,tblProductos[SKU],0))),"PENDIENTE"))</f>
        <v/>
      </c>
      <c r="R60" s="37">
        <f>IF($A60="","",IF(OR(NOT(ISNUMBER($I60)),NOT(ISNUMBER($Q60))),"PENDIENTE",$I60*$Q60))</f>
        <v/>
      </c>
      <c r="S60" s="52">
        <f>IF($A60="","",IF(NOT(ISNUMBER($I60)),"ERROR",IF($I60&lt;0,"ERROR",IF($I60=0,"AGOTADO",IF(AND(ISNUMBER($J60),$I60&lt;=N($J60)*MAX(1,IF(ISNUMBER(PAR_ALERTA_STOCK),PAR_ALERTA_STOCK,1))),"REABASTECER","OK")))))</f>
        <v/>
      </c>
      <c r="T60" s="39">
        <f>IF($A60="","",IF(OR(NOT(ISNUMBER($I60)),NOT(ISNUMBER($K60))),"",IF(OR($S60="REABASTECER",$S60="AGOTADO"),MAX(0,$K60-$I60),0)))</f>
        <v/>
      </c>
      <c r="U60" s="53">
        <f>IF($A60="","",IFERROR(IF(SUMPRODUCT(MAX((tblCompras[SKU]=$A60)*(tblCompras[Fecha])))=0,"",SUMPRODUCT(MAX((tblCompras[SKU]=$A60)*(tblCompras[Fecha])))),""))</f>
        <v/>
      </c>
      <c r="V60" s="53">
        <f>IF($A60="","",IFERROR(IF(SUMPRODUCT(MAX((tblVentas[SKU]=$A60)*(tblVentas[Fecha])))=0,"",SUMPRODUCT(MAX((tblVentas[SKU]=$A60)*(tblVentas[Fecha])))),""))</f>
        <v/>
      </c>
      <c r="W60" s="39">
        <f>IF($A60="","",SUMIFS(tblVentas[Unidades efectivas],tblVentas[SKU],$A60,tblVentas[Fecha],"&gt;="&amp;TODAY()-30,tblVentas[Fecha],"&lt;="&amp;TODAY()))</f>
        <v/>
      </c>
      <c r="X60" s="39">
        <f>IF($A60="","",IF(OR(NOT(ISNUMBER($I60)),NOT(ISNUMBER($W60)),$W60&lt;=0),"",ROUND($I60/($W60/30),0)))</f>
        <v/>
      </c>
    </row>
    <row r="61">
      <c r="A61" s="51">
        <f>IFERROR(IF(INDEX(tblProductos[SKU],ROW()-6)="","",INDEX(tblProductos[SKU],ROW()-6)),"")</f>
        <v/>
      </c>
      <c r="B61" s="51">
        <f>IF($A61="","",IFERROR(IF(INDEX(tblProductos[Nombre del producto],MATCH($A61,tblProductos[SKU],0))="","",INDEX(tblProductos[Nombre del producto],MATCH($A61,tblProductos[SKU],0))),""))</f>
        <v/>
      </c>
      <c r="C61" s="51">
        <f>IF($A61="","",IFERROR(IF(INDEX(tblProductos[Categoría],MATCH($A61,tblProductos[SKU],0))="","",INDEX(tblProductos[Categoría],MATCH($A61,tblProductos[SKU],0))),""))</f>
        <v/>
      </c>
      <c r="D61" s="51">
        <f>IF($A61="","",IFERROR(IF(INDEX(tblProductos[Presentación],MATCH($A61,tblProductos[SKU],0))="","",INDEX(tblProductos[Presentación],MATCH($A61,tblProductos[SKU],0))),""))</f>
        <v/>
      </c>
      <c r="E61" s="34" t="n"/>
      <c r="F61" s="39">
        <f>IF($A61="","",SUMIFS(tblCompras[Cantidad],tblCompras[SKU],$A61))</f>
        <v/>
      </c>
      <c r="G61" s="39">
        <f>IF($A61="","",SUMIFS(tblVentas[Unidades efectivas],tblVentas[SKU],$A61))</f>
        <v/>
      </c>
      <c r="H61" s="34" t="n"/>
      <c r="I61" s="39">
        <f>IF($A61="","",IF(ISNUMBER($E61),$E61,0)+$F61-$G61+IF(ISNUMBER($H61),$H61,0))</f>
        <v/>
      </c>
      <c r="J61" s="39">
        <f>IF($A61="","",IFERROR(IF(INDEX(tblProductos[Stock mínimo],MATCH($A61,tblProductos[SKU],0))="","",INDEX(tblProductos[Stock mínimo],MATCH($A61,tblProductos[SKU],0))),""))</f>
        <v/>
      </c>
      <c r="K61" s="39">
        <f>IF($A61="","",IFERROR(IF(INDEX(tblProductos[Stock máximo],MATCH($A61,tblProductos[SKU],0))="","",INDEX(tblProductos[Stock máximo],MATCH($A61,tblProductos[SKU],0))),""))</f>
        <v/>
      </c>
      <c r="L61" s="37">
        <f>IF($A61="","",IFERROR(IF(INDEX(tblCostos[COSTO REAL UNITARIO],MATCH($A61,tblCostos[SKU],0))="","PENDIENTE",INDEX(tblCostos[COSTO REAL UNITARIO],MATCH($A61,tblCostos[SKU],0))),"PENDIENTE"))</f>
        <v/>
      </c>
      <c r="M61" s="37">
        <f>IF($A61="","",IF(SUMIFS(tblCompras[Cantidad],tblCompras[SKU],$A61)&lt;=0,"",SUMIFS(tblCompras[Costo total de adquisición],tblCompras[SKU],$A61)/SUMIFS(tblCompras[Cantidad],tblCompras[SKU],$A61)))</f>
        <v/>
      </c>
      <c r="N61" s="37">
        <f>IF($A61="","",IF(ISNUMBER($M61),$M61,IF(ISNUMBER($L61),$L61,"")))</f>
        <v/>
      </c>
      <c r="O61" s="51">
        <f>IF($A61="","",IF(ISNUMBER($M61),"Promedio ponderado",IF(ISNUMBER($L61),"Costo estándar","PENDIENTE")))</f>
        <v/>
      </c>
      <c r="P61" s="49">
        <f>IF($A61="","",IF(OR(NOT(ISNUMBER($I61)),NOT(ISNUMBER($N61))),"PENDIENTE",$I61*$N61))</f>
        <v/>
      </c>
      <c r="Q61" s="37">
        <f>IF($A61="","",IFERROR(IF(INDEX(tblProductos[Precio de venta actual],MATCH($A61,tblProductos[SKU],0))="","PENDIENTE",INDEX(tblProductos[Precio de venta actual],MATCH($A61,tblProductos[SKU],0))),"PENDIENTE"))</f>
        <v/>
      </c>
      <c r="R61" s="37">
        <f>IF($A61="","",IF(OR(NOT(ISNUMBER($I61)),NOT(ISNUMBER($Q61))),"PENDIENTE",$I61*$Q61))</f>
        <v/>
      </c>
      <c r="S61" s="52">
        <f>IF($A61="","",IF(NOT(ISNUMBER($I61)),"ERROR",IF($I61&lt;0,"ERROR",IF($I61=0,"AGOTADO",IF(AND(ISNUMBER($J61),$I61&lt;=N($J61)*MAX(1,IF(ISNUMBER(PAR_ALERTA_STOCK),PAR_ALERTA_STOCK,1))),"REABASTECER","OK")))))</f>
        <v/>
      </c>
      <c r="T61" s="39">
        <f>IF($A61="","",IF(OR(NOT(ISNUMBER($I61)),NOT(ISNUMBER($K61))),"",IF(OR($S61="REABASTECER",$S61="AGOTADO"),MAX(0,$K61-$I61),0)))</f>
        <v/>
      </c>
      <c r="U61" s="53">
        <f>IF($A61="","",IFERROR(IF(SUMPRODUCT(MAX((tblCompras[SKU]=$A61)*(tblCompras[Fecha])))=0,"",SUMPRODUCT(MAX((tblCompras[SKU]=$A61)*(tblCompras[Fecha])))),""))</f>
        <v/>
      </c>
      <c r="V61" s="53">
        <f>IF($A61="","",IFERROR(IF(SUMPRODUCT(MAX((tblVentas[SKU]=$A61)*(tblVentas[Fecha])))=0,"",SUMPRODUCT(MAX((tblVentas[SKU]=$A61)*(tblVentas[Fecha])))),""))</f>
        <v/>
      </c>
      <c r="W61" s="39">
        <f>IF($A61="","",SUMIFS(tblVentas[Unidades efectivas],tblVentas[SKU],$A61,tblVentas[Fecha],"&gt;="&amp;TODAY()-30,tblVentas[Fecha],"&lt;="&amp;TODAY()))</f>
        <v/>
      </c>
      <c r="X61" s="39">
        <f>IF($A61="","",IF(OR(NOT(ISNUMBER($I61)),NOT(ISNUMBER($W61)),$W61&lt;=0),"",ROUND($I61/($W61/30),0)))</f>
        <v/>
      </c>
    </row>
    <row r="62">
      <c r="A62" s="51">
        <f>IFERROR(IF(INDEX(tblProductos[SKU],ROW()-6)="","",INDEX(tblProductos[SKU],ROW()-6)),"")</f>
        <v/>
      </c>
      <c r="B62" s="51">
        <f>IF($A62="","",IFERROR(IF(INDEX(tblProductos[Nombre del producto],MATCH($A62,tblProductos[SKU],0))="","",INDEX(tblProductos[Nombre del producto],MATCH($A62,tblProductos[SKU],0))),""))</f>
        <v/>
      </c>
      <c r="C62" s="51">
        <f>IF($A62="","",IFERROR(IF(INDEX(tblProductos[Categoría],MATCH($A62,tblProductos[SKU],0))="","",INDEX(tblProductos[Categoría],MATCH($A62,tblProductos[SKU],0))),""))</f>
        <v/>
      </c>
      <c r="D62" s="51">
        <f>IF($A62="","",IFERROR(IF(INDEX(tblProductos[Presentación],MATCH($A62,tblProductos[SKU],0))="","",INDEX(tblProductos[Presentación],MATCH($A62,tblProductos[SKU],0))),""))</f>
        <v/>
      </c>
      <c r="E62" s="34" t="n"/>
      <c r="F62" s="39">
        <f>IF($A62="","",SUMIFS(tblCompras[Cantidad],tblCompras[SKU],$A62))</f>
        <v/>
      </c>
      <c r="G62" s="39">
        <f>IF($A62="","",SUMIFS(tblVentas[Unidades efectivas],tblVentas[SKU],$A62))</f>
        <v/>
      </c>
      <c r="H62" s="34" t="n"/>
      <c r="I62" s="39">
        <f>IF($A62="","",IF(ISNUMBER($E62),$E62,0)+$F62-$G62+IF(ISNUMBER($H62),$H62,0))</f>
        <v/>
      </c>
      <c r="J62" s="39">
        <f>IF($A62="","",IFERROR(IF(INDEX(tblProductos[Stock mínimo],MATCH($A62,tblProductos[SKU],0))="","",INDEX(tblProductos[Stock mínimo],MATCH($A62,tblProductos[SKU],0))),""))</f>
        <v/>
      </c>
      <c r="K62" s="39">
        <f>IF($A62="","",IFERROR(IF(INDEX(tblProductos[Stock máximo],MATCH($A62,tblProductos[SKU],0))="","",INDEX(tblProductos[Stock máximo],MATCH($A62,tblProductos[SKU],0))),""))</f>
        <v/>
      </c>
      <c r="L62" s="37">
        <f>IF($A62="","",IFERROR(IF(INDEX(tblCostos[COSTO REAL UNITARIO],MATCH($A62,tblCostos[SKU],0))="","PENDIENTE",INDEX(tblCostos[COSTO REAL UNITARIO],MATCH($A62,tblCostos[SKU],0))),"PENDIENTE"))</f>
        <v/>
      </c>
      <c r="M62" s="37">
        <f>IF($A62="","",IF(SUMIFS(tblCompras[Cantidad],tblCompras[SKU],$A62)&lt;=0,"",SUMIFS(tblCompras[Costo total de adquisición],tblCompras[SKU],$A62)/SUMIFS(tblCompras[Cantidad],tblCompras[SKU],$A62)))</f>
        <v/>
      </c>
      <c r="N62" s="37">
        <f>IF($A62="","",IF(ISNUMBER($M62),$M62,IF(ISNUMBER($L62),$L62,"")))</f>
        <v/>
      </c>
      <c r="O62" s="51">
        <f>IF($A62="","",IF(ISNUMBER($M62),"Promedio ponderado",IF(ISNUMBER($L62),"Costo estándar","PENDIENTE")))</f>
        <v/>
      </c>
      <c r="P62" s="49">
        <f>IF($A62="","",IF(OR(NOT(ISNUMBER($I62)),NOT(ISNUMBER($N62))),"PENDIENTE",$I62*$N62))</f>
        <v/>
      </c>
      <c r="Q62" s="37">
        <f>IF($A62="","",IFERROR(IF(INDEX(tblProductos[Precio de venta actual],MATCH($A62,tblProductos[SKU],0))="","PENDIENTE",INDEX(tblProductos[Precio de venta actual],MATCH($A62,tblProductos[SKU],0))),"PENDIENTE"))</f>
        <v/>
      </c>
      <c r="R62" s="37">
        <f>IF($A62="","",IF(OR(NOT(ISNUMBER($I62)),NOT(ISNUMBER($Q62))),"PENDIENTE",$I62*$Q62))</f>
        <v/>
      </c>
      <c r="S62" s="52">
        <f>IF($A62="","",IF(NOT(ISNUMBER($I62)),"ERROR",IF($I62&lt;0,"ERROR",IF($I62=0,"AGOTADO",IF(AND(ISNUMBER($J62),$I62&lt;=N($J62)*MAX(1,IF(ISNUMBER(PAR_ALERTA_STOCK),PAR_ALERTA_STOCK,1))),"REABASTECER","OK")))))</f>
        <v/>
      </c>
      <c r="T62" s="39">
        <f>IF($A62="","",IF(OR(NOT(ISNUMBER($I62)),NOT(ISNUMBER($K62))),"",IF(OR($S62="REABASTECER",$S62="AGOTADO"),MAX(0,$K62-$I62),0)))</f>
        <v/>
      </c>
      <c r="U62" s="53">
        <f>IF($A62="","",IFERROR(IF(SUMPRODUCT(MAX((tblCompras[SKU]=$A62)*(tblCompras[Fecha])))=0,"",SUMPRODUCT(MAX((tblCompras[SKU]=$A62)*(tblCompras[Fecha])))),""))</f>
        <v/>
      </c>
      <c r="V62" s="53">
        <f>IF($A62="","",IFERROR(IF(SUMPRODUCT(MAX((tblVentas[SKU]=$A62)*(tblVentas[Fecha])))=0,"",SUMPRODUCT(MAX((tblVentas[SKU]=$A62)*(tblVentas[Fecha])))),""))</f>
        <v/>
      </c>
      <c r="W62" s="39">
        <f>IF($A62="","",SUMIFS(tblVentas[Unidades efectivas],tblVentas[SKU],$A62,tblVentas[Fecha],"&gt;="&amp;TODAY()-30,tblVentas[Fecha],"&lt;="&amp;TODAY()))</f>
        <v/>
      </c>
      <c r="X62" s="39">
        <f>IF($A62="","",IF(OR(NOT(ISNUMBER($I62)),NOT(ISNUMBER($W62)),$W62&lt;=0),"",ROUND($I62/($W62/30),0)))</f>
        <v/>
      </c>
    </row>
    <row r="63">
      <c r="A63" s="51">
        <f>IFERROR(IF(INDEX(tblProductos[SKU],ROW()-6)="","",INDEX(tblProductos[SKU],ROW()-6)),"")</f>
        <v/>
      </c>
      <c r="B63" s="51">
        <f>IF($A63="","",IFERROR(IF(INDEX(tblProductos[Nombre del producto],MATCH($A63,tblProductos[SKU],0))="","",INDEX(tblProductos[Nombre del producto],MATCH($A63,tblProductos[SKU],0))),""))</f>
        <v/>
      </c>
      <c r="C63" s="51">
        <f>IF($A63="","",IFERROR(IF(INDEX(tblProductos[Categoría],MATCH($A63,tblProductos[SKU],0))="","",INDEX(tblProductos[Categoría],MATCH($A63,tblProductos[SKU],0))),""))</f>
        <v/>
      </c>
      <c r="D63" s="51">
        <f>IF($A63="","",IFERROR(IF(INDEX(tblProductos[Presentación],MATCH($A63,tblProductos[SKU],0))="","",INDEX(tblProductos[Presentación],MATCH($A63,tblProductos[SKU],0))),""))</f>
        <v/>
      </c>
      <c r="E63" s="34" t="n"/>
      <c r="F63" s="39">
        <f>IF($A63="","",SUMIFS(tblCompras[Cantidad],tblCompras[SKU],$A63))</f>
        <v/>
      </c>
      <c r="G63" s="39">
        <f>IF($A63="","",SUMIFS(tblVentas[Unidades efectivas],tblVentas[SKU],$A63))</f>
        <v/>
      </c>
      <c r="H63" s="34" t="n"/>
      <c r="I63" s="39">
        <f>IF($A63="","",IF(ISNUMBER($E63),$E63,0)+$F63-$G63+IF(ISNUMBER($H63),$H63,0))</f>
        <v/>
      </c>
      <c r="J63" s="39">
        <f>IF($A63="","",IFERROR(IF(INDEX(tblProductos[Stock mínimo],MATCH($A63,tblProductos[SKU],0))="","",INDEX(tblProductos[Stock mínimo],MATCH($A63,tblProductos[SKU],0))),""))</f>
        <v/>
      </c>
      <c r="K63" s="39">
        <f>IF($A63="","",IFERROR(IF(INDEX(tblProductos[Stock máximo],MATCH($A63,tblProductos[SKU],0))="","",INDEX(tblProductos[Stock máximo],MATCH($A63,tblProductos[SKU],0))),""))</f>
        <v/>
      </c>
      <c r="L63" s="37">
        <f>IF($A63="","",IFERROR(IF(INDEX(tblCostos[COSTO REAL UNITARIO],MATCH($A63,tblCostos[SKU],0))="","PENDIENTE",INDEX(tblCostos[COSTO REAL UNITARIO],MATCH($A63,tblCostos[SKU],0))),"PENDIENTE"))</f>
        <v/>
      </c>
      <c r="M63" s="37">
        <f>IF($A63="","",IF(SUMIFS(tblCompras[Cantidad],tblCompras[SKU],$A63)&lt;=0,"",SUMIFS(tblCompras[Costo total de adquisición],tblCompras[SKU],$A63)/SUMIFS(tblCompras[Cantidad],tblCompras[SKU],$A63)))</f>
        <v/>
      </c>
      <c r="N63" s="37">
        <f>IF($A63="","",IF(ISNUMBER($M63),$M63,IF(ISNUMBER($L63),$L63,"")))</f>
        <v/>
      </c>
      <c r="O63" s="51">
        <f>IF($A63="","",IF(ISNUMBER($M63),"Promedio ponderado",IF(ISNUMBER($L63),"Costo estándar","PENDIENTE")))</f>
        <v/>
      </c>
      <c r="P63" s="49">
        <f>IF($A63="","",IF(OR(NOT(ISNUMBER($I63)),NOT(ISNUMBER($N63))),"PENDIENTE",$I63*$N63))</f>
        <v/>
      </c>
      <c r="Q63" s="37">
        <f>IF($A63="","",IFERROR(IF(INDEX(tblProductos[Precio de venta actual],MATCH($A63,tblProductos[SKU],0))="","PENDIENTE",INDEX(tblProductos[Precio de venta actual],MATCH($A63,tblProductos[SKU],0))),"PENDIENTE"))</f>
        <v/>
      </c>
      <c r="R63" s="37">
        <f>IF($A63="","",IF(OR(NOT(ISNUMBER($I63)),NOT(ISNUMBER($Q63))),"PENDIENTE",$I63*$Q63))</f>
        <v/>
      </c>
      <c r="S63" s="52">
        <f>IF($A63="","",IF(NOT(ISNUMBER($I63)),"ERROR",IF($I63&lt;0,"ERROR",IF($I63=0,"AGOTADO",IF(AND(ISNUMBER($J63),$I63&lt;=N($J63)*MAX(1,IF(ISNUMBER(PAR_ALERTA_STOCK),PAR_ALERTA_STOCK,1))),"REABASTECER","OK")))))</f>
        <v/>
      </c>
      <c r="T63" s="39">
        <f>IF($A63="","",IF(OR(NOT(ISNUMBER($I63)),NOT(ISNUMBER($K63))),"",IF(OR($S63="REABASTECER",$S63="AGOTADO"),MAX(0,$K63-$I63),0)))</f>
        <v/>
      </c>
      <c r="U63" s="53">
        <f>IF($A63="","",IFERROR(IF(SUMPRODUCT(MAX((tblCompras[SKU]=$A63)*(tblCompras[Fecha])))=0,"",SUMPRODUCT(MAX((tblCompras[SKU]=$A63)*(tblCompras[Fecha])))),""))</f>
        <v/>
      </c>
      <c r="V63" s="53">
        <f>IF($A63="","",IFERROR(IF(SUMPRODUCT(MAX((tblVentas[SKU]=$A63)*(tblVentas[Fecha])))=0,"",SUMPRODUCT(MAX((tblVentas[SKU]=$A63)*(tblVentas[Fecha])))),""))</f>
        <v/>
      </c>
      <c r="W63" s="39">
        <f>IF($A63="","",SUMIFS(tblVentas[Unidades efectivas],tblVentas[SKU],$A63,tblVentas[Fecha],"&gt;="&amp;TODAY()-30,tblVentas[Fecha],"&lt;="&amp;TODAY()))</f>
        <v/>
      </c>
      <c r="X63" s="39">
        <f>IF($A63="","",IF(OR(NOT(ISNUMBER($I63)),NOT(ISNUMBER($W63)),$W63&lt;=0),"",ROUND($I63/($W63/30),0)))</f>
        <v/>
      </c>
    </row>
    <row r="64">
      <c r="A64" s="51">
        <f>IFERROR(IF(INDEX(tblProductos[SKU],ROW()-6)="","",INDEX(tblProductos[SKU],ROW()-6)),"")</f>
        <v/>
      </c>
      <c r="B64" s="51">
        <f>IF($A64="","",IFERROR(IF(INDEX(tblProductos[Nombre del producto],MATCH($A64,tblProductos[SKU],0))="","",INDEX(tblProductos[Nombre del producto],MATCH($A64,tblProductos[SKU],0))),""))</f>
        <v/>
      </c>
      <c r="C64" s="51">
        <f>IF($A64="","",IFERROR(IF(INDEX(tblProductos[Categoría],MATCH($A64,tblProductos[SKU],0))="","",INDEX(tblProductos[Categoría],MATCH($A64,tblProductos[SKU],0))),""))</f>
        <v/>
      </c>
      <c r="D64" s="51">
        <f>IF($A64="","",IFERROR(IF(INDEX(tblProductos[Presentación],MATCH($A64,tblProductos[SKU],0))="","",INDEX(tblProductos[Presentación],MATCH($A64,tblProductos[SKU],0))),""))</f>
        <v/>
      </c>
      <c r="E64" s="34" t="n"/>
      <c r="F64" s="39">
        <f>IF($A64="","",SUMIFS(tblCompras[Cantidad],tblCompras[SKU],$A64))</f>
        <v/>
      </c>
      <c r="G64" s="39">
        <f>IF($A64="","",SUMIFS(tblVentas[Unidades efectivas],tblVentas[SKU],$A64))</f>
        <v/>
      </c>
      <c r="H64" s="34" t="n"/>
      <c r="I64" s="39">
        <f>IF($A64="","",IF(ISNUMBER($E64),$E64,0)+$F64-$G64+IF(ISNUMBER($H64),$H64,0))</f>
        <v/>
      </c>
      <c r="J64" s="39">
        <f>IF($A64="","",IFERROR(IF(INDEX(tblProductos[Stock mínimo],MATCH($A64,tblProductos[SKU],0))="","",INDEX(tblProductos[Stock mínimo],MATCH($A64,tblProductos[SKU],0))),""))</f>
        <v/>
      </c>
      <c r="K64" s="39">
        <f>IF($A64="","",IFERROR(IF(INDEX(tblProductos[Stock máximo],MATCH($A64,tblProductos[SKU],0))="","",INDEX(tblProductos[Stock máximo],MATCH($A64,tblProductos[SKU],0))),""))</f>
        <v/>
      </c>
      <c r="L64" s="37">
        <f>IF($A64="","",IFERROR(IF(INDEX(tblCostos[COSTO REAL UNITARIO],MATCH($A64,tblCostos[SKU],0))="","PENDIENTE",INDEX(tblCostos[COSTO REAL UNITARIO],MATCH($A64,tblCostos[SKU],0))),"PENDIENTE"))</f>
        <v/>
      </c>
      <c r="M64" s="37">
        <f>IF($A64="","",IF(SUMIFS(tblCompras[Cantidad],tblCompras[SKU],$A64)&lt;=0,"",SUMIFS(tblCompras[Costo total de adquisición],tblCompras[SKU],$A64)/SUMIFS(tblCompras[Cantidad],tblCompras[SKU],$A64)))</f>
        <v/>
      </c>
      <c r="N64" s="37">
        <f>IF($A64="","",IF(ISNUMBER($M64),$M64,IF(ISNUMBER($L64),$L64,"")))</f>
        <v/>
      </c>
      <c r="O64" s="51">
        <f>IF($A64="","",IF(ISNUMBER($M64),"Promedio ponderado",IF(ISNUMBER($L64),"Costo estándar","PENDIENTE")))</f>
        <v/>
      </c>
      <c r="P64" s="49">
        <f>IF($A64="","",IF(OR(NOT(ISNUMBER($I64)),NOT(ISNUMBER($N64))),"PENDIENTE",$I64*$N64))</f>
        <v/>
      </c>
      <c r="Q64" s="37">
        <f>IF($A64="","",IFERROR(IF(INDEX(tblProductos[Precio de venta actual],MATCH($A64,tblProductos[SKU],0))="","PENDIENTE",INDEX(tblProductos[Precio de venta actual],MATCH($A64,tblProductos[SKU],0))),"PENDIENTE"))</f>
        <v/>
      </c>
      <c r="R64" s="37">
        <f>IF($A64="","",IF(OR(NOT(ISNUMBER($I64)),NOT(ISNUMBER($Q64))),"PENDIENTE",$I64*$Q64))</f>
        <v/>
      </c>
      <c r="S64" s="52">
        <f>IF($A64="","",IF(NOT(ISNUMBER($I64)),"ERROR",IF($I64&lt;0,"ERROR",IF($I64=0,"AGOTADO",IF(AND(ISNUMBER($J64),$I64&lt;=N($J64)*MAX(1,IF(ISNUMBER(PAR_ALERTA_STOCK),PAR_ALERTA_STOCK,1))),"REABASTECER","OK")))))</f>
        <v/>
      </c>
      <c r="T64" s="39">
        <f>IF($A64="","",IF(OR(NOT(ISNUMBER($I64)),NOT(ISNUMBER($K64))),"",IF(OR($S64="REABASTECER",$S64="AGOTADO"),MAX(0,$K64-$I64),0)))</f>
        <v/>
      </c>
      <c r="U64" s="53">
        <f>IF($A64="","",IFERROR(IF(SUMPRODUCT(MAX((tblCompras[SKU]=$A64)*(tblCompras[Fecha])))=0,"",SUMPRODUCT(MAX((tblCompras[SKU]=$A64)*(tblCompras[Fecha])))),""))</f>
        <v/>
      </c>
      <c r="V64" s="53">
        <f>IF($A64="","",IFERROR(IF(SUMPRODUCT(MAX((tblVentas[SKU]=$A64)*(tblVentas[Fecha])))=0,"",SUMPRODUCT(MAX((tblVentas[SKU]=$A64)*(tblVentas[Fecha])))),""))</f>
        <v/>
      </c>
      <c r="W64" s="39">
        <f>IF($A64="","",SUMIFS(tblVentas[Unidades efectivas],tblVentas[SKU],$A64,tblVentas[Fecha],"&gt;="&amp;TODAY()-30,tblVentas[Fecha],"&lt;="&amp;TODAY()))</f>
        <v/>
      </c>
      <c r="X64" s="39">
        <f>IF($A64="","",IF(OR(NOT(ISNUMBER($I64)),NOT(ISNUMBER($W64)),$W64&lt;=0),"",ROUND($I64/($W64/30),0)))</f>
        <v/>
      </c>
    </row>
    <row r="65">
      <c r="A65" s="51">
        <f>IFERROR(IF(INDEX(tblProductos[SKU],ROW()-6)="","",INDEX(tblProductos[SKU],ROW()-6)),"")</f>
        <v/>
      </c>
      <c r="B65" s="51">
        <f>IF($A65="","",IFERROR(IF(INDEX(tblProductos[Nombre del producto],MATCH($A65,tblProductos[SKU],0))="","",INDEX(tblProductos[Nombre del producto],MATCH($A65,tblProductos[SKU],0))),""))</f>
        <v/>
      </c>
      <c r="C65" s="51">
        <f>IF($A65="","",IFERROR(IF(INDEX(tblProductos[Categoría],MATCH($A65,tblProductos[SKU],0))="","",INDEX(tblProductos[Categoría],MATCH($A65,tblProductos[SKU],0))),""))</f>
        <v/>
      </c>
      <c r="D65" s="51">
        <f>IF($A65="","",IFERROR(IF(INDEX(tblProductos[Presentación],MATCH($A65,tblProductos[SKU],0))="","",INDEX(tblProductos[Presentación],MATCH($A65,tblProductos[SKU],0))),""))</f>
        <v/>
      </c>
      <c r="E65" s="34" t="n"/>
      <c r="F65" s="39">
        <f>IF($A65="","",SUMIFS(tblCompras[Cantidad],tblCompras[SKU],$A65))</f>
        <v/>
      </c>
      <c r="G65" s="39">
        <f>IF($A65="","",SUMIFS(tblVentas[Unidades efectivas],tblVentas[SKU],$A65))</f>
        <v/>
      </c>
      <c r="H65" s="34" t="n"/>
      <c r="I65" s="39">
        <f>IF($A65="","",IF(ISNUMBER($E65),$E65,0)+$F65-$G65+IF(ISNUMBER($H65),$H65,0))</f>
        <v/>
      </c>
      <c r="J65" s="39">
        <f>IF($A65="","",IFERROR(IF(INDEX(tblProductos[Stock mínimo],MATCH($A65,tblProductos[SKU],0))="","",INDEX(tblProductos[Stock mínimo],MATCH($A65,tblProductos[SKU],0))),""))</f>
        <v/>
      </c>
      <c r="K65" s="39">
        <f>IF($A65="","",IFERROR(IF(INDEX(tblProductos[Stock máximo],MATCH($A65,tblProductos[SKU],0))="","",INDEX(tblProductos[Stock máximo],MATCH($A65,tblProductos[SKU],0))),""))</f>
        <v/>
      </c>
      <c r="L65" s="37">
        <f>IF($A65="","",IFERROR(IF(INDEX(tblCostos[COSTO REAL UNITARIO],MATCH($A65,tblCostos[SKU],0))="","PENDIENTE",INDEX(tblCostos[COSTO REAL UNITARIO],MATCH($A65,tblCostos[SKU],0))),"PENDIENTE"))</f>
        <v/>
      </c>
      <c r="M65" s="37">
        <f>IF($A65="","",IF(SUMIFS(tblCompras[Cantidad],tblCompras[SKU],$A65)&lt;=0,"",SUMIFS(tblCompras[Costo total de adquisición],tblCompras[SKU],$A65)/SUMIFS(tblCompras[Cantidad],tblCompras[SKU],$A65)))</f>
        <v/>
      </c>
      <c r="N65" s="37">
        <f>IF($A65="","",IF(ISNUMBER($M65),$M65,IF(ISNUMBER($L65),$L65,"")))</f>
        <v/>
      </c>
      <c r="O65" s="51">
        <f>IF($A65="","",IF(ISNUMBER($M65),"Promedio ponderado",IF(ISNUMBER($L65),"Costo estándar","PENDIENTE")))</f>
        <v/>
      </c>
      <c r="P65" s="49">
        <f>IF($A65="","",IF(OR(NOT(ISNUMBER($I65)),NOT(ISNUMBER($N65))),"PENDIENTE",$I65*$N65))</f>
        <v/>
      </c>
      <c r="Q65" s="37">
        <f>IF($A65="","",IFERROR(IF(INDEX(tblProductos[Precio de venta actual],MATCH($A65,tblProductos[SKU],0))="","PENDIENTE",INDEX(tblProductos[Precio de venta actual],MATCH($A65,tblProductos[SKU],0))),"PENDIENTE"))</f>
        <v/>
      </c>
      <c r="R65" s="37">
        <f>IF($A65="","",IF(OR(NOT(ISNUMBER($I65)),NOT(ISNUMBER($Q65))),"PENDIENTE",$I65*$Q65))</f>
        <v/>
      </c>
      <c r="S65" s="52">
        <f>IF($A65="","",IF(NOT(ISNUMBER($I65)),"ERROR",IF($I65&lt;0,"ERROR",IF($I65=0,"AGOTADO",IF(AND(ISNUMBER($J65),$I65&lt;=N($J65)*MAX(1,IF(ISNUMBER(PAR_ALERTA_STOCK),PAR_ALERTA_STOCK,1))),"REABASTECER","OK")))))</f>
        <v/>
      </c>
      <c r="T65" s="39">
        <f>IF($A65="","",IF(OR(NOT(ISNUMBER($I65)),NOT(ISNUMBER($K65))),"",IF(OR($S65="REABASTECER",$S65="AGOTADO"),MAX(0,$K65-$I65),0)))</f>
        <v/>
      </c>
      <c r="U65" s="53">
        <f>IF($A65="","",IFERROR(IF(SUMPRODUCT(MAX((tblCompras[SKU]=$A65)*(tblCompras[Fecha])))=0,"",SUMPRODUCT(MAX((tblCompras[SKU]=$A65)*(tblCompras[Fecha])))),""))</f>
        <v/>
      </c>
      <c r="V65" s="53">
        <f>IF($A65="","",IFERROR(IF(SUMPRODUCT(MAX((tblVentas[SKU]=$A65)*(tblVentas[Fecha])))=0,"",SUMPRODUCT(MAX((tblVentas[SKU]=$A65)*(tblVentas[Fecha])))),""))</f>
        <v/>
      </c>
      <c r="W65" s="39">
        <f>IF($A65="","",SUMIFS(tblVentas[Unidades efectivas],tblVentas[SKU],$A65,tblVentas[Fecha],"&gt;="&amp;TODAY()-30,tblVentas[Fecha],"&lt;="&amp;TODAY()))</f>
        <v/>
      </c>
      <c r="X65" s="39">
        <f>IF($A65="","",IF(OR(NOT(ISNUMBER($I65)),NOT(ISNUMBER($W65)),$W65&lt;=0),"",ROUND($I65/($W65/30),0)))</f>
        <v/>
      </c>
    </row>
    <row r="66">
      <c r="A66" s="51">
        <f>IFERROR(IF(INDEX(tblProductos[SKU],ROW()-6)="","",INDEX(tblProductos[SKU],ROW()-6)),"")</f>
        <v/>
      </c>
      <c r="B66" s="51">
        <f>IF($A66="","",IFERROR(IF(INDEX(tblProductos[Nombre del producto],MATCH($A66,tblProductos[SKU],0))="","",INDEX(tblProductos[Nombre del producto],MATCH($A66,tblProductos[SKU],0))),""))</f>
        <v/>
      </c>
      <c r="C66" s="51">
        <f>IF($A66="","",IFERROR(IF(INDEX(tblProductos[Categoría],MATCH($A66,tblProductos[SKU],0))="","",INDEX(tblProductos[Categoría],MATCH($A66,tblProductos[SKU],0))),""))</f>
        <v/>
      </c>
      <c r="D66" s="51">
        <f>IF($A66="","",IFERROR(IF(INDEX(tblProductos[Presentación],MATCH($A66,tblProductos[SKU],0))="","",INDEX(tblProductos[Presentación],MATCH($A66,tblProductos[SKU],0))),""))</f>
        <v/>
      </c>
      <c r="E66" s="34" t="n"/>
      <c r="F66" s="39">
        <f>IF($A66="","",SUMIFS(tblCompras[Cantidad],tblCompras[SKU],$A66))</f>
        <v/>
      </c>
      <c r="G66" s="39">
        <f>IF($A66="","",SUMIFS(tblVentas[Unidades efectivas],tblVentas[SKU],$A66))</f>
        <v/>
      </c>
      <c r="H66" s="34" t="n"/>
      <c r="I66" s="39">
        <f>IF($A66="","",IF(ISNUMBER($E66),$E66,0)+$F66-$G66+IF(ISNUMBER($H66),$H66,0))</f>
        <v/>
      </c>
      <c r="J66" s="39">
        <f>IF($A66="","",IFERROR(IF(INDEX(tblProductos[Stock mínimo],MATCH($A66,tblProductos[SKU],0))="","",INDEX(tblProductos[Stock mínimo],MATCH($A66,tblProductos[SKU],0))),""))</f>
        <v/>
      </c>
      <c r="K66" s="39">
        <f>IF($A66="","",IFERROR(IF(INDEX(tblProductos[Stock máximo],MATCH($A66,tblProductos[SKU],0))="","",INDEX(tblProductos[Stock máximo],MATCH($A66,tblProductos[SKU],0))),""))</f>
        <v/>
      </c>
      <c r="L66" s="37">
        <f>IF($A66="","",IFERROR(IF(INDEX(tblCostos[COSTO REAL UNITARIO],MATCH($A66,tblCostos[SKU],0))="","PENDIENTE",INDEX(tblCostos[COSTO REAL UNITARIO],MATCH($A66,tblCostos[SKU],0))),"PENDIENTE"))</f>
        <v/>
      </c>
      <c r="M66" s="37">
        <f>IF($A66="","",IF(SUMIFS(tblCompras[Cantidad],tblCompras[SKU],$A66)&lt;=0,"",SUMIFS(tblCompras[Costo total de adquisición],tblCompras[SKU],$A66)/SUMIFS(tblCompras[Cantidad],tblCompras[SKU],$A66)))</f>
        <v/>
      </c>
      <c r="N66" s="37">
        <f>IF($A66="","",IF(ISNUMBER($M66),$M66,IF(ISNUMBER($L66),$L66,"")))</f>
        <v/>
      </c>
      <c r="O66" s="51">
        <f>IF($A66="","",IF(ISNUMBER($M66),"Promedio ponderado",IF(ISNUMBER($L66),"Costo estándar","PENDIENTE")))</f>
        <v/>
      </c>
      <c r="P66" s="49">
        <f>IF($A66="","",IF(OR(NOT(ISNUMBER($I66)),NOT(ISNUMBER($N66))),"PENDIENTE",$I66*$N66))</f>
        <v/>
      </c>
      <c r="Q66" s="37">
        <f>IF($A66="","",IFERROR(IF(INDEX(tblProductos[Precio de venta actual],MATCH($A66,tblProductos[SKU],0))="","PENDIENTE",INDEX(tblProductos[Precio de venta actual],MATCH($A66,tblProductos[SKU],0))),"PENDIENTE"))</f>
        <v/>
      </c>
      <c r="R66" s="37">
        <f>IF($A66="","",IF(OR(NOT(ISNUMBER($I66)),NOT(ISNUMBER($Q66))),"PENDIENTE",$I66*$Q66))</f>
        <v/>
      </c>
      <c r="S66" s="52">
        <f>IF($A66="","",IF(NOT(ISNUMBER($I66)),"ERROR",IF($I66&lt;0,"ERROR",IF($I66=0,"AGOTADO",IF(AND(ISNUMBER($J66),$I66&lt;=N($J66)*MAX(1,IF(ISNUMBER(PAR_ALERTA_STOCK),PAR_ALERTA_STOCK,1))),"REABASTECER","OK")))))</f>
        <v/>
      </c>
      <c r="T66" s="39">
        <f>IF($A66="","",IF(OR(NOT(ISNUMBER($I66)),NOT(ISNUMBER($K66))),"",IF(OR($S66="REABASTECER",$S66="AGOTADO"),MAX(0,$K66-$I66),0)))</f>
        <v/>
      </c>
      <c r="U66" s="53">
        <f>IF($A66="","",IFERROR(IF(SUMPRODUCT(MAX((tblCompras[SKU]=$A66)*(tblCompras[Fecha])))=0,"",SUMPRODUCT(MAX((tblCompras[SKU]=$A66)*(tblCompras[Fecha])))),""))</f>
        <v/>
      </c>
      <c r="V66" s="53">
        <f>IF($A66="","",IFERROR(IF(SUMPRODUCT(MAX((tblVentas[SKU]=$A66)*(tblVentas[Fecha])))=0,"",SUMPRODUCT(MAX((tblVentas[SKU]=$A66)*(tblVentas[Fecha])))),""))</f>
        <v/>
      </c>
      <c r="W66" s="39">
        <f>IF($A66="","",SUMIFS(tblVentas[Unidades efectivas],tblVentas[SKU],$A66,tblVentas[Fecha],"&gt;="&amp;TODAY()-30,tblVentas[Fecha],"&lt;="&amp;TODAY()))</f>
        <v/>
      </c>
      <c r="X66" s="39">
        <f>IF($A66="","",IF(OR(NOT(ISNUMBER($I66)),NOT(ISNUMBER($W66)),$W66&lt;=0),"",ROUND($I66/($W66/30),0)))</f>
        <v/>
      </c>
    </row>
  </sheetData>
  <mergeCells count="1">
    <mergeCell ref="A3:L4"/>
  </mergeCells>
  <conditionalFormatting sqref="S7:S66">
    <cfRule type="expression" priority="1" dxfId="4">
      <formula>$S7="OK"</formula>
    </cfRule>
    <cfRule type="expression" priority="2" dxfId="6">
      <formula>$S7="REABASTECER"</formula>
    </cfRule>
    <cfRule type="expression" priority="3" dxfId="5">
      <formula>OR($S7="AGOTADO",$S7="ERROR")</formula>
    </cfRule>
  </conditionalFormatting>
  <conditionalFormatting sqref="I7:I66">
    <cfRule type="cellIs" priority="4" operator="lessThan" dxfId="5">
      <formula>0</formula>
    </cfRule>
  </conditionalFormatting>
  <conditionalFormatting sqref="P7:P66">
    <cfRule type="dataBar" priority="5">
      <dataBar>
        <cfvo type="num" val="0"/>
        <cfvo type="max"/>
        <color rgb="002E5C8A"/>
      </dataBar>
    </cfRule>
  </conditionalFormatting>
  <dataValidations count="1">
    <dataValidation sqref="E7:E66" showDropDown="0" showInputMessage="0" showErrorMessage="0" allowBlank="1" errorTitle="Número inválido" error="Escriba un número mayor o igual a 0." type="decimal" errorStyle="stop" operator="greaterThanOrEqual">
      <formula1>0</formula1>
    </dataValidation>
  </dataValidations>
  <printOptions horizontalCentered="1"/>
  <pageMargins left="0.4" right="0.4" top="0.5" bottom="0.5" header="0.5" footer="0.5"/>
  <pageSetup orientation="landscape"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tabColor rgb="002E5C8A"/>
    <outlinePr summaryBelow="1" summaryRight="1"/>
    <pageSetUpPr fitToPage="1"/>
  </sheetPr>
  <dimension ref="A1:Y506"/>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3" customWidth="1" min="3" max="3"/>
    <col width="24" customWidth="1" min="4" max="4"/>
    <col width="16" customWidth="1" min="5" max="5"/>
    <col width="13" customWidth="1" min="6" max="6"/>
    <col width="32" customWidth="1" min="7" max="7"/>
    <col width="15" customWidth="1" min="8" max="8"/>
    <col width="10" customWidth="1" min="9" max="9"/>
    <col width="11" customWidth="1" min="10" max="10"/>
    <col width="13" customWidth="1" min="11" max="11"/>
    <col width="12" customWidth="1" min="12" max="12"/>
    <col width="13" customWidth="1" min="13" max="13"/>
    <col width="13" customWidth="1" min="14" max="14"/>
    <col width="13" customWidth="1" min="15" max="15"/>
    <col width="13" customWidth="1" min="16" max="16"/>
    <col width="13" customWidth="1" min="17" max="17"/>
    <col width="10" customWidth="1" min="18" max="18"/>
    <col width="14" customWidth="1" min="19" max="19"/>
    <col width="12" customWidth="1" min="20" max="20"/>
    <col width="12" customWidth="1" min="21" max="21"/>
    <col width="13" customWidth="1" min="22" max="22"/>
    <col width="13" customWidth="1" min="23" max="23"/>
    <col width="24" customWidth="1" min="24" max="24"/>
    <col width="32" customWidth="1" min="25" max="25"/>
  </cols>
  <sheetData>
    <row r="1">
      <c r="A1" s="1" t="inlineStr">
        <is>
          <t>VENTAS — Registro de ventas</t>
        </is>
      </c>
    </row>
    <row r="2">
      <c r="A2" s="2" t="inlineStr">
        <is>
          <t>Una fila por producto vendido. Si una misma venta incluye 3 productos, registre 3 filas con el mismo Folio. Cada fila descuenta inventario, calcula su costo y su utilidad, y genera la cuenta por cobrar.</t>
        </is>
      </c>
    </row>
    <row r="3">
      <c r="A3" s="16" t="inlineStr">
        <is>
          <t>El «Precio unitario aplicado» y el «Costo unitario aplicado» se llenan solos desde PRODUCTOS e INVENTARIO (celdas verdes): puede sobrescribirlos en una venta puntual sin romper nada. VENTA ≠ EFECTIVO: el dinero entra a CAJA solo por el «Monto cobrado» en su «Fecha de cobro».</t>
        </is>
      </c>
    </row>
    <row r="4"/>
    <row r="6" ht="44" customHeight="1">
      <c r="A6" s="11" t="inlineStr">
        <is>
          <t>ID de venta</t>
        </is>
      </c>
      <c r="B6" s="11" t="inlineStr">
        <is>
          <t>Fecha</t>
        </is>
      </c>
      <c r="C6" s="11" t="inlineStr">
        <is>
          <t>Folio / documento</t>
        </is>
      </c>
      <c r="D6" s="11" t="inlineStr">
        <is>
          <t>Cliente</t>
        </is>
      </c>
      <c r="E6" s="11" t="inlineStr">
        <is>
          <t>Canal</t>
        </is>
      </c>
      <c r="F6" s="11" t="inlineStr">
        <is>
          <t>SKU</t>
        </is>
      </c>
      <c r="G6" s="11" t="inlineStr">
        <is>
          <t>Producto</t>
        </is>
      </c>
      <c r="H6" s="11" t="inlineStr">
        <is>
          <t>Categoría</t>
        </is>
      </c>
      <c r="I6" s="11" t="inlineStr">
        <is>
          <t>Cantidad</t>
        </is>
      </c>
      <c r="J6" s="11" t="inlineStr">
        <is>
          <t>Unidades efectivas</t>
        </is>
      </c>
      <c r="K6" s="11" t="inlineStr">
        <is>
          <t>Precio unitario aplicado</t>
        </is>
      </c>
      <c r="L6" s="11" t="inlineStr">
        <is>
          <t>Descuento</t>
        </is>
      </c>
      <c r="M6" s="11" t="inlineStr">
        <is>
          <t>Venta bruta</t>
        </is>
      </c>
      <c r="N6" s="11" t="inlineStr">
        <is>
          <t>Venta neta</t>
        </is>
      </c>
      <c r="O6" s="11" t="inlineStr">
        <is>
          <t>Costo unitario aplicado</t>
        </is>
      </c>
      <c r="P6" s="11" t="inlineStr">
        <is>
          <t>Costo total</t>
        </is>
      </c>
      <c r="Q6" s="11" t="inlineStr">
        <is>
          <t>Utilidad bruta</t>
        </is>
      </c>
      <c r="R6" s="11" t="inlineStr">
        <is>
          <t>Margen</t>
        </is>
      </c>
      <c r="S6" s="11" t="inlineStr">
        <is>
          <t>Método de pago</t>
        </is>
      </c>
      <c r="T6" s="11" t="inlineStr">
        <is>
          <t>Estado</t>
        </is>
      </c>
      <c r="U6" s="11" t="inlineStr">
        <is>
          <t>Fecha de cobro</t>
        </is>
      </c>
      <c r="V6" s="11" t="inlineStr">
        <is>
          <t>Monto cobrado</t>
        </is>
      </c>
      <c r="W6" s="11" t="inlineStr">
        <is>
          <t>Saldo por cobrar</t>
        </is>
      </c>
      <c r="X6" s="11" t="inlineStr">
        <is>
          <t>Observaciones</t>
        </is>
      </c>
      <c r="Y6" s="11" t="inlineStr">
        <is>
          <t>ALERTA</t>
        </is>
      </c>
    </row>
    <row r="7">
      <c r="A7" s="51">
        <f>IF(COUNTA($B7,$C7,$D7,$E7,$F7,$I7)=0,"","V-"&amp;TEXT(ROW()-6,"0000"))</f>
        <v/>
      </c>
      <c r="B7" s="41" t="n"/>
      <c r="C7" s="33" t="n"/>
      <c r="D7" s="33" t="n"/>
      <c r="E7" s="33" t="n"/>
      <c r="F7" s="33" t="n"/>
      <c r="G7" s="51">
        <f>IF($F7="","",IFERROR(IF(INDEX(tblProductos[Nombre del producto],MATCH($F7,tblProductos[SKU],0))="","",INDEX(tblProductos[Nombre del producto],MATCH($F7,tblProductos[SKU],0))),""))</f>
        <v/>
      </c>
      <c r="H7" s="51">
        <f>IF($F7="","",IFERROR(IF(INDEX(tblProductos[Categoría],MATCH($F7,tblProductos[SKU],0))="","",INDEX(tblProductos[Categoría],MATCH($F7,tblProductos[SKU],0))),""))</f>
        <v/>
      </c>
      <c r="I7" s="34" t="n"/>
      <c r="J7" s="39">
        <f>IF(OR($B7="",$F7="",$I7=""),"",IF($T7="Anulado",0,$I7))</f>
        <v/>
      </c>
      <c r="K7" s="54">
        <f>IF($F7="","",IFERROR(IF(INDEX(tblProductos[Precio de venta actual],MATCH($F7,tblProductos[SKU],0))="","",INDEX(tblProductos[Precio de venta actual],MATCH($F7,tblProductos[SKU],0))),""))</f>
        <v/>
      </c>
      <c r="L7" s="36" t="n"/>
      <c r="M7" s="37">
        <f>IF($J7="","",IF(NOT(ISNUMBER($K7)),"PRECIO PENDIENTE",$J7*$K7))</f>
        <v/>
      </c>
      <c r="N7" s="37">
        <f>IF($J7="","",IF(NOT(ISNUMBER($M7)),"PRECIO PENDIENTE",$M7-IF(ISNUMBER($L7),$L7,0)))</f>
        <v/>
      </c>
      <c r="O7" s="54">
        <f>IF($F7="","",IFERROR(INDEX(tblInventario[Costo unitario aplicado],MATCH($F7,tblInventario[SKU],0)),""))</f>
        <v/>
      </c>
      <c r="P7" s="37">
        <f>IF($J7="","",IF(NOT(ISNUMBER($O7)),"COSTO PENDIENTE",$J7*$O7))</f>
        <v/>
      </c>
      <c r="Q7" s="37">
        <f>IF($J7="","",IF(OR(NOT(ISNUMBER($N7)),NOT(ISNUMBER($P7))),"PENDIENTE",$N7-$P7))</f>
        <v/>
      </c>
      <c r="R7" s="38">
        <f>IF($J7="","",IF(OR(NOT(ISNUMBER($Q7)),NOT(ISNUMBER($N7)),$N7&lt;=0),"PENDIENTE",$Q7/$N7))</f>
        <v/>
      </c>
      <c r="S7" s="33" t="n"/>
      <c r="T7" s="33" t="n"/>
      <c r="U7" s="41" t="n"/>
      <c r="V7" s="36" t="n"/>
      <c r="W7" s="37">
        <f>IF(NOT(ISNUMBER($N7)),"",$N7-IF(ISNUMBER($V7),$V7,0))</f>
        <v/>
      </c>
      <c r="X7" s="33" t="n"/>
      <c r="Y7" s="51">
        <f>IF(COUNTA($B7,$C7,$D7,$E7,$F7,$I7)=0,"",IF(IF($B7=""," · Falta fecha","")&amp;IF($D7=""," · Falta cliente","")&amp;IF($E7=""," · Falta canal","")&amp;IF($F7=""," · Falta SKU","")&amp;IF(AND($F7&lt;&gt;"",COUNTIF(tblProductos[SKU],$F7)=0)," · SKU no existe","")&amp;IF(OR($I7="",NOT(ISNUMBER($I7)),$I7&lt;=0)," · Cantidad inválida","")&amp;IF($M7="PRECIO PENDIENTE"," · Falta precio de venta","")&amp;IF($P7="COSTO PENDIENTE"," · Falta costo del producto","")&amp;IF(AND(ISNUMBER($Q7),$Q7&lt;0)," · UTILIDAD NEGATIVA","")&amp;IF(AND($F7&lt;&gt;"",ISNUMBER(INDEX(tblInventario[Stock actual],MATCH($F7,tblInventario[SKU],0))),INDEX(tblInventario[Stock actual],MATCH($F7,tblInventario[SKU],0))&lt;0)," · Stock negativo del SKU","")&amp;IF(AND($T7="Cobrado",$U7="")," · Cobro sin fecha","")&amp;IF(AND(ISNUMBER($V7),ISNUMBER($N7),$V7&gt;N($N7)+0.01)," · Cobrado &gt; venta neta","")&amp;IF(AND(ISNUMBER($V7),$V7&gt;0,$U7="")," · Monto cobrado sin fecha","")="","OK",MID(IF($B7=""," · Falta fecha","")&amp;IF($D7=""," · Falta cliente","")&amp;IF($E7=""," · Falta canal","")&amp;IF($F7=""," · Falta SKU","")&amp;IF(AND($F7&lt;&gt;"",COUNTIF(tblProductos[SKU],$F7)=0)," · SKU no existe","")&amp;IF(OR($I7="",NOT(ISNUMBER($I7)),$I7&lt;=0)," · Cantidad inválida","")&amp;IF($M7="PRECIO PENDIENTE"," · Falta precio de venta","")&amp;IF($P7="COSTO PENDIENTE"," · Falta costo del producto","")&amp;IF(AND(ISNUMBER($Q7),$Q7&lt;0)," · UTILIDAD NEGATIVA","")&amp;IF(AND($F7&lt;&gt;"",ISNUMBER(INDEX(tblInventario[Stock actual],MATCH($F7,tblInventario[SKU],0))),INDEX(tblInventario[Stock actual],MATCH($F7,tblInventario[SKU],0))&lt;0)," · Stock negativo del SKU","")&amp;IF(AND($T7="Cobrado",$U7="")," · Cobro sin fecha","")&amp;IF(AND(ISNUMBER($V7),ISNUMBER($N7),$V7&gt;N($N7)+0.01)," · Cobrado &gt; venta neta","")&amp;IF(AND(ISNUMBER($V7),$V7&gt;0,$U7="")," · Monto cobrado sin fecha",""),4,900)))</f>
        <v/>
      </c>
    </row>
    <row r="8">
      <c r="A8" s="51">
        <f>IF(COUNTA($B8,$C8,$D8,$E8,$F8,$I8)=0,"","V-"&amp;TEXT(ROW()-6,"0000"))</f>
        <v/>
      </c>
      <c r="B8" s="41" t="n"/>
      <c r="C8" s="33" t="n"/>
      <c r="D8" s="33" t="n"/>
      <c r="E8" s="33" t="n"/>
      <c r="F8" s="33" t="n"/>
      <c r="G8" s="51">
        <f>IF($F8="","",IFERROR(IF(INDEX(tblProductos[Nombre del producto],MATCH($F8,tblProductos[SKU],0))="","",INDEX(tblProductos[Nombre del producto],MATCH($F8,tblProductos[SKU],0))),""))</f>
        <v/>
      </c>
      <c r="H8" s="51">
        <f>IF($F8="","",IFERROR(IF(INDEX(tblProductos[Categoría],MATCH($F8,tblProductos[SKU],0))="","",INDEX(tblProductos[Categoría],MATCH($F8,tblProductos[SKU],0))),""))</f>
        <v/>
      </c>
      <c r="I8" s="34" t="n"/>
      <c r="J8" s="39">
        <f>IF(OR($B8="",$F8="",$I8=""),"",IF($T8="Anulado",0,$I8))</f>
        <v/>
      </c>
      <c r="K8" s="54">
        <f>IF($F8="","",IFERROR(IF(INDEX(tblProductos[Precio de venta actual],MATCH($F8,tblProductos[SKU],0))="","",INDEX(tblProductos[Precio de venta actual],MATCH($F8,tblProductos[SKU],0))),""))</f>
        <v/>
      </c>
      <c r="L8" s="36" t="n"/>
      <c r="M8" s="37">
        <f>IF($J8="","",IF(NOT(ISNUMBER($K8)),"PRECIO PENDIENTE",$J8*$K8))</f>
        <v/>
      </c>
      <c r="N8" s="37">
        <f>IF($J8="","",IF(NOT(ISNUMBER($M8)),"PRECIO PENDIENTE",$M8-IF(ISNUMBER($L8),$L8,0)))</f>
        <v/>
      </c>
      <c r="O8" s="54">
        <f>IF($F8="","",IFERROR(INDEX(tblInventario[Costo unitario aplicado],MATCH($F8,tblInventario[SKU],0)),""))</f>
        <v/>
      </c>
      <c r="P8" s="37">
        <f>IF($J8="","",IF(NOT(ISNUMBER($O8)),"COSTO PENDIENTE",$J8*$O8))</f>
        <v/>
      </c>
      <c r="Q8" s="37">
        <f>IF($J8="","",IF(OR(NOT(ISNUMBER($N8)),NOT(ISNUMBER($P8))),"PENDIENTE",$N8-$P8))</f>
        <v/>
      </c>
      <c r="R8" s="38">
        <f>IF($J8="","",IF(OR(NOT(ISNUMBER($Q8)),NOT(ISNUMBER($N8)),$N8&lt;=0),"PENDIENTE",$Q8/$N8))</f>
        <v/>
      </c>
      <c r="S8" s="33" t="n"/>
      <c r="T8" s="33" t="n"/>
      <c r="U8" s="41" t="n"/>
      <c r="V8" s="36" t="n"/>
      <c r="W8" s="37">
        <f>IF(NOT(ISNUMBER($N8)),"",$N8-IF(ISNUMBER($V8),$V8,0))</f>
        <v/>
      </c>
      <c r="X8" s="33" t="n"/>
      <c r="Y8" s="51">
        <f>IF(COUNTA($B8,$C8,$D8,$E8,$F8,$I8)=0,"",IF(IF($B8=""," · Falta fecha","")&amp;IF($D8=""," · Falta cliente","")&amp;IF($E8=""," · Falta canal","")&amp;IF($F8=""," · Falta SKU","")&amp;IF(AND($F8&lt;&gt;"",COUNTIF(tblProductos[SKU],$F8)=0)," · SKU no existe","")&amp;IF(OR($I8="",NOT(ISNUMBER($I8)),$I8&lt;=0)," · Cantidad inválida","")&amp;IF($M8="PRECIO PENDIENTE"," · Falta precio de venta","")&amp;IF($P8="COSTO PENDIENTE"," · Falta costo del producto","")&amp;IF(AND(ISNUMBER($Q8),$Q8&lt;0)," · UTILIDAD NEGATIVA","")&amp;IF(AND($F8&lt;&gt;"",ISNUMBER(INDEX(tblInventario[Stock actual],MATCH($F8,tblInventario[SKU],0))),INDEX(tblInventario[Stock actual],MATCH($F8,tblInventario[SKU],0))&lt;0)," · Stock negativo del SKU","")&amp;IF(AND($T8="Cobrado",$U8="")," · Cobro sin fecha","")&amp;IF(AND(ISNUMBER($V8),ISNUMBER($N8),$V8&gt;N($N8)+0.01)," · Cobrado &gt; venta neta","")&amp;IF(AND(ISNUMBER($V8),$V8&gt;0,$U8="")," · Monto cobrado sin fecha","")="","OK",MID(IF($B8=""," · Falta fecha","")&amp;IF($D8=""," · Falta cliente","")&amp;IF($E8=""," · Falta canal","")&amp;IF($F8=""," · Falta SKU","")&amp;IF(AND($F8&lt;&gt;"",COUNTIF(tblProductos[SKU],$F8)=0)," · SKU no existe","")&amp;IF(OR($I8="",NOT(ISNUMBER($I8)),$I8&lt;=0)," · Cantidad inválida","")&amp;IF($M8="PRECIO PENDIENTE"," · Falta precio de venta","")&amp;IF($P8="COSTO PENDIENTE"," · Falta costo del producto","")&amp;IF(AND(ISNUMBER($Q8),$Q8&lt;0)," · UTILIDAD NEGATIVA","")&amp;IF(AND($F8&lt;&gt;"",ISNUMBER(INDEX(tblInventario[Stock actual],MATCH($F8,tblInventario[SKU],0))),INDEX(tblInventario[Stock actual],MATCH($F8,tblInventario[SKU],0))&lt;0)," · Stock negativo del SKU","")&amp;IF(AND($T8="Cobrado",$U8="")," · Cobro sin fecha","")&amp;IF(AND(ISNUMBER($V8),ISNUMBER($N8),$V8&gt;N($N8)+0.01)," · Cobrado &gt; venta neta","")&amp;IF(AND(ISNUMBER($V8),$V8&gt;0,$U8="")," · Monto cobrado sin fecha",""),4,900)))</f>
        <v/>
      </c>
    </row>
    <row r="9">
      <c r="A9" s="51">
        <f>IF(COUNTA($B9,$C9,$D9,$E9,$F9,$I9)=0,"","V-"&amp;TEXT(ROW()-6,"0000"))</f>
        <v/>
      </c>
      <c r="B9" s="41" t="n"/>
      <c r="C9" s="33" t="n"/>
      <c r="D9" s="33" t="n"/>
      <c r="E9" s="33" t="n"/>
      <c r="F9" s="33" t="n"/>
      <c r="G9" s="51">
        <f>IF($F9="","",IFERROR(IF(INDEX(tblProductos[Nombre del producto],MATCH($F9,tblProductos[SKU],0))="","",INDEX(tblProductos[Nombre del producto],MATCH($F9,tblProductos[SKU],0))),""))</f>
        <v/>
      </c>
      <c r="H9" s="51">
        <f>IF($F9="","",IFERROR(IF(INDEX(tblProductos[Categoría],MATCH($F9,tblProductos[SKU],0))="","",INDEX(tblProductos[Categoría],MATCH($F9,tblProductos[SKU],0))),""))</f>
        <v/>
      </c>
      <c r="I9" s="34" t="n"/>
      <c r="J9" s="39">
        <f>IF(OR($B9="",$F9="",$I9=""),"",IF($T9="Anulado",0,$I9))</f>
        <v/>
      </c>
      <c r="K9" s="54">
        <f>IF($F9="","",IFERROR(IF(INDEX(tblProductos[Precio de venta actual],MATCH($F9,tblProductos[SKU],0))="","",INDEX(tblProductos[Precio de venta actual],MATCH($F9,tblProductos[SKU],0))),""))</f>
        <v/>
      </c>
      <c r="L9" s="36" t="n"/>
      <c r="M9" s="37">
        <f>IF($J9="","",IF(NOT(ISNUMBER($K9)),"PRECIO PENDIENTE",$J9*$K9))</f>
        <v/>
      </c>
      <c r="N9" s="37">
        <f>IF($J9="","",IF(NOT(ISNUMBER($M9)),"PRECIO PENDIENTE",$M9-IF(ISNUMBER($L9),$L9,0)))</f>
        <v/>
      </c>
      <c r="O9" s="54">
        <f>IF($F9="","",IFERROR(INDEX(tblInventario[Costo unitario aplicado],MATCH($F9,tblInventario[SKU],0)),""))</f>
        <v/>
      </c>
      <c r="P9" s="37">
        <f>IF($J9="","",IF(NOT(ISNUMBER($O9)),"COSTO PENDIENTE",$J9*$O9))</f>
        <v/>
      </c>
      <c r="Q9" s="37">
        <f>IF($J9="","",IF(OR(NOT(ISNUMBER($N9)),NOT(ISNUMBER($P9))),"PENDIENTE",$N9-$P9))</f>
        <v/>
      </c>
      <c r="R9" s="38">
        <f>IF($J9="","",IF(OR(NOT(ISNUMBER($Q9)),NOT(ISNUMBER($N9)),$N9&lt;=0),"PENDIENTE",$Q9/$N9))</f>
        <v/>
      </c>
      <c r="S9" s="33" t="n"/>
      <c r="T9" s="33" t="n"/>
      <c r="U9" s="41" t="n"/>
      <c r="V9" s="36" t="n"/>
      <c r="W9" s="37">
        <f>IF(NOT(ISNUMBER($N9)),"",$N9-IF(ISNUMBER($V9),$V9,0))</f>
        <v/>
      </c>
      <c r="X9" s="33" t="n"/>
      <c r="Y9" s="51">
        <f>IF(COUNTA($B9,$C9,$D9,$E9,$F9,$I9)=0,"",IF(IF($B9=""," · Falta fecha","")&amp;IF($D9=""," · Falta cliente","")&amp;IF($E9=""," · Falta canal","")&amp;IF($F9=""," · Falta SKU","")&amp;IF(AND($F9&lt;&gt;"",COUNTIF(tblProductos[SKU],$F9)=0)," · SKU no existe","")&amp;IF(OR($I9="",NOT(ISNUMBER($I9)),$I9&lt;=0)," · Cantidad inválida","")&amp;IF($M9="PRECIO PENDIENTE"," · Falta precio de venta","")&amp;IF($P9="COSTO PENDIENTE"," · Falta costo del producto","")&amp;IF(AND(ISNUMBER($Q9),$Q9&lt;0)," · UTILIDAD NEGATIVA","")&amp;IF(AND($F9&lt;&gt;"",ISNUMBER(INDEX(tblInventario[Stock actual],MATCH($F9,tblInventario[SKU],0))),INDEX(tblInventario[Stock actual],MATCH($F9,tblInventario[SKU],0))&lt;0)," · Stock negativo del SKU","")&amp;IF(AND($T9="Cobrado",$U9="")," · Cobro sin fecha","")&amp;IF(AND(ISNUMBER($V9),ISNUMBER($N9),$V9&gt;N($N9)+0.01)," · Cobrado &gt; venta neta","")&amp;IF(AND(ISNUMBER($V9),$V9&gt;0,$U9="")," · Monto cobrado sin fecha","")="","OK",MID(IF($B9=""," · Falta fecha","")&amp;IF($D9=""," · Falta cliente","")&amp;IF($E9=""," · Falta canal","")&amp;IF($F9=""," · Falta SKU","")&amp;IF(AND($F9&lt;&gt;"",COUNTIF(tblProductos[SKU],$F9)=0)," · SKU no existe","")&amp;IF(OR($I9="",NOT(ISNUMBER($I9)),$I9&lt;=0)," · Cantidad inválida","")&amp;IF($M9="PRECIO PENDIENTE"," · Falta precio de venta","")&amp;IF($P9="COSTO PENDIENTE"," · Falta costo del producto","")&amp;IF(AND(ISNUMBER($Q9),$Q9&lt;0)," · UTILIDAD NEGATIVA","")&amp;IF(AND($F9&lt;&gt;"",ISNUMBER(INDEX(tblInventario[Stock actual],MATCH($F9,tblInventario[SKU],0))),INDEX(tblInventario[Stock actual],MATCH($F9,tblInventario[SKU],0))&lt;0)," · Stock negativo del SKU","")&amp;IF(AND($T9="Cobrado",$U9="")," · Cobro sin fecha","")&amp;IF(AND(ISNUMBER($V9),ISNUMBER($N9),$V9&gt;N($N9)+0.01)," · Cobrado &gt; venta neta","")&amp;IF(AND(ISNUMBER($V9),$V9&gt;0,$U9="")," · Monto cobrado sin fecha",""),4,900)))</f>
        <v/>
      </c>
    </row>
    <row r="10">
      <c r="A10" s="51">
        <f>IF(COUNTA($B10,$C10,$D10,$E10,$F10,$I10)=0,"","V-"&amp;TEXT(ROW()-6,"0000"))</f>
        <v/>
      </c>
      <c r="B10" s="41" t="n"/>
      <c r="C10" s="33" t="n"/>
      <c r="D10" s="33" t="n"/>
      <c r="E10" s="33" t="n"/>
      <c r="F10" s="33" t="n"/>
      <c r="G10" s="51">
        <f>IF($F10="","",IFERROR(IF(INDEX(tblProductos[Nombre del producto],MATCH($F10,tblProductos[SKU],0))="","",INDEX(tblProductos[Nombre del producto],MATCH($F10,tblProductos[SKU],0))),""))</f>
        <v/>
      </c>
      <c r="H10" s="51">
        <f>IF($F10="","",IFERROR(IF(INDEX(tblProductos[Categoría],MATCH($F10,tblProductos[SKU],0))="","",INDEX(tblProductos[Categoría],MATCH($F10,tblProductos[SKU],0))),""))</f>
        <v/>
      </c>
      <c r="I10" s="34" t="n"/>
      <c r="J10" s="39">
        <f>IF(OR($B10="",$F10="",$I10=""),"",IF($T10="Anulado",0,$I10))</f>
        <v/>
      </c>
      <c r="K10" s="54">
        <f>IF($F10="","",IFERROR(IF(INDEX(tblProductos[Precio de venta actual],MATCH($F10,tblProductos[SKU],0))="","",INDEX(tblProductos[Precio de venta actual],MATCH($F10,tblProductos[SKU],0))),""))</f>
        <v/>
      </c>
      <c r="L10" s="36" t="n"/>
      <c r="M10" s="37">
        <f>IF($J10="","",IF(NOT(ISNUMBER($K10)),"PRECIO PENDIENTE",$J10*$K10))</f>
        <v/>
      </c>
      <c r="N10" s="37">
        <f>IF($J10="","",IF(NOT(ISNUMBER($M10)),"PRECIO PENDIENTE",$M10-IF(ISNUMBER($L10),$L10,0)))</f>
        <v/>
      </c>
      <c r="O10" s="54">
        <f>IF($F10="","",IFERROR(INDEX(tblInventario[Costo unitario aplicado],MATCH($F10,tblInventario[SKU],0)),""))</f>
        <v/>
      </c>
      <c r="P10" s="37">
        <f>IF($J10="","",IF(NOT(ISNUMBER($O10)),"COSTO PENDIENTE",$J10*$O10))</f>
        <v/>
      </c>
      <c r="Q10" s="37">
        <f>IF($J10="","",IF(OR(NOT(ISNUMBER($N10)),NOT(ISNUMBER($P10))),"PENDIENTE",$N10-$P10))</f>
        <v/>
      </c>
      <c r="R10" s="38">
        <f>IF($J10="","",IF(OR(NOT(ISNUMBER($Q10)),NOT(ISNUMBER($N10)),$N10&lt;=0),"PENDIENTE",$Q10/$N10))</f>
        <v/>
      </c>
      <c r="S10" s="33" t="n"/>
      <c r="T10" s="33" t="n"/>
      <c r="U10" s="41" t="n"/>
      <c r="V10" s="36" t="n"/>
      <c r="W10" s="37">
        <f>IF(NOT(ISNUMBER($N10)),"",$N10-IF(ISNUMBER($V10),$V10,0))</f>
        <v/>
      </c>
      <c r="X10" s="33" t="n"/>
      <c r="Y10" s="51">
        <f>IF(COUNTA($B10,$C10,$D10,$E10,$F10,$I10)=0,"",IF(IF($B10=""," · Falta fecha","")&amp;IF($D10=""," · Falta cliente","")&amp;IF($E10=""," · Falta canal","")&amp;IF($F10=""," · Falta SKU","")&amp;IF(AND($F10&lt;&gt;"",COUNTIF(tblProductos[SKU],$F10)=0)," · SKU no existe","")&amp;IF(OR($I10="",NOT(ISNUMBER($I10)),$I10&lt;=0)," · Cantidad inválida","")&amp;IF($M10="PRECIO PENDIENTE"," · Falta precio de venta","")&amp;IF($P10="COSTO PENDIENTE"," · Falta costo del producto","")&amp;IF(AND(ISNUMBER($Q10),$Q10&lt;0)," · UTILIDAD NEGATIVA","")&amp;IF(AND($F10&lt;&gt;"",ISNUMBER(INDEX(tblInventario[Stock actual],MATCH($F10,tblInventario[SKU],0))),INDEX(tblInventario[Stock actual],MATCH($F10,tblInventario[SKU],0))&lt;0)," · Stock negativo del SKU","")&amp;IF(AND($T10="Cobrado",$U10="")," · Cobro sin fecha","")&amp;IF(AND(ISNUMBER($V10),ISNUMBER($N10),$V10&gt;N($N10)+0.01)," · Cobrado &gt; venta neta","")&amp;IF(AND(ISNUMBER($V10),$V10&gt;0,$U10="")," · Monto cobrado sin fecha","")="","OK",MID(IF($B10=""," · Falta fecha","")&amp;IF($D10=""," · Falta cliente","")&amp;IF($E10=""," · Falta canal","")&amp;IF($F10=""," · Falta SKU","")&amp;IF(AND($F10&lt;&gt;"",COUNTIF(tblProductos[SKU],$F10)=0)," · SKU no existe","")&amp;IF(OR($I10="",NOT(ISNUMBER($I10)),$I10&lt;=0)," · Cantidad inválida","")&amp;IF($M10="PRECIO PENDIENTE"," · Falta precio de venta","")&amp;IF($P10="COSTO PENDIENTE"," · Falta costo del producto","")&amp;IF(AND(ISNUMBER($Q10),$Q10&lt;0)," · UTILIDAD NEGATIVA","")&amp;IF(AND($F10&lt;&gt;"",ISNUMBER(INDEX(tblInventario[Stock actual],MATCH($F10,tblInventario[SKU],0))),INDEX(tblInventario[Stock actual],MATCH($F10,tblInventario[SKU],0))&lt;0)," · Stock negativo del SKU","")&amp;IF(AND($T10="Cobrado",$U10="")," · Cobro sin fecha","")&amp;IF(AND(ISNUMBER($V10),ISNUMBER($N10),$V10&gt;N($N10)+0.01)," · Cobrado &gt; venta neta","")&amp;IF(AND(ISNUMBER($V10),$V10&gt;0,$U10="")," · Monto cobrado sin fecha",""),4,900)))</f>
        <v/>
      </c>
    </row>
    <row r="11">
      <c r="A11" s="51">
        <f>IF(COUNTA($B11,$C11,$D11,$E11,$F11,$I11)=0,"","V-"&amp;TEXT(ROW()-6,"0000"))</f>
        <v/>
      </c>
      <c r="B11" s="41" t="n"/>
      <c r="C11" s="33" t="n"/>
      <c r="D11" s="33" t="n"/>
      <c r="E11" s="33" t="n"/>
      <c r="F11" s="33" t="n"/>
      <c r="G11" s="51">
        <f>IF($F11="","",IFERROR(IF(INDEX(tblProductos[Nombre del producto],MATCH($F11,tblProductos[SKU],0))="","",INDEX(tblProductos[Nombre del producto],MATCH($F11,tblProductos[SKU],0))),""))</f>
        <v/>
      </c>
      <c r="H11" s="51">
        <f>IF($F11="","",IFERROR(IF(INDEX(tblProductos[Categoría],MATCH($F11,tblProductos[SKU],0))="","",INDEX(tblProductos[Categoría],MATCH($F11,tblProductos[SKU],0))),""))</f>
        <v/>
      </c>
      <c r="I11" s="34" t="n"/>
      <c r="J11" s="39">
        <f>IF(OR($B11="",$F11="",$I11=""),"",IF($T11="Anulado",0,$I11))</f>
        <v/>
      </c>
      <c r="K11" s="54">
        <f>IF($F11="","",IFERROR(IF(INDEX(tblProductos[Precio de venta actual],MATCH($F11,tblProductos[SKU],0))="","",INDEX(tblProductos[Precio de venta actual],MATCH($F11,tblProductos[SKU],0))),""))</f>
        <v/>
      </c>
      <c r="L11" s="36" t="n"/>
      <c r="M11" s="37">
        <f>IF($J11="","",IF(NOT(ISNUMBER($K11)),"PRECIO PENDIENTE",$J11*$K11))</f>
        <v/>
      </c>
      <c r="N11" s="37">
        <f>IF($J11="","",IF(NOT(ISNUMBER($M11)),"PRECIO PENDIENTE",$M11-IF(ISNUMBER($L11),$L11,0)))</f>
        <v/>
      </c>
      <c r="O11" s="54">
        <f>IF($F11="","",IFERROR(INDEX(tblInventario[Costo unitario aplicado],MATCH($F11,tblInventario[SKU],0)),""))</f>
        <v/>
      </c>
      <c r="P11" s="37">
        <f>IF($J11="","",IF(NOT(ISNUMBER($O11)),"COSTO PENDIENTE",$J11*$O11))</f>
        <v/>
      </c>
      <c r="Q11" s="37">
        <f>IF($J11="","",IF(OR(NOT(ISNUMBER($N11)),NOT(ISNUMBER($P11))),"PENDIENTE",$N11-$P11))</f>
        <v/>
      </c>
      <c r="R11" s="38">
        <f>IF($J11="","",IF(OR(NOT(ISNUMBER($Q11)),NOT(ISNUMBER($N11)),$N11&lt;=0),"PENDIENTE",$Q11/$N11))</f>
        <v/>
      </c>
      <c r="S11" s="33" t="n"/>
      <c r="T11" s="33" t="n"/>
      <c r="U11" s="41" t="n"/>
      <c r="V11" s="36" t="n"/>
      <c r="W11" s="37">
        <f>IF(NOT(ISNUMBER($N11)),"",$N11-IF(ISNUMBER($V11),$V11,0))</f>
        <v/>
      </c>
      <c r="X11" s="33" t="n"/>
      <c r="Y11" s="51">
        <f>IF(COUNTA($B11,$C11,$D11,$E11,$F11,$I11)=0,"",IF(IF($B11=""," · Falta fecha","")&amp;IF($D11=""," · Falta cliente","")&amp;IF($E11=""," · Falta canal","")&amp;IF($F11=""," · Falta SKU","")&amp;IF(AND($F11&lt;&gt;"",COUNTIF(tblProductos[SKU],$F11)=0)," · SKU no existe","")&amp;IF(OR($I11="",NOT(ISNUMBER($I11)),$I11&lt;=0)," · Cantidad inválida","")&amp;IF($M11="PRECIO PENDIENTE"," · Falta precio de venta","")&amp;IF($P11="COSTO PENDIENTE"," · Falta costo del producto","")&amp;IF(AND(ISNUMBER($Q11),$Q11&lt;0)," · UTILIDAD NEGATIVA","")&amp;IF(AND($F11&lt;&gt;"",ISNUMBER(INDEX(tblInventario[Stock actual],MATCH($F11,tblInventario[SKU],0))),INDEX(tblInventario[Stock actual],MATCH($F11,tblInventario[SKU],0))&lt;0)," · Stock negativo del SKU","")&amp;IF(AND($T11="Cobrado",$U11="")," · Cobro sin fecha","")&amp;IF(AND(ISNUMBER($V11),ISNUMBER($N11),$V11&gt;N($N11)+0.01)," · Cobrado &gt; venta neta","")&amp;IF(AND(ISNUMBER($V11),$V11&gt;0,$U11="")," · Monto cobrado sin fecha","")="","OK",MID(IF($B11=""," · Falta fecha","")&amp;IF($D11=""," · Falta cliente","")&amp;IF($E11=""," · Falta canal","")&amp;IF($F11=""," · Falta SKU","")&amp;IF(AND($F11&lt;&gt;"",COUNTIF(tblProductos[SKU],$F11)=0)," · SKU no existe","")&amp;IF(OR($I11="",NOT(ISNUMBER($I11)),$I11&lt;=0)," · Cantidad inválida","")&amp;IF($M11="PRECIO PENDIENTE"," · Falta precio de venta","")&amp;IF($P11="COSTO PENDIENTE"," · Falta costo del producto","")&amp;IF(AND(ISNUMBER($Q11),$Q11&lt;0)," · UTILIDAD NEGATIVA","")&amp;IF(AND($F11&lt;&gt;"",ISNUMBER(INDEX(tblInventario[Stock actual],MATCH($F11,tblInventario[SKU],0))),INDEX(tblInventario[Stock actual],MATCH($F11,tblInventario[SKU],0))&lt;0)," · Stock negativo del SKU","")&amp;IF(AND($T11="Cobrado",$U11="")," · Cobro sin fecha","")&amp;IF(AND(ISNUMBER($V11),ISNUMBER($N11),$V11&gt;N($N11)+0.01)," · Cobrado &gt; venta neta","")&amp;IF(AND(ISNUMBER($V11),$V11&gt;0,$U11="")," · Monto cobrado sin fecha",""),4,900)))</f>
        <v/>
      </c>
    </row>
    <row r="12">
      <c r="A12" s="51">
        <f>IF(COUNTA($B12,$C12,$D12,$E12,$F12,$I12)=0,"","V-"&amp;TEXT(ROW()-6,"0000"))</f>
        <v/>
      </c>
      <c r="B12" s="41" t="n"/>
      <c r="C12" s="33" t="n"/>
      <c r="D12" s="33" t="n"/>
      <c r="E12" s="33" t="n"/>
      <c r="F12" s="33" t="n"/>
      <c r="G12" s="51">
        <f>IF($F12="","",IFERROR(IF(INDEX(tblProductos[Nombre del producto],MATCH($F12,tblProductos[SKU],0))="","",INDEX(tblProductos[Nombre del producto],MATCH($F12,tblProductos[SKU],0))),""))</f>
        <v/>
      </c>
      <c r="H12" s="51">
        <f>IF($F12="","",IFERROR(IF(INDEX(tblProductos[Categoría],MATCH($F12,tblProductos[SKU],0))="","",INDEX(tblProductos[Categoría],MATCH($F12,tblProductos[SKU],0))),""))</f>
        <v/>
      </c>
      <c r="I12" s="34" t="n"/>
      <c r="J12" s="39">
        <f>IF(OR($B12="",$F12="",$I12=""),"",IF($T12="Anulado",0,$I12))</f>
        <v/>
      </c>
      <c r="K12" s="54">
        <f>IF($F12="","",IFERROR(IF(INDEX(tblProductos[Precio de venta actual],MATCH($F12,tblProductos[SKU],0))="","",INDEX(tblProductos[Precio de venta actual],MATCH($F12,tblProductos[SKU],0))),""))</f>
        <v/>
      </c>
      <c r="L12" s="36" t="n"/>
      <c r="M12" s="37">
        <f>IF($J12="","",IF(NOT(ISNUMBER($K12)),"PRECIO PENDIENTE",$J12*$K12))</f>
        <v/>
      </c>
      <c r="N12" s="37">
        <f>IF($J12="","",IF(NOT(ISNUMBER($M12)),"PRECIO PENDIENTE",$M12-IF(ISNUMBER($L12),$L12,0)))</f>
        <v/>
      </c>
      <c r="O12" s="54">
        <f>IF($F12="","",IFERROR(INDEX(tblInventario[Costo unitario aplicado],MATCH($F12,tblInventario[SKU],0)),""))</f>
        <v/>
      </c>
      <c r="P12" s="37">
        <f>IF($J12="","",IF(NOT(ISNUMBER($O12)),"COSTO PENDIENTE",$J12*$O12))</f>
        <v/>
      </c>
      <c r="Q12" s="37">
        <f>IF($J12="","",IF(OR(NOT(ISNUMBER($N12)),NOT(ISNUMBER($P12))),"PENDIENTE",$N12-$P12))</f>
        <v/>
      </c>
      <c r="R12" s="38">
        <f>IF($J12="","",IF(OR(NOT(ISNUMBER($Q12)),NOT(ISNUMBER($N12)),$N12&lt;=0),"PENDIENTE",$Q12/$N12))</f>
        <v/>
      </c>
      <c r="S12" s="33" t="n"/>
      <c r="T12" s="33" t="n"/>
      <c r="U12" s="41" t="n"/>
      <c r="V12" s="36" t="n"/>
      <c r="W12" s="37">
        <f>IF(NOT(ISNUMBER($N12)),"",$N12-IF(ISNUMBER($V12),$V12,0))</f>
        <v/>
      </c>
      <c r="X12" s="33" t="n"/>
      <c r="Y12" s="51">
        <f>IF(COUNTA($B12,$C12,$D12,$E12,$F12,$I12)=0,"",IF(IF($B12=""," · Falta fecha","")&amp;IF($D12=""," · Falta cliente","")&amp;IF($E12=""," · Falta canal","")&amp;IF($F12=""," · Falta SKU","")&amp;IF(AND($F12&lt;&gt;"",COUNTIF(tblProductos[SKU],$F12)=0)," · SKU no existe","")&amp;IF(OR($I12="",NOT(ISNUMBER($I12)),$I12&lt;=0)," · Cantidad inválida","")&amp;IF($M12="PRECIO PENDIENTE"," · Falta precio de venta","")&amp;IF($P12="COSTO PENDIENTE"," · Falta costo del producto","")&amp;IF(AND(ISNUMBER($Q12),$Q12&lt;0)," · UTILIDAD NEGATIVA","")&amp;IF(AND($F12&lt;&gt;"",ISNUMBER(INDEX(tblInventario[Stock actual],MATCH($F12,tblInventario[SKU],0))),INDEX(tblInventario[Stock actual],MATCH($F12,tblInventario[SKU],0))&lt;0)," · Stock negativo del SKU","")&amp;IF(AND($T12="Cobrado",$U12="")," · Cobro sin fecha","")&amp;IF(AND(ISNUMBER($V12),ISNUMBER($N12),$V12&gt;N($N12)+0.01)," · Cobrado &gt; venta neta","")&amp;IF(AND(ISNUMBER($V12),$V12&gt;0,$U12="")," · Monto cobrado sin fecha","")="","OK",MID(IF($B12=""," · Falta fecha","")&amp;IF($D12=""," · Falta cliente","")&amp;IF($E12=""," · Falta canal","")&amp;IF($F12=""," · Falta SKU","")&amp;IF(AND($F12&lt;&gt;"",COUNTIF(tblProductos[SKU],$F12)=0)," · SKU no existe","")&amp;IF(OR($I12="",NOT(ISNUMBER($I12)),$I12&lt;=0)," · Cantidad inválida","")&amp;IF($M12="PRECIO PENDIENTE"," · Falta precio de venta","")&amp;IF($P12="COSTO PENDIENTE"," · Falta costo del producto","")&amp;IF(AND(ISNUMBER($Q12),$Q12&lt;0)," · UTILIDAD NEGATIVA","")&amp;IF(AND($F12&lt;&gt;"",ISNUMBER(INDEX(tblInventario[Stock actual],MATCH($F12,tblInventario[SKU],0))),INDEX(tblInventario[Stock actual],MATCH($F12,tblInventario[SKU],0))&lt;0)," · Stock negativo del SKU","")&amp;IF(AND($T12="Cobrado",$U12="")," · Cobro sin fecha","")&amp;IF(AND(ISNUMBER($V12),ISNUMBER($N12),$V12&gt;N($N12)+0.01)," · Cobrado &gt; venta neta","")&amp;IF(AND(ISNUMBER($V12),$V12&gt;0,$U12="")," · Monto cobrado sin fecha",""),4,900)))</f>
        <v/>
      </c>
    </row>
    <row r="13">
      <c r="A13" s="51">
        <f>IF(COUNTA($B13,$C13,$D13,$E13,$F13,$I13)=0,"","V-"&amp;TEXT(ROW()-6,"0000"))</f>
        <v/>
      </c>
      <c r="B13" s="41" t="n"/>
      <c r="C13" s="33" t="n"/>
      <c r="D13" s="33" t="n"/>
      <c r="E13" s="33" t="n"/>
      <c r="F13" s="33" t="n"/>
      <c r="G13" s="51">
        <f>IF($F13="","",IFERROR(IF(INDEX(tblProductos[Nombre del producto],MATCH($F13,tblProductos[SKU],0))="","",INDEX(tblProductos[Nombre del producto],MATCH($F13,tblProductos[SKU],0))),""))</f>
        <v/>
      </c>
      <c r="H13" s="51">
        <f>IF($F13="","",IFERROR(IF(INDEX(tblProductos[Categoría],MATCH($F13,tblProductos[SKU],0))="","",INDEX(tblProductos[Categoría],MATCH($F13,tblProductos[SKU],0))),""))</f>
        <v/>
      </c>
      <c r="I13" s="34" t="n"/>
      <c r="J13" s="39">
        <f>IF(OR($B13="",$F13="",$I13=""),"",IF($T13="Anulado",0,$I13))</f>
        <v/>
      </c>
      <c r="K13" s="54">
        <f>IF($F13="","",IFERROR(IF(INDEX(tblProductos[Precio de venta actual],MATCH($F13,tblProductos[SKU],0))="","",INDEX(tblProductos[Precio de venta actual],MATCH($F13,tblProductos[SKU],0))),""))</f>
        <v/>
      </c>
      <c r="L13" s="36" t="n"/>
      <c r="M13" s="37">
        <f>IF($J13="","",IF(NOT(ISNUMBER($K13)),"PRECIO PENDIENTE",$J13*$K13))</f>
        <v/>
      </c>
      <c r="N13" s="37">
        <f>IF($J13="","",IF(NOT(ISNUMBER($M13)),"PRECIO PENDIENTE",$M13-IF(ISNUMBER($L13),$L13,0)))</f>
        <v/>
      </c>
      <c r="O13" s="54">
        <f>IF($F13="","",IFERROR(INDEX(tblInventario[Costo unitario aplicado],MATCH($F13,tblInventario[SKU],0)),""))</f>
        <v/>
      </c>
      <c r="P13" s="37">
        <f>IF($J13="","",IF(NOT(ISNUMBER($O13)),"COSTO PENDIENTE",$J13*$O13))</f>
        <v/>
      </c>
      <c r="Q13" s="37">
        <f>IF($J13="","",IF(OR(NOT(ISNUMBER($N13)),NOT(ISNUMBER($P13))),"PENDIENTE",$N13-$P13))</f>
        <v/>
      </c>
      <c r="R13" s="38">
        <f>IF($J13="","",IF(OR(NOT(ISNUMBER($Q13)),NOT(ISNUMBER($N13)),$N13&lt;=0),"PENDIENTE",$Q13/$N13))</f>
        <v/>
      </c>
      <c r="S13" s="33" t="n"/>
      <c r="T13" s="33" t="n"/>
      <c r="U13" s="41" t="n"/>
      <c r="V13" s="36" t="n"/>
      <c r="W13" s="37">
        <f>IF(NOT(ISNUMBER($N13)),"",$N13-IF(ISNUMBER($V13),$V13,0))</f>
        <v/>
      </c>
      <c r="X13" s="33" t="n"/>
      <c r="Y13" s="51">
        <f>IF(COUNTA($B13,$C13,$D13,$E13,$F13,$I13)=0,"",IF(IF($B13=""," · Falta fecha","")&amp;IF($D13=""," · Falta cliente","")&amp;IF($E13=""," · Falta canal","")&amp;IF($F13=""," · Falta SKU","")&amp;IF(AND($F13&lt;&gt;"",COUNTIF(tblProductos[SKU],$F13)=0)," · SKU no existe","")&amp;IF(OR($I13="",NOT(ISNUMBER($I13)),$I13&lt;=0)," · Cantidad inválida","")&amp;IF($M13="PRECIO PENDIENTE"," · Falta precio de venta","")&amp;IF($P13="COSTO PENDIENTE"," · Falta costo del producto","")&amp;IF(AND(ISNUMBER($Q13),$Q13&lt;0)," · UTILIDAD NEGATIVA","")&amp;IF(AND($F13&lt;&gt;"",ISNUMBER(INDEX(tblInventario[Stock actual],MATCH($F13,tblInventario[SKU],0))),INDEX(tblInventario[Stock actual],MATCH($F13,tblInventario[SKU],0))&lt;0)," · Stock negativo del SKU","")&amp;IF(AND($T13="Cobrado",$U13="")," · Cobro sin fecha","")&amp;IF(AND(ISNUMBER($V13),ISNUMBER($N13),$V13&gt;N($N13)+0.01)," · Cobrado &gt; venta neta","")&amp;IF(AND(ISNUMBER($V13),$V13&gt;0,$U13="")," · Monto cobrado sin fecha","")="","OK",MID(IF($B13=""," · Falta fecha","")&amp;IF($D13=""," · Falta cliente","")&amp;IF($E13=""," · Falta canal","")&amp;IF($F13=""," · Falta SKU","")&amp;IF(AND($F13&lt;&gt;"",COUNTIF(tblProductos[SKU],$F13)=0)," · SKU no existe","")&amp;IF(OR($I13="",NOT(ISNUMBER($I13)),$I13&lt;=0)," · Cantidad inválida","")&amp;IF($M13="PRECIO PENDIENTE"," · Falta precio de venta","")&amp;IF($P13="COSTO PENDIENTE"," · Falta costo del producto","")&amp;IF(AND(ISNUMBER($Q13),$Q13&lt;0)," · UTILIDAD NEGATIVA","")&amp;IF(AND($F13&lt;&gt;"",ISNUMBER(INDEX(tblInventario[Stock actual],MATCH($F13,tblInventario[SKU],0))),INDEX(tblInventario[Stock actual],MATCH($F13,tblInventario[SKU],0))&lt;0)," · Stock negativo del SKU","")&amp;IF(AND($T13="Cobrado",$U13="")," · Cobro sin fecha","")&amp;IF(AND(ISNUMBER($V13),ISNUMBER($N13),$V13&gt;N($N13)+0.01)," · Cobrado &gt; venta neta","")&amp;IF(AND(ISNUMBER($V13),$V13&gt;0,$U13="")," · Monto cobrado sin fecha",""),4,900)))</f>
        <v/>
      </c>
    </row>
    <row r="14">
      <c r="A14" s="51">
        <f>IF(COUNTA($B14,$C14,$D14,$E14,$F14,$I14)=0,"","V-"&amp;TEXT(ROW()-6,"0000"))</f>
        <v/>
      </c>
      <c r="B14" s="41" t="n"/>
      <c r="C14" s="33" t="n"/>
      <c r="D14" s="33" t="n"/>
      <c r="E14" s="33" t="n"/>
      <c r="F14" s="33" t="n"/>
      <c r="G14" s="51">
        <f>IF($F14="","",IFERROR(IF(INDEX(tblProductos[Nombre del producto],MATCH($F14,tblProductos[SKU],0))="","",INDEX(tblProductos[Nombre del producto],MATCH($F14,tblProductos[SKU],0))),""))</f>
        <v/>
      </c>
      <c r="H14" s="51">
        <f>IF($F14="","",IFERROR(IF(INDEX(tblProductos[Categoría],MATCH($F14,tblProductos[SKU],0))="","",INDEX(tblProductos[Categoría],MATCH($F14,tblProductos[SKU],0))),""))</f>
        <v/>
      </c>
      <c r="I14" s="34" t="n"/>
      <c r="J14" s="39">
        <f>IF(OR($B14="",$F14="",$I14=""),"",IF($T14="Anulado",0,$I14))</f>
        <v/>
      </c>
      <c r="K14" s="54">
        <f>IF($F14="","",IFERROR(IF(INDEX(tblProductos[Precio de venta actual],MATCH($F14,tblProductos[SKU],0))="","",INDEX(tblProductos[Precio de venta actual],MATCH($F14,tblProductos[SKU],0))),""))</f>
        <v/>
      </c>
      <c r="L14" s="36" t="n"/>
      <c r="M14" s="37">
        <f>IF($J14="","",IF(NOT(ISNUMBER($K14)),"PRECIO PENDIENTE",$J14*$K14))</f>
        <v/>
      </c>
      <c r="N14" s="37">
        <f>IF($J14="","",IF(NOT(ISNUMBER($M14)),"PRECIO PENDIENTE",$M14-IF(ISNUMBER($L14),$L14,0)))</f>
        <v/>
      </c>
      <c r="O14" s="54">
        <f>IF($F14="","",IFERROR(INDEX(tblInventario[Costo unitario aplicado],MATCH($F14,tblInventario[SKU],0)),""))</f>
        <v/>
      </c>
      <c r="P14" s="37">
        <f>IF($J14="","",IF(NOT(ISNUMBER($O14)),"COSTO PENDIENTE",$J14*$O14))</f>
        <v/>
      </c>
      <c r="Q14" s="37">
        <f>IF($J14="","",IF(OR(NOT(ISNUMBER($N14)),NOT(ISNUMBER($P14))),"PENDIENTE",$N14-$P14))</f>
        <v/>
      </c>
      <c r="R14" s="38">
        <f>IF($J14="","",IF(OR(NOT(ISNUMBER($Q14)),NOT(ISNUMBER($N14)),$N14&lt;=0),"PENDIENTE",$Q14/$N14))</f>
        <v/>
      </c>
      <c r="S14" s="33" t="n"/>
      <c r="T14" s="33" t="n"/>
      <c r="U14" s="41" t="n"/>
      <c r="V14" s="36" t="n"/>
      <c r="W14" s="37">
        <f>IF(NOT(ISNUMBER($N14)),"",$N14-IF(ISNUMBER($V14),$V14,0))</f>
        <v/>
      </c>
      <c r="X14" s="33" t="n"/>
      <c r="Y14" s="51">
        <f>IF(COUNTA($B14,$C14,$D14,$E14,$F14,$I14)=0,"",IF(IF($B14=""," · Falta fecha","")&amp;IF($D14=""," · Falta cliente","")&amp;IF($E14=""," · Falta canal","")&amp;IF($F14=""," · Falta SKU","")&amp;IF(AND($F14&lt;&gt;"",COUNTIF(tblProductos[SKU],$F14)=0)," · SKU no existe","")&amp;IF(OR($I14="",NOT(ISNUMBER($I14)),$I14&lt;=0)," · Cantidad inválida","")&amp;IF($M14="PRECIO PENDIENTE"," · Falta precio de venta","")&amp;IF($P14="COSTO PENDIENTE"," · Falta costo del producto","")&amp;IF(AND(ISNUMBER($Q14),$Q14&lt;0)," · UTILIDAD NEGATIVA","")&amp;IF(AND($F14&lt;&gt;"",ISNUMBER(INDEX(tblInventario[Stock actual],MATCH($F14,tblInventario[SKU],0))),INDEX(tblInventario[Stock actual],MATCH($F14,tblInventario[SKU],0))&lt;0)," · Stock negativo del SKU","")&amp;IF(AND($T14="Cobrado",$U14="")," · Cobro sin fecha","")&amp;IF(AND(ISNUMBER($V14),ISNUMBER($N14),$V14&gt;N($N14)+0.01)," · Cobrado &gt; venta neta","")&amp;IF(AND(ISNUMBER($V14),$V14&gt;0,$U14="")," · Monto cobrado sin fecha","")="","OK",MID(IF($B14=""," · Falta fecha","")&amp;IF($D14=""," · Falta cliente","")&amp;IF($E14=""," · Falta canal","")&amp;IF($F14=""," · Falta SKU","")&amp;IF(AND($F14&lt;&gt;"",COUNTIF(tblProductos[SKU],$F14)=0)," · SKU no existe","")&amp;IF(OR($I14="",NOT(ISNUMBER($I14)),$I14&lt;=0)," · Cantidad inválida","")&amp;IF($M14="PRECIO PENDIENTE"," · Falta precio de venta","")&amp;IF($P14="COSTO PENDIENTE"," · Falta costo del producto","")&amp;IF(AND(ISNUMBER($Q14),$Q14&lt;0)," · UTILIDAD NEGATIVA","")&amp;IF(AND($F14&lt;&gt;"",ISNUMBER(INDEX(tblInventario[Stock actual],MATCH($F14,tblInventario[SKU],0))),INDEX(tblInventario[Stock actual],MATCH($F14,tblInventario[SKU],0))&lt;0)," · Stock negativo del SKU","")&amp;IF(AND($T14="Cobrado",$U14="")," · Cobro sin fecha","")&amp;IF(AND(ISNUMBER($V14),ISNUMBER($N14),$V14&gt;N($N14)+0.01)," · Cobrado &gt; venta neta","")&amp;IF(AND(ISNUMBER($V14),$V14&gt;0,$U14="")," · Monto cobrado sin fecha",""),4,900)))</f>
        <v/>
      </c>
    </row>
    <row r="15">
      <c r="A15" s="51">
        <f>IF(COUNTA($B15,$C15,$D15,$E15,$F15,$I15)=0,"","V-"&amp;TEXT(ROW()-6,"0000"))</f>
        <v/>
      </c>
      <c r="B15" s="41" t="n"/>
      <c r="C15" s="33" t="n"/>
      <c r="D15" s="33" t="n"/>
      <c r="E15" s="33" t="n"/>
      <c r="F15" s="33" t="n"/>
      <c r="G15" s="51">
        <f>IF($F15="","",IFERROR(IF(INDEX(tblProductos[Nombre del producto],MATCH($F15,tblProductos[SKU],0))="","",INDEX(tblProductos[Nombre del producto],MATCH($F15,tblProductos[SKU],0))),""))</f>
        <v/>
      </c>
      <c r="H15" s="51">
        <f>IF($F15="","",IFERROR(IF(INDEX(tblProductos[Categoría],MATCH($F15,tblProductos[SKU],0))="","",INDEX(tblProductos[Categoría],MATCH($F15,tblProductos[SKU],0))),""))</f>
        <v/>
      </c>
      <c r="I15" s="34" t="n"/>
      <c r="J15" s="39">
        <f>IF(OR($B15="",$F15="",$I15=""),"",IF($T15="Anulado",0,$I15))</f>
        <v/>
      </c>
      <c r="K15" s="54">
        <f>IF($F15="","",IFERROR(IF(INDEX(tblProductos[Precio de venta actual],MATCH($F15,tblProductos[SKU],0))="","",INDEX(tblProductos[Precio de venta actual],MATCH($F15,tblProductos[SKU],0))),""))</f>
        <v/>
      </c>
      <c r="L15" s="36" t="n"/>
      <c r="M15" s="37">
        <f>IF($J15="","",IF(NOT(ISNUMBER($K15)),"PRECIO PENDIENTE",$J15*$K15))</f>
        <v/>
      </c>
      <c r="N15" s="37">
        <f>IF($J15="","",IF(NOT(ISNUMBER($M15)),"PRECIO PENDIENTE",$M15-IF(ISNUMBER($L15),$L15,0)))</f>
        <v/>
      </c>
      <c r="O15" s="54">
        <f>IF($F15="","",IFERROR(INDEX(tblInventario[Costo unitario aplicado],MATCH($F15,tblInventario[SKU],0)),""))</f>
        <v/>
      </c>
      <c r="P15" s="37">
        <f>IF($J15="","",IF(NOT(ISNUMBER($O15)),"COSTO PENDIENTE",$J15*$O15))</f>
        <v/>
      </c>
      <c r="Q15" s="37">
        <f>IF($J15="","",IF(OR(NOT(ISNUMBER($N15)),NOT(ISNUMBER($P15))),"PENDIENTE",$N15-$P15))</f>
        <v/>
      </c>
      <c r="R15" s="38">
        <f>IF($J15="","",IF(OR(NOT(ISNUMBER($Q15)),NOT(ISNUMBER($N15)),$N15&lt;=0),"PENDIENTE",$Q15/$N15))</f>
        <v/>
      </c>
      <c r="S15" s="33" t="n"/>
      <c r="T15" s="33" t="n"/>
      <c r="U15" s="41" t="n"/>
      <c r="V15" s="36" t="n"/>
      <c r="W15" s="37">
        <f>IF(NOT(ISNUMBER($N15)),"",$N15-IF(ISNUMBER($V15),$V15,0))</f>
        <v/>
      </c>
      <c r="X15" s="33" t="n"/>
      <c r="Y15" s="51">
        <f>IF(COUNTA($B15,$C15,$D15,$E15,$F15,$I15)=0,"",IF(IF($B15=""," · Falta fecha","")&amp;IF($D15=""," · Falta cliente","")&amp;IF($E15=""," · Falta canal","")&amp;IF($F15=""," · Falta SKU","")&amp;IF(AND($F15&lt;&gt;"",COUNTIF(tblProductos[SKU],$F15)=0)," · SKU no existe","")&amp;IF(OR($I15="",NOT(ISNUMBER($I15)),$I15&lt;=0)," · Cantidad inválida","")&amp;IF($M15="PRECIO PENDIENTE"," · Falta precio de venta","")&amp;IF($P15="COSTO PENDIENTE"," · Falta costo del producto","")&amp;IF(AND(ISNUMBER($Q15),$Q15&lt;0)," · UTILIDAD NEGATIVA","")&amp;IF(AND($F15&lt;&gt;"",ISNUMBER(INDEX(tblInventario[Stock actual],MATCH($F15,tblInventario[SKU],0))),INDEX(tblInventario[Stock actual],MATCH($F15,tblInventario[SKU],0))&lt;0)," · Stock negativo del SKU","")&amp;IF(AND($T15="Cobrado",$U15="")," · Cobro sin fecha","")&amp;IF(AND(ISNUMBER($V15),ISNUMBER($N15),$V15&gt;N($N15)+0.01)," · Cobrado &gt; venta neta","")&amp;IF(AND(ISNUMBER($V15),$V15&gt;0,$U15="")," · Monto cobrado sin fecha","")="","OK",MID(IF($B15=""," · Falta fecha","")&amp;IF($D15=""," · Falta cliente","")&amp;IF($E15=""," · Falta canal","")&amp;IF($F15=""," · Falta SKU","")&amp;IF(AND($F15&lt;&gt;"",COUNTIF(tblProductos[SKU],$F15)=0)," · SKU no existe","")&amp;IF(OR($I15="",NOT(ISNUMBER($I15)),$I15&lt;=0)," · Cantidad inválida","")&amp;IF($M15="PRECIO PENDIENTE"," · Falta precio de venta","")&amp;IF($P15="COSTO PENDIENTE"," · Falta costo del producto","")&amp;IF(AND(ISNUMBER($Q15),$Q15&lt;0)," · UTILIDAD NEGATIVA","")&amp;IF(AND($F15&lt;&gt;"",ISNUMBER(INDEX(tblInventario[Stock actual],MATCH($F15,tblInventario[SKU],0))),INDEX(tblInventario[Stock actual],MATCH($F15,tblInventario[SKU],0))&lt;0)," · Stock negativo del SKU","")&amp;IF(AND($T15="Cobrado",$U15="")," · Cobro sin fecha","")&amp;IF(AND(ISNUMBER($V15),ISNUMBER($N15),$V15&gt;N($N15)+0.01)," · Cobrado &gt; venta neta","")&amp;IF(AND(ISNUMBER($V15),$V15&gt;0,$U15="")," · Monto cobrado sin fecha",""),4,900)))</f>
        <v/>
      </c>
    </row>
    <row r="16">
      <c r="A16" s="51">
        <f>IF(COUNTA($B16,$C16,$D16,$E16,$F16,$I16)=0,"","V-"&amp;TEXT(ROW()-6,"0000"))</f>
        <v/>
      </c>
      <c r="B16" s="41" t="n"/>
      <c r="C16" s="33" t="n"/>
      <c r="D16" s="33" t="n"/>
      <c r="E16" s="33" t="n"/>
      <c r="F16" s="33" t="n"/>
      <c r="G16" s="51">
        <f>IF($F16="","",IFERROR(IF(INDEX(tblProductos[Nombre del producto],MATCH($F16,tblProductos[SKU],0))="","",INDEX(tblProductos[Nombre del producto],MATCH($F16,tblProductos[SKU],0))),""))</f>
        <v/>
      </c>
      <c r="H16" s="51">
        <f>IF($F16="","",IFERROR(IF(INDEX(tblProductos[Categoría],MATCH($F16,tblProductos[SKU],0))="","",INDEX(tblProductos[Categoría],MATCH($F16,tblProductos[SKU],0))),""))</f>
        <v/>
      </c>
      <c r="I16" s="34" t="n"/>
      <c r="J16" s="39">
        <f>IF(OR($B16="",$F16="",$I16=""),"",IF($T16="Anulado",0,$I16))</f>
        <v/>
      </c>
      <c r="K16" s="54">
        <f>IF($F16="","",IFERROR(IF(INDEX(tblProductos[Precio de venta actual],MATCH($F16,tblProductos[SKU],0))="","",INDEX(tblProductos[Precio de venta actual],MATCH($F16,tblProductos[SKU],0))),""))</f>
        <v/>
      </c>
      <c r="L16" s="36" t="n"/>
      <c r="M16" s="37">
        <f>IF($J16="","",IF(NOT(ISNUMBER($K16)),"PRECIO PENDIENTE",$J16*$K16))</f>
        <v/>
      </c>
      <c r="N16" s="37">
        <f>IF($J16="","",IF(NOT(ISNUMBER($M16)),"PRECIO PENDIENTE",$M16-IF(ISNUMBER($L16),$L16,0)))</f>
        <v/>
      </c>
      <c r="O16" s="54">
        <f>IF($F16="","",IFERROR(INDEX(tblInventario[Costo unitario aplicado],MATCH($F16,tblInventario[SKU],0)),""))</f>
        <v/>
      </c>
      <c r="P16" s="37">
        <f>IF($J16="","",IF(NOT(ISNUMBER($O16)),"COSTO PENDIENTE",$J16*$O16))</f>
        <v/>
      </c>
      <c r="Q16" s="37">
        <f>IF($J16="","",IF(OR(NOT(ISNUMBER($N16)),NOT(ISNUMBER($P16))),"PENDIENTE",$N16-$P16))</f>
        <v/>
      </c>
      <c r="R16" s="38">
        <f>IF($J16="","",IF(OR(NOT(ISNUMBER($Q16)),NOT(ISNUMBER($N16)),$N16&lt;=0),"PENDIENTE",$Q16/$N16))</f>
        <v/>
      </c>
      <c r="S16" s="33" t="n"/>
      <c r="T16" s="33" t="n"/>
      <c r="U16" s="41" t="n"/>
      <c r="V16" s="36" t="n"/>
      <c r="W16" s="37">
        <f>IF(NOT(ISNUMBER($N16)),"",$N16-IF(ISNUMBER($V16),$V16,0))</f>
        <v/>
      </c>
      <c r="X16" s="33" t="n"/>
      <c r="Y16" s="51">
        <f>IF(COUNTA($B16,$C16,$D16,$E16,$F16,$I16)=0,"",IF(IF($B16=""," · Falta fecha","")&amp;IF($D16=""," · Falta cliente","")&amp;IF($E16=""," · Falta canal","")&amp;IF($F16=""," · Falta SKU","")&amp;IF(AND($F16&lt;&gt;"",COUNTIF(tblProductos[SKU],$F16)=0)," · SKU no existe","")&amp;IF(OR($I16="",NOT(ISNUMBER($I16)),$I16&lt;=0)," · Cantidad inválida","")&amp;IF($M16="PRECIO PENDIENTE"," · Falta precio de venta","")&amp;IF($P16="COSTO PENDIENTE"," · Falta costo del producto","")&amp;IF(AND(ISNUMBER($Q16),$Q16&lt;0)," · UTILIDAD NEGATIVA","")&amp;IF(AND($F16&lt;&gt;"",ISNUMBER(INDEX(tblInventario[Stock actual],MATCH($F16,tblInventario[SKU],0))),INDEX(tblInventario[Stock actual],MATCH($F16,tblInventario[SKU],0))&lt;0)," · Stock negativo del SKU","")&amp;IF(AND($T16="Cobrado",$U16="")," · Cobro sin fecha","")&amp;IF(AND(ISNUMBER($V16),ISNUMBER($N16),$V16&gt;N($N16)+0.01)," · Cobrado &gt; venta neta","")&amp;IF(AND(ISNUMBER($V16),$V16&gt;0,$U16="")," · Monto cobrado sin fecha","")="","OK",MID(IF($B16=""," · Falta fecha","")&amp;IF($D16=""," · Falta cliente","")&amp;IF($E16=""," · Falta canal","")&amp;IF($F16=""," · Falta SKU","")&amp;IF(AND($F16&lt;&gt;"",COUNTIF(tblProductos[SKU],$F16)=0)," · SKU no existe","")&amp;IF(OR($I16="",NOT(ISNUMBER($I16)),$I16&lt;=0)," · Cantidad inválida","")&amp;IF($M16="PRECIO PENDIENTE"," · Falta precio de venta","")&amp;IF($P16="COSTO PENDIENTE"," · Falta costo del producto","")&amp;IF(AND(ISNUMBER($Q16),$Q16&lt;0)," · UTILIDAD NEGATIVA","")&amp;IF(AND($F16&lt;&gt;"",ISNUMBER(INDEX(tblInventario[Stock actual],MATCH($F16,tblInventario[SKU],0))),INDEX(tblInventario[Stock actual],MATCH($F16,tblInventario[SKU],0))&lt;0)," · Stock negativo del SKU","")&amp;IF(AND($T16="Cobrado",$U16="")," · Cobro sin fecha","")&amp;IF(AND(ISNUMBER($V16),ISNUMBER($N16),$V16&gt;N($N16)+0.01)," · Cobrado &gt; venta neta","")&amp;IF(AND(ISNUMBER($V16),$V16&gt;0,$U16="")," · Monto cobrado sin fecha",""),4,900)))</f>
        <v/>
      </c>
    </row>
    <row r="17">
      <c r="A17" s="51">
        <f>IF(COUNTA($B17,$C17,$D17,$E17,$F17,$I17)=0,"","V-"&amp;TEXT(ROW()-6,"0000"))</f>
        <v/>
      </c>
      <c r="B17" s="41" t="n"/>
      <c r="C17" s="33" t="n"/>
      <c r="D17" s="33" t="n"/>
      <c r="E17" s="33" t="n"/>
      <c r="F17" s="33" t="n"/>
      <c r="G17" s="51">
        <f>IF($F17="","",IFERROR(IF(INDEX(tblProductos[Nombre del producto],MATCH($F17,tblProductos[SKU],0))="","",INDEX(tblProductos[Nombre del producto],MATCH($F17,tblProductos[SKU],0))),""))</f>
        <v/>
      </c>
      <c r="H17" s="51">
        <f>IF($F17="","",IFERROR(IF(INDEX(tblProductos[Categoría],MATCH($F17,tblProductos[SKU],0))="","",INDEX(tblProductos[Categoría],MATCH($F17,tblProductos[SKU],0))),""))</f>
        <v/>
      </c>
      <c r="I17" s="34" t="n"/>
      <c r="J17" s="39">
        <f>IF(OR($B17="",$F17="",$I17=""),"",IF($T17="Anulado",0,$I17))</f>
        <v/>
      </c>
      <c r="K17" s="54">
        <f>IF($F17="","",IFERROR(IF(INDEX(tblProductos[Precio de venta actual],MATCH($F17,tblProductos[SKU],0))="","",INDEX(tblProductos[Precio de venta actual],MATCH($F17,tblProductos[SKU],0))),""))</f>
        <v/>
      </c>
      <c r="L17" s="36" t="n"/>
      <c r="M17" s="37">
        <f>IF($J17="","",IF(NOT(ISNUMBER($K17)),"PRECIO PENDIENTE",$J17*$K17))</f>
        <v/>
      </c>
      <c r="N17" s="37">
        <f>IF($J17="","",IF(NOT(ISNUMBER($M17)),"PRECIO PENDIENTE",$M17-IF(ISNUMBER($L17),$L17,0)))</f>
        <v/>
      </c>
      <c r="O17" s="54">
        <f>IF($F17="","",IFERROR(INDEX(tblInventario[Costo unitario aplicado],MATCH($F17,tblInventario[SKU],0)),""))</f>
        <v/>
      </c>
      <c r="P17" s="37">
        <f>IF($J17="","",IF(NOT(ISNUMBER($O17)),"COSTO PENDIENTE",$J17*$O17))</f>
        <v/>
      </c>
      <c r="Q17" s="37">
        <f>IF($J17="","",IF(OR(NOT(ISNUMBER($N17)),NOT(ISNUMBER($P17))),"PENDIENTE",$N17-$P17))</f>
        <v/>
      </c>
      <c r="R17" s="38">
        <f>IF($J17="","",IF(OR(NOT(ISNUMBER($Q17)),NOT(ISNUMBER($N17)),$N17&lt;=0),"PENDIENTE",$Q17/$N17))</f>
        <v/>
      </c>
      <c r="S17" s="33" t="n"/>
      <c r="T17" s="33" t="n"/>
      <c r="U17" s="41" t="n"/>
      <c r="V17" s="36" t="n"/>
      <c r="W17" s="37">
        <f>IF(NOT(ISNUMBER($N17)),"",$N17-IF(ISNUMBER($V17),$V17,0))</f>
        <v/>
      </c>
      <c r="X17" s="33" t="n"/>
      <c r="Y17" s="51">
        <f>IF(COUNTA($B17,$C17,$D17,$E17,$F17,$I17)=0,"",IF(IF($B17=""," · Falta fecha","")&amp;IF($D17=""," · Falta cliente","")&amp;IF($E17=""," · Falta canal","")&amp;IF($F17=""," · Falta SKU","")&amp;IF(AND($F17&lt;&gt;"",COUNTIF(tblProductos[SKU],$F17)=0)," · SKU no existe","")&amp;IF(OR($I17="",NOT(ISNUMBER($I17)),$I17&lt;=0)," · Cantidad inválida","")&amp;IF($M17="PRECIO PENDIENTE"," · Falta precio de venta","")&amp;IF($P17="COSTO PENDIENTE"," · Falta costo del producto","")&amp;IF(AND(ISNUMBER($Q17),$Q17&lt;0)," · UTILIDAD NEGATIVA","")&amp;IF(AND($F17&lt;&gt;"",ISNUMBER(INDEX(tblInventario[Stock actual],MATCH($F17,tblInventario[SKU],0))),INDEX(tblInventario[Stock actual],MATCH($F17,tblInventario[SKU],0))&lt;0)," · Stock negativo del SKU","")&amp;IF(AND($T17="Cobrado",$U17="")," · Cobro sin fecha","")&amp;IF(AND(ISNUMBER($V17),ISNUMBER($N17),$V17&gt;N($N17)+0.01)," · Cobrado &gt; venta neta","")&amp;IF(AND(ISNUMBER($V17),$V17&gt;0,$U17="")," · Monto cobrado sin fecha","")="","OK",MID(IF($B17=""," · Falta fecha","")&amp;IF($D17=""," · Falta cliente","")&amp;IF($E17=""," · Falta canal","")&amp;IF($F17=""," · Falta SKU","")&amp;IF(AND($F17&lt;&gt;"",COUNTIF(tblProductos[SKU],$F17)=0)," · SKU no existe","")&amp;IF(OR($I17="",NOT(ISNUMBER($I17)),$I17&lt;=0)," · Cantidad inválida","")&amp;IF($M17="PRECIO PENDIENTE"," · Falta precio de venta","")&amp;IF($P17="COSTO PENDIENTE"," · Falta costo del producto","")&amp;IF(AND(ISNUMBER($Q17),$Q17&lt;0)," · UTILIDAD NEGATIVA","")&amp;IF(AND($F17&lt;&gt;"",ISNUMBER(INDEX(tblInventario[Stock actual],MATCH($F17,tblInventario[SKU],0))),INDEX(tblInventario[Stock actual],MATCH($F17,tblInventario[SKU],0))&lt;0)," · Stock negativo del SKU","")&amp;IF(AND($T17="Cobrado",$U17="")," · Cobro sin fecha","")&amp;IF(AND(ISNUMBER($V17),ISNUMBER($N17),$V17&gt;N($N17)+0.01)," · Cobrado &gt; venta neta","")&amp;IF(AND(ISNUMBER($V17),$V17&gt;0,$U17="")," · Monto cobrado sin fecha",""),4,900)))</f>
        <v/>
      </c>
    </row>
    <row r="18">
      <c r="A18" s="51">
        <f>IF(COUNTA($B18,$C18,$D18,$E18,$F18,$I18)=0,"","V-"&amp;TEXT(ROW()-6,"0000"))</f>
        <v/>
      </c>
      <c r="B18" s="41" t="n"/>
      <c r="C18" s="33" t="n"/>
      <c r="D18" s="33" t="n"/>
      <c r="E18" s="33" t="n"/>
      <c r="F18" s="33" t="n"/>
      <c r="G18" s="51">
        <f>IF($F18="","",IFERROR(IF(INDEX(tblProductos[Nombre del producto],MATCH($F18,tblProductos[SKU],0))="","",INDEX(tblProductos[Nombre del producto],MATCH($F18,tblProductos[SKU],0))),""))</f>
        <v/>
      </c>
      <c r="H18" s="51">
        <f>IF($F18="","",IFERROR(IF(INDEX(tblProductos[Categoría],MATCH($F18,tblProductos[SKU],0))="","",INDEX(tblProductos[Categoría],MATCH($F18,tblProductos[SKU],0))),""))</f>
        <v/>
      </c>
      <c r="I18" s="34" t="n"/>
      <c r="J18" s="39">
        <f>IF(OR($B18="",$F18="",$I18=""),"",IF($T18="Anulado",0,$I18))</f>
        <v/>
      </c>
      <c r="K18" s="54">
        <f>IF($F18="","",IFERROR(IF(INDEX(tblProductos[Precio de venta actual],MATCH($F18,tblProductos[SKU],0))="","",INDEX(tblProductos[Precio de venta actual],MATCH($F18,tblProductos[SKU],0))),""))</f>
        <v/>
      </c>
      <c r="L18" s="36" t="n"/>
      <c r="M18" s="37">
        <f>IF($J18="","",IF(NOT(ISNUMBER($K18)),"PRECIO PENDIENTE",$J18*$K18))</f>
        <v/>
      </c>
      <c r="N18" s="37">
        <f>IF($J18="","",IF(NOT(ISNUMBER($M18)),"PRECIO PENDIENTE",$M18-IF(ISNUMBER($L18),$L18,0)))</f>
        <v/>
      </c>
      <c r="O18" s="54">
        <f>IF($F18="","",IFERROR(INDEX(tblInventario[Costo unitario aplicado],MATCH($F18,tblInventario[SKU],0)),""))</f>
        <v/>
      </c>
      <c r="P18" s="37">
        <f>IF($J18="","",IF(NOT(ISNUMBER($O18)),"COSTO PENDIENTE",$J18*$O18))</f>
        <v/>
      </c>
      <c r="Q18" s="37">
        <f>IF($J18="","",IF(OR(NOT(ISNUMBER($N18)),NOT(ISNUMBER($P18))),"PENDIENTE",$N18-$P18))</f>
        <v/>
      </c>
      <c r="R18" s="38">
        <f>IF($J18="","",IF(OR(NOT(ISNUMBER($Q18)),NOT(ISNUMBER($N18)),$N18&lt;=0),"PENDIENTE",$Q18/$N18))</f>
        <v/>
      </c>
      <c r="S18" s="33" t="n"/>
      <c r="T18" s="33" t="n"/>
      <c r="U18" s="41" t="n"/>
      <c r="V18" s="36" t="n"/>
      <c r="W18" s="37">
        <f>IF(NOT(ISNUMBER($N18)),"",$N18-IF(ISNUMBER($V18),$V18,0))</f>
        <v/>
      </c>
      <c r="X18" s="33" t="n"/>
      <c r="Y18" s="51">
        <f>IF(COUNTA($B18,$C18,$D18,$E18,$F18,$I18)=0,"",IF(IF($B18=""," · Falta fecha","")&amp;IF($D18=""," · Falta cliente","")&amp;IF($E18=""," · Falta canal","")&amp;IF($F18=""," · Falta SKU","")&amp;IF(AND($F18&lt;&gt;"",COUNTIF(tblProductos[SKU],$F18)=0)," · SKU no existe","")&amp;IF(OR($I18="",NOT(ISNUMBER($I18)),$I18&lt;=0)," · Cantidad inválida","")&amp;IF($M18="PRECIO PENDIENTE"," · Falta precio de venta","")&amp;IF($P18="COSTO PENDIENTE"," · Falta costo del producto","")&amp;IF(AND(ISNUMBER($Q18),$Q18&lt;0)," · UTILIDAD NEGATIVA","")&amp;IF(AND($F18&lt;&gt;"",ISNUMBER(INDEX(tblInventario[Stock actual],MATCH($F18,tblInventario[SKU],0))),INDEX(tblInventario[Stock actual],MATCH($F18,tblInventario[SKU],0))&lt;0)," · Stock negativo del SKU","")&amp;IF(AND($T18="Cobrado",$U18="")," · Cobro sin fecha","")&amp;IF(AND(ISNUMBER($V18),ISNUMBER($N18),$V18&gt;N($N18)+0.01)," · Cobrado &gt; venta neta","")&amp;IF(AND(ISNUMBER($V18),$V18&gt;0,$U18="")," · Monto cobrado sin fecha","")="","OK",MID(IF($B18=""," · Falta fecha","")&amp;IF($D18=""," · Falta cliente","")&amp;IF($E18=""," · Falta canal","")&amp;IF($F18=""," · Falta SKU","")&amp;IF(AND($F18&lt;&gt;"",COUNTIF(tblProductos[SKU],$F18)=0)," · SKU no existe","")&amp;IF(OR($I18="",NOT(ISNUMBER($I18)),$I18&lt;=0)," · Cantidad inválida","")&amp;IF($M18="PRECIO PENDIENTE"," · Falta precio de venta","")&amp;IF($P18="COSTO PENDIENTE"," · Falta costo del producto","")&amp;IF(AND(ISNUMBER($Q18),$Q18&lt;0)," · UTILIDAD NEGATIVA","")&amp;IF(AND($F18&lt;&gt;"",ISNUMBER(INDEX(tblInventario[Stock actual],MATCH($F18,tblInventario[SKU],0))),INDEX(tblInventario[Stock actual],MATCH($F18,tblInventario[SKU],0))&lt;0)," · Stock negativo del SKU","")&amp;IF(AND($T18="Cobrado",$U18="")," · Cobro sin fecha","")&amp;IF(AND(ISNUMBER($V18),ISNUMBER($N18),$V18&gt;N($N18)+0.01)," · Cobrado &gt; venta neta","")&amp;IF(AND(ISNUMBER($V18),$V18&gt;0,$U18="")," · Monto cobrado sin fecha",""),4,900)))</f>
        <v/>
      </c>
    </row>
    <row r="19">
      <c r="A19" s="51">
        <f>IF(COUNTA($B19,$C19,$D19,$E19,$F19,$I19)=0,"","V-"&amp;TEXT(ROW()-6,"0000"))</f>
        <v/>
      </c>
      <c r="B19" s="41" t="n"/>
      <c r="C19" s="33" t="n"/>
      <c r="D19" s="33" t="n"/>
      <c r="E19" s="33" t="n"/>
      <c r="F19" s="33" t="n"/>
      <c r="G19" s="51">
        <f>IF($F19="","",IFERROR(IF(INDEX(tblProductos[Nombre del producto],MATCH($F19,tblProductos[SKU],0))="","",INDEX(tblProductos[Nombre del producto],MATCH($F19,tblProductos[SKU],0))),""))</f>
        <v/>
      </c>
      <c r="H19" s="51">
        <f>IF($F19="","",IFERROR(IF(INDEX(tblProductos[Categoría],MATCH($F19,tblProductos[SKU],0))="","",INDEX(tblProductos[Categoría],MATCH($F19,tblProductos[SKU],0))),""))</f>
        <v/>
      </c>
      <c r="I19" s="34" t="n"/>
      <c r="J19" s="39">
        <f>IF(OR($B19="",$F19="",$I19=""),"",IF($T19="Anulado",0,$I19))</f>
        <v/>
      </c>
      <c r="K19" s="54">
        <f>IF($F19="","",IFERROR(IF(INDEX(tblProductos[Precio de venta actual],MATCH($F19,tblProductos[SKU],0))="","",INDEX(tblProductos[Precio de venta actual],MATCH($F19,tblProductos[SKU],0))),""))</f>
        <v/>
      </c>
      <c r="L19" s="36" t="n"/>
      <c r="M19" s="37">
        <f>IF($J19="","",IF(NOT(ISNUMBER($K19)),"PRECIO PENDIENTE",$J19*$K19))</f>
        <v/>
      </c>
      <c r="N19" s="37">
        <f>IF($J19="","",IF(NOT(ISNUMBER($M19)),"PRECIO PENDIENTE",$M19-IF(ISNUMBER($L19),$L19,0)))</f>
        <v/>
      </c>
      <c r="O19" s="54">
        <f>IF($F19="","",IFERROR(INDEX(tblInventario[Costo unitario aplicado],MATCH($F19,tblInventario[SKU],0)),""))</f>
        <v/>
      </c>
      <c r="P19" s="37">
        <f>IF($J19="","",IF(NOT(ISNUMBER($O19)),"COSTO PENDIENTE",$J19*$O19))</f>
        <v/>
      </c>
      <c r="Q19" s="37">
        <f>IF($J19="","",IF(OR(NOT(ISNUMBER($N19)),NOT(ISNUMBER($P19))),"PENDIENTE",$N19-$P19))</f>
        <v/>
      </c>
      <c r="R19" s="38">
        <f>IF($J19="","",IF(OR(NOT(ISNUMBER($Q19)),NOT(ISNUMBER($N19)),$N19&lt;=0),"PENDIENTE",$Q19/$N19))</f>
        <v/>
      </c>
      <c r="S19" s="33" t="n"/>
      <c r="T19" s="33" t="n"/>
      <c r="U19" s="41" t="n"/>
      <c r="V19" s="36" t="n"/>
      <c r="W19" s="37">
        <f>IF(NOT(ISNUMBER($N19)),"",$N19-IF(ISNUMBER($V19),$V19,0))</f>
        <v/>
      </c>
      <c r="X19" s="33" t="n"/>
      <c r="Y19" s="51">
        <f>IF(COUNTA($B19,$C19,$D19,$E19,$F19,$I19)=0,"",IF(IF($B19=""," · Falta fecha","")&amp;IF($D19=""," · Falta cliente","")&amp;IF($E19=""," · Falta canal","")&amp;IF($F19=""," · Falta SKU","")&amp;IF(AND($F19&lt;&gt;"",COUNTIF(tblProductos[SKU],$F19)=0)," · SKU no existe","")&amp;IF(OR($I19="",NOT(ISNUMBER($I19)),$I19&lt;=0)," · Cantidad inválida","")&amp;IF($M19="PRECIO PENDIENTE"," · Falta precio de venta","")&amp;IF($P19="COSTO PENDIENTE"," · Falta costo del producto","")&amp;IF(AND(ISNUMBER($Q19),$Q19&lt;0)," · UTILIDAD NEGATIVA","")&amp;IF(AND($F19&lt;&gt;"",ISNUMBER(INDEX(tblInventario[Stock actual],MATCH($F19,tblInventario[SKU],0))),INDEX(tblInventario[Stock actual],MATCH($F19,tblInventario[SKU],0))&lt;0)," · Stock negativo del SKU","")&amp;IF(AND($T19="Cobrado",$U19="")," · Cobro sin fecha","")&amp;IF(AND(ISNUMBER($V19),ISNUMBER($N19),$V19&gt;N($N19)+0.01)," · Cobrado &gt; venta neta","")&amp;IF(AND(ISNUMBER($V19),$V19&gt;0,$U19="")," · Monto cobrado sin fecha","")="","OK",MID(IF($B19=""," · Falta fecha","")&amp;IF($D19=""," · Falta cliente","")&amp;IF($E19=""," · Falta canal","")&amp;IF($F19=""," · Falta SKU","")&amp;IF(AND($F19&lt;&gt;"",COUNTIF(tblProductos[SKU],$F19)=0)," · SKU no existe","")&amp;IF(OR($I19="",NOT(ISNUMBER($I19)),$I19&lt;=0)," · Cantidad inválida","")&amp;IF($M19="PRECIO PENDIENTE"," · Falta precio de venta","")&amp;IF($P19="COSTO PENDIENTE"," · Falta costo del producto","")&amp;IF(AND(ISNUMBER($Q19),$Q19&lt;0)," · UTILIDAD NEGATIVA","")&amp;IF(AND($F19&lt;&gt;"",ISNUMBER(INDEX(tblInventario[Stock actual],MATCH($F19,tblInventario[SKU],0))),INDEX(tblInventario[Stock actual],MATCH($F19,tblInventario[SKU],0))&lt;0)," · Stock negativo del SKU","")&amp;IF(AND($T19="Cobrado",$U19="")," · Cobro sin fecha","")&amp;IF(AND(ISNUMBER($V19),ISNUMBER($N19),$V19&gt;N($N19)+0.01)," · Cobrado &gt; venta neta","")&amp;IF(AND(ISNUMBER($V19),$V19&gt;0,$U19="")," · Monto cobrado sin fecha",""),4,900)))</f>
        <v/>
      </c>
    </row>
    <row r="20">
      <c r="A20" s="51">
        <f>IF(COUNTA($B20,$C20,$D20,$E20,$F20,$I20)=0,"","V-"&amp;TEXT(ROW()-6,"0000"))</f>
        <v/>
      </c>
      <c r="B20" s="41" t="n"/>
      <c r="C20" s="33" t="n"/>
      <c r="D20" s="33" t="n"/>
      <c r="E20" s="33" t="n"/>
      <c r="F20" s="33" t="n"/>
      <c r="G20" s="51">
        <f>IF($F20="","",IFERROR(IF(INDEX(tblProductos[Nombre del producto],MATCH($F20,tblProductos[SKU],0))="","",INDEX(tblProductos[Nombre del producto],MATCH($F20,tblProductos[SKU],0))),""))</f>
        <v/>
      </c>
      <c r="H20" s="51">
        <f>IF($F20="","",IFERROR(IF(INDEX(tblProductos[Categoría],MATCH($F20,tblProductos[SKU],0))="","",INDEX(tblProductos[Categoría],MATCH($F20,tblProductos[SKU],0))),""))</f>
        <v/>
      </c>
      <c r="I20" s="34" t="n"/>
      <c r="J20" s="39">
        <f>IF(OR($B20="",$F20="",$I20=""),"",IF($T20="Anulado",0,$I20))</f>
        <v/>
      </c>
      <c r="K20" s="54">
        <f>IF($F20="","",IFERROR(IF(INDEX(tblProductos[Precio de venta actual],MATCH($F20,tblProductos[SKU],0))="","",INDEX(tblProductos[Precio de venta actual],MATCH($F20,tblProductos[SKU],0))),""))</f>
        <v/>
      </c>
      <c r="L20" s="36" t="n"/>
      <c r="M20" s="37">
        <f>IF($J20="","",IF(NOT(ISNUMBER($K20)),"PRECIO PENDIENTE",$J20*$K20))</f>
        <v/>
      </c>
      <c r="N20" s="37">
        <f>IF($J20="","",IF(NOT(ISNUMBER($M20)),"PRECIO PENDIENTE",$M20-IF(ISNUMBER($L20),$L20,0)))</f>
        <v/>
      </c>
      <c r="O20" s="54">
        <f>IF($F20="","",IFERROR(INDEX(tblInventario[Costo unitario aplicado],MATCH($F20,tblInventario[SKU],0)),""))</f>
        <v/>
      </c>
      <c r="P20" s="37">
        <f>IF($J20="","",IF(NOT(ISNUMBER($O20)),"COSTO PENDIENTE",$J20*$O20))</f>
        <v/>
      </c>
      <c r="Q20" s="37">
        <f>IF($J20="","",IF(OR(NOT(ISNUMBER($N20)),NOT(ISNUMBER($P20))),"PENDIENTE",$N20-$P20))</f>
        <v/>
      </c>
      <c r="R20" s="38">
        <f>IF($J20="","",IF(OR(NOT(ISNUMBER($Q20)),NOT(ISNUMBER($N20)),$N20&lt;=0),"PENDIENTE",$Q20/$N20))</f>
        <v/>
      </c>
      <c r="S20" s="33" t="n"/>
      <c r="T20" s="33" t="n"/>
      <c r="U20" s="41" t="n"/>
      <c r="V20" s="36" t="n"/>
      <c r="W20" s="37">
        <f>IF(NOT(ISNUMBER($N20)),"",$N20-IF(ISNUMBER($V20),$V20,0))</f>
        <v/>
      </c>
      <c r="X20" s="33" t="n"/>
      <c r="Y20" s="51">
        <f>IF(COUNTA($B20,$C20,$D20,$E20,$F20,$I20)=0,"",IF(IF($B20=""," · Falta fecha","")&amp;IF($D20=""," · Falta cliente","")&amp;IF($E20=""," · Falta canal","")&amp;IF($F20=""," · Falta SKU","")&amp;IF(AND($F20&lt;&gt;"",COUNTIF(tblProductos[SKU],$F20)=0)," · SKU no existe","")&amp;IF(OR($I20="",NOT(ISNUMBER($I20)),$I20&lt;=0)," · Cantidad inválida","")&amp;IF($M20="PRECIO PENDIENTE"," · Falta precio de venta","")&amp;IF($P20="COSTO PENDIENTE"," · Falta costo del producto","")&amp;IF(AND(ISNUMBER($Q20),$Q20&lt;0)," · UTILIDAD NEGATIVA","")&amp;IF(AND($F20&lt;&gt;"",ISNUMBER(INDEX(tblInventario[Stock actual],MATCH($F20,tblInventario[SKU],0))),INDEX(tblInventario[Stock actual],MATCH($F20,tblInventario[SKU],0))&lt;0)," · Stock negativo del SKU","")&amp;IF(AND($T20="Cobrado",$U20="")," · Cobro sin fecha","")&amp;IF(AND(ISNUMBER($V20),ISNUMBER($N20),$V20&gt;N($N20)+0.01)," · Cobrado &gt; venta neta","")&amp;IF(AND(ISNUMBER($V20),$V20&gt;0,$U20="")," · Monto cobrado sin fecha","")="","OK",MID(IF($B20=""," · Falta fecha","")&amp;IF($D20=""," · Falta cliente","")&amp;IF($E20=""," · Falta canal","")&amp;IF($F20=""," · Falta SKU","")&amp;IF(AND($F20&lt;&gt;"",COUNTIF(tblProductos[SKU],$F20)=0)," · SKU no existe","")&amp;IF(OR($I20="",NOT(ISNUMBER($I20)),$I20&lt;=0)," · Cantidad inválida","")&amp;IF($M20="PRECIO PENDIENTE"," · Falta precio de venta","")&amp;IF($P20="COSTO PENDIENTE"," · Falta costo del producto","")&amp;IF(AND(ISNUMBER($Q20),$Q20&lt;0)," · UTILIDAD NEGATIVA","")&amp;IF(AND($F20&lt;&gt;"",ISNUMBER(INDEX(tblInventario[Stock actual],MATCH($F20,tblInventario[SKU],0))),INDEX(tblInventario[Stock actual],MATCH($F20,tblInventario[SKU],0))&lt;0)," · Stock negativo del SKU","")&amp;IF(AND($T20="Cobrado",$U20="")," · Cobro sin fecha","")&amp;IF(AND(ISNUMBER($V20),ISNUMBER($N20),$V20&gt;N($N20)+0.01)," · Cobrado &gt; venta neta","")&amp;IF(AND(ISNUMBER($V20),$V20&gt;0,$U20="")," · Monto cobrado sin fecha",""),4,900)))</f>
        <v/>
      </c>
    </row>
    <row r="21">
      <c r="A21" s="51">
        <f>IF(COUNTA($B21,$C21,$D21,$E21,$F21,$I21)=0,"","V-"&amp;TEXT(ROW()-6,"0000"))</f>
        <v/>
      </c>
      <c r="B21" s="41" t="n"/>
      <c r="C21" s="33" t="n"/>
      <c r="D21" s="33" t="n"/>
      <c r="E21" s="33" t="n"/>
      <c r="F21" s="33" t="n"/>
      <c r="G21" s="51">
        <f>IF($F21="","",IFERROR(IF(INDEX(tblProductos[Nombre del producto],MATCH($F21,tblProductos[SKU],0))="","",INDEX(tblProductos[Nombre del producto],MATCH($F21,tblProductos[SKU],0))),""))</f>
        <v/>
      </c>
      <c r="H21" s="51">
        <f>IF($F21="","",IFERROR(IF(INDEX(tblProductos[Categoría],MATCH($F21,tblProductos[SKU],0))="","",INDEX(tblProductos[Categoría],MATCH($F21,tblProductos[SKU],0))),""))</f>
        <v/>
      </c>
      <c r="I21" s="34" t="n"/>
      <c r="J21" s="39">
        <f>IF(OR($B21="",$F21="",$I21=""),"",IF($T21="Anulado",0,$I21))</f>
        <v/>
      </c>
      <c r="K21" s="54">
        <f>IF($F21="","",IFERROR(IF(INDEX(tblProductos[Precio de venta actual],MATCH($F21,tblProductos[SKU],0))="","",INDEX(tblProductos[Precio de venta actual],MATCH($F21,tblProductos[SKU],0))),""))</f>
        <v/>
      </c>
      <c r="L21" s="36" t="n"/>
      <c r="M21" s="37">
        <f>IF($J21="","",IF(NOT(ISNUMBER($K21)),"PRECIO PENDIENTE",$J21*$K21))</f>
        <v/>
      </c>
      <c r="N21" s="37">
        <f>IF($J21="","",IF(NOT(ISNUMBER($M21)),"PRECIO PENDIENTE",$M21-IF(ISNUMBER($L21),$L21,0)))</f>
        <v/>
      </c>
      <c r="O21" s="54">
        <f>IF($F21="","",IFERROR(INDEX(tblInventario[Costo unitario aplicado],MATCH($F21,tblInventario[SKU],0)),""))</f>
        <v/>
      </c>
      <c r="P21" s="37">
        <f>IF($J21="","",IF(NOT(ISNUMBER($O21)),"COSTO PENDIENTE",$J21*$O21))</f>
        <v/>
      </c>
      <c r="Q21" s="37">
        <f>IF($J21="","",IF(OR(NOT(ISNUMBER($N21)),NOT(ISNUMBER($P21))),"PENDIENTE",$N21-$P21))</f>
        <v/>
      </c>
      <c r="R21" s="38">
        <f>IF($J21="","",IF(OR(NOT(ISNUMBER($Q21)),NOT(ISNUMBER($N21)),$N21&lt;=0),"PENDIENTE",$Q21/$N21))</f>
        <v/>
      </c>
      <c r="S21" s="33" t="n"/>
      <c r="T21" s="33" t="n"/>
      <c r="U21" s="41" t="n"/>
      <c r="V21" s="36" t="n"/>
      <c r="W21" s="37">
        <f>IF(NOT(ISNUMBER($N21)),"",$N21-IF(ISNUMBER($V21),$V21,0))</f>
        <v/>
      </c>
      <c r="X21" s="33" t="n"/>
      <c r="Y21" s="51">
        <f>IF(COUNTA($B21,$C21,$D21,$E21,$F21,$I21)=0,"",IF(IF($B21=""," · Falta fecha","")&amp;IF($D21=""," · Falta cliente","")&amp;IF($E21=""," · Falta canal","")&amp;IF($F21=""," · Falta SKU","")&amp;IF(AND($F21&lt;&gt;"",COUNTIF(tblProductos[SKU],$F21)=0)," · SKU no existe","")&amp;IF(OR($I21="",NOT(ISNUMBER($I21)),$I21&lt;=0)," · Cantidad inválida","")&amp;IF($M21="PRECIO PENDIENTE"," · Falta precio de venta","")&amp;IF($P21="COSTO PENDIENTE"," · Falta costo del producto","")&amp;IF(AND(ISNUMBER($Q21),$Q21&lt;0)," · UTILIDAD NEGATIVA","")&amp;IF(AND($F21&lt;&gt;"",ISNUMBER(INDEX(tblInventario[Stock actual],MATCH($F21,tblInventario[SKU],0))),INDEX(tblInventario[Stock actual],MATCH($F21,tblInventario[SKU],0))&lt;0)," · Stock negativo del SKU","")&amp;IF(AND($T21="Cobrado",$U21="")," · Cobro sin fecha","")&amp;IF(AND(ISNUMBER($V21),ISNUMBER($N21),$V21&gt;N($N21)+0.01)," · Cobrado &gt; venta neta","")&amp;IF(AND(ISNUMBER($V21),$V21&gt;0,$U21="")," · Monto cobrado sin fecha","")="","OK",MID(IF($B21=""," · Falta fecha","")&amp;IF($D21=""," · Falta cliente","")&amp;IF($E21=""," · Falta canal","")&amp;IF($F21=""," · Falta SKU","")&amp;IF(AND($F21&lt;&gt;"",COUNTIF(tblProductos[SKU],$F21)=0)," · SKU no existe","")&amp;IF(OR($I21="",NOT(ISNUMBER($I21)),$I21&lt;=0)," · Cantidad inválida","")&amp;IF($M21="PRECIO PENDIENTE"," · Falta precio de venta","")&amp;IF($P21="COSTO PENDIENTE"," · Falta costo del producto","")&amp;IF(AND(ISNUMBER($Q21),$Q21&lt;0)," · UTILIDAD NEGATIVA","")&amp;IF(AND($F21&lt;&gt;"",ISNUMBER(INDEX(tblInventario[Stock actual],MATCH($F21,tblInventario[SKU],0))),INDEX(tblInventario[Stock actual],MATCH($F21,tblInventario[SKU],0))&lt;0)," · Stock negativo del SKU","")&amp;IF(AND($T21="Cobrado",$U21="")," · Cobro sin fecha","")&amp;IF(AND(ISNUMBER($V21),ISNUMBER($N21),$V21&gt;N($N21)+0.01)," · Cobrado &gt; venta neta","")&amp;IF(AND(ISNUMBER($V21),$V21&gt;0,$U21="")," · Monto cobrado sin fecha",""),4,900)))</f>
        <v/>
      </c>
    </row>
    <row r="22">
      <c r="A22" s="51">
        <f>IF(COUNTA($B22,$C22,$D22,$E22,$F22,$I22)=0,"","V-"&amp;TEXT(ROW()-6,"0000"))</f>
        <v/>
      </c>
      <c r="B22" s="41" t="n"/>
      <c r="C22" s="33" t="n"/>
      <c r="D22" s="33" t="n"/>
      <c r="E22" s="33" t="n"/>
      <c r="F22" s="33" t="n"/>
      <c r="G22" s="51">
        <f>IF($F22="","",IFERROR(IF(INDEX(tblProductos[Nombre del producto],MATCH($F22,tblProductos[SKU],0))="","",INDEX(tblProductos[Nombre del producto],MATCH($F22,tblProductos[SKU],0))),""))</f>
        <v/>
      </c>
      <c r="H22" s="51">
        <f>IF($F22="","",IFERROR(IF(INDEX(tblProductos[Categoría],MATCH($F22,tblProductos[SKU],0))="","",INDEX(tblProductos[Categoría],MATCH($F22,tblProductos[SKU],0))),""))</f>
        <v/>
      </c>
      <c r="I22" s="34" t="n"/>
      <c r="J22" s="39">
        <f>IF(OR($B22="",$F22="",$I22=""),"",IF($T22="Anulado",0,$I22))</f>
        <v/>
      </c>
      <c r="K22" s="54">
        <f>IF($F22="","",IFERROR(IF(INDEX(tblProductos[Precio de venta actual],MATCH($F22,tblProductos[SKU],0))="","",INDEX(tblProductos[Precio de venta actual],MATCH($F22,tblProductos[SKU],0))),""))</f>
        <v/>
      </c>
      <c r="L22" s="36" t="n"/>
      <c r="M22" s="37">
        <f>IF($J22="","",IF(NOT(ISNUMBER($K22)),"PRECIO PENDIENTE",$J22*$K22))</f>
        <v/>
      </c>
      <c r="N22" s="37">
        <f>IF($J22="","",IF(NOT(ISNUMBER($M22)),"PRECIO PENDIENTE",$M22-IF(ISNUMBER($L22),$L22,0)))</f>
        <v/>
      </c>
      <c r="O22" s="54">
        <f>IF($F22="","",IFERROR(INDEX(tblInventario[Costo unitario aplicado],MATCH($F22,tblInventario[SKU],0)),""))</f>
        <v/>
      </c>
      <c r="P22" s="37">
        <f>IF($J22="","",IF(NOT(ISNUMBER($O22)),"COSTO PENDIENTE",$J22*$O22))</f>
        <v/>
      </c>
      <c r="Q22" s="37">
        <f>IF($J22="","",IF(OR(NOT(ISNUMBER($N22)),NOT(ISNUMBER($P22))),"PENDIENTE",$N22-$P22))</f>
        <v/>
      </c>
      <c r="R22" s="38">
        <f>IF($J22="","",IF(OR(NOT(ISNUMBER($Q22)),NOT(ISNUMBER($N22)),$N22&lt;=0),"PENDIENTE",$Q22/$N22))</f>
        <v/>
      </c>
      <c r="S22" s="33" t="n"/>
      <c r="T22" s="33" t="n"/>
      <c r="U22" s="41" t="n"/>
      <c r="V22" s="36" t="n"/>
      <c r="W22" s="37">
        <f>IF(NOT(ISNUMBER($N22)),"",$N22-IF(ISNUMBER($V22),$V22,0))</f>
        <v/>
      </c>
      <c r="X22" s="33" t="n"/>
      <c r="Y22" s="51">
        <f>IF(COUNTA($B22,$C22,$D22,$E22,$F22,$I22)=0,"",IF(IF($B22=""," · Falta fecha","")&amp;IF($D22=""," · Falta cliente","")&amp;IF($E22=""," · Falta canal","")&amp;IF($F22=""," · Falta SKU","")&amp;IF(AND($F22&lt;&gt;"",COUNTIF(tblProductos[SKU],$F22)=0)," · SKU no existe","")&amp;IF(OR($I22="",NOT(ISNUMBER($I22)),$I22&lt;=0)," · Cantidad inválida","")&amp;IF($M22="PRECIO PENDIENTE"," · Falta precio de venta","")&amp;IF($P22="COSTO PENDIENTE"," · Falta costo del producto","")&amp;IF(AND(ISNUMBER($Q22),$Q22&lt;0)," · UTILIDAD NEGATIVA","")&amp;IF(AND($F22&lt;&gt;"",ISNUMBER(INDEX(tblInventario[Stock actual],MATCH($F22,tblInventario[SKU],0))),INDEX(tblInventario[Stock actual],MATCH($F22,tblInventario[SKU],0))&lt;0)," · Stock negativo del SKU","")&amp;IF(AND($T22="Cobrado",$U22="")," · Cobro sin fecha","")&amp;IF(AND(ISNUMBER($V22),ISNUMBER($N22),$V22&gt;N($N22)+0.01)," · Cobrado &gt; venta neta","")&amp;IF(AND(ISNUMBER($V22),$V22&gt;0,$U22="")," · Monto cobrado sin fecha","")="","OK",MID(IF($B22=""," · Falta fecha","")&amp;IF($D22=""," · Falta cliente","")&amp;IF($E22=""," · Falta canal","")&amp;IF($F22=""," · Falta SKU","")&amp;IF(AND($F22&lt;&gt;"",COUNTIF(tblProductos[SKU],$F22)=0)," · SKU no existe","")&amp;IF(OR($I22="",NOT(ISNUMBER($I22)),$I22&lt;=0)," · Cantidad inválida","")&amp;IF($M22="PRECIO PENDIENTE"," · Falta precio de venta","")&amp;IF($P22="COSTO PENDIENTE"," · Falta costo del producto","")&amp;IF(AND(ISNUMBER($Q22),$Q22&lt;0)," · UTILIDAD NEGATIVA","")&amp;IF(AND($F22&lt;&gt;"",ISNUMBER(INDEX(tblInventario[Stock actual],MATCH($F22,tblInventario[SKU],0))),INDEX(tblInventario[Stock actual],MATCH($F22,tblInventario[SKU],0))&lt;0)," · Stock negativo del SKU","")&amp;IF(AND($T22="Cobrado",$U22="")," · Cobro sin fecha","")&amp;IF(AND(ISNUMBER($V22),ISNUMBER($N22),$V22&gt;N($N22)+0.01)," · Cobrado &gt; venta neta","")&amp;IF(AND(ISNUMBER($V22),$V22&gt;0,$U22="")," · Monto cobrado sin fecha",""),4,900)))</f>
        <v/>
      </c>
    </row>
    <row r="23">
      <c r="A23" s="51">
        <f>IF(COUNTA($B23,$C23,$D23,$E23,$F23,$I23)=0,"","V-"&amp;TEXT(ROW()-6,"0000"))</f>
        <v/>
      </c>
      <c r="B23" s="41" t="n"/>
      <c r="C23" s="33" t="n"/>
      <c r="D23" s="33" t="n"/>
      <c r="E23" s="33" t="n"/>
      <c r="F23" s="33" t="n"/>
      <c r="G23" s="51">
        <f>IF($F23="","",IFERROR(IF(INDEX(tblProductos[Nombre del producto],MATCH($F23,tblProductos[SKU],0))="","",INDEX(tblProductos[Nombre del producto],MATCH($F23,tblProductos[SKU],0))),""))</f>
        <v/>
      </c>
      <c r="H23" s="51">
        <f>IF($F23="","",IFERROR(IF(INDEX(tblProductos[Categoría],MATCH($F23,tblProductos[SKU],0))="","",INDEX(tblProductos[Categoría],MATCH($F23,tblProductos[SKU],0))),""))</f>
        <v/>
      </c>
      <c r="I23" s="34" t="n"/>
      <c r="J23" s="39">
        <f>IF(OR($B23="",$F23="",$I23=""),"",IF($T23="Anulado",0,$I23))</f>
        <v/>
      </c>
      <c r="K23" s="54">
        <f>IF($F23="","",IFERROR(IF(INDEX(tblProductos[Precio de venta actual],MATCH($F23,tblProductos[SKU],0))="","",INDEX(tblProductos[Precio de venta actual],MATCH($F23,tblProductos[SKU],0))),""))</f>
        <v/>
      </c>
      <c r="L23" s="36" t="n"/>
      <c r="M23" s="37">
        <f>IF($J23="","",IF(NOT(ISNUMBER($K23)),"PRECIO PENDIENTE",$J23*$K23))</f>
        <v/>
      </c>
      <c r="N23" s="37">
        <f>IF($J23="","",IF(NOT(ISNUMBER($M23)),"PRECIO PENDIENTE",$M23-IF(ISNUMBER($L23),$L23,0)))</f>
        <v/>
      </c>
      <c r="O23" s="54">
        <f>IF($F23="","",IFERROR(INDEX(tblInventario[Costo unitario aplicado],MATCH($F23,tblInventario[SKU],0)),""))</f>
        <v/>
      </c>
      <c r="P23" s="37">
        <f>IF($J23="","",IF(NOT(ISNUMBER($O23)),"COSTO PENDIENTE",$J23*$O23))</f>
        <v/>
      </c>
      <c r="Q23" s="37">
        <f>IF($J23="","",IF(OR(NOT(ISNUMBER($N23)),NOT(ISNUMBER($P23))),"PENDIENTE",$N23-$P23))</f>
        <v/>
      </c>
      <c r="R23" s="38">
        <f>IF($J23="","",IF(OR(NOT(ISNUMBER($Q23)),NOT(ISNUMBER($N23)),$N23&lt;=0),"PENDIENTE",$Q23/$N23))</f>
        <v/>
      </c>
      <c r="S23" s="33" t="n"/>
      <c r="T23" s="33" t="n"/>
      <c r="U23" s="41" t="n"/>
      <c r="V23" s="36" t="n"/>
      <c r="W23" s="37">
        <f>IF(NOT(ISNUMBER($N23)),"",$N23-IF(ISNUMBER($V23),$V23,0))</f>
        <v/>
      </c>
      <c r="X23" s="33" t="n"/>
      <c r="Y23" s="51">
        <f>IF(COUNTA($B23,$C23,$D23,$E23,$F23,$I23)=0,"",IF(IF($B23=""," · Falta fecha","")&amp;IF($D23=""," · Falta cliente","")&amp;IF($E23=""," · Falta canal","")&amp;IF($F23=""," · Falta SKU","")&amp;IF(AND($F23&lt;&gt;"",COUNTIF(tblProductos[SKU],$F23)=0)," · SKU no existe","")&amp;IF(OR($I23="",NOT(ISNUMBER($I23)),$I23&lt;=0)," · Cantidad inválida","")&amp;IF($M23="PRECIO PENDIENTE"," · Falta precio de venta","")&amp;IF($P23="COSTO PENDIENTE"," · Falta costo del producto","")&amp;IF(AND(ISNUMBER($Q23),$Q23&lt;0)," · UTILIDAD NEGATIVA","")&amp;IF(AND($F23&lt;&gt;"",ISNUMBER(INDEX(tblInventario[Stock actual],MATCH($F23,tblInventario[SKU],0))),INDEX(tblInventario[Stock actual],MATCH($F23,tblInventario[SKU],0))&lt;0)," · Stock negativo del SKU","")&amp;IF(AND($T23="Cobrado",$U23="")," · Cobro sin fecha","")&amp;IF(AND(ISNUMBER($V23),ISNUMBER($N23),$V23&gt;N($N23)+0.01)," · Cobrado &gt; venta neta","")&amp;IF(AND(ISNUMBER($V23),$V23&gt;0,$U23="")," · Monto cobrado sin fecha","")="","OK",MID(IF($B23=""," · Falta fecha","")&amp;IF($D23=""," · Falta cliente","")&amp;IF($E23=""," · Falta canal","")&amp;IF($F23=""," · Falta SKU","")&amp;IF(AND($F23&lt;&gt;"",COUNTIF(tblProductos[SKU],$F23)=0)," · SKU no existe","")&amp;IF(OR($I23="",NOT(ISNUMBER($I23)),$I23&lt;=0)," · Cantidad inválida","")&amp;IF($M23="PRECIO PENDIENTE"," · Falta precio de venta","")&amp;IF($P23="COSTO PENDIENTE"," · Falta costo del producto","")&amp;IF(AND(ISNUMBER($Q23),$Q23&lt;0)," · UTILIDAD NEGATIVA","")&amp;IF(AND($F23&lt;&gt;"",ISNUMBER(INDEX(tblInventario[Stock actual],MATCH($F23,tblInventario[SKU],0))),INDEX(tblInventario[Stock actual],MATCH($F23,tblInventario[SKU],0))&lt;0)," · Stock negativo del SKU","")&amp;IF(AND($T23="Cobrado",$U23="")," · Cobro sin fecha","")&amp;IF(AND(ISNUMBER($V23),ISNUMBER($N23),$V23&gt;N($N23)+0.01)," · Cobrado &gt; venta neta","")&amp;IF(AND(ISNUMBER($V23),$V23&gt;0,$U23="")," · Monto cobrado sin fecha",""),4,900)))</f>
        <v/>
      </c>
    </row>
    <row r="24">
      <c r="A24" s="51">
        <f>IF(COUNTA($B24,$C24,$D24,$E24,$F24,$I24)=0,"","V-"&amp;TEXT(ROW()-6,"0000"))</f>
        <v/>
      </c>
      <c r="B24" s="41" t="n"/>
      <c r="C24" s="33" t="n"/>
      <c r="D24" s="33" t="n"/>
      <c r="E24" s="33" t="n"/>
      <c r="F24" s="33" t="n"/>
      <c r="G24" s="51">
        <f>IF($F24="","",IFERROR(IF(INDEX(tblProductos[Nombre del producto],MATCH($F24,tblProductos[SKU],0))="","",INDEX(tblProductos[Nombre del producto],MATCH($F24,tblProductos[SKU],0))),""))</f>
        <v/>
      </c>
      <c r="H24" s="51">
        <f>IF($F24="","",IFERROR(IF(INDEX(tblProductos[Categoría],MATCH($F24,tblProductos[SKU],0))="","",INDEX(tblProductos[Categoría],MATCH($F24,tblProductos[SKU],0))),""))</f>
        <v/>
      </c>
      <c r="I24" s="34" t="n"/>
      <c r="J24" s="39">
        <f>IF(OR($B24="",$F24="",$I24=""),"",IF($T24="Anulado",0,$I24))</f>
        <v/>
      </c>
      <c r="K24" s="54">
        <f>IF($F24="","",IFERROR(IF(INDEX(tblProductos[Precio de venta actual],MATCH($F24,tblProductos[SKU],0))="","",INDEX(tblProductos[Precio de venta actual],MATCH($F24,tblProductos[SKU],0))),""))</f>
        <v/>
      </c>
      <c r="L24" s="36" t="n"/>
      <c r="M24" s="37">
        <f>IF($J24="","",IF(NOT(ISNUMBER($K24)),"PRECIO PENDIENTE",$J24*$K24))</f>
        <v/>
      </c>
      <c r="N24" s="37">
        <f>IF($J24="","",IF(NOT(ISNUMBER($M24)),"PRECIO PENDIENTE",$M24-IF(ISNUMBER($L24),$L24,0)))</f>
        <v/>
      </c>
      <c r="O24" s="54">
        <f>IF($F24="","",IFERROR(INDEX(tblInventario[Costo unitario aplicado],MATCH($F24,tblInventario[SKU],0)),""))</f>
        <v/>
      </c>
      <c r="P24" s="37">
        <f>IF($J24="","",IF(NOT(ISNUMBER($O24)),"COSTO PENDIENTE",$J24*$O24))</f>
        <v/>
      </c>
      <c r="Q24" s="37">
        <f>IF($J24="","",IF(OR(NOT(ISNUMBER($N24)),NOT(ISNUMBER($P24))),"PENDIENTE",$N24-$P24))</f>
        <v/>
      </c>
      <c r="R24" s="38">
        <f>IF($J24="","",IF(OR(NOT(ISNUMBER($Q24)),NOT(ISNUMBER($N24)),$N24&lt;=0),"PENDIENTE",$Q24/$N24))</f>
        <v/>
      </c>
      <c r="S24" s="33" t="n"/>
      <c r="T24" s="33" t="n"/>
      <c r="U24" s="41" t="n"/>
      <c r="V24" s="36" t="n"/>
      <c r="W24" s="37">
        <f>IF(NOT(ISNUMBER($N24)),"",$N24-IF(ISNUMBER($V24),$V24,0))</f>
        <v/>
      </c>
      <c r="X24" s="33" t="n"/>
      <c r="Y24" s="51">
        <f>IF(COUNTA($B24,$C24,$D24,$E24,$F24,$I24)=0,"",IF(IF($B24=""," · Falta fecha","")&amp;IF($D24=""," · Falta cliente","")&amp;IF($E24=""," · Falta canal","")&amp;IF($F24=""," · Falta SKU","")&amp;IF(AND($F24&lt;&gt;"",COUNTIF(tblProductos[SKU],$F24)=0)," · SKU no existe","")&amp;IF(OR($I24="",NOT(ISNUMBER($I24)),$I24&lt;=0)," · Cantidad inválida","")&amp;IF($M24="PRECIO PENDIENTE"," · Falta precio de venta","")&amp;IF($P24="COSTO PENDIENTE"," · Falta costo del producto","")&amp;IF(AND(ISNUMBER($Q24),$Q24&lt;0)," · UTILIDAD NEGATIVA","")&amp;IF(AND($F24&lt;&gt;"",ISNUMBER(INDEX(tblInventario[Stock actual],MATCH($F24,tblInventario[SKU],0))),INDEX(tblInventario[Stock actual],MATCH($F24,tblInventario[SKU],0))&lt;0)," · Stock negativo del SKU","")&amp;IF(AND($T24="Cobrado",$U24="")," · Cobro sin fecha","")&amp;IF(AND(ISNUMBER($V24),ISNUMBER($N24),$V24&gt;N($N24)+0.01)," · Cobrado &gt; venta neta","")&amp;IF(AND(ISNUMBER($V24),$V24&gt;0,$U24="")," · Monto cobrado sin fecha","")="","OK",MID(IF($B24=""," · Falta fecha","")&amp;IF($D24=""," · Falta cliente","")&amp;IF($E24=""," · Falta canal","")&amp;IF($F24=""," · Falta SKU","")&amp;IF(AND($F24&lt;&gt;"",COUNTIF(tblProductos[SKU],$F24)=0)," · SKU no existe","")&amp;IF(OR($I24="",NOT(ISNUMBER($I24)),$I24&lt;=0)," · Cantidad inválida","")&amp;IF($M24="PRECIO PENDIENTE"," · Falta precio de venta","")&amp;IF($P24="COSTO PENDIENTE"," · Falta costo del producto","")&amp;IF(AND(ISNUMBER($Q24),$Q24&lt;0)," · UTILIDAD NEGATIVA","")&amp;IF(AND($F24&lt;&gt;"",ISNUMBER(INDEX(tblInventario[Stock actual],MATCH($F24,tblInventario[SKU],0))),INDEX(tblInventario[Stock actual],MATCH($F24,tblInventario[SKU],0))&lt;0)," · Stock negativo del SKU","")&amp;IF(AND($T24="Cobrado",$U24="")," · Cobro sin fecha","")&amp;IF(AND(ISNUMBER($V24),ISNUMBER($N24),$V24&gt;N($N24)+0.01)," · Cobrado &gt; venta neta","")&amp;IF(AND(ISNUMBER($V24),$V24&gt;0,$U24="")," · Monto cobrado sin fecha",""),4,900)))</f>
        <v/>
      </c>
    </row>
    <row r="25">
      <c r="A25" s="51">
        <f>IF(COUNTA($B25,$C25,$D25,$E25,$F25,$I25)=0,"","V-"&amp;TEXT(ROW()-6,"0000"))</f>
        <v/>
      </c>
      <c r="B25" s="41" t="n"/>
      <c r="C25" s="33" t="n"/>
      <c r="D25" s="33" t="n"/>
      <c r="E25" s="33" t="n"/>
      <c r="F25" s="33" t="n"/>
      <c r="G25" s="51">
        <f>IF($F25="","",IFERROR(IF(INDEX(tblProductos[Nombre del producto],MATCH($F25,tblProductos[SKU],0))="","",INDEX(tblProductos[Nombre del producto],MATCH($F25,tblProductos[SKU],0))),""))</f>
        <v/>
      </c>
      <c r="H25" s="51">
        <f>IF($F25="","",IFERROR(IF(INDEX(tblProductos[Categoría],MATCH($F25,tblProductos[SKU],0))="","",INDEX(tblProductos[Categoría],MATCH($F25,tblProductos[SKU],0))),""))</f>
        <v/>
      </c>
      <c r="I25" s="34" t="n"/>
      <c r="J25" s="39">
        <f>IF(OR($B25="",$F25="",$I25=""),"",IF($T25="Anulado",0,$I25))</f>
        <v/>
      </c>
      <c r="K25" s="54">
        <f>IF($F25="","",IFERROR(IF(INDEX(tblProductos[Precio de venta actual],MATCH($F25,tblProductos[SKU],0))="","",INDEX(tblProductos[Precio de venta actual],MATCH($F25,tblProductos[SKU],0))),""))</f>
        <v/>
      </c>
      <c r="L25" s="36" t="n"/>
      <c r="M25" s="37">
        <f>IF($J25="","",IF(NOT(ISNUMBER($K25)),"PRECIO PENDIENTE",$J25*$K25))</f>
        <v/>
      </c>
      <c r="N25" s="37">
        <f>IF($J25="","",IF(NOT(ISNUMBER($M25)),"PRECIO PENDIENTE",$M25-IF(ISNUMBER($L25),$L25,0)))</f>
        <v/>
      </c>
      <c r="O25" s="54">
        <f>IF($F25="","",IFERROR(INDEX(tblInventario[Costo unitario aplicado],MATCH($F25,tblInventario[SKU],0)),""))</f>
        <v/>
      </c>
      <c r="P25" s="37">
        <f>IF($J25="","",IF(NOT(ISNUMBER($O25)),"COSTO PENDIENTE",$J25*$O25))</f>
        <v/>
      </c>
      <c r="Q25" s="37">
        <f>IF($J25="","",IF(OR(NOT(ISNUMBER($N25)),NOT(ISNUMBER($P25))),"PENDIENTE",$N25-$P25))</f>
        <v/>
      </c>
      <c r="R25" s="38">
        <f>IF($J25="","",IF(OR(NOT(ISNUMBER($Q25)),NOT(ISNUMBER($N25)),$N25&lt;=0),"PENDIENTE",$Q25/$N25))</f>
        <v/>
      </c>
      <c r="S25" s="33" t="n"/>
      <c r="T25" s="33" t="n"/>
      <c r="U25" s="41" t="n"/>
      <c r="V25" s="36" t="n"/>
      <c r="W25" s="37">
        <f>IF(NOT(ISNUMBER($N25)),"",$N25-IF(ISNUMBER($V25),$V25,0))</f>
        <v/>
      </c>
      <c r="X25" s="33" t="n"/>
      <c r="Y25" s="51">
        <f>IF(COUNTA($B25,$C25,$D25,$E25,$F25,$I25)=0,"",IF(IF($B25=""," · Falta fecha","")&amp;IF($D25=""," · Falta cliente","")&amp;IF($E25=""," · Falta canal","")&amp;IF($F25=""," · Falta SKU","")&amp;IF(AND($F25&lt;&gt;"",COUNTIF(tblProductos[SKU],$F25)=0)," · SKU no existe","")&amp;IF(OR($I25="",NOT(ISNUMBER($I25)),$I25&lt;=0)," · Cantidad inválida","")&amp;IF($M25="PRECIO PENDIENTE"," · Falta precio de venta","")&amp;IF($P25="COSTO PENDIENTE"," · Falta costo del producto","")&amp;IF(AND(ISNUMBER($Q25),$Q25&lt;0)," · UTILIDAD NEGATIVA","")&amp;IF(AND($F25&lt;&gt;"",ISNUMBER(INDEX(tblInventario[Stock actual],MATCH($F25,tblInventario[SKU],0))),INDEX(tblInventario[Stock actual],MATCH($F25,tblInventario[SKU],0))&lt;0)," · Stock negativo del SKU","")&amp;IF(AND($T25="Cobrado",$U25="")," · Cobro sin fecha","")&amp;IF(AND(ISNUMBER($V25),ISNUMBER($N25),$V25&gt;N($N25)+0.01)," · Cobrado &gt; venta neta","")&amp;IF(AND(ISNUMBER($V25),$V25&gt;0,$U25="")," · Monto cobrado sin fecha","")="","OK",MID(IF($B25=""," · Falta fecha","")&amp;IF($D25=""," · Falta cliente","")&amp;IF($E25=""," · Falta canal","")&amp;IF($F25=""," · Falta SKU","")&amp;IF(AND($F25&lt;&gt;"",COUNTIF(tblProductos[SKU],$F25)=0)," · SKU no existe","")&amp;IF(OR($I25="",NOT(ISNUMBER($I25)),$I25&lt;=0)," · Cantidad inválida","")&amp;IF($M25="PRECIO PENDIENTE"," · Falta precio de venta","")&amp;IF($P25="COSTO PENDIENTE"," · Falta costo del producto","")&amp;IF(AND(ISNUMBER($Q25),$Q25&lt;0)," · UTILIDAD NEGATIVA","")&amp;IF(AND($F25&lt;&gt;"",ISNUMBER(INDEX(tblInventario[Stock actual],MATCH($F25,tblInventario[SKU],0))),INDEX(tblInventario[Stock actual],MATCH($F25,tblInventario[SKU],0))&lt;0)," · Stock negativo del SKU","")&amp;IF(AND($T25="Cobrado",$U25="")," · Cobro sin fecha","")&amp;IF(AND(ISNUMBER($V25),ISNUMBER($N25),$V25&gt;N($N25)+0.01)," · Cobrado &gt; venta neta","")&amp;IF(AND(ISNUMBER($V25),$V25&gt;0,$U25="")," · Monto cobrado sin fecha",""),4,900)))</f>
        <v/>
      </c>
    </row>
    <row r="26">
      <c r="A26" s="51">
        <f>IF(COUNTA($B26,$C26,$D26,$E26,$F26,$I26)=0,"","V-"&amp;TEXT(ROW()-6,"0000"))</f>
        <v/>
      </c>
      <c r="B26" s="41" t="n"/>
      <c r="C26" s="33" t="n"/>
      <c r="D26" s="33" t="n"/>
      <c r="E26" s="33" t="n"/>
      <c r="F26" s="33" t="n"/>
      <c r="G26" s="51">
        <f>IF($F26="","",IFERROR(IF(INDEX(tblProductos[Nombre del producto],MATCH($F26,tblProductos[SKU],0))="","",INDEX(tblProductos[Nombre del producto],MATCH($F26,tblProductos[SKU],0))),""))</f>
        <v/>
      </c>
      <c r="H26" s="51">
        <f>IF($F26="","",IFERROR(IF(INDEX(tblProductos[Categoría],MATCH($F26,tblProductos[SKU],0))="","",INDEX(tblProductos[Categoría],MATCH($F26,tblProductos[SKU],0))),""))</f>
        <v/>
      </c>
      <c r="I26" s="34" t="n"/>
      <c r="J26" s="39">
        <f>IF(OR($B26="",$F26="",$I26=""),"",IF($T26="Anulado",0,$I26))</f>
        <v/>
      </c>
      <c r="K26" s="54">
        <f>IF($F26="","",IFERROR(IF(INDEX(tblProductos[Precio de venta actual],MATCH($F26,tblProductos[SKU],0))="","",INDEX(tblProductos[Precio de venta actual],MATCH($F26,tblProductos[SKU],0))),""))</f>
        <v/>
      </c>
      <c r="L26" s="36" t="n"/>
      <c r="M26" s="37">
        <f>IF($J26="","",IF(NOT(ISNUMBER($K26)),"PRECIO PENDIENTE",$J26*$K26))</f>
        <v/>
      </c>
      <c r="N26" s="37">
        <f>IF($J26="","",IF(NOT(ISNUMBER($M26)),"PRECIO PENDIENTE",$M26-IF(ISNUMBER($L26),$L26,0)))</f>
        <v/>
      </c>
      <c r="O26" s="54">
        <f>IF($F26="","",IFERROR(INDEX(tblInventario[Costo unitario aplicado],MATCH($F26,tblInventario[SKU],0)),""))</f>
        <v/>
      </c>
      <c r="P26" s="37">
        <f>IF($J26="","",IF(NOT(ISNUMBER($O26)),"COSTO PENDIENTE",$J26*$O26))</f>
        <v/>
      </c>
      <c r="Q26" s="37">
        <f>IF($J26="","",IF(OR(NOT(ISNUMBER($N26)),NOT(ISNUMBER($P26))),"PENDIENTE",$N26-$P26))</f>
        <v/>
      </c>
      <c r="R26" s="38">
        <f>IF($J26="","",IF(OR(NOT(ISNUMBER($Q26)),NOT(ISNUMBER($N26)),$N26&lt;=0),"PENDIENTE",$Q26/$N26))</f>
        <v/>
      </c>
      <c r="S26" s="33" t="n"/>
      <c r="T26" s="33" t="n"/>
      <c r="U26" s="41" t="n"/>
      <c r="V26" s="36" t="n"/>
      <c r="W26" s="37">
        <f>IF(NOT(ISNUMBER($N26)),"",$N26-IF(ISNUMBER($V26),$V26,0))</f>
        <v/>
      </c>
      <c r="X26" s="33" t="n"/>
      <c r="Y26" s="51">
        <f>IF(COUNTA($B26,$C26,$D26,$E26,$F26,$I26)=0,"",IF(IF($B26=""," · Falta fecha","")&amp;IF($D26=""," · Falta cliente","")&amp;IF($E26=""," · Falta canal","")&amp;IF($F26=""," · Falta SKU","")&amp;IF(AND($F26&lt;&gt;"",COUNTIF(tblProductos[SKU],$F26)=0)," · SKU no existe","")&amp;IF(OR($I26="",NOT(ISNUMBER($I26)),$I26&lt;=0)," · Cantidad inválida","")&amp;IF($M26="PRECIO PENDIENTE"," · Falta precio de venta","")&amp;IF($P26="COSTO PENDIENTE"," · Falta costo del producto","")&amp;IF(AND(ISNUMBER($Q26),$Q26&lt;0)," · UTILIDAD NEGATIVA","")&amp;IF(AND($F26&lt;&gt;"",ISNUMBER(INDEX(tblInventario[Stock actual],MATCH($F26,tblInventario[SKU],0))),INDEX(tblInventario[Stock actual],MATCH($F26,tblInventario[SKU],0))&lt;0)," · Stock negativo del SKU","")&amp;IF(AND($T26="Cobrado",$U26="")," · Cobro sin fecha","")&amp;IF(AND(ISNUMBER($V26),ISNUMBER($N26),$V26&gt;N($N26)+0.01)," · Cobrado &gt; venta neta","")&amp;IF(AND(ISNUMBER($V26),$V26&gt;0,$U26="")," · Monto cobrado sin fecha","")="","OK",MID(IF($B26=""," · Falta fecha","")&amp;IF($D26=""," · Falta cliente","")&amp;IF($E26=""," · Falta canal","")&amp;IF($F26=""," · Falta SKU","")&amp;IF(AND($F26&lt;&gt;"",COUNTIF(tblProductos[SKU],$F26)=0)," · SKU no existe","")&amp;IF(OR($I26="",NOT(ISNUMBER($I26)),$I26&lt;=0)," · Cantidad inválida","")&amp;IF($M26="PRECIO PENDIENTE"," · Falta precio de venta","")&amp;IF($P26="COSTO PENDIENTE"," · Falta costo del producto","")&amp;IF(AND(ISNUMBER($Q26),$Q26&lt;0)," · UTILIDAD NEGATIVA","")&amp;IF(AND($F26&lt;&gt;"",ISNUMBER(INDEX(tblInventario[Stock actual],MATCH($F26,tblInventario[SKU],0))),INDEX(tblInventario[Stock actual],MATCH($F26,tblInventario[SKU],0))&lt;0)," · Stock negativo del SKU","")&amp;IF(AND($T26="Cobrado",$U26="")," · Cobro sin fecha","")&amp;IF(AND(ISNUMBER($V26),ISNUMBER($N26),$V26&gt;N($N26)+0.01)," · Cobrado &gt; venta neta","")&amp;IF(AND(ISNUMBER($V26),$V26&gt;0,$U26="")," · Monto cobrado sin fecha",""),4,900)))</f>
        <v/>
      </c>
    </row>
    <row r="27">
      <c r="A27" s="51">
        <f>IF(COUNTA($B27,$C27,$D27,$E27,$F27,$I27)=0,"","V-"&amp;TEXT(ROW()-6,"0000"))</f>
        <v/>
      </c>
      <c r="B27" s="41" t="n"/>
      <c r="C27" s="33" t="n"/>
      <c r="D27" s="33" t="n"/>
      <c r="E27" s="33" t="n"/>
      <c r="F27" s="33" t="n"/>
      <c r="G27" s="51">
        <f>IF($F27="","",IFERROR(IF(INDEX(tblProductos[Nombre del producto],MATCH($F27,tblProductos[SKU],0))="","",INDEX(tblProductos[Nombre del producto],MATCH($F27,tblProductos[SKU],0))),""))</f>
        <v/>
      </c>
      <c r="H27" s="51">
        <f>IF($F27="","",IFERROR(IF(INDEX(tblProductos[Categoría],MATCH($F27,tblProductos[SKU],0))="","",INDEX(tblProductos[Categoría],MATCH($F27,tblProductos[SKU],0))),""))</f>
        <v/>
      </c>
      <c r="I27" s="34" t="n"/>
      <c r="J27" s="39">
        <f>IF(OR($B27="",$F27="",$I27=""),"",IF($T27="Anulado",0,$I27))</f>
        <v/>
      </c>
      <c r="K27" s="54">
        <f>IF($F27="","",IFERROR(IF(INDEX(tblProductos[Precio de venta actual],MATCH($F27,tblProductos[SKU],0))="","",INDEX(tblProductos[Precio de venta actual],MATCH($F27,tblProductos[SKU],0))),""))</f>
        <v/>
      </c>
      <c r="L27" s="36" t="n"/>
      <c r="M27" s="37">
        <f>IF($J27="","",IF(NOT(ISNUMBER($K27)),"PRECIO PENDIENTE",$J27*$K27))</f>
        <v/>
      </c>
      <c r="N27" s="37">
        <f>IF($J27="","",IF(NOT(ISNUMBER($M27)),"PRECIO PENDIENTE",$M27-IF(ISNUMBER($L27),$L27,0)))</f>
        <v/>
      </c>
      <c r="O27" s="54">
        <f>IF($F27="","",IFERROR(INDEX(tblInventario[Costo unitario aplicado],MATCH($F27,tblInventario[SKU],0)),""))</f>
        <v/>
      </c>
      <c r="P27" s="37">
        <f>IF($J27="","",IF(NOT(ISNUMBER($O27)),"COSTO PENDIENTE",$J27*$O27))</f>
        <v/>
      </c>
      <c r="Q27" s="37">
        <f>IF($J27="","",IF(OR(NOT(ISNUMBER($N27)),NOT(ISNUMBER($P27))),"PENDIENTE",$N27-$P27))</f>
        <v/>
      </c>
      <c r="R27" s="38">
        <f>IF($J27="","",IF(OR(NOT(ISNUMBER($Q27)),NOT(ISNUMBER($N27)),$N27&lt;=0),"PENDIENTE",$Q27/$N27))</f>
        <v/>
      </c>
      <c r="S27" s="33" t="n"/>
      <c r="T27" s="33" t="n"/>
      <c r="U27" s="41" t="n"/>
      <c r="V27" s="36" t="n"/>
      <c r="W27" s="37">
        <f>IF(NOT(ISNUMBER($N27)),"",$N27-IF(ISNUMBER($V27),$V27,0))</f>
        <v/>
      </c>
      <c r="X27" s="33" t="n"/>
      <c r="Y27" s="51">
        <f>IF(COUNTA($B27,$C27,$D27,$E27,$F27,$I27)=0,"",IF(IF($B27=""," · Falta fecha","")&amp;IF($D27=""," · Falta cliente","")&amp;IF($E27=""," · Falta canal","")&amp;IF($F27=""," · Falta SKU","")&amp;IF(AND($F27&lt;&gt;"",COUNTIF(tblProductos[SKU],$F27)=0)," · SKU no existe","")&amp;IF(OR($I27="",NOT(ISNUMBER($I27)),$I27&lt;=0)," · Cantidad inválida","")&amp;IF($M27="PRECIO PENDIENTE"," · Falta precio de venta","")&amp;IF($P27="COSTO PENDIENTE"," · Falta costo del producto","")&amp;IF(AND(ISNUMBER($Q27),$Q27&lt;0)," · UTILIDAD NEGATIVA","")&amp;IF(AND($F27&lt;&gt;"",ISNUMBER(INDEX(tblInventario[Stock actual],MATCH($F27,tblInventario[SKU],0))),INDEX(tblInventario[Stock actual],MATCH($F27,tblInventario[SKU],0))&lt;0)," · Stock negativo del SKU","")&amp;IF(AND($T27="Cobrado",$U27="")," · Cobro sin fecha","")&amp;IF(AND(ISNUMBER($V27),ISNUMBER($N27),$V27&gt;N($N27)+0.01)," · Cobrado &gt; venta neta","")&amp;IF(AND(ISNUMBER($V27),$V27&gt;0,$U27="")," · Monto cobrado sin fecha","")="","OK",MID(IF($B27=""," · Falta fecha","")&amp;IF($D27=""," · Falta cliente","")&amp;IF($E27=""," · Falta canal","")&amp;IF($F27=""," · Falta SKU","")&amp;IF(AND($F27&lt;&gt;"",COUNTIF(tblProductos[SKU],$F27)=0)," · SKU no existe","")&amp;IF(OR($I27="",NOT(ISNUMBER($I27)),$I27&lt;=0)," · Cantidad inválida","")&amp;IF($M27="PRECIO PENDIENTE"," · Falta precio de venta","")&amp;IF($P27="COSTO PENDIENTE"," · Falta costo del producto","")&amp;IF(AND(ISNUMBER($Q27),$Q27&lt;0)," · UTILIDAD NEGATIVA","")&amp;IF(AND($F27&lt;&gt;"",ISNUMBER(INDEX(tblInventario[Stock actual],MATCH($F27,tblInventario[SKU],0))),INDEX(tblInventario[Stock actual],MATCH($F27,tblInventario[SKU],0))&lt;0)," · Stock negativo del SKU","")&amp;IF(AND($T27="Cobrado",$U27="")," · Cobro sin fecha","")&amp;IF(AND(ISNUMBER($V27),ISNUMBER($N27),$V27&gt;N($N27)+0.01)," · Cobrado &gt; venta neta","")&amp;IF(AND(ISNUMBER($V27),$V27&gt;0,$U27="")," · Monto cobrado sin fecha",""),4,900)))</f>
        <v/>
      </c>
    </row>
    <row r="28">
      <c r="A28" s="51">
        <f>IF(COUNTA($B28,$C28,$D28,$E28,$F28,$I28)=0,"","V-"&amp;TEXT(ROW()-6,"0000"))</f>
        <v/>
      </c>
      <c r="B28" s="41" t="n"/>
      <c r="C28" s="33" t="n"/>
      <c r="D28" s="33" t="n"/>
      <c r="E28" s="33" t="n"/>
      <c r="F28" s="33" t="n"/>
      <c r="G28" s="51">
        <f>IF($F28="","",IFERROR(IF(INDEX(tblProductos[Nombre del producto],MATCH($F28,tblProductos[SKU],0))="","",INDEX(tblProductos[Nombre del producto],MATCH($F28,tblProductos[SKU],0))),""))</f>
        <v/>
      </c>
      <c r="H28" s="51">
        <f>IF($F28="","",IFERROR(IF(INDEX(tblProductos[Categoría],MATCH($F28,tblProductos[SKU],0))="","",INDEX(tblProductos[Categoría],MATCH($F28,tblProductos[SKU],0))),""))</f>
        <v/>
      </c>
      <c r="I28" s="34" t="n"/>
      <c r="J28" s="39">
        <f>IF(OR($B28="",$F28="",$I28=""),"",IF($T28="Anulado",0,$I28))</f>
        <v/>
      </c>
      <c r="K28" s="54">
        <f>IF($F28="","",IFERROR(IF(INDEX(tblProductos[Precio de venta actual],MATCH($F28,tblProductos[SKU],0))="","",INDEX(tblProductos[Precio de venta actual],MATCH($F28,tblProductos[SKU],0))),""))</f>
        <v/>
      </c>
      <c r="L28" s="36" t="n"/>
      <c r="M28" s="37">
        <f>IF($J28="","",IF(NOT(ISNUMBER($K28)),"PRECIO PENDIENTE",$J28*$K28))</f>
        <v/>
      </c>
      <c r="N28" s="37">
        <f>IF($J28="","",IF(NOT(ISNUMBER($M28)),"PRECIO PENDIENTE",$M28-IF(ISNUMBER($L28),$L28,0)))</f>
        <v/>
      </c>
      <c r="O28" s="54">
        <f>IF($F28="","",IFERROR(INDEX(tblInventario[Costo unitario aplicado],MATCH($F28,tblInventario[SKU],0)),""))</f>
        <v/>
      </c>
      <c r="P28" s="37">
        <f>IF($J28="","",IF(NOT(ISNUMBER($O28)),"COSTO PENDIENTE",$J28*$O28))</f>
        <v/>
      </c>
      <c r="Q28" s="37">
        <f>IF($J28="","",IF(OR(NOT(ISNUMBER($N28)),NOT(ISNUMBER($P28))),"PENDIENTE",$N28-$P28))</f>
        <v/>
      </c>
      <c r="R28" s="38">
        <f>IF($J28="","",IF(OR(NOT(ISNUMBER($Q28)),NOT(ISNUMBER($N28)),$N28&lt;=0),"PENDIENTE",$Q28/$N28))</f>
        <v/>
      </c>
      <c r="S28" s="33" t="n"/>
      <c r="T28" s="33" t="n"/>
      <c r="U28" s="41" t="n"/>
      <c r="V28" s="36" t="n"/>
      <c r="W28" s="37">
        <f>IF(NOT(ISNUMBER($N28)),"",$N28-IF(ISNUMBER($V28),$V28,0))</f>
        <v/>
      </c>
      <c r="X28" s="33" t="n"/>
      <c r="Y28" s="51">
        <f>IF(COUNTA($B28,$C28,$D28,$E28,$F28,$I28)=0,"",IF(IF($B28=""," · Falta fecha","")&amp;IF($D28=""," · Falta cliente","")&amp;IF($E28=""," · Falta canal","")&amp;IF($F28=""," · Falta SKU","")&amp;IF(AND($F28&lt;&gt;"",COUNTIF(tblProductos[SKU],$F28)=0)," · SKU no existe","")&amp;IF(OR($I28="",NOT(ISNUMBER($I28)),$I28&lt;=0)," · Cantidad inválida","")&amp;IF($M28="PRECIO PENDIENTE"," · Falta precio de venta","")&amp;IF($P28="COSTO PENDIENTE"," · Falta costo del producto","")&amp;IF(AND(ISNUMBER($Q28),$Q28&lt;0)," · UTILIDAD NEGATIVA","")&amp;IF(AND($F28&lt;&gt;"",ISNUMBER(INDEX(tblInventario[Stock actual],MATCH($F28,tblInventario[SKU],0))),INDEX(tblInventario[Stock actual],MATCH($F28,tblInventario[SKU],0))&lt;0)," · Stock negativo del SKU","")&amp;IF(AND($T28="Cobrado",$U28="")," · Cobro sin fecha","")&amp;IF(AND(ISNUMBER($V28),ISNUMBER($N28),$V28&gt;N($N28)+0.01)," · Cobrado &gt; venta neta","")&amp;IF(AND(ISNUMBER($V28),$V28&gt;0,$U28="")," · Monto cobrado sin fecha","")="","OK",MID(IF($B28=""," · Falta fecha","")&amp;IF($D28=""," · Falta cliente","")&amp;IF($E28=""," · Falta canal","")&amp;IF($F28=""," · Falta SKU","")&amp;IF(AND($F28&lt;&gt;"",COUNTIF(tblProductos[SKU],$F28)=0)," · SKU no existe","")&amp;IF(OR($I28="",NOT(ISNUMBER($I28)),$I28&lt;=0)," · Cantidad inválida","")&amp;IF($M28="PRECIO PENDIENTE"," · Falta precio de venta","")&amp;IF($P28="COSTO PENDIENTE"," · Falta costo del producto","")&amp;IF(AND(ISNUMBER($Q28),$Q28&lt;0)," · UTILIDAD NEGATIVA","")&amp;IF(AND($F28&lt;&gt;"",ISNUMBER(INDEX(tblInventario[Stock actual],MATCH($F28,tblInventario[SKU],0))),INDEX(tblInventario[Stock actual],MATCH($F28,tblInventario[SKU],0))&lt;0)," · Stock negativo del SKU","")&amp;IF(AND($T28="Cobrado",$U28="")," · Cobro sin fecha","")&amp;IF(AND(ISNUMBER($V28),ISNUMBER($N28),$V28&gt;N($N28)+0.01)," · Cobrado &gt; venta neta","")&amp;IF(AND(ISNUMBER($V28),$V28&gt;0,$U28="")," · Monto cobrado sin fecha",""),4,900)))</f>
        <v/>
      </c>
    </row>
    <row r="29">
      <c r="A29" s="51">
        <f>IF(COUNTA($B29,$C29,$D29,$E29,$F29,$I29)=0,"","V-"&amp;TEXT(ROW()-6,"0000"))</f>
        <v/>
      </c>
      <c r="B29" s="41" t="n"/>
      <c r="C29" s="33" t="n"/>
      <c r="D29" s="33" t="n"/>
      <c r="E29" s="33" t="n"/>
      <c r="F29" s="33" t="n"/>
      <c r="G29" s="51">
        <f>IF($F29="","",IFERROR(IF(INDEX(tblProductos[Nombre del producto],MATCH($F29,tblProductos[SKU],0))="","",INDEX(tblProductos[Nombre del producto],MATCH($F29,tblProductos[SKU],0))),""))</f>
        <v/>
      </c>
      <c r="H29" s="51">
        <f>IF($F29="","",IFERROR(IF(INDEX(tblProductos[Categoría],MATCH($F29,tblProductos[SKU],0))="","",INDEX(tblProductos[Categoría],MATCH($F29,tblProductos[SKU],0))),""))</f>
        <v/>
      </c>
      <c r="I29" s="34" t="n"/>
      <c r="J29" s="39">
        <f>IF(OR($B29="",$F29="",$I29=""),"",IF($T29="Anulado",0,$I29))</f>
        <v/>
      </c>
      <c r="K29" s="54">
        <f>IF($F29="","",IFERROR(IF(INDEX(tblProductos[Precio de venta actual],MATCH($F29,tblProductos[SKU],0))="","",INDEX(tblProductos[Precio de venta actual],MATCH($F29,tblProductos[SKU],0))),""))</f>
        <v/>
      </c>
      <c r="L29" s="36" t="n"/>
      <c r="M29" s="37">
        <f>IF($J29="","",IF(NOT(ISNUMBER($K29)),"PRECIO PENDIENTE",$J29*$K29))</f>
        <v/>
      </c>
      <c r="N29" s="37">
        <f>IF($J29="","",IF(NOT(ISNUMBER($M29)),"PRECIO PENDIENTE",$M29-IF(ISNUMBER($L29),$L29,0)))</f>
        <v/>
      </c>
      <c r="O29" s="54">
        <f>IF($F29="","",IFERROR(INDEX(tblInventario[Costo unitario aplicado],MATCH($F29,tblInventario[SKU],0)),""))</f>
        <v/>
      </c>
      <c r="P29" s="37">
        <f>IF($J29="","",IF(NOT(ISNUMBER($O29)),"COSTO PENDIENTE",$J29*$O29))</f>
        <v/>
      </c>
      <c r="Q29" s="37">
        <f>IF($J29="","",IF(OR(NOT(ISNUMBER($N29)),NOT(ISNUMBER($P29))),"PENDIENTE",$N29-$P29))</f>
        <v/>
      </c>
      <c r="R29" s="38">
        <f>IF($J29="","",IF(OR(NOT(ISNUMBER($Q29)),NOT(ISNUMBER($N29)),$N29&lt;=0),"PENDIENTE",$Q29/$N29))</f>
        <v/>
      </c>
      <c r="S29" s="33" t="n"/>
      <c r="T29" s="33" t="n"/>
      <c r="U29" s="41" t="n"/>
      <c r="V29" s="36" t="n"/>
      <c r="W29" s="37">
        <f>IF(NOT(ISNUMBER($N29)),"",$N29-IF(ISNUMBER($V29),$V29,0))</f>
        <v/>
      </c>
      <c r="X29" s="33" t="n"/>
      <c r="Y29" s="51">
        <f>IF(COUNTA($B29,$C29,$D29,$E29,$F29,$I29)=0,"",IF(IF($B29=""," · Falta fecha","")&amp;IF($D29=""," · Falta cliente","")&amp;IF($E29=""," · Falta canal","")&amp;IF($F29=""," · Falta SKU","")&amp;IF(AND($F29&lt;&gt;"",COUNTIF(tblProductos[SKU],$F29)=0)," · SKU no existe","")&amp;IF(OR($I29="",NOT(ISNUMBER($I29)),$I29&lt;=0)," · Cantidad inválida","")&amp;IF($M29="PRECIO PENDIENTE"," · Falta precio de venta","")&amp;IF($P29="COSTO PENDIENTE"," · Falta costo del producto","")&amp;IF(AND(ISNUMBER($Q29),$Q29&lt;0)," · UTILIDAD NEGATIVA","")&amp;IF(AND($F29&lt;&gt;"",ISNUMBER(INDEX(tblInventario[Stock actual],MATCH($F29,tblInventario[SKU],0))),INDEX(tblInventario[Stock actual],MATCH($F29,tblInventario[SKU],0))&lt;0)," · Stock negativo del SKU","")&amp;IF(AND($T29="Cobrado",$U29="")," · Cobro sin fecha","")&amp;IF(AND(ISNUMBER($V29),ISNUMBER($N29),$V29&gt;N($N29)+0.01)," · Cobrado &gt; venta neta","")&amp;IF(AND(ISNUMBER($V29),$V29&gt;0,$U29="")," · Monto cobrado sin fecha","")="","OK",MID(IF($B29=""," · Falta fecha","")&amp;IF($D29=""," · Falta cliente","")&amp;IF($E29=""," · Falta canal","")&amp;IF($F29=""," · Falta SKU","")&amp;IF(AND($F29&lt;&gt;"",COUNTIF(tblProductos[SKU],$F29)=0)," · SKU no existe","")&amp;IF(OR($I29="",NOT(ISNUMBER($I29)),$I29&lt;=0)," · Cantidad inválida","")&amp;IF($M29="PRECIO PENDIENTE"," · Falta precio de venta","")&amp;IF($P29="COSTO PENDIENTE"," · Falta costo del producto","")&amp;IF(AND(ISNUMBER($Q29),$Q29&lt;0)," · UTILIDAD NEGATIVA","")&amp;IF(AND($F29&lt;&gt;"",ISNUMBER(INDEX(tblInventario[Stock actual],MATCH($F29,tblInventario[SKU],0))),INDEX(tblInventario[Stock actual],MATCH($F29,tblInventario[SKU],0))&lt;0)," · Stock negativo del SKU","")&amp;IF(AND($T29="Cobrado",$U29="")," · Cobro sin fecha","")&amp;IF(AND(ISNUMBER($V29),ISNUMBER($N29),$V29&gt;N($N29)+0.01)," · Cobrado &gt; venta neta","")&amp;IF(AND(ISNUMBER($V29),$V29&gt;0,$U29="")," · Monto cobrado sin fecha",""),4,900)))</f>
        <v/>
      </c>
    </row>
    <row r="30">
      <c r="A30" s="51">
        <f>IF(COUNTA($B30,$C30,$D30,$E30,$F30,$I30)=0,"","V-"&amp;TEXT(ROW()-6,"0000"))</f>
        <v/>
      </c>
      <c r="B30" s="41" t="n"/>
      <c r="C30" s="33" t="n"/>
      <c r="D30" s="33" t="n"/>
      <c r="E30" s="33" t="n"/>
      <c r="F30" s="33" t="n"/>
      <c r="G30" s="51">
        <f>IF($F30="","",IFERROR(IF(INDEX(tblProductos[Nombre del producto],MATCH($F30,tblProductos[SKU],0))="","",INDEX(tblProductos[Nombre del producto],MATCH($F30,tblProductos[SKU],0))),""))</f>
        <v/>
      </c>
      <c r="H30" s="51">
        <f>IF($F30="","",IFERROR(IF(INDEX(tblProductos[Categoría],MATCH($F30,tblProductos[SKU],0))="","",INDEX(tblProductos[Categoría],MATCH($F30,tblProductos[SKU],0))),""))</f>
        <v/>
      </c>
      <c r="I30" s="34" t="n"/>
      <c r="J30" s="39">
        <f>IF(OR($B30="",$F30="",$I30=""),"",IF($T30="Anulado",0,$I30))</f>
        <v/>
      </c>
      <c r="K30" s="54">
        <f>IF($F30="","",IFERROR(IF(INDEX(tblProductos[Precio de venta actual],MATCH($F30,tblProductos[SKU],0))="","",INDEX(tblProductos[Precio de venta actual],MATCH($F30,tblProductos[SKU],0))),""))</f>
        <v/>
      </c>
      <c r="L30" s="36" t="n"/>
      <c r="M30" s="37">
        <f>IF($J30="","",IF(NOT(ISNUMBER($K30)),"PRECIO PENDIENTE",$J30*$K30))</f>
        <v/>
      </c>
      <c r="N30" s="37">
        <f>IF($J30="","",IF(NOT(ISNUMBER($M30)),"PRECIO PENDIENTE",$M30-IF(ISNUMBER($L30),$L30,0)))</f>
        <v/>
      </c>
      <c r="O30" s="54">
        <f>IF($F30="","",IFERROR(INDEX(tblInventario[Costo unitario aplicado],MATCH($F30,tblInventario[SKU],0)),""))</f>
        <v/>
      </c>
      <c r="P30" s="37">
        <f>IF($J30="","",IF(NOT(ISNUMBER($O30)),"COSTO PENDIENTE",$J30*$O30))</f>
        <v/>
      </c>
      <c r="Q30" s="37">
        <f>IF($J30="","",IF(OR(NOT(ISNUMBER($N30)),NOT(ISNUMBER($P30))),"PENDIENTE",$N30-$P30))</f>
        <v/>
      </c>
      <c r="R30" s="38">
        <f>IF($J30="","",IF(OR(NOT(ISNUMBER($Q30)),NOT(ISNUMBER($N30)),$N30&lt;=0),"PENDIENTE",$Q30/$N30))</f>
        <v/>
      </c>
      <c r="S30" s="33" t="n"/>
      <c r="T30" s="33" t="n"/>
      <c r="U30" s="41" t="n"/>
      <c r="V30" s="36" t="n"/>
      <c r="W30" s="37">
        <f>IF(NOT(ISNUMBER($N30)),"",$N30-IF(ISNUMBER($V30),$V30,0))</f>
        <v/>
      </c>
      <c r="X30" s="33" t="n"/>
      <c r="Y30" s="51">
        <f>IF(COUNTA($B30,$C30,$D30,$E30,$F30,$I30)=0,"",IF(IF($B30=""," · Falta fecha","")&amp;IF($D30=""," · Falta cliente","")&amp;IF($E30=""," · Falta canal","")&amp;IF($F30=""," · Falta SKU","")&amp;IF(AND($F30&lt;&gt;"",COUNTIF(tblProductos[SKU],$F30)=0)," · SKU no existe","")&amp;IF(OR($I30="",NOT(ISNUMBER($I30)),$I30&lt;=0)," · Cantidad inválida","")&amp;IF($M30="PRECIO PENDIENTE"," · Falta precio de venta","")&amp;IF($P30="COSTO PENDIENTE"," · Falta costo del producto","")&amp;IF(AND(ISNUMBER($Q30),$Q30&lt;0)," · UTILIDAD NEGATIVA","")&amp;IF(AND($F30&lt;&gt;"",ISNUMBER(INDEX(tblInventario[Stock actual],MATCH($F30,tblInventario[SKU],0))),INDEX(tblInventario[Stock actual],MATCH($F30,tblInventario[SKU],0))&lt;0)," · Stock negativo del SKU","")&amp;IF(AND($T30="Cobrado",$U30="")," · Cobro sin fecha","")&amp;IF(AND(ISNUMBER($V30),ISNUMBER($N30),$V30&gt;N($N30)+0.01)," · Cobrado &gt; venta neta","")&amp;IF(AND(ISNUMBER($V30),$V30&gt;0,$U30="")," · Monto cobrado sin fecha","")="","OK",MID(IF($B30=""," · Falta fecha","")&amp;IF($D30=""," · Falta cliente","")&amp;IF($E30=""," · Falta canal","")&amp;IF($F30=""," · Falta SKU","")&amp;IF(AND($F30&lt;&gt;"",COUNTIF(tblProductos[SKU],$F30)=0)," · SKU no existe","")&amp;IF(OR($I30="",NOT(ISNUMBER($I30)),$I30&lt;=0)," · Cantidad inválida","")&amp;IF($M30="PRECIO PENDIENTE"," · Falta precio de venta","")&amp;IF($P30="COSTO PENDIENTE"," · Falta costo del producto","")&amp;IF(AND(ISNUMBER($Q30),$Q30&lt;0)," · UTILIDAD NEGATIVA","")&amp;IF(AND($F30&lt;&gt;"",ISNUMBER(INDEX(tblInventario[Stock actual],MATCH($F30,tblInventario[SKU],0))),INDEX(tblInventario[Stock actual],MATCH($F30,tblInventario[SKU],0))&lt;0)," · Stock negativo del SKU","")&amp;IF(AND($T30="Cobrado",$U30="")," · Cobro sin fecha","")&amp;IF(AND(ISNUMBER($V30),ISNUMBER($N30),$V30&gt;N($N30)+0.01)," · Cobrado &gt; venta neta","")&amp;IF(AND(ISNUMBER($V30),$V30&gt;0,$U30="")," · Monto cobrado sin fecha",""),4,900)))</f>
        <v/>
      </c>
    </row>
    <row r="31">
      <c r="A31" s="51">
        <f>IF(COUNTA($B31,$C31,$D31,$E31,$F31,$I31)=0,"","V-"&amp;TEXT(ROW()-6,"0000"))</f>
        <v/>
      </c>
      <c r="B31" s="41" t="n"/>
      <c r="C31" s="33" t="n"/>
      <c r="D31" s="33" t="n"/>
      <c r="E31" s="33" t="n"/>
      <c r="F31" s="33" t="n"/>
      <c r="G31" s="51">
        <f>IF($F31="","",IFERROR(IF(INDEX(tblProductos[Nombre del producto],MATCH($F31,tblProductos[SKU],0))="","",INDEX(tblProductos[Nombre del producto],MATCH($F31,tblProductos[SKU],0))),""))</f>
        <v/>
      </c>
      <c r="H31" s="51">
        <f>IF($F31="","",IFERROR(IF(INDEX(tblProductos[Categoría],MATCH($F31,tblProductos[SKU],0))="","",INDEX(tblProductos[Categoría],MATCH($F31,tblProductos[SKU],0))),""))</f>
        <v/>
      </c>
      <c r="I31" s="34" t="n"/>
      <c r="J31" s="39">
        <f>IF(OR($B31="",$F31="",$I31=""),"",IF($T31="Anulado",0,$I31))</f>
        <v/>
      </c>
      <c r="K31" s="54">
        <f>IF($F31="","",IFERROR(IF(INDEX(tblProductos[Precio de venta actual],MATCH($F31,tblProductos[SKU],0))="","",INDEX(tblProductos[Precio de venta actual],MATCH($F31,tblProductos[SKU],0))),""))</f>
        <v/>
      </c>
      <c r="L31" s="36" t="n"/>
      <c r="M31" s="37">
        <f>IF($J31="","",IF(NOT(ISNUMBER($K31)),"PRECIO PENDIENTE",$J31*$K31))</f>
        <v/>
      </c>
      <c r="N31" s="37">
        <f>IF($J31="","",IF(NOT(ISNUMBER($M31)),"PRECIO PENDIENTE",$M31-IF(ISNUMBER($L31),$L31,0)))</f>
        <v/>
      </c>
      <c r="O31" s="54">
        <f>IF($F31="","",IFERROR(INDEX(tblInventario[Costo unitario aplicado],MATCH($F31,tblInventario[SKU],0)),""))</f>
        <v/>
      </c>
      <c r="P31" s="37">
        <f>IF($J31="","",IF(NOT(ISNUMBER($O31)),"COSTO PENDIENTE",$J31*$O31))</f>
        <v/>
      </c>
      <c r="Q31" s="37">
        <f>IF($J31="","",IF(OR(NOT(ISNUMBER($N31)),NOT(ISNUMBER($P31))),"PENDIENTE",$N31-$P31))</f>
        <v/>
      </c>
      <c r="R31" s="38">
        <f>IF($J31="","",IF(OR(NOT(ISNUMBER($Q31)),NOT(ISNUMBER($N31)),$N31&lt;=0),"PENDIENTE",$Q31/$N31))</f>
        <v/>
      </c>
      <c r="S31" s="33" t="n"/>
      <c r="T31" s="33" t="n"/>
      <c r="U31" s="41" t="n"/>
      <c r="V31" s="36" t="n"/>
      <c r="W31" s="37">
        <f>IF(NOT(ISNUMBER($N31)),"",$N31-IF(ISNUMBER($V31),$V31,0))</f>
        <v/>
      </c>
      <c r="X31" s="33" t="n"/>
      <c r="Y31" s="51">
        <f>IF(COUNTA($B31,$C31,$D31,$E31,$F31,$I31)=0,"",IF(IF($B31=""," · Falta fecha","")&amp;IF($D31=""," · Falta cliente","")&amp;IF($E31=""," · Falta canal","")&amp;IF($F31=""," · Falta SKU","")&amp;IF(AND($F31&lt;&gt;"",COUNTIF(tblProductos[SKU],$F31)=0)," · SKU no existe","")&amp;IF(OR($I31="",NOT(ISNUMBER($I31)),$I31&lt;=0)," · Cantidad inválida","")&amp;IF($M31="PRECIO PENDIENTE"," · Falta precio de venta","")&amp;IF($P31="COSTO PENDIENTE"," · Falta costo del producto","")&amp;IF(AND(ISNUMBER($Q31),$Q31&lt;0)," · UTILIDAD NEGATIVA","")&amp;IF(AND($F31&lt;&gt;"",ISNUMBER(INDEX(tblInventario[Stock actual],MATCH($F31,tblInventario[SKU],0))),INDEX(tblInventario[Stock actual],MATCH($F31,tblInventario[SKU],0))&lt;0)," · Stock negativo del SKU","")&amp;IF(AND($T31="Cobrado",$U31="")," · Cobro sin fecha","")&amp;IF(AND(ISNUMBER($V31),ISNUMBER($N31),$V31&gt;N($N31)+0.01)," · Cobrado &gt; venta neta","")&amp;IF(AND(ISNUMBER($V31),$V31&gt;0,$U31="")," · Monto cobrado sin fecha","")="","OK",MID(IF($B31=""," · Falta fecha","")&amp;IF($D31=""," · Falta cliente","")&amp;IF($E31=""," · Falta canal","")&amp;IF($F31=""," · Falta SKU","")&amp;IF(AND($F31&lt;&gt;"",COUNTIF(tblProductos[SKU],$F31)=0)," · SKU no existe","")&amp;IF(OR($I31="",NOT(ISNUMBER($I31)),$I31&lt;=0)," · Cantidad inválida","")&amp;IF($M31="PRECIO PENDIENTE"," · Falta precio de venta","")&amp;IF($P31="COSTO PENDIENTE"," · Falta costo del producto","")&amp;IF(AND(ISNUMBER($Q31),$Q31&lt;0)," · UTILIDAD NEGATIVA","")&amp;IF(AND($F31&lt;&gt;"",ISNUMBER(INDEX(tblInventario[Stock actual],MATCH($F31,tblInventario[SKU],0))),INDEX(tblInventario[Stock actual],MATCH($F31,tblInventario[SKU],0))&lt;0)," · Stock negativo del SKU","")&amp;IF(AND($T31="Cobrado",$U31="")," · Cobro sin fecha","")&amp;IF(AND(ISNUMBER($V31),ISNUMBER($N31),$V31&gt;N($N31)+0.01)," · Cobrado &gt; venta neta","")&amp;IF(AND(ISNUMBER($V31),$V31&gt;0,$U31="")," · Monto cobrado sin fecha",""),4,900)))</f>
        <v/>
      </c>
    </row>
    <row r="32">
      <c r="A32" s="51">
        <f>IF(COUNTA($B32,$C32,$D32,$E32,$F32,$I32)=0,"","V-"&amp;TEXT(ROW()-6,"0000"))</f>
        <v/>
      </c>
      <c r="B32" s="41" t="n"/>
      <c r="C32" s="33" t="n"/>
      <c r="D32" s="33" t="n"/>
      <c r="E32" s="33" t="n"/>
      <c r="F32" s="33" t="n"/>
      <c r="G32" s="51">
        <f>IF($F32="","",IFERROR(IF(INDEX(tblProductos[Nombre del producto],MATCH($F32,tblProductos[SKU],0))="","",INDEX(tblProductos[Nombre del producto],MATCH($F32,tblProductos[SKU],0))),""))</f>
        <v/>
      </c>
      <c r="H32" s="51">
        <f>IF($F32="","",IFERROR(IF(INDEX(tblProductos[Categoría],MATCH($F32,tblProductos[SKU],0))="","",INDEX(tblProductos[Categoría],MATCH($F32,tblProductos[SKU],0))),""))</f>
        <v/>
      </c>
      <c r="I32" s="34" t="n"/>
      <c r="J32" s="39">
        <f>IF(OR($B32="",$F32="",$I32=""),"",IF($T32="Anulado",0,$I32))</f>
        <v/>
      </c>
      <c r="K32" s="54">
        <f>IF($F32="","",IFERROR(IF(INDEX(tblProductos[Precio de venta actual],MATCH($F32,tblProductos[SKU],0))="","",INDEX(tblProductos[Precio de venta actual],MATCH($F32,tblProductos[SKU],0))),""))</f>
        <v/>
      </c>
      <c r="L32" s="36" t="n"/>
      <c r="M32" s="37">
        <f>IF($J32="","",IF(NOT(ISNUMBER($K32)),"PRECIO PENDIENTE",$J32*$K32))</f>
        <v/>
      </c>
      <c r="N32" s="37">
        <f>IF($J32="","",IF(NOT(ISNUMBER($M32)),"PRECIO PENDIENTE",$M32-IF(ISNUMBER($L32),$L32,0)))</f>
        <v/>
      </c>
      <c r="O32" s="54">
        <f>IF($F32="","",IFERROR(INDEX(tblInventario[Costo unitario aplicado],MATCH($F32,tblInventario[SKU],0)),""))</f>
        <v/>
      </c>
      <c r="P32" s="37">
        <f>IF($J32="","",IF(NOT(ISNUMBER($O32)),"COSTO PENDIENTE",$J32*$O32))</f>
        <v/>
      </c>
      <c r="Q32" s="37">
        <f>IF($J32="","",IF(OR(NOT(ISNUMBER($N32)),NOT(ISNUMBER($P32))),"PENDIENTE",$N32-$P32))</f>
        <v/>
      </c>
      <c r="R32" s="38">
        <f>IF($J32="","",IF(OR(NOT(ISNUMBER($Q32)),NOT(ISNUMBER($N32)),$N32&lt;=0),"PENDIENTE",$Q32/$N32))</f>
        <v/>
      </c>
      <c r="S32" s="33" t="n"/>
      <c r="T32" s="33" t="n"/>
      <c r="U32" s="41" t="n"/>
      <c r="V32" s="36" t="n"/>
      <c r="W32" s="37">
        <f>IF(NOT(ISNUMBER($N32)),"",$N32-IF(ISNUMBER($V32),$V32,0))</f>
        <v/>
      </c>
      <c r="X32" s="33" t="n"/>
      <c r="Y32" s="51">
        <f>IF(COUNTA($B32,$C32,$D32,$E32,$F32,$I32)=0,"",IF(IF($B32=""," · Falta fecha","")&amp;IF($D32=""," · Falta cliente","")&amp;IF($E32=""," · Falta canal","")&amp;IF($F32=""," · Falta SKU","")&amp;IF(AND($F32&lt;&gt;"",COUNTIF(tblProductos[SKU],$F32)=0)," · SKU no existe","")&amp;IF(OR($I32="",NOT(ISNUMBER($I32)),$I32&lt;=0)," · Cantidad inválida","")&amp;IF($M32="PRECIO PENDIENTE"," · Falta precio de venta","")&amp;IF($P32="COSTO PENDIENTE"," · Falta costo del producto","")&amp;IF(AND(ISNUMBER($Q32),$Q32&lt;0)," · UTILIDAD NEGATIVA","")&amp;IF(AND($F32&lt;&gt;"",ISNUMBER(INDEX(tblInventario[Stock actual],MATCH($F32,tblInventario[SKU],0))),INDEX(tblInventario[Stock actual],MATCH($F32,tblInventario[SKU],0))&lt;0)," · Stock negativo del SKU","")&amp;IF(AND($T32="Cobrado",$U32="")," · Cobro sin fecha","")&amp;IF(AND(ISNUMBER($V32),ISNUMBER($N32),$V32&gt;N($N32)+0.01)," · Cobrado &gt; venta neta","")&amp;IF(AND(ISNUMBER($V32),$V32&gt;0,$U32="")," · Monto cobrado sin fecha","")="","OK",MID(IF($B32=""," · Falta fecha","")&amp;IF($D32=""," · Falta cliente","")&amp;IF($E32=""," · Falta canal","")&amp;IF($F32=""," · Falta SKU","")&amp;IF(AND($F32&lt;&gt;"",COUNTIF(tblProductos[SKU],$F32)=0)," · SKU no existe","")&amp;IF(OR($I32="",NOT(ISNUMBER($I32)),$I32&lt;=0)," · Cantidad inválida","")&amp;IF($M32="PRECIO PENDIENTE"," · Falta precio de venta","")&amp;IF($P32="COSTO PENDIENTE"," · Falta costo del producto","")&amp;IF(AND(ISNUMBER($Q32),$Q32&lt;0)," · UTILIDAD NEGATIVA","")&amp;IF(AND($F32&lt;&gt;"",ISNUMBER(INDEX(tblInventario[Stock actual],MATCH($F32,tblInventario[SKU],0))),INDEX(tblInventario[Stock actual],MATCH($F32,tblInventario[SKU],0))&lt;0)," · Stock negativo del SKU","")&amp;IF(AND($T32="Cobrado",$U32="")," · Cobro sin fecha","")&amp;IF(AND(ISNUMBER($V32),ISNUMBER($N32),$V32&gt;N($N32)+0.01)," · Cobrado &gt; venta neta","")&amp;IF(AND(ISNUMBER($V32),$V32&gt;0,$U32="")," · Monto cobrado sin fecha",""),4,900)))</f>
        <v/>
      </c>
    </row>
    <row r="33">
      <c r="A33" s="51">
        <f>IF(COUNTA($B33,$C33,$D33,$E33,$F33,$I33)=0,"","V-"&amp;TEXT(ROW()-6,"0000"))</f>
        <v/>
      </c>
      <c r="B33" s="41" t="n"/>
      <c r="C33" s="33" t="n"/>
      <c r="D33" s="33" t="n"/>
      <c r="E33" s="33" t="n"/>
      <c r="F33" s="33" t="n"/>
      <c r="G33" s="51">
        <f>IF($F33="","",IFERROR(IF(INDEX(tblProductos[Nombre del producto],MATCH($F33,tblProductos[SKU],0))="","",INDEX(tblProductos[Nombre del producto],MATCH($F33,tblProductos[SKU],0))),""))</f>
        <v/>
      </c>
      <c r="H33" s="51">
        <f>IF($F33="","",IFERROR(IF(INDEX(tblProductos[Categoría],MATCH($F33,tblProductos[SKU],0))="","",INDEX(tblProductos[Categoría],MATCH($F33,tblProductos[SKU],0))),""))</f>
        <v/>
      </c>
      <c r="I33" s="34" t="n"/>
      <c r="J33" s="39">
        <f>IF(OR($B33="",$F33="",$I33=""),"",IF($T33="Anulado",0,$I33))</f>
        <v/>
      </c>
      <c r="K33" s="54">
        <f>IF($F33="","",IFERROR(IF(INDEX(tblProductos[Precio de venta actual],MATCH($F33,tblProductos[SKU],0))="","",INDEX(tblProductos[Precio de venta actual],MATCH($F33,tblProductos[SKU],0))),""))</f>
        <v/>
      </c>
      <c r="L33" s="36" t="n"/>
      <c r="M33" s="37">
        <f>IF($J33="","",IF(NOT(ISNUMBER($K33)),"PRECIO PENDIENTE",$J33*$K33))</f>
        <v/>
      </c>
      <c r="N33" s="37">
        <f>IF($J33="","",IF(NOT(ISNUMBER($M33)),"PRECIO PENDIENTE",$M33-IF(ISNUMBER($L33),$L33,0)))</f>
        <v/>
      </c>
      <c r="O33" s="54">
        <f>IF($F33="","",IFERROR(INDEX(tblInventario[Costo unitario aplicado],MATCH($F33,tblInventario[SKU],0)),""))</f>
        <v/>
      </c>
      <c r="P33" s="37">
        <f>IF($J33="","",IF(NOT(ISNUMBER($O33)),"COSTO PENDIENTE",$J33*$O33))</f>
        <v/>
      </c>
      <c r="Q33" s="37">
        <f>IF($J33="","",IF(OR(NOT(ISNUMBER($N33)),NOT(ISNUMBER($P33))),"PENDIENTE",$N33-$P33))</f>
        <v/>
      </c>
      <c r="R33" s="38">
        <f>IF($J33="","",IF(OR(NOT(ISNUMBER($Q33)),NOT(ISNUMBER($N33)),$N33&lt;=0),"PENDIENTE",$Q33/$N33))</f>
        <v/>
      </c>
      <c r="S33" s="33" t="n"/>
      <c r="T33" s="33" t="n"/>
      <c r="U33" s="41" t="n"/>
      <c r="V33" s="36" t="n"/>
      <c r="W33" s="37">
        <f>IF(NOT(ISNUMBER($N33)),"",$N33-IF(ISNUMBER($V33),$V33,0))</f>
        <v/>
      </c>
      <c r="X33" s="33" t="n"/>
      <c r="Y33" s="51">
        <f>IF(COUNTA($B33,$C33,$D33,$E33,$F33,$I33)=0,"",IF(IF($B33=""," · Falta fecha","")&amp;IF($D33=""," · Falta cliente","")&amp;IF($E33=""," · Falta canal","")&amp;IF($F33=""," · Falta SKU","")&amp;IF(AND($F33&lt;&gt;"",COUNTIF(tblProductos[SKU],$F33)=0)," · SKU no existe","")&amp;IF(OR($I33="",NOT(ISNUMBER($I33)),$I33&lt;=0)," · Cantidad inválida","")&amp;IF($M33="PRECIO PENDIENTE"," · Falta precio de venta","")&amp;IF($P33="COSTO PENDIENTE"," · Falta costo del producto","")&amp;IF(AND(ISNUMBER($Q33),$Q33&lt;0)," · UTILIDAD NEGATIVA","")&amp;IF(AND($F33&lt;&gt;"",ISNUMBER(INDEX(tblInventario[Stock actual],MATCH($F33,tblInventario[SKU],0))),INDEX(tblInventario[Stock actual],MATCH($F33,tblInventario[SKU],0))&lt;0)," · Stock negativo del SKU","")&amp;IF(AND($T33="Cobrado",$U33="")," · Cobro sin fecha","")&amp;IF(AND(ISNUMBER($V33),ISNUMBER($N33),$V33&gt;N($N33)+0.01)," · Cobrado &gt; venta neta","")&amp;IF(AND(ISNUMBER($V33),$V33&gt;0,$U33="")," · Monto cobrado sin fecha","")="","OK",MID(IF($B33=""," · Falta fecha","")&amp;IF($D33=""," · Falta cliente","")&amp;IF($E33=""," · Falta canal","")&amp;IF($F33=""," · Falta SKU","")&amp;IF(AND($F33&lt;&gt;"",COUNTIF(tblProductos[SKU],$F33)=0)," · SKU no existe","")&amp;IF(OR($I33="",NOT(ISNUMBER($I33)),$I33&lt;=0)," · Cantidad inválida","")&amp;IF($M33="PRECIO PENDIENTE"," · Falta precio de venta","")&amp;IF($P33="COSTO PENDIENTE"," · Falta costo del producto","")&amp;IF(AND(ISNUMBER($Q33),$Q33&lt;0)," · UTILIDAD NEGATIVA","")&amp;IF(AND($F33&lt;&gt;"",ISNUMBER(INDEX(tblInventario[Stock actual],MATCH($F33,tblInventario[SKU],0))),INDEX(tblInventario[Stock actual],MATCH($F33,tblInventario[SKU],0))&lt;0)," · Stock negativo del SKU","")&amp;IF(AND($T33="Cobrado",$U33="")," · Cobro sin fecha","")&amp;IF(AND(ISNUMBER($V33),ISNUMBER($N33),$V33&gt;N($N33)+0.01)," · Cobrado &gt; venta neta","")&amp;IF(AND(ISNUMBER($V33),$V33&gt;0,$U33="")," · Monto cobrado sin fecha",""),4,900)))</f>
        <v/>
      </c>
    </row>
    <row r="34">
      <c r="A34" s="51">
        <f>IF(COUNTA($B34,$C34,$D34,$E34,$F34,$I34)=0,"","V-"&amp;TEXT(ROW()-6,"0000"))</f>
        <v/>
      </c>
      <c r="B34" s="41" t="n"/>
      <c r="C34" s="33" t="n"/>
      <c r="D34" s="33" t="n"/>
      <c r="E34" s="33" t="n"/>
      <c r="F34" s="33" t="n"/>
      <c r="G34" s="51">
        <f>IF($F34="","",IFERROR(IF(INDEX(tblProductos[Nombre del producto],MATCH($F34,tblProductos[SKU],0))="","",INDEX(tblProductos[Nombre del producto],MATCH($F34,tblProductos[SKU],0))),""))</f>
        <v/>
      </c>
      <c r="H34" s="51">
        <f>IF($F34="","",IFERROR(IF(INDEX(tblProductos[Categoría],MATCH($F34,tblProductos[SKU],0))="","",INDEX(tblProductos[Categoría],MATCH($F34,tblProductos[SKU],0))),""))</f>
        <v/>
      </c>
      <c r="I34" s="34" t="n"/>
      <c r="J34" s="39">
        <f>IF(OR($B34="",$F34="",$I34=""),"",IF($T34="Anulado",0,$I34))</f>
        <v/>
      </c>
      <c r="K34" s="54">
        <f>IF($F34="","",IFERROR(IF(INDEX(tblProductos[Precio de venta actual],MATCH($F34,tblProductos[SKU],0))="","",INDEX(tblProductos[Precio de venta actual],MATCH($F34,tblProductos[SKU],0))),""))</f>
        <v/>
      </c>
      <c r="L34" s="36" t="n"/>
      <c r="M34" s="37">
        <f>IF($J34="","",IF(NOT(ISNUMBER($K34)),"PRECIO PENDIENTE",$J34*$K34))</f>
        <v/>
      </c>
      <c r="N34" s="37">
        <f>IF($J34="","",IF(NOT(ISNUMBER($M34)),"PRECIO PENDIENTE",$M34-IF(ISNUMBER($L34),$L34,0)))</f>
        <v/>
      </c>
      <c r="O34" s="54">
        <f>IF($F34="","",IFERROR(INDEX(tblInventario[Costo unitario aplicado],MATCH($F34,tblInventario[SKU],0)),""))</f>
        <v/>
      </c>
      <c r="P34" s="37">
        <f>IF($J34="","",IF(NOT(ISNUMBER($O34)),"COSTO PENDIENTE",$J34*$O34))</f>
        <v/>
      </c>
      <c r="Q34" s="37">
        <f>IF($J34="","",IF(OR(NOT(ISNUMBER($N34)),NOT(ISNUMBER($P34))),"PENDIENTE",$N34-$P34))</f>
        <v/>
      </c>
      <c r="R34" s="38">
        <f>IF($J34="","",IF(OR(NOT(ISNUMBER($Q34)),NOT(ISNUMBER($N34)),$N34&lt;=0),"PENDIENTE",$Q34/$N34))</f>
        <v/>
      </c>
      <c r="S34" s="33" t="n"/>
      <c r="T34" s="33" t="n"/>
      <c r="U34" s="41" t="n"/>
      <c r="V34" s="36" t="n"/>
      <c r="W34" s="37">
        <f>IF(NOT(ISNUMBER($N34)),"",$N34-IF(ISNUMBER($V34),$V34,0))</f>
        <v/>
      </c>
      <c r="X34" s="33" t="n"/>
      <c r="Y34" s="51">
        <f>IF(COUNTA($B34,$C34,$D34,$E34,$F34,$I34)=0,"",IF(IF($B34=""," · Falta fecha","")&amp;IF($D34=""," · Falta cliente","")&amp;IF($E34=""," · Falta canal","")&amp;IF($F34=""," · Falta SKU","")&amp;IF(AND($F34&lt;&gt;"",COUNTIF(tblProductos[SKU],$F34)=0)," · SKU no existe","")&amp;IF(OR($I34="",NOT(ISNUMBER($I34)),$I34&lt;=0)," · Cantidad inválida","")&amp;IF($M34="PRECIO PENDIENTE"," · Falta precio de venta","")&amp;IF($P34="COSTO PENDIENTE"," · Falta costo del producto","")&amp;IF(AND(ISNUMBER($Q34),$Q34&lt;0)," · UTILIDAD NEGATIVA","")&amp;IF(AND($F34&lt;&gt;"",ISNUMBER(INDEX(tblInventario[Stock actual],MATCH($F34,tblInventario[SKU],0))),INDEX(tblInventario[Stock actual],MATCH($F34,tblInventario[SKU],0))&lt;0)," · Stock negativo del SKU","")&amp;IF(AND($T34="Cobrado",$U34="")," · Cobro sin fecha","")&amp;IF(AND(ISNUMBER($V34),ISNUMBER($N34),$V34&gt;N($N34)+0.01)," · Cobrado &gt; venta neta","")&amp;IF(AND(ISNUMBER($V34),$V34&gt;0,$U34="")," · Monto cobrado sin fecha","")="","OK",MID(IF($B34=""," · Falta fecha","")&amp;IF($D34=""," · Falta cliente","")&amp;IF($E34=""," · Falta canal","")&amp;IF($F34=""," · Falta SKU","")&amp;IF(AND($F34&lt;&gt;"",COUNTIF(tblProductos[SKU],$F34)=0)," · SKU no existe","")&amp;IF(OR($I34="",NOT(ISNUMBER($I34)),$I34&lt;=0)," · Cantidad inválida","")&amp;IF($M34="PRECIO PENDIENTE"," · Falta precio de venta","")&amp;IF($P34="COSTO PENDIENTE"," · Falta costo del producto","")&amp;IF(AND(ISNUMBER($Q34),$Q34&lt;0)," · UTILIDAD NEGATIVA","")&amp;IF(AND($F34&lt;&gt;"",ISNUMBER(INDEX(tblInventario[Stock actual],MATCH($F34,tblInventario[SKU],0))),INDEX(tblInventario[Stock actual],MATCH($F34,tblInventario[SKU],0))&lt;0)," · Stock negativo del SKU","")&amp;IF(AND($T34="Cobrado",$U34="")," · Cobro sin fecha","")&amp;IF(AND(ISNUMBER($V34),ISNUMBER($N34),$V34&gt;N($N34)+0.01)," · Cobrado &gt; venta neta","")&amp;IF(AND(ISNUMBER($V34),$V34&gt;0,$U34="")," · Monto cobrado sin fecha",""),4,900)))</f>
        <v/>
      </c>
    </row>
    <row r="35">
      <c r="A35" s="51">
        <f>IF(COUNTA($B35,$C35,$D35,$E35,$F35,$I35)=0,"","V-"&amp;TEXT(ROW()-6,"0000"))</f>
        <v/>
      </c>
      <c r="B35" s="41" t="n"/>
      <c r="C35" s="33" t="n"/>
      <c r="D35" s="33" t="n"/>
      <c r="E35" s="33" t="n"/>
      <c r="F35" s="33" t="n"/>
      <c r="G35" s="51">
        <f>IF($F35="","",IFERROR(IF(INDEX(tblProductos[Nombre del producto],MATCH($F35,tblProductos[SKU],0))="","",INDEX(tblProductos[Nombre del producto],MATCH($F35,tblProductos[SKU],0))),""))</f>
        <v/>
      </c>
      <c r="H35" s="51">
        <f>IF($F35="","",IFERROR(IF(INDEX(tblProductos[Categoría],MATCH($F35,tblProductos[SKU],0))="","",INDEX(tblProductos[Categoría],MATCH($F35,tblProductos[SKU],0))),""))</f>
        <v/>
      </c>
      <c r="I35" s="34" t="n"/>
      <c r="J35" s="39">
        <f>IF(OR($B35="",$F35="",$I35=""),"",IF($T35="Anulado",0,$I35))</f>
        <v/>
      </c>
      <c r="K35" s="54">
        <f>IF($F35="","",IFERROR(IF(INDEX(tblProductos[Precio de venta actual],MATCH($F35,tblProductos[SKU],0))="","",INDEX(tblProductos[Precio de venta actual],MATCH($F35,tblProductos[SKU],0))),""))</f>
        <v/>
      </c>
      <c r="L35" s="36" t="n"/>
      <c r="M35" s="37">
        <f>IF($J35="","",IF(NOT(ISNUMBER($K35)),"PRECIO PENDIENTE",$J35*$K35))</f>
        <v/>
      </c>
      <c r="N35" s="37">
        <f>IF($J35="","",IF(NOT(ISNUMBER($M35)),"PRECIO PENDIENTE",$M35-IF(ISNUMBER($L35),$L35,0)))</f>
        <v/>
      </c>
      <c r="O35" s="54">
        <f>IF($F35="","",IFERROR(INDEX(tblInventario[Costo unitario aplicado],MATCH($F35,tblInventario[SKU],0)),""))</f>
        <v/>
      </c>
      <c r="P35" s="37">
        <f>IF($J35="","",IF(NOT(ISNUMBER($O35)),"COSTO PENDIENTE",$J35*$O35))</f>
        <v/>
      </c>
      <c r="Q35" s="37">
        <f>IF($J35="","",IF(OR(NOT(ISNUMBER($N35)),NOT(ISNUMBER($P35))),"PENDIENTE",$N35-$P35))</f>
        <v/>
      </c>
      <c r="R35" s="38">
        <f>IF($J35="","",IF(OR(NOT(ISNUMBER($Q35)),NOT(ISNUMBER($N35)),$N35&lt;=0),"PENDIENTE",$Q35/$N35))</f>
        <v/>
      </c>
      <c r="S35" s="33" t="n"/>
      <c r="T35" s="33" t="n"/>
      <c r="U35" s="41" t="n"/>
      <c r="V35" s="36" t="n"/>
      <c r="W35" s="37">
        <f>IF(NOT(ISNUMBER($N35)),"",$N35-IF(ISNUMBER($V35),$V35,0))</f>
        <v/>
      </c>
      <c r="X35" s="33" t="n"/>
      <c r="Y35" s="51">
        <f>IF(COUNTA($B35,$C35,$D35,$E35,$F35,$I35)=0,"",IF(IF($B35=""," · Falta fecha","")&amp;IF($D35=""," · Falta cliente","")&amp;IF($E35=""," · Falta canal","")&amp;IF($F35=""," · Falta SKU","")&amp;IF(AND($F35&lt;&gt;"",COUNTIF(tblProductos[SKU],$F35)=0)," · SKU no existe","")&amp;IF(OR($I35="",NOT(ISNUMBER($I35)),$I35&lt;=0)," · Cantidad inválida","")&amp;IF($M35="PRECIO PENDIENTE"," · Falta precio de venta","")&amp;IF($P35="COSTO PENDIENTE"," · Falta costo del producto","")&amp;IF(AND(ISNUMBER($Q35),$Q35&lt;0)," · UTILIDAD NEGATIVA","")&amp;IF(AND($F35&lt;&gt;"",ISNUMBER(INDEX(tblInventario[Stock actual],MATCH($F35,tblInventario[SKU],0))),INDEX(tblInventario[Stock actual],MATCH($F35,tblInventario[SKU],0))&lt;0)," · Stock negativo del SKU","")&amp;IF(AND($T35="Cobrado",$U35="")," · Cobro sin fecha","")&amp;IF(AND(ISNUMBER($V35),ISNUMBER($N35),$V35&gt;N($N35)+0.01)," · Cobrado &gt; venta neta","")&amp;IF(AND(ISNUMBER($V35),$V35&gt;0,$U35="")," · Monto cobrado sin fecha","")="","OK",MID(IF($B35=""," · Falta fecha","")&amp;IF($D35=""," · Falta cliente","")&amp;IF($E35=""," · Falta canal","")&amp;IF($F35=""," · Falta SKU","")&amp;IF(AND($F35&lt;&gt;"",COUNTIF(tblProductos[SKU],$F35)=0)," · SKU no existe","")&amp;IF(OR($I35="",NOT(ISNUMBER($I35)),$I35&lt;=0)," · Cantidad inválida","")&amp;IF($M35="PRECIO PENDIENTE"," · Falta precio de venta","")&amp;IF($P35="COSTO PENDIENTE"," · Falta costo del producto","")&amp;IF(AND(ISNUMBER($Q35),$Q35&lt;0)," · UTILIDAD NEGATIVA","")&amp;IF(AND($F35&lt;&gt;"",ISNUMBER(INDEX(tblInventario[Stock actual],MATCH($F35,tblInventario[SKU],0))),INDEX(tblInventario[Stock actual],MATCH($F35,tblInventario[SKU],0))&lt;0)," · Stock negativo del SKU","")&amp;IF(AND($T35="Cobrado",$U35="")," · Cobro sin fecha","")&amp;IF(AND(ISNUMBER($V35),ISNUMBER($N35),$V35&gt;N($N35)+0.01)," · Cobrado &gt; venta neta","")&amp;IF(AND(ISNUMBER($V35),$V35&gt;0,$U35="")," · Monto cobrado sin fecha",""),4,900)))</f>
        <v/>
      </c>
    </row>
    <row r="36">
      <c r="A36" s="51">
        <f>IF(COUNTA($B36,$C36,$D36,$E36,$F36,$I36)=0,"","V-"&amp;TEXT(ROW()-6,"0000"))</f>
        <v/>
      </c>
      <c r="B36" s="41" t="n"/>
      <c r="C36" s="33" t="n"/>
      <c r="D36" s="33" t="n"/>
      <c r="E36" s="33" t="n"/>
      <c r="F36" s="33" t="n"/>
      <c r="G36" s="51">
        <f>IF($F36="","",IFERROR(IF(INDEX(tblProductos[Nombre del producto],MATCH($F36,tblProductos[SKU],0))="","",INDEX(tblProductos[Nombre del producto],MATCH($F36,tblProductos[SKU],0))),""))</f>
        <v/>
      </c>
      <c r="H36" s="51">
        <f>IF($F36="","",IFERROR(IF(INDEX(tblProductos[Categoría],MATCH($F36,tblProductos[SKU],0))="","",INDEX(tblProductos[Categoría],MATCH($F36,tblProductos[SKU],0))),""))</f>
        <v/>
      </c>
      <c r="I36" s="34" t="n"/>
      <c r="J36" s="39">
        <f>IF(OR($B36="",$F36="",$I36=""),"",IF($T36="Anulado",0,$I36))</f>
        <v/>
      </c>
      <c r="K36" s="54">
        <f>IF($F36="","",IFERROR(IF(INDEX(tblProductos[Precio de venta actual],MATCH($F36,tblProductos[SKU],0))="","",INDEX(tblProductos[Precio de venta actual],MATCH($F36,tblProductos[SKU],0))),""))</f>
        <v/>
      </c>
      <c r="L36" s="36" t="n"/>
      <c r="M36" s="37">
        <f>IF($J36="","",IF(NOT(ISNUMBER($K36)),"PRECIO PENDIENTE",$J36*$K36))</f>
        <v/>
      </c>
      <c r="N36" s="37">
        <f>IF($J36="","",IF(NOT(ISNUMBER($M36)),"PRECIO PENDIENTE",$M36-IF(ISNUMBER($L36),$L36,0)))</f>
        <v/>
      </c>
      <c r="O36" s="54">
        <f>IF($F36="","",IFERROR(INDEX(tblInventario[Costo unitario aplicado],MATCH($F36,tblInventario[SKU],0)),""))</f>
        <v/>
      </c>
      <c r="P36" s="37">
        <f>IF($J36="","",IF(NOT(ISNUMBER($O36)),"COSTO PENDIENTE",$J36*$O36))</f>
        <v/>
      </c>
      <c r="Q36" s="37">
        <f>IF($J36="","",IF(OR(NOT(ISNUMBER($N36)),NOT(ISNUMBER($P36))),"PENDIENTE",$N36-$P36))</f>
        <v/>
      </c>
      <c r="R36" s="38">
        <f>IF($J36="","",IF(OR(NOT(ISNUMBER($Q36)),NOT(ISNUMBER($N36)),$N36&lt;=0),"PENDIENTE",$Q36/$N36))</f>
        <v/>
      </c>
      <c r="S36" s="33" t="n"/>
      <c r="T36" s="33" t="n"/>
      <c r="U36" s="41" t="n"/>
      <c r="V36" s="36" t="n"/>
      <c r="W36" s="37">
        <f>IF(NOT(ISNUMBER($N36)),"",$N36-IF(ISNUMBER($V36),$V36,0))</f>
        <v/>
      </c>
      <c r="X36" s="33" t="n"/>
      <c r="Y36" s="51">
        <f>IF(COUNTA($B36,$C36,$D36,$E36,$F36,$I36)=0,"",IF(IF($B36=""," · Falta fecha","")&amp;IF($D36=""," · Falta cliente","")&amp;IF($E36=""," · Falta canal","")&amp;IF($F36=""," · Falta SKU","")&amp;IF(AND($F36&lt;&gt;"",COUNTIF(tblProductos[SKU],$F36)=0)," · SKU no existe","")&amp;IF(OR($I36="",NOT(ISNUMBER($I36)),$I36&lt;=0)," · Cantidad inválida","")&amp;IF($M36="PRECIO PENDIENTE"," · Falta precio de venta","")&amp;IF($P36="COSTO PENDIENTE"," · Falta costo del producto","")&amp;IF(AND(ISNUMBER($Q36),$Q36&lt;0)," · UTILIDAD NEGATIVA","")&amp;IF(AND($F36&lt;&gt;"",ISNUMBER(INDEX(tblInventario[Stock actual],MATCH($F36,tblInventario[SKU],0))),INDEX(tblInventario[Stock actual],MATCH($F36,tblInventario[SKU],0))&lt;0)," · Stock negativo del SKU","")&amp;IF(AND($T36="Cobrado",$U36="")," · Cobro sin fecha","")&amp;IF(AND(ISNUMBER($V36),ISNUMBER($N36),$V36&gt;N($N36)+0.01)," · Cobrado &gt; venta neta","")&amp;IF(AND(ISNUMBER($V36),$V36&gt;0,$U36="")," · Monto cobrado sin fecha","")="","OK",MID(IF($B36=""," · Falta fecha","")&amp;IF($D36=""," · Falta cliente","")&amp;IF($E36=""," · Falta canal","")&amp;IF($F36=""," · Falta SKU","")&amp;IF(AND($F36&lt;&gt;"",COUNTIF(tblProductos[SKU],$F36)=0)," · SKU no existe","")&amp;IF(OR($I36="",NOT(ISNUMBER($I36)),$I36&lt;=0)," · Cantidad inválida","")&amp;IF($M36="PRECIO PENDIENTE"," · Falta precio de venta","")&amp;IF($P36="COSTO PENDIENTE"," · Falta costo del producto","")&amp;IF(AND(ISNUMBER($Q36),$Q36&lt;0)," · UTILIDAD NEGATIVA","")&amp;IF(AND($F36&lt;&gt;"",ISNUMBER(INDEX(tblInventario[Stock actual],MATCH($F36,tblInventario[SKU],0))),INDEX(tblInventario[Stock actual],MATCH($F36,tblInventario[SKU],0))&lt;0)," · Stock negativo del SKU","")&amp;IF(AND($T36="Cobrado",$U36="")," · Cobro sin fecha","")&amp;IF(AND(ISNUMBER($V36),ISNUMBER($N36),$V36&gt;N($N36)+0.01)," · Cobrado &gt; venta neta","")&amp;IF(AND(ISNUMBER($V36),$V36&gt;0,$U36="")," · Monto cobrado sin fecha",""),4,900)))</f>
        <v/>
      </c>
    </row>
    <row r="37">
      <c r="A37" s="51">
        <f>IF(COUNTA($B37,$C37,$D37,$E37,$F37,$I37)=0,"","V-"&amp;TEXT(ROW()-6,"0000"))</f>
        <v/>
      </c>
      <c r="B37" s="41" t="n"/>
      <c r="C37" s="33" t="n"/>
      <c r="D37" s="33" t="n"/>
      <c r="E37" s="33" t="n"/>
      <c r="F37" s="33" t="n"/>
      <c r="G37" s="51">
        <f>IF($F37="","",IFERROR(IF(INDEX(tblProductos[Nombre del producto],MATCH($F37,tblProductos[SKU],0))="","",INDEX(tblProductos[Nombre del producto],MATCH($F37,tblProductos[SKU],0))),""))</f>
        <v/>
      </c>
      <c r="H37" s="51">
        <f>IF($F37="","",IFERROR(IF(INDEX(tblProductos[Categoría],MATCH($F37,tblProductos[SKU],0))="","",INDEX(tblProductos[Categoría],MATCH($F37,tblProductos[SKU],0))),""))</f>
        <v/>
      </c>
      <c r="I37" s="34" t="n"/>
      <c r="J37" s="39">
        <f>IF(OR($B37="",$F37="",$I37=""),"",IF($T37="Anulado",0,$I37))</f>
        <v/>
      </c>
      <c r="K37" s="54">
        <f>IF($F37="","",IFERROR(IF(INDEX(tblProductos[Precio de venta actual],MATCH($F37,tblProductos[SKU],0))="","",INDEX(tblProductos[Precio de venta actual],MATCH($F37,tblProductos[SKU],0))),""))</f>
        <v/>
      </c>
      <c r="L37" s="36" t="n"/>
      <c r="M37" s="37">
        <f>IF($J37="","",IF(NOT(ISNUMBER($K37)),"PRECIO PENDIENTE",$J37*$K37))</f>
        <v/>
      </c>
      <c r="N37" s="37">
        <f>IF($J37="","",IF(NOT(ISNUMBER($M37)),"PRECIO PENDIENTE",$M37-IF(ISNUMBER($L37),$L37,0)))</f>
        <v/>
      </c>
      <c r="O37" s="54">
        <f>IF($F37="","",IFERROR(INDEX(tblInventario[Costo unitario aplicado],MATCH($F37,tblInventario[SKU],0)),""))</f>
        <v/>
      </c>
      <c r="P37" s="37">
        <f>IF($J37="","",IF(NOT(ISNUMBER($O37)),"COSTO PENDIENTE",$J37*$O37))</f>
        <v/>
      </c>
      <c r="Q37" s="37">
        <f>IF($J37="","",IF(OR(NOT(ISNUMBER($N37)),NOT(ISNUMBER($P37))),"PENDIENTE",$N37-$P37))</f>
        <v/>
      </c>
      <c r="R37" s="38">
        <f>IF($J37="","",IF(OR(NOT(ISNUMBER($Q37)),NOT(ISNUMBER($N37)),$N37&lt;=0),"PENDIENTE",$Q37/$N37))</f>
        <v/>
      </c>
      <c r="S37" s="33" t="n"/>
      <c r="T37" s="33" t="n"/>
      <c r="U37" s="41" t="n"/>
      <c r="V37" s="36" t="n"/>
      <c r="W37" s="37">
        <f>IF(NOT(ISNUMBER($N37)),"",$N37-IF(ISNUMBER($V37),$V37,0))</f>
        <v/>
      </c>
      <c r="X37" s="33" t="n"/>
      <c r="Y37" s="51">
        <f>IF(COUNTA($B37,$C37,$D37,$E37,$F37,$I37)=0,"",IF(IF($B37=""," · Falta fecha","")&amp;IF($D37=""," · Falta cliente","")&amp;IF($E37=""," · Falta canal","")&amp;IF($F37=""," · Falta SKU","")&amp;IF(AND($F37&lt;&gt;"",COUNTIF(tblProductos[SKU],$F37)=0)," · SKU no existe","")&amp;IF(OR($I37="",NOT(ISNUMBER($I37)),$I37&lt;=0)," · Cantidad inválida","")&amp;IF($M37="PRECIO PENDIENTE"," · Falta precio de venta","")&amp;IF($P37="COSTO PENDIENTE"," · Falta costo del producto","")&amp;IF(AND(ISNUMBER($Q37),$Q37&lt;0)," · UTILIDAD NEGATIVA","")&amp;IF(AND($F37&lt;&gt;"",ISNUMBER(INDEX(tblInventario[Stock actual],MATCH($F37,tblInventario[SKU],0))),INDEX(tblInventario[Stock actual],MATCH($F37,tblInventario[SKU],0))&lt;0)," · Stock negativo del SKU","")&amp;IF(AND($T37="Cobrado",$U37="")," · Cobro sin fecha","")&amp;IF(AND(ISNUMBER($V37),ISNUMBER($N37),$V37&gt;N($N37)+0.01)," · Cobrado &gt; venta neta","")&amp;IF(AND(ISNUMBER($V37),$V37&gt;0,$U37="")," · Monto cobrado sin fecha","")="","OK",MID(IF($B37=""," · Falta fecha","")&amp;IF($D37=""," · Falta cliente","")&amp;IF($E37=""," · Falta canal","")&amp;IF($F37=""," · Falta SKU","")&amp;IF(AND($F37&lt;&gt;"",COUNTIF(tblProductos[SKU],$F37)=0)," · SKU no existe","")&amp;IF(OR($I37="",NOT(ISNUMBER($I37)),$I37&lt;=0)," · Cantidad inválida","")&amp;IF($M37="PRECIO PENDIENTE"," · Falta precio de venta","")&amp;IF($P37="COSTO PENDIENTE"," · Falta costo del producto","")&amp;IF(AND(ISNUMBER($Q37),$Q37&lt;0)," · UTILIDAD NEGATIVA","")&amp;IF(AND($F37&lt;&gt;"",ISNUMBER(INDEX(tblInventario[Stock actual],MATCH($F37,tblInventario[SKU],0))),INDEX(tblInventario[Stock actual],MATCH($F37,tblInventario[SKU],0))&lt;0)," · Stock negativo del SKU","")&amp;IF(AND($T37="Cobrado",$U37="")," · Cobro sin fecha","")&amp;IF(AND(ISNUMBER($V37),ISNUMBER($N37),$V37&gt;N($N37)+0.01)," · Cobrado &gt; venta neta","")&amp;IF(AND(ISNUMBER($V37),$V37&gt;0,$U37="")," · Monto cobrado sin fecha",""),4,900)))</f>
        <v/>
      </c>
    </row>
    <row r="38">
      <c r="A38" s="51">
        <f>IF(COUNTA($B38,$C38,$D38,$E38,$F38,$I38)=0,"","V-"&amp;TEXT(ROW()-6,"0000"))</f>
        <v/>
      </c>
      <c r="B38" s="41" t="n"/>
      <c r="C38" s="33" t="n"/>
      <c r="D38" s="33" t="n"/>
      <c r="E38" s="33" t="n"/>
      <c r="F38" s="33" t="n"/>
      <c r="G38" s="51">
        <f>IF($F38="","",IFERROR(IF(INDEX(tblProductos[Nombre del producto],MATCH($F38,tblProductos[SKU],0))="","",INDEX(tblProductos[Nombre del producto],MATCH($F38,tblProductos[SKU],0))),""))</f>
        <v/>
      </c>
      <c r="H38" s="51">
        <f>IF($F38="","",IFERROR(IF(INDEX(tblProductos[Categoría],MATCH($F38,tblProductos[SKU],0))="","",INDEX(tblProductos[Categoría],MATCH($F38,tblProductos[SKU],0))),""))</f>
        <v/>
      </c>
      <c r="I38" s="34" t="n"/>
      <c r="J38" s="39">
        <f>IF(OR($B38="",$F38="",$I38=""),"",IF($T38="Anulado",0,$I38))</f>
        <v/>
      </c>
      <c r="K38" s="54">
        <f>IF($F38="","",IFERROR(IF(INDEX(tblProductos[Precio de venta actual],MATCH($F38,tblProductos[SKU],0))="","",INDEX(tblProductos[Precio de venta actual],MATCH($F38,tblProductos[SKU],0))),""))</f>
        <v/>
      </c>
      <c r="L38" s="36" t="n"/>
      <c r="M38" s="37">
        <f>IF($J38="","",IF(NOT(ISNUMBER($K38)),"PRECIO PENDIENTE",$J38*$K38))</f>
        <v/>
      </c>
      <c r="N38" s="37">
        <f>IF($J38="","",IF(NOT(ISNUMBER($M38)),"PRECIO PENDIENTE",$M38-IF(ISNUMBER($L38),$L38,0)))</f>
        <v/>
      </c>
      <c r="O38" s="54">
        <f>IF($F38="","",IFERROR(INDEX(tblInventario[Costo unitario aplicado],MATCH($F38,tblInventario[SKU],0)),""))</f>
        <v/>
      </c>
      <c r="P38" s="37">
        <f>IF($J38="","",IF(NOT(ISNUMBER($O38)),"COSTO PENDIENTE",$J38*$O38))</f>
        <v/>
      </c>
      <c r="Q38" s="37">
        <f>IF($J38="","",IF(OR(NOT(ISNUMBER($N38)),NOT(ISNUMBER($P38))),"PENDIENTE",$N38-$P38))</f>
        <v/>
      </c>
      <c r="R38" s="38">
        <f>IF($J38="","",IF(OR(NOT(ISNUMBER($Q38)),NOT(ISNUMBER($N38)),$N38&lt;=0),"PENDIENTE",$Q38/$N38))</f>
        <v/>
      </c>
      <c r="S38" s="33" t="n"/>
      <c r="T38" s="33" t="n"/>
      <c r="U38" s="41" t="n"/>
      <c r="V38" s="36" t="n"/>
      <c r="W38" s="37">
        <f>IF(NOT(ISNUMBER($N38)),"",$N38-IF(ISNUMBER($V38),$V38,0))</f>
        <v/>
      </c>
      <c r="X38" s="33" t="n"/>
      <c r="Y38" s="51">
        <f>IF(COUNTA($B38,$C38,$D38,$E38,$F38,$I38)=0,"",IF(IF($B38=""," · Falta fecha","")&amp;IF($D38=""," · Falta cliente","")&amp;IF($E38=""," · Falta canal","")&amp;IF($F38=""," · Falta SKU","")&amp;IF(AND($F38&lt;&gt;"",COUNTIF(tblProductos[SKU],$F38)=0)," · SKU no existe","")&amp;IF(OR($I38="",NOT(ISNUMBER($I38)),$I38&lt;=0)," · Cantidad inválida","")&amp;IF($M38="PRECIO PENDIENTE"," · Falta precio de venta","")&amp;IF($P38="COSTO PENDIENTE"," · Falta costo del producto","")&amp;IF(AND(ISNUMBER($Q38),$Q38&lt;0)," · UTILIDAD NEGATIVA","")&amp;IF(AND($F38&lt;&gt;"",ISNUMBER(INDEX(tblInventario[Stock actual],MATCH($F38,tblInventario[SKU],0))),INDEX(tblInventario[Stock actual],MATCH($F38,tblInventario[SKU],0))&lt;0)," · Stock negativo del SKU","")&amp;IF(AND($T38="Cobrado",$U38="")," · Cobro sin fecha","")&amp;IF(AND(ISNUMBER($V38),ISNUMBER($N38),$V38&gt;N($N38)+0.01)," · Cobrado &gt; venta neta","")&amp;IF(AND(ISNUMBER($V38),$V38&gt;0,$U38="")," · Monto cobrado sin fecha","")="","OK",MID(IF($B38=""," · Falta fecha","")&amp;IF($D38=""," · Falta cliente","")&amp;IF($E38=""," · Falta canal","")&amp;IF($F38=""," · Falta SKU","")&amp;IF(AND($F38&lt;&gt;"",COUNTIF(tblProductos[SKU],$F38)=0)," · SKU no existe","")&amp;IF(OR($I38="",NOT(ISNUMBER($I38)),$I38&lt;=0)," · Cantidad inválida","")&amp;IF($M38="PRECIO PENDIENTE"," · Falta precio de venta","")&amp;IF($P38="COSTO PENDIENTE"," · Falta costo del producto","")&amp;IF(AND(ISNUMBER($Q38),$Q38&lt;0)," · UTILIDAD NEGATIVA","")&amp;IF(AND($F38&lt;&gt;"",ISNUMBER(INDEX(tblInventario[Stock actual],MATCH($F38,tblInventario[SKU],0))),INDEX(tblInventario[Stock actual],MATCH($F38,tblInventario[SKU],0))&lt;0)," · Stock negativo del SKU","")&amp;IF(AND($T38="Cobrado",$U38="")," · Cobro sin fecha","")&amp;IF(AND(ISNUMBER($V38),ISNUMBER($N38),$V38&gt;N($N38)+0.01)," · Cobrado &gt; venta neta","")&amp;IF(AND(ISNUMBER($V38),$V38&gt;0,$U38="")," · Monto cobrado sin fecha",""),4,900)))</f>
        <v/>
      </c>
    </row>
    <row r="39">
      <c r="A39" s="51">
        <f>IF(COUNTA($B39,$C39,$D39,$E39,$F39,$I39)=0,"","V-"&amp;TEXT(ROW()-6,"0000"))</f>
        <v/>
      </c>
      <c r="B39" s="41" t="n"/>
      <c r="C39" s="33" t="n"/>
      <c r="D39" s="33" t="n"/>
      <c r="E39" s="33" t="n"/>
      <c r="F39" s="33" t="n"/>
      <c r="G39" s="51">
        <f>IF($F39="","",IFERROR(IF(INDEX(tblProductos[Nombre del producto],MATCH($F39,tblProductos[SKU],0))="","",INDEX(tblProductos[Nombre del producto],MATCH($F39,tblProductos[SKU],0))),""))</f>
        <v/>
      </c>
      <c r="H39" s="51">
        <f>IF($F39="","",IFERROR(IF(INDEX(tblProductos[Categoría],MATCH($F39,tblProductos[SKU],0))="","",INDEX(tblProductos[Categoría],MATCH($F39,tblProductos[SKU],0))),""))</f>
        <v/>
      </c>
      <c r="I39" s="34" t="n"/>
      <c r="J39" s="39">
        <f>IF(OR($B39="",$F39="",$I39=""),"",IF($T39="Anulado",0,$I39))</f>
        <v/>
      </c>
      <c r="K39" s="54">
        <f>IF($F39="","",IFERROR(IF(INDEX(tblProductos[Precio de venta actual],MATCH($F39,tblProductos[SKU],0))="","",INDEX(tblProductos[Precio de venta actual],MATCH($F39,tblProductos[SKU],0))),""))</f>
        <v/>
      </c>
      <c r="L39" s="36" t="n"/>
      <c r="M39" s="37">
        <f>IF($J39="","",IF(NOT(ISNUMBER($K39)),"PRECIO PENDIENTE",$J39*$K39))</f>
        <v/>
      </c>
      <c r="N39" s="37">
        <f>IF($J39="","",IF(NOT(ISNUMBER($M39)),"PRECIO PENDIENTE",$M39-IF(ISNUMBER($L39),$L39,0)))</f>
        <v/>
      </c>
      <c r="O39" s="54">
        <f>IF($F39="","",IFERROR(INDEX(tblInventario[Costo unitario aplicado],MATCH($F39,tblInventario[SKU],0)),""))</f>
        <v/>
      </c>
      <c r="P39" s="37">
        <f>IF($J39="","",IF(NOT(ISNUMBER($O39)),"COSTO PENDIENTE",$J39*$O39))</f>
        <v/>
      </c>
      <c r="Q39" s="37">
        <f>IF($J39="","",IF(OR(NOT(ISNUMBER($N39)),NOT(ISNUMBER($P39))),"PENDIENTE",$N39-$P39))</f>
        <v/>
      </c>
      <c r="R39" s="38">
        <f>IF($J39="","",IF(OR(NOT(ISNUMBER($Q39)),NOT(ISNUMBER($N39)),$N39&lt;=0),"PENDIENTE",$Q39/$N39))</f>
        <v/>
      </c>
      <c r="S39" s="33" t="n"/>
      <c r="T39" s="33" t="n"/>
      <c r="U39" s="41" t="n"/>
      <c r="V39" s="36" t="n"/>
      <c r="W39" s="37">
        <f>IF(NOT(ISNUMBER($N39)),"",$N39-IF(ISNUMBER($V39),$V39,0))</f>
        <v/>
      </c>
      <c r="X39" s="33" t="n"/>
      <c r="Y39" s="51">
        <f>IF(COUNTA($B39,$C39,$D39,$E39,$F39,$I39)=0,"",IF(IF($B39=""," · Falta fecha","")&amp;IF($D39=""," · Falta cliente","")&amp;IF($E39=""," · Falta canal","")&amp;IF($F39=""," · Falta SKU","")&amp;IF(AND($F39&lt;&gt;"",COUNTIF(tblProductos[SKU],$F39)=0)," · SKU no existe","")&amp;IF(OR($I39="",NOT(ISNUMBER($I39)),$I39&lt;=0)," · Cantidad inválida","")&amp;IF($M39="PRECIO PENDIENTE"," · Falta precio de venta","")&amp;IF($P39="COSTO PENDIENTE"," · Falta costo del producto","")&amp;IF(AND(ISNUMBER($Q39),$Q39&lt;0)," · UTILIDAD NEGATIVA","")&amp;IF(AND($F39&lt;&gt;"",ISNUMBER(INDEX(tblInventario[Stock actual],MATCH($F39,tblInventario[SKU],0))),INDEX(tblInventario[Stock actual],MATCH($F39,tblInventario[SKU],0))&lt;0)," · Stock negativo del SKU","")&amp;IF(AND($T39="Cobrado",$U39="")," · Cobro sin fecha","")&amp;IF(AND(ISNUMBER($V39),ISNUMBER($N39),$V39&gt;N($N39)+0.01)," · Cobrado &gt; venta neta","")&amp;IF(AND(ISNUMBER($V39),$V39&gt;0,$U39="")," · Monto cobrado sin fecha","")="","OK",MID(IF($B39=""," · Falta fecha","")&amp;IF($D39=""," · Falta cliente","")&amp;IF($E39=""," · Falta canal","")&amp;IF($F39=""," · Falta SKU","")&amp;IF(AND($F39&lt;&gt;"",COUNTIF(tblProductos[SKU],$F39)=0)," · SKU no existe","")&amp;IF(OR($I39="",NOT(ISNUMBER($I39)),$I39&lt;=0)," · Cantidad inválida","")&amp;IF($M39="PRECIO PENDIENTE"," · Falta precio de venta","")&amp;IF($P39="COSTO PENDIENTE"," · Falta costo del producto","")&amp;IF(AND(ISNUMBER($Q39),$Q39&lt;0)," · UTILIDAD NEGATIVA","")&amp;IF(AND($F39&lt;&gt;"",ISNUMBER(INDEX(tblInventario[Stock actual],MATCH($F39,tblInventario[SKU],0))),INDEX(tblInventario[Stock actual],MATCH($F39,tblInventario[SKU],0))&lt;0)," · Stock negativo del SKU","")&amp;IF(AND($T39="Cobrado",$U39="")," · Cobro sin fecha","")&amp;IF(AND(ISNUMBER($V39),ISNUMBER($N39),$V39&gt;N($N39)+0.01)," · Cobrado &gt; venta neta","")&amp;IF(AND(ISNUMBER($V39),$V39&gt;0,$U39="")," · Monto cobrado sin fecha",""),4,900)))</f>
        <v/>
      </c>
    </row>
    <row r="40">
      <c r="A40" s="51">
        <f>IF(COUNTA($B40,$C40,$D40,$E40,$F40,$I40)=0,"","V-"&amp;TEXT(ROW()-6,"0000"))</f>
        <v/>
      </c>
      <c r="B40" s="41" t="n"/>
      <c r="C40" s="33" t="n"/>
      <c r="D40" s="33" t="n"/>
      <c r="E40" s="33" t="n"/>
      <c r="F40" s="33" t="n"/>
      <c r="G40" s="51">
        <f>IF($F40="","",IFERROR(IF(INDEX(tblProductos[Nombre del producto],MATCH($F40,tblProductos[SKU],0))="","",INDEX(tblProductos[Nombre del producto],MATCH($F40,tblProductos[SKU],0))),""))</f>
        <v/>
      </c>
      <c r="H40" s="51">
        <f>IF($F40="","",IFERROR(IF(INDEX(tblProductos[Categoría],MATCH($F40,tblProductos[SKU],0))="","",INDEX(tblProductos[Categoría],MATCH($F40,tblProductos[SKU],0))),""))</f>
        <v/>
      </c>
      <c r="I40" s="34" t="n"/>
      <c r="J40" s="39">
        <f>IF(OR($B40="",$F40="",$I40=""),"",IF($T40="Anulado",0,$I40))</f>
        <v/>
      </c>
      <c r="K40" s="54">
        <f>IF($F40="","",IFERROR(IF(INDEX(tblProductos[Precio de venta actual],MATCH($F40,tblProductos[SKU],0))="","",INDEX(tblProductos[Precio de venta actual],MATCH($F40,tblProductos[SKU],0))),""))</f>
        <v/>
      </c>
      <c r="L40" s="36" t="n"/>
      <c r="M40" s="37">
        <f>IF($J40="","",IF(NOT(ISNUMBER($K40)),"PRECIO PENDIENTE",$J40*$K40))</f>
        <v/>
      </c>
      <c r="N40" s="37">
        <f>IF($J40="","",IF(NOT(ISNUMBER($M40)),"PRECIO PENDIENTE",$M40-IF(ISNUMBER($L40),$L40,0)))</f>
        <v/>
      </c>
      <c r="O40" s="54">
        <f>IF($F40="","",IFERROR(INDEX(tblInventario[Costo unitario aplicado],MATCH($F40,tblInventario[SKU],0)),""))</f>
        <v/>
      </c>
      <c r="P40" s="37">
        <f>IF($J40="","",IF(NOT(ISNUMBER($O40)),"COSTO PENDIENTE",$J40*$O40))</f>
        <v/>
      </c>
      <c r="Q40" s="37">
        <f>IF($J40="","",IF(OR(NOT(ISNUMBER($N40)),NOT(ISNUMBER($P40))),"PENDIENTE",$N40-$P40))</f>
        <v/>
      </c>
      <c r="R40" s="38">
        <f>IF($J40="","",IF(OR(NOT(ISNUMBER($Q40)),NOT(ISNUMBER($N40)),$N40&lt;=0),"PENDIENTE",$Q40/$N40))</f>
        <v/>
      </c>
      <c r="S40" s="33" t="n"/>
      <c r="T40" s="33" t="n"/>
      <c r="U40" s="41" t="n"/>
      <c r="V40" s="36" t="n"/>
      <c r="W40" s="37">
        <f>IF(NOT(ISNUMBER($N40)),"",$N40-IF(ISNUMBER($V40),$V40,0))</f>
        <v/>
      </c>
      <c r="X40" s="33" t="n"/>
      <c r="Y40" s="51">
        <f>IF(COUNTA($B40,$C40,$D40,$E40,$F40,$I40)=0,"",IF(IF($B40=""," · Falta fecha","")&amp;IF($D40=""," · Falta cliente","")&amp;IF($E40=""," · Falta canal","")&amp;IF($F40=""," · Falta SKU","")&amp;IF(AND($F40&lt;&gt;"",COUNTIF(tblProductos[SKU],$F40)=0)," · SKU no existe","")&amp;IF(OR($I40="",NOT(ISNUMBER($I40)),$I40&lt;=0)," · Cantidad inválida","")&amp;IF($M40="PRECIO PENDIENTE"," · Falta precio de venta","")&amp;IF($P40="COSTO PENDIENTE"," · Falta costo del producto","")&amp;IF(AND(ISNUMBER($Q40),$Q40&lt;0)," · UTILIDAD NEGATIVA","")&amp;IF(AND($F40&lt;&gt;"",ISNUMBER(INDEX(tblInventario[Stock actual],MATCH($F40,tblInventario[SKU],0))),INDEX(tblInventario[Stock actual],MATCH($F40,tblInventario[SKU],0))&lt;0)," · Stock negativo del SKU","")&amp;IF(AND($T40="Cobrado",$U40="")," · Cobro sin fecha","")&amp;IF(AND(ISNUMBER($V40),ISNUMBER($N40),$V40&gt;N($N40)+0.01)," · Cobrado &gt; venta neta","")&amp;IF(AND(ISNUMBER($V40),$V40&gt;0,$U40="")," · Monto cobrado sin fecha","")="","OK",MID(IF($B40=""," · Falta fecha","")&amp;IF($D40=""," · Falta cliente","")&amp;IF($E40=""," · Falta canal","")&amp;IF($F40=""," · Falta SKU","")&amp;IF(AND($F40&lt;&gt;"",COUNTIF(tblProductos[SKU],$F40)=0)," · SKU no existe","")&amp;IF(OR($I40="",NOT(ISNUMBER($I40)),$I40&lt;=0)," · Cantidad inválida","")&amp;IF($M40="PRECIO PENDIENTE"," · Falta precio de venta","")&amp;IF($P40="COSTO PENDIENTE"," · Falta costo del producto","")&amp;IF(AND(ISNUMBER($Q40),$Q40&lt;0)," · UTILIDAD NEGATIVA","")&amp;IF(AND($F40&lt;&gt;"",ISNUMBER(INDEX(tblInventario[Stock actual],MATCH($F40,tblInventario[SKU],0))),INDEX(tblInventario[Stock actual],MATCH($F40,tblInventario[SKU],0))&lt;0)," · Stock negativo del SKU","")&amp;IF(AND($T40="Cobrado",$U40="")," · Cobro sin fecha","")&amp;IF(AND(ISNUMBER($V40),ISNUMBER($N40),$V40&gt;N($N40)+0.01)," · Cobrado &gt; venta neta","")&amp;IF(AND(ISNUMBER($V40),$V40&gt;0,$U40="")," · Monto cobrado sin fecha",""),4,900)))</f>
        <v/>
      </c>
    </row>
    <row r="41">
      <c r="A41" s="51">
        <f>IF(COUNTA($B41,$C41,$D41,$E41,$F41,$I41)=0,"","V-"&amp;TEXT(ROW()-6,"0000"))</f>
        <v/>
      </c>
      <c r="B41" s="41" t="n"/>
      <c r="C41" s="33" t="n"/>
      <c r="D41" s="33" t="n"/>
      <c r="E41" s="33" t="n"/>
      <c r="F41" s="33" t="n"/>
      <c r="G41" s="51">
        <f>IF($F41="","",IFERROR(IF(INDEX(tblProductos[Nombre del producto],MATCH($F41,tblProductos[SKU],0))="","",INDEX(tblProductos[Nombre del producto],MATCH($F41,tblProductos[SKU],0))),""))</f>
        <v/>
      </c>
      <c r="H41" s="51">
        <f>IF($F41="","",IFERROR(IF(INDEX(tblProductos[Categoría],MATCH($F41,tblProductos[SKU],0))="","",INDEX(tblProductos[Categoría],MATCH($F41,tblProductos[SKU],0))),""))</f>
        <v/>
      </c>
      <c r="I41" s="34" t="n"/>
      <c r="J41" s="39">
        <f>IF(OR($B41="",$F41="",$I41=""),"",IF($T41="Anulado",0,$I41))</f>
        <v/>
      </c>
      <c r="K41" s="54">
        <f>IF($F41="","",IFERROR(IF(INDEX(tblProductos[Precio de venta actual],MATCH($F41,tblProductos[SKU],0))="","",INDEX(tblProductos[Precio de venta actual],MATCH($F41,tblProductos[SKU],0))),""))</f>
        <v/>
      </c>
      <c r="L41" s="36" t="n"/>
      <c r="M41" s="37">
        <f>IF($J41="","",IF(NOT(ISNUMBER($K41)),"PRECIO PENDIENTE",$J41*$K41))</f>
        <v/>
      </c>
      <c r="N41" s="37">
        <f>IF($J41="","",IF(NOT(ISNUMBER($M41)),"PRECIO PENDIENTE",$M41-IF(ISNUMBER($L41),$L41,0)))</f>
        <v/>
      </c>
      <c r="O41" s="54">
        <f>IF($F41="","",IFERROR(INDEX(tblInventario[Costo unitario aplicado],MATCH($F41,tblInventario[SKU],0)),""))</f>
        <v/>
      </c>
      <c r="P41" s="37">
        <f>IF($J41="","",IF(NOT(ISNUMBER($O41)),"COSTO PENDIENTE",$J41*$O41))</f>
        <v/>
      </c>
      <c r="Q41" s="37">
        <f>IF($J41="","",IF(OR(NOT(ISNUMBER($N41)),NOT(ISNUMBER($P41))),"PENDIENTE",$N41-$P41))</f>
        <v/>
      </c>
      <c r="R41" s="38">
        <f>IF($J41="","",IF(OR(NOT(ISNUMBER($Q41)),NOT(ISNUMBER($N41)),$N41&lt;=0),"PENDIENTE",$Q41/$N41))</f>
        <v/>
      </c>
      <c r="S41" s="33" t="n"/>
      <c r="T41" s="33" t="n"/>
      <c r="U41" s="41" t="n"/>
      <c r="V41" s="36" t="n"/>
      <c r="W41" s="37">
        <f>IF(NOT(ISNUMBER($N41)),"",$N41-IF(ISNUMBER($V41),$V41,0))</f>
        <v/>
      </c>
      <c r="X41" s="33" t="n"/>
      <c r="Y41" s="51">
        <f>IF(COUNTA($B41,$C41,$D41,$E41,$F41,$I41)=0,"",IF(IF($B41=""," · Falta fecha","")&amp;IF($D41=""," · Falta cliente","")&amp;IF($E41=""," · Falta canal","")&amp;IF($F41=""," · Falta SKU","")&amp;IF(AND($F41&lt;&gt;"",COUNTIF(tblProductos[SKU],$F41)=0)," · SKU no existe","")&amp;IF(OR($I41="",NOT(ISNUMBER($I41)),$I41&lt;=0)," · Cantidad inválida","")&amp;IF($M41="PRECIO PENDIENTE"," · Falta precio de venta","")&amp;IF($P41="COSTO PENDIENTE"," · Falta costo del producto","")&amp;IF(AND(ISNUMBER($Q41),$Q41&lt;0)," · UTILIDAD NEGATIVA","")&amp;IF(AND($F41&lt;&gt;"",ISNUMBER(INDEX(tblInventario[Stock actual],MATCH($F41,tblInventario[SKU],0))),INDEX(tblInventario[Stock actual],MATCH($F41,tblInventario[SKU],0))&lt;0)," · Stock negativo del SKU","")&amp;IF(AND($T41="Cobrado",$U41="")," · Cobro sin fecha","")&amp;IF(AND(ISNUMBER($V41),ISNUMBER($N41),$V41&gt;N($N41)+0.01)," · Cobrado &gt; venta neta","")&amp;IF(AND(ISNUMBER($V41),$V41&gt;0,$U41="")," · Monto cobrado sin fecha","")="","OK",MID(IF($B41=""," · Falta fecha","")&amp;IF($D41=""," · Falta cliente","")&amp;IF($E41=""," · Falta canal","")&amp;IF($F41=""," · Falta SKU","")&amp;IF(AND($F41&lt;&gt;"",COUNTIF(tblProductos[SKU],$F41)=0)," · SKU no existe","")&amp;IF(OR($I41="",NOT(ISNUMBER($I41)),$I41&lt;=0)," · Cantidad inválida","")&amp;IF($M41="PRECIO PENDIENTE"," · Falta precio de venta","")&amp;IF($P41="COSTO PENDIENTE"," · Falta costo del producto","")&amp;IF(AND(ISNUMBER($Q41),$Q41&lt;0)," · UTILIDAD NEGATIVA","")&amp;IF(AND($F41&lt;&gt;"",ISNUMBER(INDEX(tblInventario[Stock actual],MATCH($F41,tblInventario[SKU],0))),INDEX(tblInventario[Stock actual],MATCH($F41,tblInventario[SKU],0))&lt;0)," · Stock negativo del SKU","")&amp;IF(AND($T41="Cobrado",$U41="")," · Cobro sin fecha","")&amp;IF(AND(ISNUMBER($V41),ISNUMBER($N41),$V41&gt;N($N41)+0.01)," · Cobrado &gt; venta neta","")&amp;IF(AND(ISNUMBER($V41),$V41&gt;0,$U41="")," · Monto cobrado sin fecha",""),4,900)))</f>
        <v/>
      </c>
    </row>
    <row r="42">
      <c r="A42" s="51">
        <f>IF(COUNTA($B42,$C42,$D42,$E42,$F42,$I42)=0,"","V-"&amp;TEXT(ROW()-6,"0000"))</f>
        <v/>
      </c>
      <c r="B42" s="41" t="n"/>
      <c r="C42" s="33" t="n"/>
      <c r="D42" s="33" t="n"/>
      <c r="E42" s="33" t="n"/>
      <c r="F42" s="33" t="n"/>
      <c r="G42" s="51">
        <f>IF($F42="","",IFERROR(IF(INDEX(tblProductos[Nombre del producto],MATCH($F42,tblProductos[SKU],0))="","",INDEX(tblProductos[Nombre del producto],MATCH($F42,tblProductos[SKU],0))),""))</f>
        <v/>
      </c>
      <c r="H42" s="51">
        <f>IF($F42="","",IFERROR(IF(INDEX(tblProductos[Categoría],MATCH($F42,tblProductos[SKU],0))="","",INDEX(tblProductos[Categoría],MATCH($F42,tblProductos[SKU],0))),""))</f>
        <v/>
      </c>
      <c r="I42" s="34" t="n"/>
      <c r="J42" s="39">
        <f>IF(OR($B42="",$F42="",$I42=""),"",IF($T42="Anulado",0,$I42))</f>
        <v/>
      </c>
      <c r="K42" s="54">
        <f>IF($F42="","",IFERROR(IF(INDEX(tblProductos[Precio de venta actual],MATCH($F42,tblProductos[SKU],0))="","",INDEX(tblProductos[Precio de venta actual],MATCH($F42,tblProductos[SKU],0))),""))</f>
        <v/>
      </c>
      <c r="L42" s="36" t="n"/>
      <c r="M42" s="37">
        <f>IF($J42="","",IF(NOT(ISNUMBER($K42)),"PRECIO PENDIENTE",$J42*$K42))</f>
        <v/>
      </c>
      <c r="N42" s="37">
        <f>IF($J42="","",IF(NOT(ISNUMBER($M42)),"PRECIO PENDIENTE",$M42-IF(ISNUMBER($L42),$L42,0)))</f>
        <v/>
      </c>
      <c r="O42" s="54">
        <f>IF($F42="","",IFERROR(INDEX(tblInventario[Costo unitario aplicado],MATCH($F42,tblInventario[SKU],0)),""))</f>
        <v/>
      </c>
      <c r="P42" s="37">
        <f>IF($J42="","",IF(NOT(ISNUMBER($O42)),"COSTO PENDIENTE",$J42*$O42))</f>
        <v/>
      </c>
      <c r="Q42" s="37">
        <f>IF($J42="","",IF(OR(NOT(ISNUMBER($N42)),NOT(ISNUMBER($P42))),"PENDIENTE",$N42-$P42))</f>
        <v/>
      </c>
      <c r="R42" s="38">
        <f>IF($J42="","",IF(OR(NOT(ISNUMBER($Q42)),NOT(ISNUMBER($N42)),$N42&lt;=0),"PENDIENTE",$Q42/$N42))</f>
        <v/>
      </c>
      <c r="S42" s="33" t="n"/>
      <c r="T42" s="33" t="n"/>
      <c r="U42" s="41" t="n"/>
      <c r="V42" s="36" t="n"/>
      <c r="W42" s="37">
        <f>IF(NOT(ISNUMBER($N42)),"",$N42-IF(ISNUMBER($V42),$V42,0))</f>
        <v/>
      </c>
      <c r="X42" s="33" t="n"/>
      <c r="Y42" s="51">
        <f>IF(COUNTA($B42,$C42,$D42,$E42,$F42,$I42)=0,"",IF(IF($B42=""," · Falta fecha","")&amp;IF($D42=""," · Falta cliente","")&amp;IF($E42=""," · Falta canal","")&amp;IF($F42=""," · Falta SKU","")&amp;IF(AND($F42&lt;&gt;"",COUNTIF(tblProductos[SKU],$F42)=0)," · SKU no existe","")&amp;IF(OR($I42="",NOT(ISNUMBER($I42)),$I42&lt;=0)," · Cantidad inválida","")&amp;IF($M42="PRECIO PENDIENTE"," · Falta precio de venta","")&amp;IF($P42="COSTO PENDIENTE"," · Falta costo del producto","")&amp;IF(AND(ISNUMBER($Q42),$Q42&lt;0)," · UTILIDAD NEGATIVA","")&amp;IF(AND($F42&lt;&gt;"",ISNUMBER(INDEX(tblInventario[Stock actual],MATCH($F42,tblInventario[SKU],0))),INDEX(tblInventario[Stock actual],MATCH($F42,tblInventario[SKU],0))&lt;0)," · Stock negativo del SKU","")&amp;IF(AND($T42="Cobrado",$U42="")," · Cobro sin fecha","")&amp;IF(AND(ISNUMBER($V42),ISNUMBER($N42),$V42&gt;N($N42)+0.01)," · Cobrado &gt; venta neta","")&amp;IF(AND(ISNUMBER($V42),$V42&gt;0,$U42="")," · Monto cobrado sin fecha","")="","OK",MID(IF($B42=""," · Falta fecha","")&amp;IF($D42=""," · Falta cliente","")&amp;IF($E42=""," · Falta canal","")&amp;IF($F42=""," · Falta SKU","")&amp;IF(AND($F42&lt;&gt;"",COUNTIF(tblProductos[SKU],$F42)=0)," · SKU no existe","")&amp;IF(OR($I42="",NOT(ISNUMBER($I42)),$I42&lt;=0)," · Cantidad inválida","")&amp;IF($M42="PRECIO PENDIENTE"," · Falta precio de venta","")&amp;IF($P42="COSTO PENDIENTE"," · Falta costo del producto","")&amp;IF(AND(ISNUMBER($Q42),$Q42&lt;0)," · UTILIDAD NEGATIVA","")&amp;IF(AND($F42&lt;&gt;"",ISNUMBER(INDEX(tblInventario[Stock actual],MATCH($F42,tblInventario[SKU],0))),INDEX(tblInventario[Stock actual],MATCH($F42,tblInventario[SKU],0))&lt;0)," · Stock negativo del SKU","")&amp;IF(AND($T42="Cobrado",$U42="")," · Cobro sin fecha","")&amp;IF(AND(ISNUMBER($V42),ISNUMBER($N42),$V42&gt;N($N42)+0.01)," · Cobrado &gt; venta neta","")&amp;IF(AND(ISNUMBER($V42),$V42&gt;0,$U42="")," · Monto cobrado sin fecha",""),4,900)))</f>
        <v/>
      </c>
    </row>
    <row r="43">
      <c r="A43" s="51">
        <f>IF(COUNTA($B43,$C43,$D43,$E43,$F43,$I43)=0,"","V-"&amp;TEXT(ROW()-6,"0000"))</f>
        <v/>
      </c>
      <c r="B43" s="41" t="n"/>
      <c r="C43" s="33" t="n"/>
      <c r="D43" s="33" t="n"/>
      <c r="E43" s="33" t="n"/>
      <c r="F43" s="33" t="n"/>
      <c r="G43" s="51">
        <f>IF($F43="","",IFERROR(IF(INDEX(tblProductos[Nombre del producto],MATCH($F43,tblProductos[SKU],0))="","",INDEX(tblProductos[Nombre del producto],MATCH($F43,tblProductos[SKU],0))),""))</f>
        <v/>
      </c>
      <c r="H43" s="51">
        <f>IF($F43="","",IFERROR(IF(INDEX(tblProductos[Categoría],MATCH($F43,tblProductos[SKU],0))="","",INDEX(tblProductos[Categoría],MATCH($F43,tblProductos[SKU],0))),""))</f>
        <v/>
      </c>
      <c r="I43" s="34" t="n"/>
      <c r="J43" s="39">
        <f>IF(OR($B43="",$F43="",$I43=""),"",IF($T43="Anulado",0,$I43))</f>
        <v/>
      </c>
      <c r="K43" s="54">
        <f>IF($F43="","",IFERROR(IF(INDEX(tblProductos[Precio de venta actual],MATCH($F43,tblProductos[SKU],0))="","",INDEX(tblProductos[Precio de venta actual],MATCH($F43,tblProductos[SKU],0))),""))</f>
        <v/>
      </c>
      <c r="L43" s="36" t="n"/>
      <c r="M43" s="37">
        <f>IF($J43="","",IF(NOT(ISNUMBER($K43)),"PRECIO PENDIENTE",$J43*$K43))</f>
        <v/>
      </c>
      <c r="N43" s="37">
        <f>IF($J43="","",IF(NOT(ISNUMBER($M43)),"PRECIO PENDIENTE",$M43-IF(ISNUMBER($L43),$L43,0)))</f>
        <v/>
      </c>
      <c r="O43" s="54">
        <f>IF($F43="","",IFERROR(INDEX(tblInventario[Costo unitario aplicado],MATCH($F43,tblInventario[SKU],0)),""))</f>
        <v/>
      </c>
      <c r="P43" s="37">
        <f>IF($J43="","",IF(NOT(ISNUMBER($O43)),"COSTO PENDIENTE",$J43*$O43))</f>
        <v/>
      </c>
      <c r="Q43" s="37">
        <f>IF($J43="","",IF(OR(NOT(ISNUMBER($N43)),NOT(ISNUMBER($P43))),"PENDIENTE",$N43-$P43))</f>
        <v/>
      </c>
      <c r="R43" s="38">
        <f>IF($J43="","",IF(OR(NOT(ISNUMBER($Q43)),NOT(ISNUMBER($N43)),$N43&lt;=0),"PENDIENTE",$Q43/$N43))</f>
        <v/>
      </c>
      <c r="S43" s="33" t="n"/>
      <c r="T43" s="33" t="n"/>
      <c r="U43" s="41" t="n"/>
      <c r="V43" s="36" t="n"/>
      <c r="W43" s="37">
        <f>IF(NOT(ISNUMBER($N43)),"",$N43-IF(ISNUMBER($V43),$V43,0))</f>
        <v/>
      </c>
      <c r="X43" s="33" t="n"/>
      <c r="Y43" s="51">
        <f>IF(COUNTA($B43,$C43,$D43,$E43,$F43,$I43)=0,"",IF(IF($B43=""," · Falta fecha","")&amp;IF($D43=""," · Falta cliente","")&amp;IF($E43=""," · Falta canal","")&amp;IF($F43=""," · Falta SKU","")&amp;IF(AND($F43&lt;&gt;"",COUNTIF(tblProductos[SKU],$F43)=0)," · SKU no existe","")&amp;IF(OR($I43="",NOT(ISNUMBER($I43)),$I43&lt;=0)," · Cantidad inválida","")&amp;IF($M43="PRECIO PENDIENTE"," · Falta precio de venta","")&amp;IF($P43="COSTO PENDIENTE"," · Falta costo del producto","")&amp;IF(AND(ISNUMBER($Q43),$Q43&lt;0)," · UTILIDAD NEGATIVA","")&amp;IF(AND($F43&lt;&gt;"",ISNUMBER(INDEX(tblInventario[Stock actual],MATCH($F43,tblInventario[SKU],0))),INDEX(tblInventario[Stock actual],MATCH($F43,tblInventario[SKU],0))&lt;0)," · Stock negativo del SKU","")&amp;IF(AND($T43="Cobrado",$U43="")," · Cobro sin fecha","")&amp;IF(AND(ISNUMBER($V43),ISNUMBER($N43),$V43&gt;N($N43)+0.01)," · Cobrado &gt; venta neta","")&amp;IF(AND(ISNUMBER($V43),$V43&gt;0,$U43="")," · Monto cobrado sin fecha","")="","OK",MID(IF($B43=""," · Falta fecha","")&amp;IF($D43=""," · Falta cliente","")&amp;IF($E43=""," · Falta canal","")&amp;IF($F43=""," · Falta SKU","")&amp;IF(AND($F43&lt;&gt;"",COUNTIF(tblProductos[SKU],$F43)=0)," · SKU no existe","")&amp;IF(OR($I43="",NOT(ISNUMBER($I43)),$I43&lt;=0)," · Cantidad inválida","")&amp;IF($M43="PRECIO PENDIENTE"," · Falta precio de venta","")&amp;IF($P43="COSTO PENDIENTE"," · Falta costo del producto","")&amp;IF(AND(ISNUMBER($Q43),$Q43&lt;0)," · UTILIDAD NEGATIVA","")&amp;IF(AND($F43&lt;&gt;"",ISNUMBER(INDEX(tblInventario[Stock actual],MATCH($F43,tblInventario[SKU],0))),INDEX(tblInventario[Stock actual],MATCH($F43,tblInventario[SKU],0))&lt;0)," · Stock negativo del SKU","")&amp;IF(AND($T43="Cobrado",$U43="")," · Cobro sin fecha","")&amp;IF(AND(ISNUMBER($V43),ISNUMBER($N43),$V43&gt;N($N43)+0.01)," · Cobrado &gt; venta neta","")&amp;IF(AND(ISNUMBER($V43),$V43&gt;0,$U43="")," · Monto cobrado sin fecha",""),4,900)))</f>
        <v/>
      </c>
    </row>
    <row r="44">
      <c r="A44" s="51">
        <f>IF(COUNTA($B44,$C44,$D44,$E44,$F44,$I44)=0,"","V-"&amp;TEXT(ROW()-6,"0000"))</f>
        <v/>
      </c>
      <c r="B44" s="41" t="n"/>
      <c r="C44" s="33" t="n"/>
      <c r="D44" s="33" t="n"/>
      <c r="E44" s="33" t="n"/>
      <c r="F44" s="33" t="n"/>
      <c r="G44" s="51">
        <f>IF($F44="","",IFERROR(IF(INDEX(tblProductos[Nombre del producto],MATCH($F44,tblProductos[SKU],0))="","",INDEX(tblProductos[Nombre del producto],MATCH($F44,tblProductos[SKU],0))),""))</f>
        <v/>
      </c>
      <c r="H44" s="51">
        <f>IF($F44="","",IFERROR(IF(INDEX(tblProductos[Categoría],MATCH($F44,tblProductos[SKU],0))="","",INDEX(tblProductos[Categoría],MATCH($F44,tblProductos[SKU],0))),""))</f>
        <v/>
      </c>
      <c r="I44" s="34" t="n"/>
      <c r="J44" s="39">
        <f>IF(OR($B44="",$F44="",$I44=""),"",IF($T44="Anulado",0,$I44))</f>
        <v/>
      </c>
      <c r="K44" s="54">
        <f>IF($F44="","",IFERROR(IF(INDEX(tblProductos[Precio de venta actual],MATCH($F44,tblProductos[SKU],0))="","",INDEX(tblProductos[Precio de venta actual],MATCH($F44,tblProductos[SKU],0))),""))</f>
        <v/>
      </c>
      <c r="L44" s="36" t="n"/>
      <c r="M44" s="37">
        <f>IF($J44="","",IF(NOT(ISNUMBER($K44)),"PRECIO PENDIENTE",$J44*$K44))</f>
        <v/>
      </c>
      <c r="N44" s="37">
        <f>IF($J44="","",IF(NOT(ISNUMBER($M44)),"PRECIO PENDIENTE",$M44-IF(ISNUMBER($L44),$L44,0)))</f>
        <v/>
      </c>
      <c r="O44" s="54">
        <f>IF($F44="","",IFERROR(INDEX(tblInventario[Costo unitario aplicado],MATCH($F44,tblInventario[SKU],0)),""))</f>
        <v/>
      </c>
      <c r="P44" s="37">
        <f>IF($J44="","",IF(NOT(ISNUMBER($O44)),"COSTO PENDIENTE",$J44*$O44))</f>
        <v/>
      </c>
      <c r="Q44" s="37">
        <f>IF($J44="","",IF(OR(NOT(ISNUMBER($N44)),NOT(ISNUMBER($P44))),"PENDIENTE",$N44-$P44))</f>
        <v/>
      </c>
      <c r="R44" s="38">
        <f>IF($J44="","",IF(OR(NOT(ISNUMBER($Q44)),NOT(ISNUMBER($N44)),$N44&lt;=0),"PENDIENTE",$Q44/$N44))</f>
        <v/>
      </c>
      <c r="S44" s="33" t="n"/>
      <c r="T44" s="33" t="n"/>
      <c r="U44" s="41" t="n"/>
      <c r="V44" s="36" t="n"/>
      <c r="W44" s="37">
        <f>IF(NOT(ISNUMBER($N44)),"",$N44-IF(ISNUMBER($V44),$V44,0))</f>
        <v/>
      </c>
      <c r="X44" s="33" t="n"/>
      <c r="Y44" s="51">
        <f>IF(COUNTA($B44,$C44,$D44,$E44,$F44,$I44)=0,"",IF(IF($B44=""," · Falta fecha","")&amp;IF($D44=""," · Falta cliente","")&amp;IF($E44=""," · Falta canal","")&amp;IF($F44=""," · Falta SKU","")&amp;IF(AND($F44&lt;&gt;"",COUNTIF(tblProductos[SKU],$F44)=0)," · SKU no existe","")&amp;IF(OR($I44="",NOT(ISNUMBER($I44)),$I44&lt;=0)," · Cantidad inválida","")&amp;IF($M44="PRECIO PENDIENTE"," · Falta precio de venta","")&amp;IF($P44="COSTO PENDIENTE"," · Falta costo del producto","")&amp;IF(AND(ISNUMBER($Q44),$Q44&lt;0)," · UTILIDAD NEGATIVA","")&amp;IF(AND($F44&lt;&gt;"",ISNUMBER(INDEX(tblInventario[Stock actual],MATCH($F44,tblInventario[SKU],0))),INDEX(tblInventario[Stock actual],MATCH($F44,tblInventario[SKU],0))&lt;0)," · Stock negativo del SKU","")&amp;IF(AND($T44="Cobrado",$U44="")," · Cobro sin fecha","")&amp;IF(AND(ISNUMBER($V44),ISNUMBER($N44),$V44&gt;N($N44)+0.01)," · Cobrado &gt; venta neta","")&amp;IF(AND(ISNUMBER($V44),$V44&gt;0,$U44="")," · Monto cobrado sin fecha","")="","OK",MID(IF($B44=""," · Falta fecha","")&amp;IF($D44=""," · Falta cliente","")&amp;IF($E44=""," · Falta canal","")&amp;IF($F44=""," · Falta SKU","")&amp;IF(AND($F44&lt;&gt;"",COUNTIF(tblProductos[SKU],$F44)=0)," · SKU no existe","")&amp;IF(OR($I44="",NOT(ISNUMBER($I44)),$I44&lt;=0)," · Cantidad inválida","")&amp;IF($M44="PRECIO PENDIENTE"," · Falta precio de venta","")&amp;IF($P44="COSTO PENDIENTE"," · Falta costo del producto","")&amp;IF(AND(ISNUMBER($Q44),$Q44&lt;0)," · UTILIDAD NEGATIVA","")&amp;IF(AND($F44&lt;&gt;"",ISNUMBER(INDEX(tblInventario[Stock actual],MATCH($F44,tblInventario[SKU],0))),INDEX(tblInventario[Stock actual],MATCH($F44,tblInventario[SKU],0))&lt;0)," · Stock negativo del SKU","")&amp;IF(AND($T44="Cobrado",$U44="")," · Cobro sin fecha","")&amp;IF(AND(ISNUMBER($V44),ISNUMBER($N44),$V44&gt;N($N44)+0.01)," · Cobrado &gt; venta neta","")&amp;IF(AND(ISNUMBER($V44),$V44&gt;0,$U44="")," · Monto cobrado sin fecha",""),4,900)))</f>
        <v/>
      </c>
    </row>
    <row r="45">
      <c r="A45" s="51">
        <f>IF(COUNTA($B45,$C45,$D45,$E45,$F45,$I45)=0,"","V-"&amp;TEXT(ROW()-6,"0000"))</f>
        <v/>
      </c>
      <c r="B45" s="41" t="n"/>
      <c r="C45" s="33" t="n"/>
      <c r="D45" s="33" t="n"/>
      <c r="E45" s="33" t="n"/>
      <c r="F45" s="33" t="n"/>
      <c r="G45" s="51">
        <f>IF($F45="","",IFERROR(IF(INDEX(tblProductos[Nombre del producto],MATCH($F45,tblProductos[SKU],0))="","",INDEX(tblProductos[Nombre del producto],MATCH($F45,tblProductos[SKU],0))),""))</f>
        <v/>
      </c>
      <c r="H45" s="51">
        <f>IF($F45="","",IFERROR(IF(INDEX(tblProductos[Categoría],MATCH($F45,tblProductos[SKU],0))="","",INDEX(tblProductos[Categoría],MATCH($F45,tblProductos[SKU],0))),""))</f>
        <v/>
      </c>
      <c r="I45" s="34" t="n"/>
      <c r="J45" s="39">
        <f>IF(OR($B45="",$F45="",$I45=""),"",IF($T45="Anulado",0,$I45))</f>
        <v/>
      </c>
      <c r="K45" s="54">
        <f>IF($F45="","",IFERROR(IF(INDEX(tblProductos[Precio de venta actual],MATCH($F45,tblProductos[SKU],0))="","",INDEX(tblProductos[Precio de venta actual],MATCH($F45,tblProductos[SKU],0))),""))</f>
        <v/>
      </c>
      <c r="L45" s="36" t="n"/>
      <c r="M45" s="37">
        <f>IF($J45="","",IF(NOT(ISNUMBER($K45)),"PRECIO PENDIENTE",$J45*$K45))</f>
        <v/>
      </c>
      <c r="N45" s="37">
        <f>IF($J45="","",IF(NOT(ISNUMBER($M45)),"PRECIO PENDIENTE",$M45-IF(ISNUMBER($L45),$L45,0)))</f>
        <v/>
      </c>
      <c r="O45" s="54">
        <f>IF($F45="","",IFERROR(INDEX(tblInventario[Costo unitario aplicado],MATCH($F45,tblInventario[SKU],0)),""))</f>
        <v/>
      </c>
      <c r="P45" s="37">
        <f>IF($J45="","",IF(NOT(ISNUMBER($O45)),"COSTO PENDIENTE",$J45*$O45))</f>
        <v/>
      </c>
      <c r="Q45" s="37">
        <f>IF($J45="","",IF(OR(NOT(ISNUMBER($N45)),NOT(ISNUMBER($P45))),"PENDIENTE",$N45-$P45))</f>
        <v/>
      </c>
      <c r="R45" s="38">
        <f>IF($J45="","",IF(OR(NOT(ISNUMBER($Q45)),NOT(ISNUMBER($N45)),$N45&lt;=0),"PENDIENTE",$Q45/$N45))</f>
        <v/>
      </c>
      <c r="S45" s="33" t="n"/>
      <c r="T45" s="33" t="n"/>
      <c r="U45" s="41" t="n"/>
      <c r="V45" s="36" t="n"/>
      <c r="W45" s="37">
        <f>IF(NOT(ISNUMBER($N45)),"",$N45-IF(ISNUMBER($V45),$V45,0))</f>
        <v/>
      </c>
      <c r="X45" s="33" t="n"/>
      <c r="Y45" s="51">
        <f>IF(COUNTA($B45,$C45,$D45,$E45,$F45,$I45)=0,"",IF(IF($B45=""," · Falta fecha","")&amp;IF($D45=""," · Falta cliente","")&amp;IF($E45=""," · Falta canal","")&amp;IF($F45=""," · Falta SKU","")&amp;IF(AND($F45&lt;&gt;"",COUNTIF(tblProductos[SKU],$F45)=0)," · SKU no existe","")&amp;IF(OR($I45="",NOT(ISNUMBER($I45)),$I45&lt;=0)," · Cantidad inválida","")&amp;IF($M45="PRECIO PENDIENTE"," · Falta precio de venta","")&amp;IF($P45="COSTO PENDIENTE"," · Falta costo del producto","")&amp;IF(AND(ISNUMBER($Q45),$Q45&lt;0)," · UTILIDAD NEGATIVA","")&amp;IF(AND($F45&lt;&gt;"",ISNUMBER(INDEX(tblInventario[Stock actual],MATCH($F45,tblInventario[SKU],0))),INDEX(tblInventario[Stock actual],MATCH($F45,tblInventario[SKU],0))&lt;0)," · Stock negativo del SKU","")&amp;IF(AND($T45="Cobrado",$U45="")," · Cobro sin fecha","")&amp;IF(AND(ISNUMBER($V45),ISNUMBER($N45),$V45&gt;N($N45)+0.01)," · Cobrado &gt; venta neta","")&amp;IF(AND(ISNUMBER($V45),$V45&gt;0,$U45="")," · Monto cobrado sin fecha","")="","OK",MID(IF($B45=""," · Falta fecha","")&amp;IF($D45=""," · Falta cliente","")&amp;IF($E45=""," · Falta canal","")&amp;IF($F45=""," · Falta SKU","")&amp;IF(AND($F45&lt;&gt;"",COUNTIF(tblProductos[SKU],$F45)=0)," · SKU no existe","")&amp;IF(OR($I45="",NOT(ISNUMBER($I45)),$I45&lt;=0)," · Cantidad inválida","")&amp;IF($M45="PRECIO PENDIENTE"," · Falta precio de venta","")&amp;IF($P45="COSTO PENDIENTE"," · Falta costo del producto","")&amp;IF(AND(ISNUMBER($Q45),$Q45&lt;0)," · UTILIDAD NEGATIVA","")&amp;IF(AND($F45&lt;&gt;"",ISNUMBER(INDEX(tblInventario[Stock actual],MATCH($F45,tblInventario[SKU],0))),INDEX(tblInventario[Stock actual],MATCH($F45,tblInventario[SKU],0))&lt;0)," · Stock negativo del SKU","")&amp;IF(AND($T45="Cobrado",$U45="")," · Cobro sin fecha","")&amp;IF(AND(ISNUMBER($V45),ISNUMBER($N45),$V45&gt;N($N45)+0.01)," · Cobrado &gt; venta neta","")&amp;IF(AND(ISNUMBER($V45),$V45&gt;0,$U45="")," · Monto cobrado sin fecha",""),4,900)))</f>
        <v/>
      </c>
    </row>
    <row r="46">
      <c r="A46" s="51">
        <f>IF(COUNTA($B46,$C46,$D46,$E46,$F46,$I46)=0,"","V-"&amp;TEXT(ROW()-6,"0000"))</f>
        <v/>
      </c>
      <c r="B46" s="41" t="n"/>
      <c r="C46" s="33" t="n"/>
      <c r="D46" s="33" t="n"/>
      <c r="E46" s="33" t="n"/>
      <c r="F46" s="33" t="n"/>
      <c r="G46" s="51">
        <f>IF($F46="","",IFERROR(IF(INDEX(tblProductos[Nombre del producto],MATCH($F46,tblProductos[SKU],0))="","",INDEX(tblProductos[Nombre del producto],MATCH($F46,tblProductos[SKU],0))),""))</f>
        <v/>
      </c>
      <c r="H46" s="51">
        <f>IF($F46="","",IFERROR(IF(INDEX(tblProductos[Categoría],MATCH($F46,tblProductos[SKU],0))="","",INDEX(tblProductos[Categoría],MATCH($F46,tblProductos[SKU],0))),""))</f>
        <v/>
      </c>
      <c r="I46" s="34" t="n"/>
      <c r="J46" s="39">
        <f>IF(OR($B46="",$F46="",$I46=""),"",IF($T46="Anulado",0,$I46))</f>
        <v/>
      </c>
      <c r="K46" s="54">
        <f>IF($F46="","",IFERROR(IF(INDEX(tblProductos[Precio de venta actual],MATCH($F46,tblProductos[SKU],0))="","",INDEX(tblProductos[Precio de venta actual],MATCH($F46,tblProductos[SKU],0))),""))</f>
        <v/>
      </c>
      <c r="L46" s="36" t="n"/>
      <c r="M46" s="37">
        <f>IF($J46="","",IF(NOT(ISNUMBER($K46)),"PRECIO PENDIENTE",$J46*$K46))</f>
        <v/>
      </c>
      <c r="N46" s="37">
        <f>IF($J46="","",IF(NOT(ISNUMBER($M46)),"PRECIO PENDIENTE",$M46-IF(ISNUMBER($L46),$L46,0)))</f>
        <v/>
      </c>
      <c r="O46" s="54">
        <f>IF($F46="","",IFERROR(INDEX(tblInventario[Costo unitario aplicado],MATCH($F46,tblInventario[SKU],0)),""))</f>
        <v/>
      </c>
      <c r="P46" s="37">
        <f>IF($J46="","",IF(NOT(ISNUMBER($O46)),"COSTO PENDIENTE",$J46*$O46))</f>
        <v/>
      </c>
      <c r="Q46" s="37">
        <f>IF($J46="","",IF(OR(NOT(ISNUMBER($N46)),NOT(ISNUMBER($P46))),"PENDIENTE",$N46-$P46))</f>
        <v/>
      </c>
      <c r="R46" s="38">
        <f>IF($J46="","",IF(OR(NOT(ISNUMBER($Q46)),NOT(ISNUMBER($N46)),$N46&lt;=0),"PENDIENTE",$Q46/$N46))</f>
        <v/>
      </c>
      <c r="S46" s="33" t="n"/>
      <c r="T46" s="33" t="n"/>
      <c r="U46" s="41" t="n"/>
      <c r="V46" s="36" t="n"/>
      <c r="W46" s="37">
        <f>IF(NOT(ISNUMBER($N46)),"",$N46-IF(ISNUMBER($V46),$V46,0))</f>
        <v/>
      </c>
      <c r="X46" s="33" t="n"/>
      <c r="Y46" s="51">
        <f>IF(COUNTA($B46,$C46,$D46,$E46,$F46,$I46)=0,"",IF(IF($B46=""," · Falta fecha","")&amp;IF($D46=""," · Falta cliente","")&amp;IF($E46=""," · Falta canal","")&amp;IF($F46=""," · Falta SKU","")&amp;IF(AND($F46&lt;&gt;"",COUNTIF(tblProductos[SKU],$F46)=0)," · SKU no existe","")&amp;IF(OR($I46="",NOT(ISNUMBER($I46)),$I46&lt;=0)," · Cantidad inválida","")&amp;IF($M46="PRECIO PENDIENTE"," · Falta precio de venta","")&amp;IF($P46="COSTO PENDIENTE"," · Falta costo del producto","")&amp;IF(AND(ISNUMBER($Q46),$Q46&lt;0)," · UTILIDAD NEGATIVA","")&amp;IF(AND($F46&lt;&gt;"",ISNUMBER(INDEX(tblInventario[Stock actual],MATCH($F46,tblInventario[SKU],0))),INDEX(tblInventario[Stock actual],MATCH($F46,tblInventario[SKU],0))&lt;0)," · Stock negativo del SKU","")&amp;IF(AND($T46="Cobrado",$U46="")," · Cobro sin fecha","")&amp;IF(AND(ISNUMBER($V46),ISNUMBER($N46),$V46&gt;N($N46)+0.01)," · Cobrado &gt; venta neta","")&amp;IF(AND(ISNUMBER($V46),$V46&gt;0,$U46="")," · Monto cobrado sin fecha","")="","OK",MID(IF($B46=""," · Falta fecha","")&amp;IF($D46=""," · Falta cliente","")&amp;IF($E46=""," · Falta canal","")&amp;IF($F46=""," · Falta SKU","")&amp;IF(AND($F46&lt;&gt;"",COUNTIF(tblProductos[SKU],$F46)=0)," · SKU no existe","")&amp;IF(OR($I46="",NOT(ISNUMBER($I46)),$I46&lt;=0)," · Cantidad inválida","")&amp;IF($M46="PRECIO PENDIENTE"," · Falta precio de venta","")&amp;IF($P46="COSTO PENDIENTE"," · Falta costo del producto","")&amp;IF(AND(ISNUMBER($Q46),$Q46&lt;0)," · UTILIDAD NEGATIVA","")&amp;IF(AND($F46&lt;&gt;"",ISNUMBER(INDEX(tblInventario[Stock actual],MATCH($F46,tblInventario[SKU],0))),INDEX(tblInventario[Stock actual],MATCH($F46,tblInventario[SKU],0))&lt;0)," · Stock negativo del SKU","")&amp;IF(AND($T46="Cobrado",$U46="")," · Cobro sin fecha","")&amp;IF(AND(ISNUMBER($V46),ISNUMBER($N46),$V46&gt;N($N46)+0.01)," · Cobrado &gt; venta neta","")&amp;IF(AND(ISNUMBER($V46),$V46&gt;0,$U46="")," · Monto cobrado sin fecha",""),4,900)))</f>
        <v/>
      </c>
    </row>
    <row r="47">
      <c r="A47" s="51">
        <f>IF(COUNTA($B47,$C47,$D47,$E47,$F47,$I47)=0,"","V-"&amp;TEXT(ROW()-6,"0000"))</f>
        <v/>
      </c>
      <c r="B47" s="41" t="n"/>
      <c r="C47" s="33" t="n"/>
      <c r="D47" s="33" t="n"/>
      <c r="E47" s="33" t="n"/>
      <c r="F47" s="33" t="n"/>
      <c r="G47" s="51">
        <f>IF($F47="","",IFERROR(IF(INDEX(tblProductos[Nombre del producto],MATCH($F47,tblProductos[SKU],0))="","",INDEX(tblProductos[Nombre del producto],MATCH($F47,tblProductos[SKU],0))),""))</f>
        <v/>
      </c>
      <c r="H47" s="51">
        <f>IF($F47="","",IFERROR(IF(INDEX(tblProductos[Categoría],MATCH($F47,tblProductos[SKU],0))="","",INDEX(tblProductos[Categoría],MATCH($F47,tblProductos[SKU],0))),""))</f>
        <v/>
      </c>
      <c r="I47" s="34" t="n"/>
      <c r="J47" s="39">
        <f>IF(OR($B47="",$F47="",$I47=""),"",IF($T47="Anulado",0,$I47))</f>
        <v/>
      </c>
      <c r="K47" s="54">
        <f>IF($F47="","",IFERROR(IF(INDEX(tblProductos[Precio de venta actual],MATCH($F47,tblProductos[SKU],0))="","",INDEX(tblProductos[Precio de venta actual],MATCH($F47,tblProductos[SKU],0))),""))</f>
        <v/>
      </c>
      <c r="L47" s="36" t="n"/>
      <c r="M47" s="37">
        <f>IF($J47="","",IF(NOT(ISNUMBER($K47)),"PRECIO PENDIENTE",$J47*$K47))</f>
        <v/>
      </c>
      <c r="N47" s="37">
        <f>IF($J47="","",IF(NOT(ISNUMBER($M47)),"PRECIO PENDIENTE",$M47-IF(ISNUMBER($L47),$L47,0)))</f>
        <v/>
      </c>
      <c r="O47" s="54">
        <f>IF($F47="","",IFERROR(INDEX(tblInventario[Costo unitario aplicado],MATCH($F47,tblInventario[SKU],0)),""))</f>
        <v/>
      </c>
      <c r="P47" s="37">
        <f>IF($J47="","",IF(NOT(ISNUMBER($O47)),"COSTO PENDIENTE",$J47*$O47))</f>
        <v/>
      </c>
      <c r="Q47" s="37">
        <f>IF($J47="","",IF(OR(NOT(ISNUMBER($N47)),NOT(ISNUMBER($P47))),"PENDIENTE",$N47-$P47))</f>
        <v/>
      </c>
      <c r="R47" s="38">
        <f>IF($J47="","",IF(OR(NOT(ISNUMBER($Q47)),NOT(ISNUMBER($N47)),$N47&lt;=0),"PENDIENTE",$Q47/$N47))</f>
        <v/>
      </c>
      <c r="S47" s="33" t="n"/>
      <c r="T47" s="33" t="n"/>
      <c r="U47" s="41" t="n"/>
      <c r="V47" s="36" t="n"/>
      <c r="W47" s="37">
        <f>IF(NOT(ISNUMBER($N47)),"",$N47-IF(ISNUMBER($V47),$V47,0))</f>
        <v/>
      </c>
      <c r="X47" s="33" t="n"/>
      <c r="Y47" s="51">
        <f>IF(COUNTA($B47,$C47,$D47,$E47,$F47,$I47)=0,"",IF(IF($B47=""," · Falta fecha","")&amp;IF($D47=""," · Falta cliente","")&amp;IF($E47=""," · Falta canal","")&amp;IF($F47=""," · Falta SKU","")&amp;IF(AND($F47&lt;&gt;"",COUNTIF(tblProductos[SKU],$F47)=0)," · SKU no existe","")&amp;IF(OR($I47="",NOT(ISNUMBER($I47)),$I47&lt;=0)," · Cantidad inválida","")&amp;IF($M47="PRECIO PENDIENTE"," · Falta precio de venta","")&amp;IF($P47="COSTO PENDIENTE"," · Falta costo del producto","")&amp;IF(AND(ISNUMBER($Q47),$Q47&lt;0)," · UTILIDAD NEGATIVA","")&amp;IF(AND($F47&lt;&gt;"",ISNUMBER(INDEX(tblInventario[Stock actual],MATCH($F47,tblInventario[SKU],0))),INDEX(tblInventario[Stock actual],MATCH($F47,tblInventario[SKU],0))&lt;0)," · Stock negativo del SKU","")&amp;IF(AND($T47="Cobrado",$U47="")," · Cobro sin fecha","")&amp;IF(AND(ISNUMBER($V47),ISNUMBER($N47),$V47&gt;N($N47)+0.01)," · Cobrado &gt; venta neta","")&amp;IF(AND(ISNUMBER($V47),$V47&gt;0,$U47="")," · Monto cobrado sin fecha","")="","OK",MID(IF($B47=""," · Falta fecha","")&amp;IF($D47=""," · Falta cliente","")&amp;IF($E47=""," · Falta canal","")&amp;IF($F47=""," · Falta SKU","")&amp;IF(AND($F47&lt;&gt;"",COUNTIF(tblProductos[SKU],$F47)=0)," · SKU no existe","")&amp;IF(OR($I47="",NOT(ISNUMBER($I47)),$I47&lt;=0)," · Cantidad inválida","")&amp;IF($M47="PRECIO PENDIENTE"," · Falta precio de venta","")&amp;IF($P47="COSTO PENDIENTE"," · Falta costo del producto","")&amp;IF(AND(ISNUMBER($Q47),$Q47&lt;0)," · UTILIDAD NEGATIVA","")&amp;IF(AND($F47&lt;&gt;"",ISNUMBER(INDEX(tblInventario[Stock actual],MATCH($F47,tblInventario[SKU],0))),INDEX(tblInventario[Stock actual],MATCH($F47,tblInventario[SKU],0))&lt;0)," · Stock negativo del SKU","")&amp;IF(AND($T47="Cobrado",$U47="")," · Cobro sin fecha","")&amp;IF(AND(ISNUMBER($V47),ISNUMBER($N47),$V47&gt;N($N47)+0.01)," · Cobrado &gt; venta neta","")&amp;IF(AND(ISNUMBER($V47),$V47&gt;0,$U47="")," · Monto cobrado sin fecha",""),4,900)))</f>
        <v/>
      </c>
    </row>
    <row r="48">
      <c r="A48" s="51">
        <f>IF(COUNTA($B48,$C48,$D48,$E48,$F48,$I48)=0,"","V-"&amp;TEXT(ROW()-6,"0000"))</f>
        <v/>
      </c>
      <c r="B48" s="41" t="n"/>
      <c r="C48" s="33" t="n"/>
      <c r="D48" s="33" t="n"/>
      <c r="E48" s="33" t="n"/>
      <c r="F48" s="33" t="n"/>
      <c r="G48" s="51">
        <f>IF($F48="","",IFERROR(IF(INDEX(tblProductos[Nombre del producto],MATCH($F48,tblProductos[SKU],0))="","",INDEX(tblProductos[Nombre del producto],MATCH($F48,tblProductos[SKU],0))),""))</f>
        <v/>
      </c>
      <c r="H48" s="51">
        <f>IF($F48="","",IFERROR(IF(INDEX(tblProductos[Categoría],MATCH($F48,tblProductos[SKU],0))="","",INDEX(tblProductos[Categoría],MATCH($F48,tblProductos[SKU],0))),""))</f>
        <v/>
      </c>
      <c r="I48" s="34" t="n"/>
      <c r="J48" s="39">
        <f>IF(OR($B48="",$F48="",$I48=""),"",IF($T48="Anulado",0,$I48))</f>
        <v/>
      </c>
      <c r="K48" s="54">
        <f>IF($F48="","",IFERROR(IF(INDEX(tblProductos[Precio de venta actual],MATCH($F48,tblProductos[SKU],0))="","",INDEX(tblProductos[Precio de venta actual],MATCH($F48,tblProductos[SKU],0))),""))</f>
        <v/>
      </c>
      <c r="L48" s="36" t="n"/>
      <c r="M48" s="37">
        <f>IF($J48="","",IF(NOT(ISNUMBER($K48)),"PRECIO PENDIENTE",$J48*$K48))</f>
        <v/>
      </c>
      <c r="N48" s="37">
        <f>IF($J48="","",IF(NOT(ISNUMBER($M48)),"PRECIO PENDIENTE",$M48-IF(ISNUMBER($L48),$L48,0)))</f>
        <v/>
      </c>
      <c r="O48" s="54">
        <f>IF($F48="","",IFERROR(INDEX(tblInventario[Costo unitario aplicado],MATCH($F48,tblInventario[SKU],0)),""))</f>
        <v/>
      </c>
      <c r="P48" s="37">
        <f>IF($J48="","",IF(NOT(ISNUMBER($O48)),"COSTO PENDIENTE",$J48*$O48))</f>
        <v/>
      </c>
      <c r="Q48" s="37">
        <f>IF($J48="","",IF(OR(NOT(ISNUMBER($N48)),NOT(ISNUMBER($P48))),"PENDIENTE",$N48-$P48))</f>
        <v/>
      </c>
      <c r="R48" s="38">
        <f>IF($J48="","",IF(OR(NOT(ISNUMBER($Q48)),NOT(ISNUMBER($N48)),$N48&lt;=0),"PENDIENTE",$Q48/$N48))</f>
        <v/>
      </c>
      <c r="S48" s="33" t="n"/>
      <c r="T48" s="33" t="n"/>
      <c r="U48" s="41" t="n"/>
      <c r="V48" s="36" t="n"/>
      <c r="W48" s="37">
        <f>IF(NOT(ISNUMBER($N48)),"",$N48-IF(ISNUMBER($V48),$V48,0))</f>
        <v/>
      </c>
      <c r="X48" s="33" t="n"/>
      <c r="Y48" s="51">
        <f>IF(COUNTA($B48,$C48,$D48,$E48,$F48,$I48)=0,"",IF(IF($B48=""," · Falta fecha","")&amp;IF($D48=""," · Falta cliente","")&amp;IF($E48=""," · Falta canal","")&amp;IF($F48=""," · Falta SKU","")&amp;IF(AND($F48&lt;&gt;"",COUNTIF(tblProductos[SKU],$F48)=0)," · SKU no existe","")&amp;IF(OR($I48="",NOT(ISNUMBER($I48)),$I48&lt;=0)," · Cantidad inválida","")&amp;IF($M48="PRECIO PENDIENTE"," · Falta precio de venta","")&amp;IF($P48="COSTO PENDIENTE"," · Falta costo del producto","")&amp;IF(AND(ISNUMBER($Q48),$Q48&lt;0)," · UTILIDAD NEGATIVA","")&amp;IF(AND($F48&lt;&gt;"",ISNUMBER(INDEX(tblInventario[Stock actual],MATCH($F48,tblInventario[SKU],0))),INDEX(tblInventario[Stock actual],MATCH($F48,tblInventario[SKU],0))&lt;0)," · Stock negativo del SKU","")&amp;IF(AND($T48="Cobrado",$U48="")," · Cobro sin fecha","")&amp;IF(AND(ISNUMBER($V48),ISNUMBER($N48),$V48&gt;N($N48)+0.01)," · Cobrado &gt; venta neta","")&amp;IF(AND(ISNUMBER($V48),$V48&gt;0,$U48="")," · Monto cobrado sin fecha","")="","OK",MID(IF($B48=""," · Falta fecha","")&amp;IF($D48=""," · Falta cliente","")&amp;IF($E48=""," · Falta canal","")&amp;IF($F48=""," · Falta SKU","")&amp;IF(AND($F48&lt;&gt;"",COUNTIF(tblProductos[SKU],$F48)=0)," · SKU no existe","")&amp;IF(OR($I48="",NOT(ISNUMBER($I48)),$I48&lt;=0)," · Cantidad inválida","")&amp;IF($M48="PRECIO PENDIENTE"," · Falta precio de venta","")&amp;IF($P48="COSTO PENDIENTE"," · Falta costo del producto","")&amp;IF(AND(ISNUMBER($Q48),$Q48&lt;0)," · UTILIDAD NEGATIVA","")&amp;IF(AND($F48&lt;&gt;"",ISNUMBER(INDEX(tblInventario[Stock actual],MATCH($F48,tblInventario[SKU],0))),INDEX(tblInventario[Stock actual],MATCH($F48,tblInventario[SKU],0))&lt;0)," · Stock negativo del SKU","")&amp;IF(AND($T48="Cobrado",$U48="")," · Cobro sin fecha","")&amp;IF(AND(ISNUMBER($V48),ISNUMBER($N48),$V48&gt;N($N48)+0.01)," · Cobrado &gt; venta neta","")&amp;IF(AND(ISNUMBER($V48),$V48&gt;0,$U48="")," · Monto cobrado sin fecha",""),4,900)))</f>
        <v/>
      </c>
    </row>
    <row r="49">
      <c r="A49" s="51">
        <f>IF(COUNTA($B49,$C49,$D49,$E49,$F49,$I49)=0,"","V-"&amp;TEXT(ROW()-6,"0000"))</f>
        <v/>
      </c>
      <c r="B49" s="41" t="n"/>
      <c r="C49" s="33" t="n"/>
      <c r="D49" s="33" t="n"/>
      <c r="E49" s="33" t="n"/>
      <c r="F49" s="33" t="n"/>
      <c r="G49" s="51">
        <f>IF($F49="","",IFERROR(IF(INDEX(tblProductos[Nombre del producto],MATCH($F49,tblProductos[SKU],0))="","",INDEX(tblProductos[Nombre del producto],MATCH($F49,tblProductos[SKU],0))),""))</f>
        <v/>
      </c>
      <c r="H49" s="51">
        <f>IF($F49="","",IFERROR(IF(INDEX(tblProductos[Categoría],MATCH($F49,tblProductos[SKU],0))="","",INDEX(tblProductos[Categoría],MATCH($F49,tblProductos[SKU],0))),""))</f>
        <v/>
      </c>
      <c r="I49" s="34" t="n"/>
      <c r="J49" s="39">
        <f>IF(OR($B49="",$F49="",$I49=""),"",IF($T49="Anulado",0,$I49))</f>
        <v/>
      </c>
      <c r="K49" s="54">
        <f>IF($F49="","",IFERROR(IF(INDEX(tblProductos[Precio de venta actual],MATCH($F49,tblProductos[SKU],0))="","",INDEX(tblProductos[Precio de venta actual],MATCH($F49,tblProductos[SKU],0))),""))</f>
        <v/>
      </c>
      <c r="L49" s="36" t="n"/>
      <c r="M49" s="37">
        <f>IF($J49="","",IF(NOT(ISNUMBER($K49)),"PRECIO PENDIENTE",$J49*$K49))</f>
        <v/>
      </c>
      <c r="N49" s="37">
        <f>IF($J49="","",IF(NOT(ISNUMBER($M49)),"PRECIO PENDIENTE",$M49-IF(ISNUMBER($L49),$L49,0)))</f>
        <v/>
      </c>
      <c r="O49" s="54">
        <f>IF($F49="","",IFERROR(INDEX(tblInventario[Costo unitario aplicado],MATCH($F49,tblInventario[SKU],0)),""))</f>
        <v/>
      </c>
      <c r="P49" s="37">
        <f>IF($J49="","",IF(NOT(ISNUMBER($O49)),"COSTO PENDIENTE",$J49*$O49))</f>
        <v/>
      </c>
      <c r="Q49" s="37">
        <f>IF($J49="","",IF(OR(NOT(ISNUMBER($N49)),NOT(ISNUMBER($P49))),"PENDIENTE",$N49-$P49))</f>
        <v/>
      </c>
      <c r="R49" s="38">
        <f>IF($J49="","",IF(OR(NOT(ISNUMBER($Q49)),NOT(ISNUMBER($N49)),$N49&lt;=0),"PENDIENTE",$Q49/$N49))</f>
        <v/>
      </c>
      <c r="S49" s="33" t="n"/>
      <c r="T49" s="33" t="n"/>
      <c r="U49" s="41" t="n"/>
      <c r="V49" s="36" t="n"/>
      <c r="W49" s="37">
        <f>IF(NOT(ISNUMBER($N49)),"",$N49-IF(ISNUMBER($V49),$V49,0))</f>
        <v/>
      </c>
      <c r="X49" s="33" t="n"/>
      <c r="Y49" s="51">
        <f>IF(COUNTA($B49,$C49,$D49,$E49,$F49,$I49)=0,"",IF(IF($B49=""," · Falta fecha","")&amp;IF($D49=""," · Falta cliente","")&amp;IF($E49=""," · Falta canal","")&amp;IF($F49=""," · Falta SKU","")&amp;IF(AND($F49&lt;&gt;"",COUNTIF(tblProductos[SKU],$F49)=0)," · SKU no existe","")&amp;IF(OR($I49="",NOT(ISNUMBER($I49)),$I49&lt;=0)," · Cantidad inválida","")&amp;IF($M49="PRECIO PENDIENTE"," · Falta precio de venta","")&amp;IF($P49="COSTO PENDIENTE"," · Falta costo del producto","")&amp;IF(AND(ISNUMBER($Q49),$Q49&lt;0)," · UTILIDAD NEGATIVA","")&amp;IF(AND($F49&lt;&gt;"",ISNUMBER(INDEX(tblInventario[Stock actual],MATCH($F49,tblInventario[SKU],0))),INDEX(tblInventario[Stock actual],MATCH($F49,tblInventario[SKU],0))&lt;0)," · Stock negativo del SKU","")&amp;IF(AND($T49="Cobrado",$U49="")," · Cobro sin fecha","")&amp;IF(AND(ISNUMBER($V49),ISNUMBER($N49),$V49&gt;N($N49)+0.01)," · Cobrado &gt; venta neta","")&amp;IF(AND(ISNUMBER($V49),$V49&gt;0,$U49="")," · Monto cobrado sin fecha","")="","OK",MID(IF($B49=""," · Falta fecha","")&amp;IF($D49=""," · Falta cliente","")&amp;IF($E49=""," · Falta canal","")&amp;IF($F49=""," · Falta SKU","")&amp;IF(AND($F49&lt;&gt;"",COUNTIF(tblProductos[SKU],$F49)=0)," · SKU no existe","")&amp;IF(OR($I49="",NOT(ISNUMBER($I49)),$I49&lt;=0)," · Cantidad inválida","")&amp;IF($M49="PRECIO PENDIENTE"," · Falta precio de venta","")&amp;IF($P49="COSTO PENDIENTE"," · Falta costo del producto","")&amp;IF(AND(ISNUMBER($Q49),$Q49&lt;0)," · UTILIDAD NEGATIVA","")&amp;IF(AND($F49&lt;&gt;"",ISNUMBER(INDEX(tblInventario[Stock actual],MATCH($F49,tblInventario[SKU],0))),INDEX(tblInventario[Stock actual],MATCH($F49,tblInventario[SKU],0))&lt;0)," · Stock negativo del SKU","")&amp;IF(AND($T49="Cobrado",$U49="")," · Cobro sin fecha","")&amp;IF(AND(ISNUMBER($V49),ISNUMBER($N49),$V49&gt;N($N49)+0.01)," · Cobrado &gt; venta neta","")&amp;IF(AND(ISNUMBER($V49),$V49&gt;0,$U49="")," · Monto cobrado sin fecha",""),4,900)))</f>
        <v/>
      </c>
    </row>
    <row r="50">
      <c r="A50" s="51">
        <f>IF(COUNTA($B50,$C50,$D50,$E50,$F50,$I50)=0,"","V-"&amp;TEXT(ROW()-6,"0000"))</f>
        <v/>
      </c>
      <c r="B50" s="41" t="n"/>
      <c r="C50" s="33" t="n"/>
      <c r="D50" s="33" t="n"/>
      <c r="E50" s="33" t="n"/>
      <c r="F50" s="33" t="n"/>
      <c r="G50" s="51">
        <f>IF($F50="","",IFERROR(IF(INDEX(tblProductos[Nombre del producto],MATCH($F50,tblProductos[SKU],0))="","",INDEX(tblProductos[Nombre del producto],MATCH($F50,tblProductos[SKU],0))),""))</f>
        <v/>
      </c>
      <c r="H50" s="51">
        <f>IF($F50="","",IFERROR(IF(INDEX(tblProductos[Categoría],MATCH($F50,tblProductos[SKU],0))="","",INDEX(tblProductos[Categoría],MATCH($F50,tblProductos[SKU],0))),""))</f>
        <v/>
      </c>
      <c r="I50" s="34" t="n"/>
      <c r="J50" s="39">
        <f>IF(OR($B50="",$F50="",$I50=""),"",IF($T50="Anulado",0,$I50))</f>
        <v/>
      </c>
      <c r="K50" s="54">
        <f>IF($F50="","",IFERROR(IF(INDEX(tblProductos[Precio de venta actual],MATCH($F50,tblProductos[SKU],0))="","",INDEX(tblProductos[Precio de venta actual],MATCH($F50,tblProductos[SKU],0))),""))</f>
        <v/>
      </c>
      <c r="L50" s="36" t="n"/>
      <c r="M50" s="37">
        <f>IF($J50="","",IF(NOT(ISNUMBER($K50)),"PRECIO PENDIENTE",$J50*$K50))</f>
        <v/>
      </c>
      <c r="N50" s="37">
        <f>IF($J50="","",IF(NOT(ISNUMBER($M50)),"PRECIO PENDIENTE",$M50-IF(ISNUMBER($L50),$L50,0)))</f>
        <v/>
      </c>
      <c r="O50" s="54">
        <f>IF($F50="","",IFERROR(INDEX(tblInventario[Costo unitario aplicado],MATCH($F50,tblInventario[SKU],0)),""))</f>
        <v/>
      </c>
      <c r="P50" s="37">
        <f>IF($J50="","",IF(NOT(ISNUMBER($O50)),"COSTO PENDIENTE",$J50*$O50))</f>
        <v/>
      </c>
      <c r="Q50" s="37">
        <f>IF($J50="","",IF(OR(NOT(ISNUMBER($N50)),NOT(ISNUMBER($P50))),"PENDIENTE",$N50-$P50))</f>
        <v/>
      </c>
      <c r="R50" s="38">
        <f>IF($J50="","",IF(OR(NOT(ISNUMBER($Q50)),NOT(ISNUMBER($N50)),$N50&lt;=0),"PENDIENTE",$Q50/$N50))</f>
        <v/>
      </c>
      <c r="S50" s="33" t="n"/>
      <c r="T50" s="33" t="n"/>
      <c r="U50" s="41" t="n"/>
      <c r="V50" s="36" t="n"/>
      <c r="W50" s="37">
        <f>IF(NOT(ISNUMBER($N50)),"",$N50-IF(ISNUMBER($V50),$V50,0))</f>
        <v/>
      </c>
      <c r="X50" s="33" t="n"/>
      <c r="Y50" s="51">
        <f>IF(COUNTA($B50,$C50,$D50,$E50,$F50,$I50)=0,"",IF(IF($B50=""," · Falta fecha","")&amp;IF($D50=""," · Falta cliente","")&amp;IF($E50=""," · Falta canal","")&amp;IF($F50=""," · Falta SKU","")&amp;IF(AND($F50&lt;&gt;"",COUNTIF(tblProductos[SKU],$F50)=0)," · SKU no existe","")&amp;IF(OR($I50="",NOT(ISNUMBER($I50)),$I50&lt;=0)," · Cantidad inválida","")&amp;IF($M50="PRECIO PENDIENTE"," · Falta precio de venta","")&amp;IF($P50="COSTO PENDIENTE"," · Falta costo del producto","")&amp;IF(AND(ISNUMBER($Q50),$Q50&lt;0)," · UTILIDAD NEGATIVA","")&amp;IF(AND($F50&lt;&gt;"",ISNUMBER(INDEX(tblInventario[Stock actual],MATCH($F50,tblInventario[SKU],0))),INDEX(tblInventario[Stock actual],MATCH($F50,tblInventario[SKU],0))&lt;0)," · Stock negativo del SKU","")&amp;IF(AND($T50="Cobrado",$U50="")," · Cobro sin fecha","")&amp;IF(AND(ISNUMBER($V50),ISNUMBER($N50),$V50&gt;N($N50)+0.01)," · Cobrado &gt; venta neta","")&amp;IF(AND(ISNUMBER($V50),$V50&gt;0,$U50="")," · Monto cobrado sin fecha","")="","OK",MID(IF($B50=""," · Falta fecha","")&amp;IF($D50=""," · Falta cliente","")&amp;IF($E50=""," · Falta canal","")&amp;IF($F50=""," · Falta SKU","")&amp;IF(AND($F50&lt;&gt;"",COUNTIF(tblProductos[SKU],$F50)=0)," · SKU no existe","")&amp;IF(OR($I50="",NOT(ISNUMBER($I50)),$I50&lt;=0)," · Cantidad inválida","")&amp;IF($M50="PRECIO PENDIENTE"," · Falta precio de venta","")&amp;IF($P50="COSTO PENDIENTE"," · Falta costo del producto","")&amp;IF(AND(ISNUMBER($Q50),$Q50&lt;0)," · UTILIDAD NEGATIVA","")&amp;IF(AND($F50&lt;&gt;"",ISNUMBER(INDEX(tblInventario[Stock actual],MATCH($F50,tblInventario[SKU],0))),INDEX(tblInventario[Stock actual],MATCH($F50,tblInventario[SKU],0))&lt;0)," · Stock negativo del SKU","")&amp;IF(AND($T50="Cobrado",$U50="")," · Cobro sin fecha","")&amp;IF(AND(ISNUMBER($V50),ISNUMBER($N50),$V50&gt;N($N50)+0.01)," · Cobrado &gt; venta neta","")&amp;IF(AND(ISNUMBER($V50),$V50&gt;0,$U50="")," · Monto cobrado sin fecha",""),4,900)))</f>
        <v/>
      </c>
    </row>
    <row r="51">
      <c r="A51" s="51">
        <f>IF(COUNTA($B51,$C51,$D51,$E51,$F51,$I51)=0,"","V-"&amp;TEXT(ROW()-6,"0000"))</f>
        <v/>
      </c>
      <c r="B51" s="41" t="n"/>
      <c r="C51" s="33" t="n"/>
      <c r="D51" s="33" t="n"/>
      <c r="E51" s="33" t="n"/>
      <c r="F51" s="33" t="n"/>
      <c r="G51" s="51">
        <f>IF($F51="","",IFERROR(IF(INDEX(tblProductos[Nombre del producto],MATCH($F51,tblProductos[SKU],0))="","",INDEX(tblProductos[Nombre del producto],MATCH($F51,tblProductos[SKU],0))),""))</f>
        <v/>
      </c>
      <c r="H51" s="51">
        <f>IF($F51="","",IFERROR(IF(INDEX(tblProductos[Categoría],MATCH($F51,tblProductos[SKU],0))="","",INDEX(tblProductos[Categoría],MATCH($F51,tblProductos[SKU],0))),""))</f>
        <v/>
      </c>
      <c r="I51" s="34" t="n"/>
      <c r="J51" s="39">
        <f>IF(OR($B51="",$F51="",$I51=""),"",IF($T51="Anulado",0,$I51))</f>
        <v/>
      </c>
      <c r="K51" s="54">
        <f>IF($F51="","",IFERROR(IF(INDEX(tblProductos[Precio de venta actual],MATCH($F51,tblProductos[SKU],0))="","",INDEX(tblProductos[Precio de venta actual],MATCH($F51,tblProductos[SKU],0))),""))</f>
        <v/>
      </c>
      <c r="L51" s="36" t="n"/>
      <c r="M51" s="37">
        <f>IF($J51="","",IF(NOT(ISNUMBER($K51)),"PRECIO PENDIENTE",$J51*$K51))</f>
        <v/>
      </c>
      <c r="N51" s="37">
        <f>IF($J51="","",IF(NOT(ISNUMBER($M51)),"PRECIO PENDIENTE",$M51-IF(ISNUMBER($L51),$L51,0)))</f>
        <v/>
      </c>
      <c r="O51" s="54">
        <f>IF($F51="","",IFERROR(INDEX(tblInventario[Costo unitario aplicado],MATCH($F51,tblInventario[SKU],0)),""))</f>
        <v/>
      </c>
      <c r="P51" s="37">
        <f>IF($J51="","",IF(NOT(ISNUMBER($O51)),"COSTO PENDIENTE",$J51*$O51))</f>
        <v/>
      </c>
      <c r="Q51" s="37">
        <f>IF($J51="","",IF(OR(NOT(ISNUMBER($N51)),NOT(ISNUMBER($P51))),"PENDIENTE",$N51-$P51))</f>
        <v/>
      </c>
      <c r="R51" s="38">
        <f>IF($J51="","",IF(OR(NOT(ISNUMBER($Q51)),NOT(ISNUMBER($N51)),$N51&lt;=0),"PENDIENTE",$Q51/$N51))</f>
        <v/>
      </c>
      <c r="S51" s="33" t="n"/>
      <c r="T51" s="33" t="n"/>
      <c r="U51" s="41" t="n"/>
      <c r="V51" s="36" t="n"/>
      <c r="W51" s="37">
        <f>IF(NOT(ISNUMBER($N51)),"",$N51-IF(ISNUMBER($V51),$V51,0))</f>
        <v/>
      </c>
      <c r="X51" s="33" t="n"/>
      <c r="Y51" s="51">
        <f>IF(COUNTA($B51,$C51,$D51,$E51,$F51,$I51)=0,"",IF(IF($B51=""," · Falta fecha","")&amp;IF($D51=""," · Falta cliente","")&amp;IF($E51=""," · Falta canal","")&amp;IF($F51=""," · Falta SKU","")&amp;IF(AND($F51&lt;&gt;"",COUNTIF(tblProductos[SKU],$F51)=0)," · SKU no existe","")&amp;IF(OR($I51="",NOT(ISNUMBER($I51)),$I51&lt;=0)," · Cantidad inválida","")&amp;IF($M51="PRECIO PENDIENTE"," · Falta precio de venta","")&amp;IF($P51="COSTO PENDIENTE"," · Falta costo del producto","")&amp;IF(AND(ISNUMBER($Q51),$Q51&lt;0)," · UTILIDAD NEGATIVA","")&amp;IF(AND($F51&lt;&gt;"",ISNUMBER(INDEX(tblInventario[Stock actual],MATCH($F51,tblInventario[SKU],0))),INDEX(tblInventario[Stock actual],MATCH($F51,tblInventario[SKU],0))&lt;0)," · Stock negativo del SKU","")&amp;IF(AND($T51="Cobrado",$U51="")," · Cobro sin fecha","")&amp;IF(AND(ISNUMBER($V51),ISNUMBER($N51),$V51&gt;N($N51)+0.01)," · Cobrado &gt; venta neta","")&amp;IF(AND(ISNUMBER($V51),$V51&gt;0,$U51="")," · Monto cobrado sin fecha","")="","OK",MID(IF($B51=""," · Falta fecha","")&amp;IF($D51=""," · Falta cliente","")&amp;IF($E51=""," · Falta canal","")&amp;IF($F51=""," · Falta SKU","")&amp;IF(AND($F51&lt;&gt;"",COUNTIF(tblProductos[SKU],$F51)=0)," · SKU no existe","")&amp;IF(OR($I51="",NOT(ISNUMBER($I51)),$I51&lt;=0)," · Cantidad inválida","")&amp;IF($M51="PRECIO PENDIENTE"," · Falta precio de venta","")&amp;IF($P51="COSTO PENDIENTE"," · Falta costo del producto","")&amp;IF(AND(ISNUMBER($Q51),$Q51&lt;0)," · UTILIDAD NEGATIVA","")&amp;IF(AND($F51&lt;&gt;"",ISNUMBER(INDEX(tblInventario[Stock actual],MATCH($F51,tblInventario[SKU],0))),INDEX(tblInventario[Stock actual],MATCH($F51,tblInventario[SKU],0))&lt;0)," · Stock negativo del SKU","")&amp;IF(AND($T51="Cobrado",$U51="")," · Cobro sin fecha","")&amp;IF(AND(ISNUMBER($V51),ISNUMBER($N51),$V51&gt;N($N51)+0.01)," · Cobrado &gt; venta neta","")&amp;IF(AND(ISNUMBER($V51),$V51&gt;0,$U51="")," · Monto cobrado sin fecha",""),4,900)))</f>
        <v/>
      </c>
    </row>
    <row r="52">
      <c r="A52" s="51">
        <f>IF(COUNTA($B52,$C52,$D52,$E52,$F52,$I52)=0,"","V-"&amp;TEXT(ROW()-6,"0000"))</f>
        <v/>
      </c>
      <c r="B52" s="41" t="n"/>
      <c r="C52" s="33" t="n"/>
      <c r="D52" s="33" t="n"/>
      <c r="E52" s="33" t="n"/>
      <c r="F52" s="33" t="n"/>
      <c r="G52" s="51">
        <f>IF($F52="","",IFERROR(IF(INDEX(tblProductos[Nombre del producto],MATCH($F52,tblProductos[SKU],0))="","",INDEX(tblProductos[Nombre del producto],MATCH($F52,tblProductos[SKU],0))),""))</f>
        <v/>
      </c>
      <c r="H52" s="51">
        <f>IF($F52="","",IFERROR(IF(INDEX(tblProductos[Categoría],MATCH($F52,tblProductos[SKU],0))="","",INDEX(tblProductos[Categoría],MATCH($F52,tblProductos[SKU],0))),""))</f>
        <v/>
      </c>
      <c r="I52" s="34" t="n"/>
      <c r="J52" s="39">
        <f>IF(OR($B52="",$F52="",$I52=""),"",IF($T52="Anulado",0,$I52))</f>
        <v/>
      </c>
      <c r="K52" s="54">
        <f>IF($F52="","",IFERROR(IF(INDEX(tblProductos[Precio de venta actual],MATCH($F52,tblProductos[SKU],0))="","",INDEX(tblProductos[Precio de venta actual],MATCH($F52,tblProductos[SKU],0))),""))</f>
        <v/>
      </c>
      <c r="L52" s="36" t="n"/>
      <c r="M52" s="37">
        <f>IF($J52="","",IF(NOT(ISNUMBER($K52)),"PRECIO PENDIENTE",$J52*$K52))</f>
        <v/>
      </c>
      <c r="N52" s="37">
        <f>IF($J52="","",IF(NOT(ISNUMBER($M52)),"PRECIO PENDIENTE",$M52-IF(ISNUMBER($L52),$L52,0)))</f>
        <v/>
      </c>
      <c r="O52" s="54">
        <f>IF($F52="","",IFERROR(INDEX(tblInventario[Costo unitario aplicado],MATCH($F52,tblInventario[SKU],0)),""))</f>
        <v/>
      </c>
      <c r="P52" s="37">
        <f>IF($J52="","",IF(NOT(ISNUMBER($O52)),"COSTO PENDIENTE",$J52*$O52))</f>
        <v/>
      </c>
      <c r="Q52" s="37">
        <f>IF($J52="","",IF(OR(NOT(ISNUMBER($N52)),NOT(ISNUMBER($P52))),"PENDIENTE",$N52-$P52))</f>
        <v/>
      </c>
      <c r="R52" s="38">
        <f>IF($J52="","",IF(OR(NOT(ISNUMBER($Q52)),NOT(ISNUMBER($N52)),$N52&lt;=0),"PENDIENTE",$Q52/$N52))</f>
        <v/>
      </c>
      <c r="S52" s="33" t="n"/>
      <c r="T52" s="33" t="n"/>
      <c r="U52" s="41" t="n"/>
      <c r="V52" s="36" t="n"/>
      <c r="W52" s="37">
        <f>IF(NOT(ISNUMBER($N52)),"",$N52-IF(ISNUMBER($V52),$V52,0))</f>
        <v/>
      </c>
      <c r="X52" s="33" t="n"/>
      <c r="Y52" s="51">
        <f>IF(COUNTA($B52,$C52,$D52,$E52,$F52,$I52)=0,"",IF(IF($B52=""," · Falta fecha","")&amp;IF($D52=""," · Falta cliente","")&amp;IF($E52=""," · Falta canal","")&amp;IF($F52=""," · Falta SKU","")&amp;IF(AND($F52&lt;&gt;"",COUNTIF(tblProductos[SKU],$F52)=0)," · SKU no existe","")&amp;IF(OR($I52="",NOT(ISNUMBER($I52)),$I52&lt;=0)," · Cantidad inválida","")&amp;IF($M52="PRECIO PENDIENTE"," · Falta precio de venta","")&amp;IF($P52="COSTO PENDIENTE"," · Falta costo del producto","")&amp;IF(AND(ISNUMBER($Q52),$Q52&lt;0)," · UTILIDAD NEGATIVA","")&amp;IF(AND($F52&lt;&gt;"",ISNUMBER(INDEX(tblInventario[Stock actual],MATCH($F52,tblInventario[SKU],0))),INDEX(tblInventario[Stock actual],MATCH($F52,tblInventario[SKU],0))&lt;0)," · Stock negativo del SKU","")&amp;IF(AND($T52="Cobrado",$U52="")," · Cobro sin fecha","")&amp;IF(AND(ISNUMBER($V52),ISNUMBER($N52),$V52&gt;N($N52)+0.01)," · Cobrado &gt; venta neta","")&amp;IF(AND(ISNUMBER($V52),$V52&gt;0,$U52="")," · Monto cobrado sin fecha","")="","OK",MID(IF($B52=""," · Falta fecha","")&amp;IF($D52=""," · Falta cliente","")&amp;IF($E52=""," · Falta canal","")&amp;IF($F52=""," · Falta SKU","")&amp;IF(AND($F52&lt;&gt;"",COUNTIF(tblProductos[SKU],$F52)=0)," · SKU no existe","")&amp;IF(OR($I52="",NOT(ISNUMBER($I52)),$I52&lt;=0)," · Cantidad inválida","")&amp;IF($M52="PRECIO PENDIENTE"," · Falta precio de venta","")&amp;IF($P52="COSTO PENDIENTE"," · Falta costo del producto","")&amp;IF(AND(ISNUMBER($Q52),$Q52&lt;0)," · UTILIDAD NEGATIVA","")&amp;IF(AND($F52&lt;&gt;"",ISNUMBER(INDEX(tblInventario[Stock actual],MATCH($F52,tblInventario[SKU],0))),INDEX(tblInventario[Stock actual],MATCH($F52,tblInventario[SKU],0))&lt;0)," · Stock negativo del SKU","")&amp;IF(AND($T52="Cobrado",$U52="")," · Cobro sin fecha","")&amp;IF(AND(ISNUMBER($V52),ISNUMBER($N52),$V52&gt;N($N52)+0.01)," · Cobrado &gt; venta neta","")&amp;IF(AND(ISNUMBER($V52),$V52&gt;0,$U52="")," · Monto cobrado sin fecha",""),4,900)))</f>
        <v/>
      </c>
    </row>
    <row r="53">
      <c r="A53" s="51">
        <f>IF(COUNTA($B53,$C53,$D53,$E53,$F53,$I53)=0,"","V-"&amp;TEXT(ROW()-6,"0000"))</f>
        <v/>
      </c>
      <c r="B53" s="41" t="n"/>
      <c r="C53" s="33" t="n"/>
      <c r="D53" s="33" t="n"/>
      <c r="E53" s="33" t="n"/>
      <c r="F53" s="33" t="n"/>
      <c r="G53" s="51">
        <f>IF($F53="","",IFERROR(IF(INDEX(tblProductos[Nombre del producto],MATCH($F53,tblProductos[SKU],0))="","",INDEX(tblProductos[Nombre del producto],MATCH($F53,tblProductos[SKU],0))),""))</f>
        <v/>
      </c>
      <c r="H53" s="51">
        <f>IF($F53="","",IFERROR(IF(INDEX(tblProductos[Categoría],MATCH($F53,tblProductos[SKU],0))="","",INDEX(tblProductos[Categoría],MATCH($F53,tblProductos[SKU],0))),""))</f>
        <v/>
      </c>
      <c r="I53" s="34" t="n"/>
      <c r="J53" s="39">
        <f>IF(OR($B53="",$F53="",$I53=""),"",IF($T53="Anulado",0,$I53))</f>
        <v/>
      </c>
      <c r="K53" s="54">
        <f>IF($F53="","",IFERROR(IF(INDEX(tblProductos[Precio de venta actual],MATCH($F53,tblProductos[SKU],0))="","",INDEX(tblProductos[Precio de venta actual],MATCH($F53,tblProductos[SKU],0))),""))</f>
        <v/>
      </c>
      <c r="L53" s="36" t="n"/>
      <c r="M53" s="37">
        <f>IF($J53="","",IF(NOT(ISNUMBER($K53)),"PRECIO PENDIENTE",$J53*$K53))</f>
        <v/>
      </c>
      <c r="N53" s="37">
        <f>IF($J53="","",IF(NOT(ISNUMBER($M53)),"PRECIO PENDIENTE",$M53-IF(ISNUMBER($L53),$L53,0)))</f>
        <v/>
      </c>
      <c r="O53" s="54">
        <f>IF($F53="","",IFERROR(INDEX(tblInventario[Costo unitario aplicado],MATCH($F53,tblInventario[SKU],0)),""))</f>
        <v/>
      </c>
      <c r="P53" s="37">
        <f>IF($J53="","",IF(NOT(ISNUMBER($O53)),"COSTO PENDIENTE",$J53*$O53))</f>
        <v/>
      </c>
      <c r="Q53" s="37">
        <f>IF($J53="","",IF(OR(NOT(ISNUMBER($N53)),NOT(ISNUMBER($P53))),"PENDIENTE",$N53-$P53))</f>
        <v/>
      </c>
      <c r="R53" s="38">
        <f>IF($J53="","",IF(OR(NOT(ISNUMBER($Q53)),NOT(ISNUMBER($N53)),$N53&lt;=0),"PENDIENTE",$Q53/$N53))</f>
        <v/>
      </c>
      <c r="S53" s="33" t="n"/>
      <c r="T53" s="33" t="n"/>
      <c r="U53" s="41" t="n"/>
      <c r="V53" s="36" t="n"/>
      <c r="W53" s="37">
        <f>IF(NOT(ISNUMBER($N53)),"",$N53-IF(ISNUMBER($V53),$V53,0))</f>
        <v/>
      </c>
      <c r="X53" s="33" t="n"/>
      <c r="Y53" s="51">
        <f>IF(COUNTA($B53,$C53,$D53,$E53,$F53,$I53)=0,"",IF(IF($B53=""," · Falta fecha","")&amp;IF($D53=""," · Falta cliente","")&amp;IF($E53=""," · Falta canal","")&amp;IF($F53=""," · Falta SKU","")&amp;IF(AND($F53&lt;&gt;"",COUNTIF(tblProductos[SKU],$F53)=0)," · SKU no existe","")&amp;IF(OR($I53="",NOT(ISNUMBER($I53)),$I53&lt;=0)," · Cantidad inválida","")&amp;IF($M53="PRECIO PENDIENTE"," · Falta precio de venta","")&amp;IF($P53="COSTO PENDIENTE"," · Falta costo del producto","")&amp;IF(AND(ISNUMBER($Q53),$Q53&lt;0)," · UTILIDAD NEGATIVA","")&amp;IF(AND($F53&lt;&gt;"",ISNUMBER(INDEX(tblInventario[Stock actual],MATCH($F53,tblInventario[SKU],0))),INDEX(tblInventario[Stock actual],MATCH($F53,tblInventario[SKU],0))&lt;0)," · Stock negativo del SKU","")&amp;IF(AND($T53="Cobrado",$U53="")," · Cobro sin fecha","")&amp;IF(AND(ISNUMBER($V53),ISNUMBER($N53),$V53&gt;N($N53)+0.01)," · Cobrado &gt; venta neta","")&amp;IF(AND(ISNUMBER($V53),$V53&gt;0,$U53="")," · Monto cobrado sin fecha","")="","OK",MID(IF($B53=""," · Falta fecha","")&amp;IF($D53=""," · Falta cliente","")&amp;IF($E53=""," · Falta canal","")&amp;IF($F53=""," · Falta SKU","")&amp;IF(AND($F53&lt;&gt;"",COUNTIF(tblProductos[SKU],$F53)=0)," · SKU no existe","")&amp;IF(OR($I53="",NOT(ISNUMBER($I53)),$I53&lt;=0)," · Cantidad inválida","")&amp;IF($M53="PRECIO PENDIENTE"," · Falta precio de venta","")&amp;IF($P53="COSTO PENDIENTE"," · Falta costo del producto","")&amp;IF(AND(ISNUMBER($Q53),$Q53&lt;0)," · UTILIDAD NEGATIVA","")&amp;IF(AND($F53&lt;&gt;"",ISNUMBER(INDEX(tblInventario[Stock actual],MATCH($F53,tblInventario[SKU],0))),INDEX(tblInventario[Stock actual],MATCH($F53,tblInventario[SKU],0))&lt;0)," · Stock negativo del SKU","")&amp;IF(AND($T53="Cobrado",$U53="")," · Cobro sin fecha","")&amp;IF(AND(ISNUMBER($V53),ISNUMBER($N53),$V53&gt;N($N53)+0.01)," · Cobrado &gt; venta neta","")&amp;IF(AND(ISNUMBER($V53),$V53&gt;0,$U53="")," · Monto cobrado sin fecha",""),4,900)))</f>
        <v/>
      </c>
    </row>
    <row r="54">
      <c r="A54" s="51">
        <f>IF(COUNTA($B54,$C54,$D54,$E54,$F54,$I54)=0,"","V-"&amp;TEXT(ROW()-6,"0000"))</f>
        <v/>
      </c>
      <c r="B54" s="41" t="n"/>
      <c r="C54" s="33" t="n"/>
      <c r="D54" s="33" t="n"/>
      <c r="E54" s="33" t="n"/>
      <c r="F54" s="33" t="n"/>
      <c r="G54" s="51">
        <f>IF($F54="","",IFERROR(IF(INDEX(tblProductos[Nombre del producto],MATCH($F54,tblProductos[SKU],0))="","",INDEX(tblProductos[Nombre del producto],MATCH($F54,tblProductos[SKU],0))),""))</f>
        <v/>
      </c>
      <c r="H54" s="51">
        <f>IF($F54="","",IFERROR(IF(INDEX(tblProductos[Categoría],MATCH($F54,tblProductos[SKU],0))="","",INDEX(tblProductos[Categoría],MATCH($F54,tblProductos[SKU],0))),""))</f>
        <v/>
      </c>
      <c r="I54" s="34" t="n"/>
      <c r="J54" s="39">
        <f>IF(OR($B54="",$F54="",$I54=""),"",IF($T54="Anulado",0,$I54))</f>
        <v/>
      </c>
      <c r="K54" s="54">
        <f>IF($F54="","",IFERROR(IF(INDEX(tblProductos[Precio de venta actual],MATCH($F54,tblProductos[SKU],0))="","",INDEX(tblProductos[Precio de venta actual],MATCH($F54,tblProductos[SKU],0))),""))</f>
        <v/>
      </c>
      <c r="L54" s="36" t="n"/>
      <c r="M54" s="37">
        <f>IF($J54="","",IF(NOT(ISNUMBER($K54)),"PRECIO PENDIENTE",$J54*$K54))</f>
        <v/>
      </c>
      <c r="N54" s="37">
        <f>IF($J54="","",IF(NOT(ISNUMBER($M54)),"PRECIO PENDIENTE",$M54-IF(ISNUMBER($L54),$L54,0)))</f>
        <v/>
      </c>
      <c r="O54" s="54">
        <f>IF($F54="","",IFERROR(INDEX(tblInventario[Costo unitario aplicado],MATCH($F54,tblInventario[SKU],0)),""))</f>
        <v/>
      </c>
      <c r="P54" s="37">
        <f>IF($J54="","",IF(NOT(ISNUMBER($O54)),"COSTO PENDIENTE",$J54*$O54))</f>
        <v/>
      </c>
      <c r="Q54" s="37">
        <f>IF($J54="","",IF(OR(NOT(ISNUMBER($N54)),NOT(ISNUMBER($P54))),"PENDIENTE",$N54-$P54))</f>
        <v/>
      </c>
      <c r="R54" s="38">
        <f>IF($J54="","",IF(OR(NOT(ISNUMBER($Q54)),NOT(ISNUMBER($N54)),$N54&lt;=0),"PENDIENTE",$Q54/$N54))</f>
        <v/>
      </c>
      <c r="S54" s="33" t="n"/>
      <c r="T54" s="33" t="n"/>
      <c r="U54" s="41" t="n"/>
      <c r="V54" s="36" t="n"/>
      <c r="W54" s="37">
        <f>IF(NOT(ISNUMBER($N54)),"",$N54-IF(ISNUMBER($V54),$V54,0))</f>
        <v/>
      </c>
      <c r="X54" s="33" t="n"/>
      <c r="Y54" s="51">
        <f>IF(COUNTA($B54,$C54,$D54,$E54,$F54,$I54)=0,"",IF(IF($B54=""," · Falta fecha","")&amp;IF($D54=""," · Falta cliente","")&amp;IF($E54=""," · Falta canal","")&amp;IF($F54=""," · Falta SKU","")&amp;IF(AND($F54&lt;&gt;"",COUNTIF(tblProductos[SKU],$F54)=0)," · SKU no existe","")&amp;IF(OR($I54="",NOT(ISNUMBER($I54)),$I54&lt;=0)," · Cantidad inválida","")&amp;IF($M54="PRECIO PENDIENTE"," · Falta precio de venta","")&amp;IF($P54="COSTO PENDIENTE"," · Falta costo del producto","")&amp;IF(AND(ISNUMBER($Q54),$Q54&lt;0)," · UTILIDAD NEGATIVA","")&amp;IF(AND($F54&lt;&gt;"",ISNUMBER(INDEX(tblInventario[Stock actual],MATCH($F54,tblInventario[SKU],0))),INDEX(tblInventario[Stock actual],MATCH($F54,tblInventario[SKU],0))&lt;0)," · Stock negativo del SKU","")&amp;IF(AND($T54="Cobrado",$U54="")," · Cobro sin fecha","")&amp;IF(AND(ISNUMBER($V54),ISNUMBER($N54),$V54&gt;N($N54)+0.01)," · Cobrado &gt; venta neta","")&amp;IF(AND(ISNUMBER($V54),$V54&gt;0,$U54="")," · Monto cobrado sin fecha","")="","OK",MID(IF($B54=""," · Falta fecha","")&amp;IF($D54=""," · Falta cliente","")&amp;IF($E54=""," · Falta canal","")&amp;IF($F54=""," · Falta SKU","")&amp;IF(AND($F54&lt;&gt;"",COUNTIF(tblProductos[SKU],$F54)=0)," · SKU no existe","")&amp;IF(OR($I54="",NOT(ISNUMBER($I54)),$I54&lt;=0)," · Cantidad inválida","")&amp;IF($M54="PRECIO PENDIENTE"," · Falta precio de venta","")&amp;IF($P54="COSTO PENDIENTE"," · Falta costo del producto","")&amp;IF(AND(ISNUMBER($Q54),$Q54&lt;0)," · UTILIDAD NEGATIVA","")&amp;IF(AND($F54&lt;&gt;"",ISNUMBER(INDEX(tblInventario[Stock actual],MATCH($F54,tblInventario[SKU],0))),INDEX(tblInventario[Stock actual],MATCH($F54,tblInventario[SKU],0))&lt;0)," · Stock negativo del SKU","")&amp;IF(AND($T54="Cobrado",$U54="")," · Cobro sin fecha","")&amp;IF(AND(ISNUMBER($V54),ISNUMBER($N54),$V54&gt;N($N54)+0.01)," · Cobrado &gt; venta neta","")&amp;IF(AND(ISNUMBER($V54),$V54&gt;0,$U54="")," · Monto cobrado sin fecha",""),4,900)))</f>
        <v/>
      </c>
    </row>
    <row r="55">
      <c r="A55" s="51">
        <f>IF(COUNTA($B55,$C55,$D55,$E55,$F55,$I55)=0,"","V-"&amp;TEXT(ROW()-6,"0000"))</f>
        <v/>
      </c>
      <c r="B55" s="41" t="n"/>
      <c r="C55" s="33" t="n"/>
      <c r="D55" s="33" t="n"/>
      <c r="E55" s="33" t="n"/>
      <c r="F55" s="33" t="n"/>
      <c r="G55" s="51">
        <f>IF($F55="","",IFERROR(IF(INDEX(tblProductos[Nombre del producto],MATCH($F55,tblProductos[SKU],0))="","",INDEX(tblProductos[Nombre del producto],MATCH($F55,tblProductos[SKU],0))),""))</f>
        <v/>
      </c>
      <c r="H55" s="51">
        <f>IF($F55="","",IFERROR(IF(INDEX(tblProductos[Categoría],MATCH($F55,tblProductos[SKU],0))="","",INDEX(tblProductos[Categoría],MATCH($F55,tblProductos[SKU],0))),""))</f>
        <v/>
      </c>
      <c r="I55" s="34" t="n"/>
      <c r="J55" s="39">
        <f>IF(OR($B55="",$F55="",$I55=""),"",IF($T55="Anulado",0,$I55))</f>
        <v/>
      </c>
      <c r="K55" s="54">
        <f>IF($F55="","",IFERROR(IF(INDEX(tblProductos[Precio de venta actual],MATCH($F55,tblProductos[SKU],0))="","",INDEX(tblProductos[Precio de venta actual],MATCH($F55,tblProductos[SKU],0))),""))</f>
        <v/>
      </c>
      <c r="L55" s="36" t="n"/>
      <c r="M55" s="37">
        <f>IF($J55="","",IF(NOT(ISNUMBER($K55)),"PRECIO PENDIENTE",$J55*$K55))</f>
        <v/>
      </c>
      <c r="N55" s="37">
        <f>IF($J55="","",IF(NOT(ISNUMBER($M55)),"PRECIO PENDIENTE",$M55-IF(ISNUMBER($L55),$L55,0)))</f>
        <v/>
      </c>
      <c r="O55" s="54">
        <f>IF($F55="","",IFERROR(INDEX(tblInventario[Costo unitario aplicado],MATCH($F55,tblInventario[SKU],0)),""))</f>
        <v/>
      </c>
      <c r="P55" s="37">
        <f>IF($J55="","",IF(NOT(ISNUMBER($O55)),"COSTO PENDIENTE",$J55*$O55))</f>
        <v/>
      </c>
      <c r="Q55" s="37">
        <f>IF($J55="","",IF(OR(NOT(ISNUMBER($N55)),NOT(ISNUMBER($P55))),"PENDIENTE",$N55-$P55))</f>
        <v/>
      </c>
      <c r="R55" s="38">
        <f>IF($J55="","",IF(OR(NOT(ISNUMBER($Q55)),NOT(ISNUMBER($N55)),$N55&lt;=0),"PENDIENTE",$Q55/$N55))</f>
        <v/>
      </c>
      <c r="S55" s="33" t="n"/>
      <c r="T55" s="33" t="n"/>
      <c r="U55" s="41" t="n"/>
      <c r="V55" s="36" t="n"/>
      <c r="W55" s="37">
        <f>IF(NOT(ISNUMBER($N55)),"",$N55-IF(ISNUMBER($V55),$V55,0))</f>
        <v/>
      </c>
      <c r="X55" s="33" t="n"/>
      <c r="Y55" s="51">
        <f>IF(COUNTA($B55,$C55,$D55,$E55,$F55,$I55)=0,"",IF(IF($B55=""," · Falta fecha","")&amp;IF($D55=""," · Falta cliente","")&amp;IF($E55=""," · Falta canal","")&amp;IF($F55=""," · Falta SKU","")&amp;IF(AND($F55&lt;&gt;"",COUNTIF(tblProductos[SKU],$F55)=0)," · SKU no existe","")&amp;IF(OR($I55="",NOT(ISNUMBER($I55)),$I55&lt;=0)," · Cantidad inválida","")&amp;IF($M55="PRECIO PENDIENTE"," · Falta precio de venta","")&amp;IF($P55="COSTO PENDIENTE"," · Falta costo del producto","")&amp;IF(AND(ISNUMBER($Q55),$Q55&lt;0)," · UTILIDAD NEGATIVA","")&amp;IF(AND($F55&lt;&gt;"",ISNUMBER(INDEX(tblInventario[Stock actual],MATCH($F55,tblInventario[SKU],0))),INDEX(tblInventario[Stock actual],MATCH($F55,tblInventario[SKU],0))&lt;0)," · Stock negativo del SKU","")&amp;IF(AND($T55="Cobrado",$U55="")," · Cobro sin fecha","")&amp;IF(AND(ISNUMBER($V55),ISNUMBER($N55),$V55&gt;N($N55)+0.01)," · Cobrado &gt; venta neta","")&amp;IF(AND(ISNUMBER($V55),$V55&gt;0,$U55="")," · Monto cobrado sin fecha","")="","OK",MID(IF($B55=""," · Falta fecha","")&amp;IF($D55=""," · Falta cliente","")&amp;IF($E55=""," · Falta canal","")&amp;IF($F55=""," · Falta SKU","")&amp;IF(AND($F55&lt;&gt;"",COUNTIF(tblProductos[SKU],$F55)=0)," · SKU no existe","")&amp;IF(OR($I55="",NOT(ISNUMBER($I55)),$I55&lt;=0)," · Cantidad inválida","")&amp;IF($M55="PRECIO PENDIENTE"," · Falta precio de venta","")&amp;IF($P55="COSTO PENDIENTE"," · Falta costo del producto","")&amp;IF(AND(ISNUMBER($Q55),$Q55&lt;0)," · UTILIDAD NEGATIVA","")&amp;IF(AND($F55&lt;&gt;"",ISNUMBER(INDEX(tblInventario[Stock actual],MATCH($F55,tblInventario[SKU],0))),INDEX(tblInventario[Stock actual],MATCH($F55,tblInventario[SKU],0))&lt;0)," · Stock negativo del SKU","")&amp;IF(AND($T55="Cobrado",$U55="")," · Cobro sin fecha","")&amp;IF(AND(ISNUMBER($V55),ISNUMBER($N55),$V55&gt;N($N55)+0.01)," · Cobrado &gt; venta neta","")&amp;IF(AND(ISNUMBER($V55),$V55&gt;0,$U55="")," · Monto cobrado sin fecha",""),4,900)))</f>
        <v/>
      </c>
    </row>
    <row r="56">
      <c r="A56" s="51">
        <f>IF(COUNTA($B56,$C56,$D56,$E56,$F56,$I56)=0,"","V-"&amp;TEXT(ROW()-6,"0000"))</f>
        <v/>
      </c>
      <c r="B56" s="41" t="n"/>
      <c r="C56" s="33" t="n"/>
      <c r="D56" s="33" t="n"/>
      <c r="E56" s="33" t="n"/>
      <c r="F56" s="33" t="n"/>
      <c r="G56" s="51">
        <f>IF($F56="","",IFERROR(IF(INDEX(tblProductos[Nombre del producto],MATCH($F56,tblProductos[SKU],0))="","",INDEX(tblProductos[Nombre del producto],MATCH($F56,tblProductos[SKU],0))),""))</f>
        <v/>
      </c>
      <c r="H56" s="51">
        <f>IF($F56="","",IFERROR(IF(INDEX(tblProductos[Categoría],MATCH($F56,tblProductos[SKU],0))="","",INDEX(tblProductos[Categoría],MATCH($F56,tblProductos[SKU],0))),""))</f>
        <v/>
      </c>
      <c r="I56" s="34" t="n"/>
      <c r="J56" s="39">
        <f>IF(OR($B56="",$F56="",$I56=""),"",IF($T56="Anulado",0,$I56))</f>
        <v/>
      </c>
      <c r="K56" s="54">
        <f>IF($F56="","",IFERROR(IF(INDEX(tblProductos[Precio de venta actual],MATCH($F56,tblProductos[SKU],0))="","",INDEX(tblProductos[Precio de venta actual],MATCH($F56,tblProductos[SKU],0))),""))</f>
        <v/>
      </c>
      <c r="L56" s="36" t="n"/>
      <c r="M56" s="37">
        <f>IF($J56="","",IF(NOT(ISNUMBER($K56)),"PRECIO PENDIENTE",$J56*$K56))</f>
        <v/>
      </c>
      <c r="N56" s="37">
        <f>IF($J56="","",IF(NOT(ISNUMBER($M56)),"PRECIO PENDIENTE",$M56-IF(ISNUMBER($L56),$L56,0)))</f>
        <v/>
      </c>
      <c r="O56" s="54">
        <f>IF($F56="","",IFERROR(INDEX(tblInventario[Costo unitario aplicado],MATCH($F56,tblInventario[SKU],0)),""))</f>
        <v/>
      </c>
      <c r="P56" s="37">
        <f>IF($J56="","",IF(NOT(ISNUMBER($O56)),"COSTO PENDIENTE",$J56*$O56))</f>
        <v/>
      </c>
      <c r="Q56" s="37">
        <f>IF($J56="","",IF(OR(NOT(ISNUMBER($N56)),NOT(ISNUMBER($P56))),"PENDIENTE",$N56-$P56))</f>
        <v/>
      </c>
      <c r="R56" s="38">
        <f>IF($J56="","",IF(OR(NOT(ISNUMBER($Q56)),NOT(ISNUMBER($N56)),$N56&lt;=0),"PENDIENTE",$Q56/$N56))</f>
        <v/>
      </c>
      <c r="S56" s="33" t="n"/>
      <c r="T56" s="33" t="n"/>
      <c r="U56" s="41" t="n"/>
      <c r="V56" s="36" t="n"/>
      <c r="W56" s="37">
        <f>IF(NOT(ISNUMBER($N56)),"",$N56-IF(ISNUMBER($V56),$V56,0))</f>
        <v/>
      </c>
      <c r="X56" s="33" t="n"/>
      <c r="Y56" s="51">
        <f>IF(COUNTA($B56,$C56,$D56,$E56,$F56,$I56)=0,"",IF(IF($B56=""," · Falta fecha","")&amp;IF($D56=""," · Falta cliente","")&amp;IF($E56=""," · Falta canal","")&amp;IF($F56=""," · Falta SKU","")&amp;IF(AND($F56&lt;&gt;"",COUNTIF(tblProductos[SKU],$F56)=0)," · SKU no existe","")&amp;IF(OR($I56="",NOT(ISNUMBER($I56)),$I56&lt;=0)," · Cantidad inválida","")&amp;IF($M56="PRECIO PENDIENTE"," · Falta precio de venta","")&amp;IF($P56="COSTO PENDIENTE"," · Falta costo del producto","")&amp;IF(AND(ISNUMBER($Q56),$Q56&lt;0)," · UTILIDAD NEGATIVA","")&amp;IF(AND($F56&lt;&gt;"",ISNUMBER(INDEX(tblInventario[Stock actual],MATCH($F56,tblInventario[SKU],0))),INDEX(tblInventario[Stock actual],MATCH($F56,tblInventario[SKU],0))&lt;0)," · Stock negativo del SKU","")&amp;IF(AND($T56="Cobrado",$U56="")," · Cobro sin fecha","")&amp;IF(AND(ISNUMBER($V56),ISNUMBER($N56),$V56&gt;N($N56)+0.01)," · Cobrado &gt; venta neta","")&amp;IF(AND(ISNUMBER($V56),$V56&gt;0,$U56="")," · Monto cobrado sin fecha","")="","OK",MID(IF($B56=""," · Falta fecha","")&amp;IF($D56=""," · Falta cliente","")&amp;IF($E56=""," · Falta canal","")&amp;IF($F56=""," · Falta SKU","")&amp;IF(AND($F56&lt;&gt;"",COUNTIF(tblProductos[SKU],$F56)=0)," · SKU no existe","")&amp;IF(OR($I56="",NOT(ISNUMBER($I56)),$I56&lt;=0)," · Cantidad inválida","")&amp;IF($M56="PRECIO PENDIENTE"," · Falta precio de venta","")&amp;IF($P56="COSTO PENDIENTE"," · Falta costo del producto","")&amp;IF(AND(ISNUMBER($Q56),$Q56&lt;0)," · UTILIDAD NEGATIVA","")&amp;IF(AND($F56&lt;&gt;"",ISNUMBER(INDEX(tblInventario[Stock actual],MATCH($F56,tblInventario[SKU],0))),INDEX(tblInventario[Stock actual],MATCH($F56,tblInventario[SKU],0))&lt;0)," · Stock negativo del SKU","")&amp;IF(AND($T56="Cobrado",$U56="")," · Cobro sin fecha","")&amp;IF(AND(ISNUMBER($V56),ISNUMBER($N56),$V56&gt;N($N56)+0.01)," · Cobrado &gt; venta neta","")&amp;IF(AND(ISNUMBER($V56),$V56&gt;0,$U56="")," · Monto cobrado sin fecha",""),4,900)))</f>
        <v/>
      </c>
    </row>
    <row r="57">
      <c r="A57" s="51">
        <f>IF(COUNTA($B57,$C57,$D57,$E57,$F57,$I57)=0,"","V-"&amp;TEXT(ROW()-6,"0000"))</f>
        <v/>
      </c>
      <c r="B57" s="41" t="n"/>
      <c r="C57" s="33" t="n"/>
      <c r="D57" s="33" t="n"/>
      <c r="E57" s="33" t="n"/>
      <c r="F57" s="33" t="n"/>
      <c r="G57" s="51">
        <f>IF($F57="","",IFERROR(IF(INDEX(tblProductos[Nombre del producto],MATCH($F57,tblProductos[SKU],0))="","",INDEX(tblProductos[Nombre del producto],MATCH($F57,tblProductos[SKU],0))),""))</f>
        <v/>
      </c>
      <c r="H57" s="51">
        <f>IF($F57="","",IFERROR(IF(INDEX(tblProductos[Categoría],MATCH($F57,tblProductos[SKU],0))="","",INDEX(tblProductos[Categoría],MATCH($F57,tblProductos[SKU],0))),""))</f>
        <v/>
      </c>
      <c r="I57" s="34" t="n"/>
      <c r="J57" s="39">
        <f>IF(OR($B57="",$F57="",$I57=""),"",IF($T57="Anulado",0,$I57))</f>
        <v/>
      </c>
      <c r="K57" s="54">
        <f>IF($F57="","",IFERROR(IF(INDEX(tblProductos[Precio de venta actual],MATCH($F57,tblProductos[SKU],0))="","",INDEX(tblProductos[Precio de venta actual],MATCH($F57,tblProductos[SKU],0))),""))</f>
        <v/>
      </c>
      <c r="L57" s="36" t="n"/>
      <c r="M57" s="37">
        <f>IF($J57="","",IF(NOT(ISNUMBER($K57)),"PRECIO PENDIENTE",$J57*$K57))</f>
        <v/>
      </c>
      <c r="N57" s="37">
        <f>IF($J57="","",IF(NOT(ISNUMBER($M57)),"PRECIO PENDIENTE",$M57-IF(ISNUMBER($L57),$L57,0)))</f>
        <v/>
      </c>
      <c r="O57" s="54">
        <f>IF($F57="","",IFERROR(INDEX(tblInventario[Costo unitario aplicado],MATCH($F57,tblInventario[SKU],0)),""))</f>
        <v/>
      </c>
      <c r="P57" s="37">
        <f>IF($J57="","",IF(NOT(ISNUMBER($O57)),"COSTO PENDIENTE",$J57*$O57))</f>
        <v/>
      </c>
      <c r="Q57" s="37">
        <f>IF($J57="","",IF(OR(NOT(ISNUMBER($N57)),NOT(ISNUMBER($P57))),"PENDIENTE",$N57-$P57))</f>
        <v/>
      </c>
      <c r="R57" s="38">
        <f>IF($J57="","",IF(OR(NOT(ISNUMBER($Q57)),NOT(ISNUMBER($N57)),$N57&lt;=0),"PENDIENTE",$Q57/$N57))</f>
        <v/>
      </c>
      <c r="S57" s="33" t="n"/>
      <c r="T57" s="33" t="n"/>
      <c r="U57" s="41" t="n"/>
      <c r="V57" s="36" t="n"/>
      <c r="W57" s="37">
        <f>IF(NOT(ISNUMBER($N57)),"",$N57-IF(ISNUMBER($V57),$V57,0))</f>
        <v/>
      </c>
      <c r="X57" s="33" t="n"/>
      <c r="Y57" s="51">
        <f>IF(COUNTA($B57,$C57,$D57,$E57,$F57,$I57)=0,"",IF(IF($B57=""," · Falta fecha","")&amp;IF($D57=""," · Falta cliente","")&amp;IF($E57=""," · Falta canal","")&amp;IF($F57=""," · Falta SKU","")&amp;IF(AND($F57&lt;&gt;"",COUNTIF(tblProductos[SKU],$F57)=0)," · SKU no existe","")&amp;IF(OR($I57="",NOT(ISNUMBER($I57)),$I57&lt;=0)," · Cantidad inválida","")&amp;IF($M57="PRECIO PENDIENTE"," · Falta precio de venta","")&amp;IF($P57="COSTO PENDIENTE"," · Falta costo del producto","")&amp;IF(AND(ISNUMBER($Q57),$Q57&lt;0)," · UTILIDAD NEGATIVA","")&amp;IF(AND($F57&lt;&gt;"",ISNUMBER(INDEX(tblInventario[Stock actual],MATCH($F57,tblInventario[SKU],0))),INDEX(tblInventario[Stock actual],MATCH($F57,tblInventario[SKU],0))&lt;0)," · Stock negativo del SKU","")&amp;IF(AND($T57="Cobrado",$U57="")," · Cobro sin fecha","")&amp;IF(AND(ISNUMBER($V57),ISNUMBER($N57),$V57&gt;N($N57)+0.01)," · Cobrado &gt; venta neta","")&amp;IF(AND(ISNUMBER($V57),$V57&gt;0,$U57="")," · Monto cobrado sin fecha","")="","OK",MID(IF($B57=""," · Falta fecha","")&amp;IF($D57=""," · Falta cliente","")&amp;IF($E57=""," · Falta canal","")&amp;IF($F57=""," · Falta SKU","")&amp;IF(AND($F57&lt;&gt;"",COUNTIF(tblProductos[SKU],$F57)=0)," · SKU no existe","")&amp;IF(OR($I57="",NOT(ISNUMBER($I57)),$I57&lt;=0)," · Cantidad inválida","")&amp;IF($M57="PRECIO PENDIENTE"," · Falta precio de venta","")&amp;IF($P57="COSTO PENDIENTE"," · Falta costo del producto","")&amp;IF(AND(ISNUMBER($Q57),$Q57&lt;0)," · UTILIDAD NEGATIVA","")&amp;IF(AND($F57&lt;&gt;"",ISNUMBER(INDEX(tblInventario[Stock actual],MATCH($F57,tblInventario[SKU],0))),INDEX(tblInventario[Stock actual],MATCH($F57,tblInventario[SKU],0))&lt;0)," · Stock negativo del SKU","")&amp;IF(AND($T57="Cobrado",$U57="")," · Cobro sin fecha","")&amp;IF(AND(ISNUMBER($V57),ISNUMBER($N57),$V57&gt;N($N57)+0.01)," · Cobrado &gt; venta neta","")&amp;IF(AND(ISNUMBER($V57),$V57&gt;0,$U57="")," · Monto cobrado sin fecha",""),4,900)))</f>
        <v/>
      </c>
    </row>
    <row r="58">
      <c r="A58" s="51">
        <f>IF(COUNTA($B58,$C58,$D58,$E58,$F58,$I58)=0,"","V-"&amp;TEXT(ROW()-6,"0000"))</f>
        <v/>
      </c>
      <c r="B58" s="41" t="n"/>
      <c r="C58" s="33" t="n"/>
      <c r="D58" s="33" t="n"/>
      <c r="E58" s="33" t="n"/>
      <c r="F58" s="33" t="n"/>
      <c r="G58" s="51">
        <f>IF($F58="","",IFERROR(IF(INDEX(tblProductos[Nombre del producto],MATCH($F58,tblProductos[SKU],0))="","",INDEX(tblProductos[Nombre del producto],MATCH($F58,tblProductos[SKU],0))),""))</f>
        <v/>
      </c>
      <c r="H58" s="51">
        <f>IF($F58="","",IFERROR(IF(INDEX(tblProductos[Categoría],MATCH($F58,tblProductos[SKU],0))="","",INDEX(tblProductos[Categoría],MATCH($F58,tblProductos[SKU],0))),""))</f>
        <v/>
      </c>
      <c r="I58" s="34" t="n"/>
      <c r="J58" s="39">
        <f>IF(OR($B58="",$F58="",$I58=""),"",IF($T58="Anulado",0,$I58))</f>
        <v/>
      </c>
      <c r="K58" s="54">
        <f>IF($F58="","",IFERROR(IF(INDEX(tblProductos[Precio de venta actual],MATCH($F58,tblProductos[SKU],0))="","",INDEX(tblProductos[Precio de venta actual],MATCH($F58,tblProductos[SKU],0))),""))</f>
        <v/>
      </c>
      <c r="L58" s="36" t="n"/>
      <c r="M58" s="37">
        <f>IF($J58="","",IF(NOT(ISNUMBER($K58)),"PRECIO PENDIENTE",$J58*$K58))</f>
        <v/>
      </c>
      <c r="N58" s="37">
        <f>IF($J58="","",IF(NOT(ISNUMBER($M58)),"PRECIO PENDIENTE",$M58-IF(ISNUMBER($L58),$L58,0)))</f>
        <v/>
      </c>
      <c r="O58" s="54">
        <f>IF($F58="","",IFERROR(INDEX(tblInventario[Costo unitario aplicado],MATCH($F58,tblInventario[SKU],0)),""))</f>
        <v/>
      </c>
      <c r="P58" s="37">
        <f>IF($J58="","",IF(NOT(ISNUMBER($O58)),"COSTO PENDIENTE",$J58*$O58))</f>
        <v/>
      </c>
      <c r="Q58" s="37">
        <f>IF($J58="","",IF(OR(NOT(ISNUMBER($N58)),NOT(ISNUMBER($P58))),"PENDIENTE",$N58-$P58))</f>
        <v/>
      </c>
      <c r="R58" s="38">
        <f>IF($J58="","",IF(OR(NOT(ISNUMBER($Q58)),NOT(ISNUMBER($N58)),$N58&lt;=0),"PENDIENTE",$Q58/$N58))</f>
        <v/>
      </c>
      <c r="S58" s="33" t="n"/>
      <c r="T58" s="33" t="n"/>
      <c r="U58" s="41" t="n"/>
      <c r="V58" s="36" t="n"/>
      <c r="W58" s="37">
        <f>IF(NOT(ISNUMBER($N58)),"",$N58-IF(ISNUMBER($V58),$V58,0))</f>
        <v/>
      </c>
      <c r="X58" s="33" t="n"/>
      <c r="Y58" s="51">
        <f>IF(COUNTA($B58,$C58,$D58,$E58,$F58,$I58)=0,"",IF(IF($B58=""," · Falta fecha","")&amp;IF($D58=""," · Falta cliente","")&amp;IF($E58=""," · Falta canal","")&amp;IF($F58=""," · Falta SKU","")&amp;IF(AND($F58&lt;&gt;"",COUNTIF(tblProductos[SKU],$F58)=0)," · SKU no existe","")&amp;IF(OR($I58="",NOT(ISNUMBER($I58)),$I58&lt;=0)," · Cantidad inválida","")&amp;IF($M58="PRECIO PENDIENTE"," · Falta precio de venta","")&amp;IF($P58="COSTO PENDIENTE"," · Falta costo del producto","")&amp;IF(AND(ISNUMBER($Q58),$Q58&lt;0)," · UTILIDAD NEGATIVA","")&amp;IF(AND($F58&lt;&gt;"",ISNUMBER(INDEX(tblInventario[Stock actual],MATCH($F58,tblInventario[SKU],0))),INDEX(tblInventario[Stock actual],MATCH($F58,tblInventario[SKU],0))&lt;0)," · Stock negativo del SKU","")&amp;IF(AND($T58="Cobrado",$U58="")," · Cobro sin fecha","")&amp;IF(AND(ISNUMBER($V58),ISNUMBER($N58),$V58&gt;N($N58)+0.01)," · Cobrado &gt; venta neta","")&amp;IF(AND(ISNUMBER($V58),$V58&gt;0,$U58="")," · Monto cobrado sin fecha","")="","OK",MID(IF($B58=""," · Falta fecha","")&amp;IF($D58=""," · Falta cliente","")&amp;IF($E58=""," · Falta canal","")&amp;IF($F58=""," · Falta SKU","")&amp;IF(AND($F58&lt;&gt;"",COUNTIF(tblProductos[SKU],$F58)=0)," · SKU no existe","")&amp;IF(OR($I58="",NOT(ISNUMBER($I58)),$I58&lt;=0)," · Cantidad inválida","")&amp;IF($M58="PRECIO PENDIENTE"," · Falta precio de venta","")&amp;IF($P58="COSTO PENDIENTE"," · Falta costo del producto","")&amp;IF(AND(ISNUMBER($Q58),$Q58&lt;0)," · UTILIDAD NEGATIVA","")&amp;IF(AND($F58&lt;&gt;"",ISNUMBER(INDEX(tblInventario[Stock actual],MATCH($F58,tblInventario[SKU],0))),INDEX(tblInventario[Stock actual],MATCH($F58,tblInventario[SKU],0))&lt;0)," · Stock negativo del SKU","")&amp;IF(AND($T58="Cobrado",$U58="")," · Cobro sin fecha","")&amp;IF(AND(ISNUMBER($V58),ISNUMBER($N58),$V58&gt;N($N58)+0.01)," · Cobrado &gt; venta neta","")&amp;IF(AND(ISNUMBER($V58),$V58&gt;0,$U58="")," · Monto cobrado sin fecha",""),4,900)))</f>
        <v/>
      </c>
    </row>
    <row r="59">
      <c r="A59" s="51">
        <f>IF(COUNTA($B59,$C59,$D59,$E59,$F59,$I59)=0,"","V-"&amp;TEXT(ROW()-6,"0000"))</f>
        <v/>
      </c>
      <c r="B59" s="41" t="n"/>
      <c r="C59" s="33" t="n"/>
      <c r="D59" s="33" t="n"/>
      <c r="E59" s="33" t="n"/>
      <c r="F59" s="33" t="n"/>
      <c r="G59" s="51">
        <f>IF($F59="","",IFERROR(IF(INDEX(tblProductos[Nombre del producto],MATCH($F59,tblProductos[SKU],0))="","",INDEX(tblProductos[Nombre del producto],MATCH($F59,tblProductos[SKU],0))),""))</f>
        <v/>
      </c>
      <c r="H59" s="51">
        <f>IF($F59="","",IFERROR(IF(INDEX(tblProductos[Categoría],MATCH($F59,tblProductos[SKU],0))="","",INDEX(tblProductos[Categoría],MATCH($F59,tblProductos[SKU],0))),""))</f>
        <v/>
      </c>
      <c r="I59" s="34" t="n"/>
      <c r="J59" s="39">
        <f>IF(OR($B59="",$F59="",$I59=""),"",IF($T59="Anulado",0,$I59))</f>
        <v/>
      </c>
      <c r="K59" s="54">
        <f>IF($F59="","",IFERROR(IF(INDEX(tblProductos[Precio de venta actual],MATCH($F59,tblProductos[SKU],0))="","",INDEX(tblProductos[Precio de venta actual],MATCH($F59,tblProductos[SKU],0))),""))</f>
        <v/>
      </c>
      <c r="L59" s="36" t="n"/>
      <c r="M59" s="37">
        <f>IF($J59="","",IF(NOT(ISNUMBER($K59)),"PRECIO PENDIENTE",$J59*$K59))</f>
        <v/>
      </c>
      <c r="N59" s="37">
        <f>IF($J59="","",IF(NOT(ISNUMBER($M59)),"PRECIO PENDIENTE",$M59-IF(ISNUMBER($L59),$L59,0)))</f>
        <v/>
      </c>
      <c r="O59" s="54">
        <f>IF($F59="","",IFERROR(INDEX(tblInventario[Costo unitario aplicado],MATCH($F59,tblInventario[SKU],0)),""))</f>
        <v/>
      </c>
      <c r="P59" s="37">
        <f>IF($J59="","",IF(NOT(ISNUMBER($O59)),"COSTO PENDIENTE",$J59*$O59))</f>
        <v/>
      </c>
      <c r="Q59" s="37">
        <f>IF($J59="","",IF(OR(NOT(ISNUMBER($N59)),NOT(ISNUMBER($P59))),"PENDIENTE",$N59-$P59))</f>
        <v/>
      </c>
      <c r="R59" s="38">
        <f>IF($J59="","",IF(OR(NOT(ISNUMBER($Q59)),NOT(ISNUMBER($N59)),$N59&lt;=0),"PENDIENTE",$Q59/$N59))</f>
        <v/>
      </c>
      <c r="S59" s="33" t="n"/>
      <c r="T59" s="33" t="n"/>
      <c r="U59" s="41" t="n"/>
      <c r="V59" s="36" t="n"/>
      <c r="W59" s="37">
        <f>IF(NOT(ISNUMBER($N59)),"",$N59-IF(ISNUMBER($V59),$V59,0))</f>
        <v/>
      </c>
      <c r="X59" s="33" t="n"/>
      <c r="Y59" s="51">
        <f>IF(COUNTA($B59,$C59,$D59,$E59,$F59,$I59)=0,"",IF(IF($B59=""," · Falta fecha","")&amp;IF($D59=""," · Falta cliente","")&amp;IF($E59=""," · Falta canal","")&amp;IF($F59=""," · Falta SKU","")&amp;IF(AND($F59&lt;&gt;"",COUNTIF(tblProductos[SKU],$F59)=0)," · SKU no existe","")&amp;IF(OR($I59="",NOT(ISNUMBER($I59)),$I59&lt;=0)," · Cantidad inválida","")&amp;IF($M59="PRECIO PENDIENTE"," · Falta precio de venta","")&amp;IF($P59="COSTO PENDIENTE"," · Falta costo del producto","")&amp;IF(AND(ISNUMBER($Q59),$Q59&lt;0)," · UTILIDAD NEGATIVA","")&amp;IF(AND($F59&lt;&gt;"",ISNUMBER(INDEX(tblInventario[Stock actual],MATCH($F59,tblInventario[SKU],0))),INDEX(tblInventario[Stock actual],MATCH($F59,tblInventario[SKU],0))&lt;0)," · Stock negativo del SKU","")&amp;IF(AND($T59="Cobrado",$U59="")," · Cobro sin fecha","")&amp;IF(AND(ISNUMBER($V59),ISNUMBER($N59),$V59&gt;N($N59)+0.01)," · Cobrado &gt; venta neta","")&amp;IF(AND(ISNUMBER($V59),$V59&gt;0,$U59="")," · Monto cobrado sin fecha","")="","OK",MID(IF($B59=""," · Falta fecha","")&amp;IF($D59=""," · Falta cliente","")&amp;IF($E59=""," · Falta canal","")&amp;IF($F59=""," · Falta SKU","")&amp;IF(AND($F59&lt;&gt;"",COUNTIF(tblProductos[SKU],$F59)=0)," · SKU no existe","")&amp;IF(OR($I59="",NOT(ISNUMBER($I59)),$I59&lt;=0)," · Cantidad inválida","")&amp;IF($M59="PRECIO PENDIENTE"," · Falta precio de venta","")&amp;IF($P59="COSTO PENDIENTE"," · Falta costo del producto","")&amp;IF(AND(ISNUMBER($Q59),$Q59&lt;0)," · UTILIDAD NEGATIVA","")&amp;IF(AND($F59&lt;&gt;"",ISNUMBER(INDEX(tblInventario[Stock actual],MATCH($F59,tblInventario[SKU],0))),INDEX(tblInventario[Stock actual],MATCH($F59,tblInventario[SKU],0))&lt;0)," · Stock negativo del SKU","")&amp;IF(AND($T59="Cobrado",$U59="")," · Cobro sin fecha","")&amp;IF(AND(ISNUMBER($V59),ISNUMBER($N59),$V59&gt;N($N59)+0.01)," · Cobrado &gt; venta neta","")&amp;IF(AND(ISNUMBER($V59),$V59&gt;0,$U59="")," · Monto cobrado sin fecha",""),4,900)))</f>
        <v/>
      </c>
    </row>
    <row r="60">
      <c r="A60" s="51">
        <f>IF(COUNTA($B60,$C60,$D60,$E60,$F60,$I60)=0,"","V-"&amp;TEXT(ROW()-6,"0000"))</f>
        <v/>
      </c>
      <c r="B60" s="41" t="n"/>
      <c r="C60" s="33" t="n"/>
      <c r="D60" s="33" t="n"/>
      <c r="E60" s="33" t="n"/>
      <c r="F60" s="33" t="n"/>
      <c r="G60" s="51">
        <f>IF($F60="","",IFERROR(IF(INDEX(tblProductos[Nombre del producto],MATCH($F60,tblProductos[SKU],0))="","",INDEX(tblProductos[Nombre del producto],MATCH($F60,tblProductos[SKU],0))),""))</f>
        <v/>
      </c>
      <c r="H60" s="51">
        <f>IF($F60="","",IFERROR(IF(INDEX(tblProductos[Categoría],MATCH($F60,tblProductos[SKU],0))="","",INDEX(tblProductos[Categoría],MATCH($F60,tblProductos[SKU],0))),""))</f>
        <v/>
      </c>
      <c r="I60" s="34" t="n"/>
      <c r="J60" s="39">
        <f>IF(OR($B60="",$F60="",$I60=""),"",IF($T60="Anulado",0,$I60))</f>
        <v/>
      </c>
      <c r="K60" s="54">
        <f>IF($F60="","",IFERROR(IF(INDEX(tblProductos[Precio de venta actual],MATCH($F60,tblProductos[SKU],0))="","",INDEX(tblProductos[Precio de venta actual],MATCH($F60,tblProductos[SKU],0))),""))</f>
        <v/>
      </c>
      <c r="L60" s="36" t="n"/>
      <c r="M60" s="37">
        <f>IF($J60="","",IF(NOT(ISNUMBER($K60)),"PRECIO PENDIENTE",$J60*$K60))</f>
        <v/>
      </c>
      <c r="N60" s="37">
        <f>IF($J60="","",IF(NOT(ISNUMBER($M60)),"PRECIO PENDIENTE",$M60-IF(ISNUMBER($L60),$L60,0)))</f>
        <v/>
      </c>
      <c r="O60" s="54">
        <f>IF($F60="","",IFERROR(INDEX(tblInventario[Costo unitario aplicado],MATCH($F60,tblInventario[SKU],0)),""))</f>
        <v/>
      </c>
      <c r="P60" s="37">
        <f>IF($J60="","",IF(NOT(ISNUMBER($O60)),"COSTO PENDIENTE",$J60*$O60))</f>
        <v/>
      </c>
      <c r="Q60" s="37">
        <f>IF($J60="","",IF(OR(NOT(ISNUMBER($N60)),NOT(ISNUMBER($P60))),"PENDIENTE",$N60-$P60))</f>
        <v/>
      </c>
      <c r="R60" s="38">
        <f>IF($J60="","",IF(OR(NOT(ISNUMBER($Q60)),NOT(ISNUMBER($N60)),$N60&lt;=0),"PENDIENTE",$Q60/$N60))</f>
        <v/>
      </c>
      <c r="S60" s="33" t="n"/>
      <c r="T60" s="33" t="n"/>
      <c r="U60" s="41" t="n"/>
      <c r="V60" s="36" t="n"/>
      <c r="W60" s="37">
        <f>IF(NOT(ISNUMBER($N60)),"",$N60-IF(ISNUMBER($V60),$V60,0))</f>
        <v/>
      </c>
      <c r="X60" s="33" t="n"/>
      <c r="Y60" s="51">
        <f>IF(COUNTA($B60,$C60,$D60,$E60,$F60,$I60)=0,"",IF(IF($B60=""," · Falta fecha","")&amp;IF($D60=""," · Falta cliente","")&amp;IF($E60=""," · Falta canal","")&amp;IF($F60=""," · Falta SKU","")&amp;IF(AND($F60&lt;&gt;"",COUNTIF(tblProductos[SKU],$F60)=0)," · SKU no existe","")&amp;IF(OR($I60="",NOT(ISNUMBER($I60)),$I60&lt;=0)," · Cantidad inválida","")&amp;IF($M60="PRECIO PENDIENTE"," · Falta precio de venta","")&amp;IF($P60="COSTO PENDIENTE"," · Falta costo del producto","")&amp;IF(AND(ISNUMBER($Q60),$Q60&lt;0)," · UTILIDAD NEGATIVA","")&amp;IF(AND($F60&lt;&gt;"",ISNUMBER(INDEX(tblInventario[Stock actual],MATCH($F60,tblInventario[SKU],0))),INDEX(tblInventario[Stock actual],MATCH($F60,tblInventario[SKU],0))&lt;0)," · Stock negativo del SKU","")&amp;IF(AND($T60="Cobrado",$U60="")," · Cobro sin fecha","")&amp;IF(AND(ISNUMBER($V60),ISNUMBER($N60),$V60&gt;N($N60)+0.01)," · Cobrado &gt; venta neta","")&amp;IF(AND(ISNUMBER($V60),$V60&gt;0,$U60="")," · Monto cobrado sin fecha","")="","OK",MID(IF($B60=""," · Falta fecha","")&amp;IF($D60=""," · Falta cliente","")&amp;IF($E60=""," · Falta canal","")&amp;IF($F60=""," · Falta SKU","")&amp;IF(AND($F60&lt;&gt;"",COUNTIF(tblProductos[SKU],$F60)=0)," · SKU no existe","")&amp;IF(OR($I60="",NOT(ISNUMBER($I60)),$I60&lt;=0)," · Cantidad inválida","")&amp;IF($M60="PRECIO PENDIENTE"," · Falta precio de venta","")&amp;IF($P60="COSTO PENDIENTE"," · Falta costo del producto","")&amp;IF(AND(ISNUMBER($Q60),$Q60&lt;0)," · UTILIDAD NEGATIVA","")&amp;IF(AND($F60&lt;&gt;"",ISNUMBER(INDEX(tblInventario[Stock actual],MATCH($F60,tblInventario[SKU],0))),INDEX(tblInventario[Stock actual],MATCH($F60,tblInventario[SKU],0))&lt;0)," · Stock negativo del SKU","")&amp;IF(AND($T60="Cobrado",$U60="")," · Cobro sin fecha","")&amp;IF(AND(ISNUMBER($V60),ISNUMBER($N60),$V60&gt;N($N60)+0.01)," · Cobrado &gt; venta neta","")&amp;IF(AND(ISNUMBER($V60),$V60&gt;0,$U60="")," · Monto cobrado sin fecha",""),4,900)))</f>
        <v/>
      </c>
    </row>
    <row r="61">
      <c r="A61" s="51">
        <f>IF(COUNTA($B61,$C61,$D61,$E61,$F61,$I61)=0,"","V-"&amp;TEXT(ROW()-6,"0000"))</f>
        <v/>
      </c>
      <c r="B61" s="41" t="n"/>
      <c r="C61" s="33" t="n"/>
      <c r="D61" s="33" t="n"/>
      <c r="E61" s="33" t="n"/>
      <c r="F61" s="33" t="n"/>
      <c r="G61" s="51">
        <f>IF($F61="","",IFERROR(IF(INDEX(tblProductos[Nombre del producto],MATCH($F61,tblProductos[SKU],0))="","",INDEX(tblProductos[Nombre del producto],MATCH($F61,tblProductos[SKU],0))),""))</f>
        <v/>
      </c>
      <c r="H61" s="51">
        <f>IF($F61="","",IFERROR(IF(INDEX(tblProductos[Categoría],MATCH($F61,tblProductos[SKU],0))="","",INDEX(tblProductos[Categoría],MATCH($F61,tblProductos[SKU],0))),""))</f>
        <v/>
      </c>
      <c r="I61" s="34" t="n"/>
      <c r="J61" s="39">
        <f>IF(OR($B61="",$F61="",$I61=""),"",IF($T61="Anulado",0,$I61))</f>
        <v/>
      </c>
      <c r="K61" s="54">
        <f>IF($F61="","",IFERROR(IF(INDEX(tblProductos[Precio de venta actual],MATCH($F61,tblProductos[SKU],0))="","",INDEX(tblProductos[Precio de venta actual],MATCH($F61,tblProductos[SKU],0))),""))</f>
        <v/>
      </c>
      <c r="L61" s="36" t="n"/>
      <c r="M61" s="37">
        <f>IF($J61="","",IF(NOT(ISNUMBER($K61)),"PRECIO PENDIENTE",$J61*$K61))</f>
        <v/>
      </c>
      <c r="N61" s="37">
        <f>IF($J61="","",IF(NOT(ISNUMBER($M61)),"PRECIO PENDIENTE",$M61-IF(ISNUMBER($L61),$L61,0)))</f>
        <v/>
      </c>
      <c r="O61" s="54">
        <f>IF($F61="","",IFERROR(INDEX(tblInventario[Costo unitario aplicado],MATCH($F61,tblInventario[SKU],0)),""))</f>
        <v/>
      </c>
      <c r="P61" s="37">
        <f>IF($J61="","",IF(NOT(ISNUMBER($O61)),"COSTO PENDIENTE",$J61*$O61))</f>
        <v/>
      </c>
      <c r="Q61" s="37">
        <f>IF($J61="","",IF(OR(NOT(ISNUMBER($N61)),NOT(ISNUMBER($P61))),"PENDIENTE",$N61-$P61))</f>
        <v/>
      </c>
      <c r="R61" s="38">
        <f>IF($J61="","",IF(OR(NOT(ISNUMBER($Q61)),NOT(ISNUMBER($N61)),$N61&lt;=0),"PENDIENTE",$Q61/$N61))</f>
        <v/>
      </c>
      <c r="S61" s="33" t="n"/>
      <c r="T61" s="33" t="n"/>
      <c r="U61" s="41" t="n"/>
      <c r="V61" s="36" t="n"/>
      <c r="W61" s="37">
        <f>IF(NOT(ISNUMBER($N61)),"",$N61-IF(ISNUMBER($V61),$V61,0))</f>
        <v/>
      </c>
      <c r="X61" s="33" t="n"/>
      <c r="Y61" s="51">
        <f>IF(COUNTA($B61,$C61,$D61,$E61,$F61,$I61)=0,"",IF(IF($B61=""," · Falta fecha","")&amp;IF($D61=""," · Falta cliente","")&amp;IF($E61=""," · Falta canal","")&amp;IF($F61=""," · Falta SKU","")&amp;IF(AND($F61&lt;&gt;"",COUNTIF(tblProductos[SKU],$F61)=0)," · SKU no existe","")&amp;IF(OR($I61="",NOT(ISNUMBER($I61)),$I61&lt;=0)," · Cantidad inválida","")&amp;IF($M61="PRECIO PENDIENTE"," · Falta precio de venta","")&amp;IF($P61="COSTO PENDIENTE"," · Falta costo del producto","")&amp;IF(AND(ISNUMBER($Q61),$Q61&lt;0)," · UTILIDAD NEGATIVA","")&amp;IF(AND($F61&lt;&gt;"",ISNUMBER(INDEX(tblInventario[Stock actual],MATCH($F61,tblInventario[SKU],0))),INDEX(tblInventario[Stock actual],MATCH($F61,tblInventario[SKU],0))&lt;0)," · Stock negativo del SKU","")&amp;IF(AND($T61="Cobrado",$U61="")," · Cobro sin fecha","")&amp;IF(AND(ISNUMBER($V61),ISNUMBER($N61),$V61&gt;N($N61)+0.01)," · Cobrado &gt; venta neta","")&amp;IF(AND(ISNUMBER($V61),$V61&gt;0,$U61="")," · Monto cobrado sin fecha","")="","OK",MID(IF($B61=""," · Falta fecha","")&amp;IF($D61=""," · Falta cliente","")&amp;IF($E61=""," · Falta canal","")&amp;IF($F61=""," · Falta SKU","")&amp;IF(AND($F61&lt;&gt;"",COUNTIF(tblProductos[SKU],$F61)=0)," · SKU no existe","")&amp;IF(OR($I61="",NOT(ISNUMBER($I61)),$I61&lt;=0)," · Cantidad inválida","")&amp;IF($M61="PRECIO PENDIENTE"," · Falta precio de venta","")&amp;IF($P61="COSTO PENDIENTE"," · Falta costo del producto","")&amp;IF(AND(ISNUMBER($Q61),$Q61&lt;0)," · UTILIDAD NEGATIVA","")&amp;IF(AND($F61&lt;&gt;"",ISNUMBER(INDEX(tblInventario[Stock actual],MATCH($F61,tblInventario[SKU],0))),INDEX(tblInventario[Stock actual],MATCH($F61,tblInventario[SKU],0))&lt;0)," · Stock negativo del SKU","")&amp;IF(AND($T61="Cobrado",$U61="")," · Cobro sin fecha","")&amp;IF(AND(ISNUMBER($V61),ISNUMBER($N61),$V61&gt;N($N61)+0.01)," · Cobrado &gt; venta neta","")&amp;IF(AND(ISNUMBER($V61),$V61&gt;0,$U61="")," · Monto cobrado sin fecha",""),4,900)))</f>
        <v/>
      </c>
    </row>
    <row r="62">
      <c r="A62" s="51">
        <f>IF(COUNTA($B62,$C62,$D62,$E62,$F62,$I62)=0,"","V-"&amp;TEXT(ROW()-6,"0000"))</f>
        <v/>
      </c>
      <c r="B62" s="41" t="n"/>
      <c r="C62" s="33" t="n"/>
      <c r="D62" s="33" t="n"/>
      <c r="E62" s="33" t="n"/>
      <c r="F62" s="33" t="n"/>
      <c r="G62" s="51">
        <f>IF($F62="","",IFERROR(IF(INDEX(tblProductos[Nombre del producto],MATCH($F62,tblProductos[SKU],0))="","",INDEX(tblProductos[Nombre del producto],MATCH($F62,tblProductos[SKU],0))),""))</f>
        <v/>
      </c>
      <c r="H62" s="51">
        <f>IF($F62="","",IFERROR(IF(INDEX(tblProductos[Categoría],MATCH($F62,tblProductos[SKU],0))="","",INDEX(tblProductos[Categoría],MATCH($F62,tblProductos[SKU],0))),""))</f>
        <v/>
      </c>
      <c r="I62" s="34" t="n"/>
      <c r="J62" s="39">
        <f>IF(OR($B62="",$F62="",$I62=""),"",IF($T62="Anulado",0,$I62))</f>
        <v/>
      </c>
      <c r="K62" s="54">
        <f>IF($F62="","",IFERROR(IF(INDEX(tblProductos[Precio de venta actual],MATCH($F62,tblProductos[SKU],0))="","",INDEX(tblProductos[Precio de venta actual],MATCH($F62,tblProductos[SKU],0))),""))</f>
        <v/>
      </c>
      <c r="L62" s="36" t="n"/>
      <c r="M62" s="37">
        <f>IF($J62="","",IF(NOT(ISNUMBER($K62)),"PRECIO PENDIENTE",$J62*$K62))</f>
        <v/>
      </c>
      <c r="N62" s="37">
        <f>IF($J62="","",IF(NOT(ISNUMBER($M62)),"PRECIO PENDIENTE",$M62-IF(ISNUMBER($L62),$L62,0)))</f>
        <v/>
      </c>
      <c r="O62" s="54">
        <f>IF($F62="","",IFERROR(INDEX(tblInventario[Costo unitario aplicado],MATCH($F62,tblInventario[SKU],0)),""))</f>
        <v/>
      </c>
      <c r="P62" s="37">
        <f>IF($J62="","",IF(NOT(ISNUMBER($O62)),"COSTO PENDIENTE",$J62*$O62))</f>
        <v/>
      </c>
      <c r="Q62" s="37">
        <f>IF($J62="","",IF(OR(NOT(ISNUMBER($N62)),NOT(ISNUMBER($P62))),"PENDIENTE",$N62-$P62))</f>
        <v/>
      </c>
      <c r="R62" s="38">
        <f>IF($J62="","",IF(OR(NOT(ISNUMBER($Q62)),NOT(ISNUMBER($N62)),$N62&lt;=0),"PENDIENTE",$Q62/$N62))</f>
        <v/>
      </c>
      <c r="S62" s="33" t="n"/>
      <c r="T62" s="33" t="n"/>
      <c r="U62" s="41" t="n"/>
      <c r="V62" s="36" t="n"/>
      <c r="W62" s="37">
        <f>IF(NOT(ISNUMBER($N62)),"",$N62-IF(ISNUMBER($V62),$V62,0))</f>
        <v/>
      </c>
      <c r="X62" s="33" t="n"/>
      <c r="Y62" s="51">
        <f>IF(COUNTA($B62,$C62,$D62,$E62,$F62,$I62)=0,"",IF(IF($B62=""," · Falta fecha","")&amp;IF($D62=""," · Falta cliente","")&amp;IF($E62=""," · Falta canal","")&amp;IF($F62=""," · Falta SKU","")&amp;IF(AND($F62&lt;&gt;"",COUNTIF(tblProductos[SKU],$F62)=0)," · SKU no existe","")&amp;IF(OR($I62="",NOT(ISNUMBER($I62)),$I62&lt;=0)," · Cantidad inválida","")&amp;IF($M62="PRECIO PENDIENTE"," · Falta precio de venta","")&amp;IF($P62="COSTO PENDIENTE"," · Falta costo del producto","")&amp;IF(AND(ISNUMBER($Q62),$Q62&lt;0)," · UTILIDAD NEGATIVA","")&amp;IF(AND($F62&lt;&gt;"",ISNUMBER(INDEX(tblInventario[Stock actual],MATCH($F62,tblInventario[SKU],0))),INDEX(tblInventario[Stock actual],MATCH($F62,tblInventario[SKU],0))&lt;0)," · Stock negativo del SKU","")&amp;IF(AND($T62="Cobrado",$U62="")," · Cobro sin fecha","")&amp;IF(AND(ISNUMBER($V62),ISNUMBER($N62),$V62&gt;N($N62)+0.01)," · Cobrado &gt; venta neta","")&amp;IF(AND(ISNUMBER($V62),$V62&gt;0,$U62="")," · Monto cobrado sin fecha","")="","OK",MID(IF($B62=""," · Falta fecha","")&amp;IF($D62=""," · Falta cliente","")&amp;IF($E62=""," · Falta canal","")&amp;IF($F62=""," · Falta SKU","")&amp;IF(AND($F62&lt;&gt;"",COUNTIF(tblProductos[SKU],$F62)=0)," · SKU no existe","")&amp;IF(OR($I62="",NOT(ISNUMBER($I62)),$I62&lt;=0)," · Cantidad inválida","")&amp;IF($M62="PRECIO PENDIENTE"," · Falta precio de venta","")&amp;IF($P62="COSTO PENDIENTE"," · Falta costo del producto","")&amp;IF(AND(ISNUMBER($Q62),$Q62&lt;0)," · UTILIDAD NEGATIVA","")&amp;IF(AND($F62&lt;&gt;"",ISNUMBER(INDEX(tblInventario[Stock actual],MATCH($F62,tblInventario[SKU],0))),INDEX(tblInventario[Stock actual],MATCH($F62,tblInventario[SKU],0))&lt;0)," · Stock negativo del SKU","")&amp;IF(AND($T62="Cobrado",$U62="")," · Cobro sin fecha","")&amp;IF(AND(ISNUMBER($V62),ISNUMBER($N62),$V62&gt;N($N62)+0.01)," · Cobrado &gt; venta neta","")&amp;IF(AND(ISNUMBER($V62),$V62&gt;0,$U62="")," · Monto cobrado sin fecha",""),4,900)))</f>
        <v/>
      </c>
    </row>
    <row r="63">
      <c r="A63" s="51">
        <f>IF(COUNTA($B63,$C63,$D63,$E63,$F63,$I63)=0,"","V-"&amp;TEXT(ROW()-6,"0000"))</f>
        <v/>
      </c>
      <c r="B63" s="41" t="n"/>
      <c r="C63" s="33" t="n"/>
      <c r="D63" s="33" t="n"/>
      <c r="E63" s="33" t="n"/>
      <c r="F63" s="33" t="n"/>
      <c r="G63" s="51">
        <f>IF($F63="","",IFERROR(IF(INDEX(tblProductos[Nombre del producto],MATCH($F63,tblProductos[SKU],0))="","",INDEX(tblProductos[Nombre del producto],MATCH($F63,tblProductos[SKU],0))),""))</f>
        <v/>
      </c>
      <c r="H63" s="51">
        <f>IF($F63="","",IFERROR(IF(INDEX(tblProductos[Categoría],MATCH($F63,tblProductos[SKU],0))="","",INDEX(tblProductos[Categoría],MATCH($F63,tblProductos[SKU],0))),""))</f>
        <v/>
      </c>
      <c r="I63" s="34" t="n"/>
      <c r="J63" s="39">
        <f>IF(OR($B63="",$F63="",$I63=""),"",IF($T63="Anulado",0,$I63))</f>
        <v/>
      </c>
      <c r="K63" s="54">
        <f>IF($F63="","",IFERROR(IF(INDEX(tblProductos[Precio de venta actual],MATCH($F63,tblProductos[SKU],0))="","",INDEX(tblProductos[Precio de venta actual],MATCH($F63,tblProductos[SKU],0))),""))</f>
        <v/>
      </c>
      <c r="L63" s="36" t="n"/>
      <c r="M63" s="37">
        <f>IF($J63="","",IF(NOT(ISNUMBER($K63)),"PRECIO PENDIENTE",$J63*$K63))</f>
        <v/>
      </c>
      <c r="N63" s="37">
        <f>IF($J63="","",IF(NOT(ISNUMBER($M63)),"PRECIO PENDIENTE",$M63-IF(ISNUMBER($L63),$L63,0)))</f>
        <v/>
      </c>
      <c r="O63" s="54">
        <f>IF($F63="","",IFERROR(INDEX(tblInventario[Costo unitario aplicado],MATCH($F63,tblInventario[SKU],0)),""))</f>
        <v/>
      </c>
      <c r="P63" s="37">
        <f>IF($J63="","",IF(NOT(ISNUMBER($O63)),"COSTO PENDIENTE",$J63*$O63))</f>
        <v/>
      </c>
      <c r="Q63" s="37">
        <f>IF($J63="","",IF(OR(NOT(ISNUMBER($N63)),NOT(ISNUMBER($P63))),"PENDIENTE",$N63-$P63))</f>
        <v/>
      </c>
      <c r="R63" s="38">
        <f>IF($J63="","",IF(OR(NOT(ISNUMBER($Q63)),NOT(ISNUMBER($N63)),$N63&lt;=0),"PENDIENTE",$Q63/$N63))</f>
        <v/>
      </c>
      <c r="S63" s="33" t="n"/>
      <c r="T63" s="33" t="n"/>
      <c r="U63" s="41" t="n"/>
      <c r="V63" s="36" t="n"/>
      <c r="W63" s="37">
        <f>IF(NOT(ISNUMBER($N63)),"",$N63-IF(ISNUMBER($V63),$V63,0))</f>
        <v/>
      </c>
      <c r="X63" s="33" t="n"/>
      <c r="Y63" s="51">
        <f>IF(COUNTA($B63,$C63,$D63,$E63,$F63,$I63)=0,"",IF(IF($B63=""," · Falta fecha","")&amp;IF($D63=""," · Falta cliente","")&amp;IF($E63=""," · Falta canal","")&amp;IF($F63=""," · Falta SKU","")&amp;IF(AND($F63&lt;&gt;"",COUNTIF(tblProductos[SKU],$F63)=0)," · SKU no existe","")&amp;IF(OR($I63="",NOT(ISNUMBER($I63)),$I63&lt;=0)," · Cantidad inválida","")&amp;IF($M63="PRECIO PENDIENTE"," · Falta precio de venta","")&amp;IF($P63="COSTO PENDIENTE"," · Falta costo del producto","")&amp;IF(AND(ISNUMBER($Q63),$Q63&lt;0)," · UTILIDAD NEGATIVA","")&amp;IF(AND($F63&lt;&gt;"",ISNUMBER(INDEX(tblInventario[Stock actual],MATCH($F63,tblInventario[SKU],0))),INDEX(tblInventario[Stock actual],MATCH($F63,tblInventario[SKU],0))&lt;0)," · Stock negativo del SKU","")&amp;IF(AND($T63="Cobrado",$U63="")," · Cobro sin fecha","")&amp;IF(AND(ISNUMBER($V63),ISNUMBER($N63),$V63&gt;N($N63)+0.01)," · Cobrado &gt; venta neta","")&amp;IF(AND(ISNUMBER($V63),$V63&gt;0,$U63="")," · Monto cobrado sin fecha","")="","OK",MID(IF($B63=""," · Falta fecha","")&amp;IF($D63=""," · Falta cliente","")&amp;IF($E63=""," · Falta canal","")&amp;IF($F63=""," · Falta SKU","")&amp;IF(AND($F63&lt;&gt;"",COUNTIF(tblProductos[SKU],$F63)=0)," · SKU no existe","")&amp;IF(OR($I63="",NOT(ISNUMBER($I63)),$I63&lt;=0)," · Cantidad inválida","")&amp;IF($M63="PRECIO PENDIENTE"," · Falta precio de venta","")&amp;IF($P63="COSTO PENDIENTE"," · Falta costo del producto","")&amp;IF(AND(ISNUMBER($Q63),$Q63&lt;0)," · UTILIDAD NEGATIVA","")&amp;IF(AND($F63&lt;&gt;"",ISNUMBER(INDEX(tblInventario[Stock actual],MATCH($F63,tblInventario[SKU],0))),INDEX(tblInventario[Stock actual],MATCH($F63,tblInventario[SKU],0))&lt;0)," · Stock negativo del SKU","")&amp;IF(AND($T63="Cobrado",$U63="")," · Cobro sin fecha","")&amp;IF(AND(ISNUMBER($V63),ISNUMBER($N63),$V63&gt;N($N63)+0.01)," · Cobrado &gt; venta neta","")&amp;IF(AND(ISNUMBER($V63),$V63&gt;0,$U63="")," · Monto cobrado sin fecha",""),4,900)))</f>
        <v/>
      </c>
    </row>
    <row r="64">
      <c r="A64" s="51">
        <f>IF(COUNTA($B64,$C64,$D64,$E64,$F64,$I64)=0,"","V-"&amp;TEXT(ROW()-6,"0000"))</f>
        <v/>
      </c>
      <c r="B64" s="41" t="n"/>
      <c r="C64" s="33" t="n"/>
      <c r="D64" s="33" t="n"/>
      <c r="E64" s="33" t="n"/>
      <c r="F64" s="33" t="n"/>
      <c r="G64" s="51">
        <f>IF($F64="","",IFERROR(IF(INDEX(tblProductos[Nombre del producto],MATCH($F64,tblProductos[SKU],0))="","",INDEX(tblProductos[Nombre del producto],MATCH($F64,tblProductos[SKU],0))),""))</f>
        <v/>
      </c>
      <c r="H64" s="51">
        <f>IF($F64="","",IFERROR(IF(INDEX(tblProductos[Categoría],MATCH($F64,tblProductos[SKU],0))="","",INDEX(tblProductos[Categoría],MATCH($F64,tblProductos[SKU],0))),""))</f>
        <v/>
      </c>
      <c r="I64" s="34" t="n"/>
      <c r="J64" s="39">
        <f>IF(OR($B64="",$F64="",$I64=""),"",IF($T64="Anulado",0,$I64))</f>
        <v/>
      </c>
      <c r="K64" s="54">
        <f>IF($F64="","",IFERROR(IF(INDEX(tblProductos[Precio de venta actual],MATCH($F64,tblProductos[SKU],0))="","",INDEX(tblProductos[Precio de venta actual],MATCH($F64,tblProductos[SKU],0))),""))</f>
        <v/>
      </c>
      <c r="L64" s="36" t="n"/>
      <c r="M64" s="37">
        <f>IF($J64="","",IF(NOT(ISNUMBER($K64)),"PRECIO PENDIENTE",$J64*$K64))</f>
        <v/>
      </c>
      <c r="N64" s="37">
        <f>IF($J64="","",IF(NOT(ISNUMBER($M64)),"PRECIO PENDIENTE",$M64-IF(ISNUMBER($L64),$L64,0)))</f>
        <v/>
      </c>
      <c r="O64" s="54">
        <f>IF($F64="","",IFERROR(INDEX(tblInventario[Costo unitario aplicado],MATCH($F64,tblInventario[SKU],0)),""))</f>
        <v/>
      </c>
      <c r="P64" s="37">
        <f>IF($J64="","",IF(NOT(ISNUMBER($O64)),"COSTO PENDIENTE",$J64*$O64))</f>
        <v/>
      </c>
      <c r="Q64" s="37">
        <f>IF($J64="","",IF(OR(NOT(ISNUMBER($N64)),NOT(ISNUMBER($P64))),"PENDIENTE",$N64-$P64))</f>
        <v/>
      </c>
      <c r="R64" s="38">
        <f>IF($J64="","",IF(OR(NOT(ISNUMBER($Q64)),NOT(ISNUMBER($N64)),$N64&lt;=0),"PENDIENTE",$Q64/$N64))</f>
        <v/>
      </c>
      <c r="S64" s="33" t="n"/>
      <c r="T64" s="33" t="n"/>
      <c r="U64" s="41" t="n"/>
      <c r="V64" s="36" t="n"/>
      <c r="W64" s="37">
        <f>IF(NOT(ISNUMBER($N64)),"",$N64-IF(ISNUMBER($V64),$V64,0))</f>
        <v/>
      </c>
      <c r="X64" s="33" t="n"/>
      <c r="Y64" s="51">
        <f>IF(COUNTA($B64,$C64,$D64,$E64,$F64,$I64)=0,"",IF(IF($B64=""," · Falta fecha","")&amp;IF($D64=""," · Falta cliente","")&amp;IF($E64=""," · Falta canal","")&amp;IF($F64=""," · Falta SKU","")&amp;IF(AND($F64&lt;&gt;"",COUNTIF(tblProductos[SKU],$F64)=0)," · SKU no existe","")&amp;IF(OR($I64="",NOT(ISNUMBER($I64)),$I64&lt;=0)," · Cantidad inválida","")&amp;IF($M64="PRECIO PENDIENTE"," · Falta precio de venta","")&amp;IF($P64="COSTO PENDIENTE"," · Falta costo del producto","")&amp;IF(AND(ISNUMBER($Q64),$Q64&lt;0)," · UTILIDAD NEGATIVA","")&amp;IF(AND($F64&lt;&gt;"",ISNUMBER(INDEX(tblInventario[Stock actual],MATCH($F64,tblInventario[SKU],0))),INDEX(tblInventario[Stock actual],MATCH($F64,tblInventario[SKU],0))&lt;0)," · Stock negativo del SKU","")&amp;IF(AND($T64="Cobrado",$U64="")," · Cobro sin fecha","")&amp;IF(AND(ISNUMBER($V64),ISNUMBER($N64),$V64&gt;N($N64)+0.01)," · Cobrado &gt; venta neta","")&amp;IF(AND(ISNUMBER($V64),$V64&gt;0,$U64="")," · Monto cobrado sin fecha","")="","OK",MID(IF($B64=""," · Falta fecha","")&amp;IF($D64=""," · Falta cliente","")&amp;IF($E64=""," · Falta canal","")&amp;IF($F64=""," · Falta SKU","")&amp;IF(AND($F64&lt;&gt;"",COUNTIF(tblProductos[SKU],$F64)=0)," · SKU no existe","")&amp;IF(OR($I64="",NOT(ISNUMBER($I64)),$I64&lt;=0)," · Cantidad inválida","")&amp;IF($M64="PRECIO PENDIENTE"," · Falta precio de venta","")&amp;IF($P64="COSTO PENDIENTE"," · Falta costo del producto","")&amp;IF(AND(ISNUMBER($Q64),$Q64&lt;0)," · UTILIDAD NEGATIVA","")&amp;IF(AND($F64&lt;&gt;"",ISNUMBER(INDEX(tblInventario[Stock actual],MATCH($F64,tblInventario[SKU],0))),INDEX(tblInventario[Stock actual],MATCH($F64,tblInventario[SKU],0))&lt;0)," · Stock negativo del SKU","")&amp;IF(AND($T64="Cobrado",$U64="")," · Cobro sin fecha","")&amp;IF(AND(ISNUMBER($V64),ISNUMBER($N64),$V64&gt;N($N64)+0.01)," · Cobrado &gt; venta neta","")&amp;IF(AND(ISNUMBER($V64),$V64&gt;0,$U64="")," · Monto cobrado sin fecha",""),4,900)))</f>
        <v/>
      </c>
    </row>
    <row r="65">
      <c r="A65" s="51">
        <f>IF(COUNTA($B65,$C65,$D65,$E65,$F65,$I65)=0,"","V-"&amp;TEXT(ROW()-6,"0000"))</f>
        <v/>
      </c>
      <c r="B65" s="41" t="n"/>
      <c r="C65" s="33" t="n"/>
      <c r="D65" s="33" t="n"/>
      <c r="E65" s="33" t="n"/>
      <c r="F65" s="33" t="n"/>
      <c r="G65" s="51">
        <f>IF($F65="","",IFERROR(IF(INDEX(tblProductos[Nombre del producto],MATCH($F65,tblProductos[SKU],0))="","",INDEX(tblProductos[Nombre del producto],MATCH($F65,tblProductos[SKU],0))),""))</f>
        <v/>
      </c>
      <c r="H65" s="51">
        <f>IF($F65="","",IFERROR(IF(INDEX(tblProductos[Categoría],MATCH($F65,tblProductos[SKU],0))="","",INDEX(tblProductos[Categoría],MATCH($F65,tblProductos[SKU],0))),""))</f>
        <v/>
      </c>
      <c r="I65" s="34" t="n"/>
      <c r="J65" s="39">
        <f>IF(OR($B65="",$F65="",$I65=""),"",IF($T65="Anulado",0,$I65))</f>
        <v/>
      </c>
      <c r="K65" s="54">
        <f>IF($F65="","",IFERROR(IF(INDEX(tblProductos[Precio de venta actual],MATCH($F65,tblProductos[SKU],0))="","",INDEX(tblProductos[Precio de venta actual],MATCH($F65,tblProductos[SKU],0))),""))</f>
        <v/>
      </c>
      <c r="L65" s="36" t="n"/>
      <c r="M65" s="37">
        <f>IF($J65="","",IF(NOT(ISNUMBER($K65)),"PRECIO PENDIENTE",$J65*$K65))</f>
        <v/>
      </c>
      <c r="N65" s="37">
        <f>IF($J65="","",IF(NOT(ISNUMBER($M65)),"PRECIO PENDIENTE",$M65-IF(ISNUMBER($L65),$L65,0)))</f>
        <v/>
      </c>
      <c r="O65" s="54">
        <f>IF($F65="","",IFERROR(INDEX(tblInventario[Costo unitario aplicado],MATCH($F65,tblInventario[SKU],0)),""))</f>
        <v/>
      </c>
      <c r="P65" s="37">
        <f>IF($J65="","",IF(NOT(ISNUMBER($O65)),"COSTO PENDIENTE",$J65*$O65))</f>
        <v/>
      </c>
      <c r="Q65" s="37">
        <f>IF($J65="","",IF(OR(NOT(ISNUMBER($N65)),NOT(ISNUMBER($P65))),"PENDIENTE",$N65-$P65))</f>
        <v/>
      </c>
      <c r="R65" s="38">
        <f>IF($J65="","",IF(OR(NOT(ISNUMBER($Q65)),NOT(ISNUMBER($N65)),$N65&lt;=0),"PENDIENTE",$Q65/$N65))</f>
        <v/>
      </c>
      <c r="S65" s="33" t="n"/>
      <c r="T65" s="33" t="n"/>
      <c r="U65" s="41" t="n"/>
      <c r="V65" s="36" t="n"/>
      <c r="W65" s="37">
        <f>IF(NOT(ISNUMBER($N65)),"",$N65-IF(ISNUMBER($V65),$V65,0))</f>
        <v/>
      </c>
      <c r="X65" s="33" t="n"/>
      <c r="Y65" s="51">
        <f>IF(COUNTA($B65,$C65,$D65,$E65,$F65,$I65)=0,"",IF(IF($B65=""," · Falta fecha","")&amp;IF($D65=""," · Falta cliente","")&amp;IF($E65=""," · Falta canal","")&amp;IF($F65=""," · Falta SKU","")&amp;IF(AND($F65&lt;&gt;"",COUNTIF(tblProductos[SKU],$F65)=0)," · SKU no existe","")&amp;IF(OR($I65="",NOT(ISNUMBER($I65)),$I65&lt;=0)," · Cantidad inválida","")&amp;IF($M65="PRECIO PENDIENTE"," · Falta precio de venta","")&amp;IF($P65="COSTO PENDIENTE"," · Falta costo del producto","")&amp;IF(AND(ISNUMBER($Q65),$Q65&lt;0)," · UTILIDAD NEGATIVA","")&amp;IF(AND($F65&lt;&gt;"",ISNUMBER(INDEX(tblInventario[Stock actual],MATCH($F65,tblInventario[SKU],0))),INDEX(tblInventario[Stock actual],MATCH($F65,tblInventario[SKU],0))&lt;0)," · Stock negativo del SKU","")&amp;IF(AND($T65="Cobrado",$U65="")," · Cobro sin fecha","")&amp;IF(AND(ISNUMBER($V65),ISNUMBER($N65),$V65&gt;N($N65)+0.01)," · Cobrado &gt; venta neta","")&amp;IF(AND(ISNUMBER($V65),$V65&gt;0,$U65="")," · Monto cobrado sin fecha","")="","OK",MID(IF($B65=""," · Falta fecha","")&amp;IF($D65=""," · Falta cliente","")&amp;IF($E65=""," · Falta canal","")&amp;IF($F65=""," · Falta SKU","")&amp;IF(AND($F65&lt;&gt;"",COUNTIF(tblProductos[SKU],$F65)=0)," · SKU no existe","")&amp;IF(OR($I65="",NOT(ISNUMBER($I65)),$I65&lt;=0)," · Cantidad inválida","")&amp;IF($M65="PRECIO PENDIENTE"," · Falta precio de venta","")&amp;IF($P65="COSTO PENDIENTE"," · Falta costo del producto","")&amp;IF(AND(ISNUMBER($Q65),$Q65&lt;0)," · UTILIDAD NEGATIVA","")&amp;IF(AND($F65&lt;&gt;"",ISNUMBER(INDEX(tblInventario[Stock actual],MATCH($F65,tblInventario[SKU],0))),INDEX(tblInventario[Stock actual],MATCH($F65,tblInventario[SKU],0))&lt;0)," · Stock negativo del SKU","")&amp;IF(AND($T65="Cobrado",$U65="")," · Cobro sin fecha","")&amp;IF(AND(ISNUMBER($V65),ISNUMBER($N65),$V65&gt;N($N65)+0.01)," · Cobrado &gt; venta neta","")&amp;IF(AND(ISNUMBER($V65),$V65&gt;0,$U65="")," · Monto cobrado sin fecha",""),4,900)))</f>
        <v/>
      </c>
    </row>
    <row r="66">
      <c r="A66" s="51">
        <f>IF(COUNTA($B66,$C66,$D66,$E66,$F66,$I66)=0,"","V-"&amp;TEXT(ROW()-6,"0000"))</f>
        <v/>
      </c>
      <c r="B66" s="41" t="n"/>
      <c r="C66" s="33" t="n"/>
      <c r="D66" s="33" t="n"/>
      <c r="E66" s="33" t="n"/>
      <c r="F66" s="33" t="n"/>
      <c r="G66" s="51">
        <f>IF($F66="","",IFERROR(IF(INDEX(tblProductos[Nombre del producto],MATCH($F66,tblProductos[SKU],0))="","",INDEX(tblProductos[Nombre del producto],MATCH($F66,tblProductos[SKU],0))),""))</f>
        <v/>
      </c>
      <c r="H66" s="51">
        <f>IF($F66="","",IFERROR(IF(INDEX(tblProductos[Categoría],MATCH($F66,tblProductos[SKU],0))="","",INDEX(tblProductos[Categoría],MATCH($F66,tblProductos[SKU],0))),""))</f>
        <v/>
      </c>
      <c r="I66" s="34" t="n"/>
      <c r="J66" s="39">
        <f>IF(OR($B66="",$F66="",$I66=""),"",IF($T66="Anulado",0,$I66))</f>
        <v/>
      </c>
      <c r="K66" s="54">
        <f>IF($F66="","",IFERROR(IF(INDEX(tblProductos[Precio de venta actual],MATCH($F66,tblProductos[SKU],0))="","",INDEX(tblProductos[Precio de venta actual],MATCH($F66,tblProductos[SKU],0))),""))</f>
        <v/>
      </c>
      <c r="L66" s="36" t="n"/>
      <c r="M66" s="37">
        <f>IF($J66="","",IF(NOT(ISNUMBER($K66)),"PRECIO PENDIENTE",$J66*$K66))</f>
        <v/>
      </c>
      <c r="N66" s="37">
        <f>IF($J66="","",IF(NOT(ISNUMBER($M66)),"PRECIO PENDIENTE",$M66-IF(ISNUMBER($L66),$L66,0)))</f>
        <v/>
      </c>
      <c r="O66" s="54">
        <f>IF($F66="","",IFERROR(INDEX(tblInventario[Costo unitario aplicado],MATCH($F66,tblInventario[SKU],0)),""))</f>
        <v/>
      </c>
      <c r="P66" s="37">
        <f>IF($J66="","",IF(NOT(ISNUMBER($O66)),"COSTO PENDIENTE",$J66*$O66))</f>
        <v/>
      </c>
      <c r="Q66" s="37">
        <f>IF($J66="","",IF(OR(NOT(ISNUMBER($N66)),NOT(ISNUMBER($P66))),"PENDIENTE",$N66-$P66))</f>
        <v/>
      </c>
      <c r="R66" s="38">
        <f>IF($J66="","",IF(OR(NOT(ISNUMBER($Q66)),NOT(ISNUMBER($N66)),$N66&lt;=0),"PENDIENTE",$Q66/$N66))</f>
        <v/>
      </c>
      <c r="S66" s="33" t="n"/>
      <c r="T66" s="33" t="n"/>
      <c r="U66" s="41" t="n"/>
      <c r="V66" s="36" t="n"/>
      <c r="W66" s="37">
        <f>IF(NOT(ISNUMBER($N66)),"",$N66-IF(ISNUMBER($V66),$V66,0))</f>
        <v/>
      </c>
      <c r="X66" s="33" t="n"/>
      <c r="Y66" s="51">
        <f>IF(COUNTA($B66,$C66,$D66,$E66,$F66,$I66)=0,"",IF(IF($B66=""," · Falta fecha","")&amp;IF($D66=""," · Falta cliente","")&amp;IF($E66=""," · Falta canal","")&amp;IF($F66=""," · Falta SKU","")&amp;IF(AND($F66&lt;&gt;"",COUNTIF(tblProductos[SKU],$F66)=0)," · SKU no existe","")&amp;IF(OR($I66="",NOT(ISNUMBER($I66)),$I66&lt;=0)," · Cantidad inválida","")&amp;IF($M66="PRECIO PENDIENTE"," · Falta precio de venta","")&amp;IF($P66="COSTO PENDIENTE"," · Falta costo del producto","")&amp;IF(AND(ISNUMBER($Q66),$Q66&lt;0)," · UTILIDAD NEGATIVA","")&amp;IF(AND($F66&lt;&gt;"",ISNUMBER(INDEX(tblInventario[Stock actual],MATCH($F66,tblInventario[SKU],0))),INDEX(tblInventario[Stock actual],MATCH($F66,tblInventario[SKU],0))&lt;0)," · Stock negativo del SKU","")&amp;IF(AND($T66="Cobrado",$U66="")," · Cobro sin fecha","")&amp;IF(AND(ISNUMBER($V66),ISNUMBER($N66),$V66&gt;N($N66)+0.01)," · Cobrado &gt; venta neta","")&amp;IF(AND(ISNUMBER($V66),$V66&gt;0,$U66="")," · Monto cobrado sin fecha","")="","OK",MID(IF($B66=""," · Falta fecha","")&amp;IF($D66=""," · Falta cliente","")&amp;IF($E66=""," · Falta canal","")&amp;IF($F66=""," · Falta SKU","")&amp;IF(AND($F66&lt;&gt;"",COUNTIF(tblProductos[SKU],$F66)=0)," · SKU no existe","")&amp;IF(OR($I66="",NOT(ISNUMBER($I66)),$I66&lt;=0)," · Cantidad inválida","")&amp;IF($M66="PRECIO PENDIENTE"," · Falta precio de venta","")&amp;IF($P66="COSTO PENDIENTE"," · Falta costo del producto","")&amp;IF(AND(ISNUMBER($Q66),$Q66&lt;0)," · UTILIDAD NEGATIVA","")&amp;IF(AND($F66&lt;&gt;"",ISNUMBER(INDEX(tblInventario[Stock actual],MATCH($F66,tblInventario[SKU],0))),INDEX(tblInventario[Stock actual],MATCH($F66,tblInventario[SKU],0))&lt;0)," · Stock negativo del SKU","")&amp;IF(AND($T66="Cobrado",$U66="")," · Cobro sin fecha","")&amp;IF(AND(ISNUMBER($V66),ISNUMBER($N66),$V66&gt;N($N66)+0.01)," · Cobrado &gt; venta neta","")&amp;IF(AND(ISNUMBER($V66),$V66&gt;0,$U66="")," · Monto cobrado sin fecha",""),4,900)))</f>
        <v/>
      </c>
    </row>
    <row r="67">
      <c r="A67" s="51">
        <f>IF(COUNTA($B67,$C67,$D67,$E67,$F67,$I67)=0,"","V-"&amp;TEXT(ROW()-6,"0000"))</f>
        <v/>
      </c>
      <c r="B67" s="41" t="n"/>
      <c r="C67" s="33" t="n"/>
      <c r="D67" s="33" t="n"/>
      <c r="E67" s="33" t="n"/>
      <c r="F67" s="33" t="n"/>
      <c r="G67" s="51">
        <f>IF($F67="","",IFERROR(IF(INDEX(tblProductos[Nombre del producto],MATCH($F67,tblProductos[SKU],0))="","",INDEX(tblProductos[Nombre del producto],MATCH($F67,tblProductos[SKU],0))),""))</f>
        <v/>
      </c>
      <c r="H67" s="51">
        <f>IF($F67="","",IFERROR(IF(INDEX(tblProductos[Categoría],MATCH($F67,tblProductos[SKU],0))="","",INDEX(tblProductos[Categoría],MATCH($F67,tblProductos[SKU],0))),""))</f>
        <v/>
      </c>
      <c r="I67" s="34" t="n"/>
      <c r="J67" s="39">
        <f>IF(OR($B67="",$F67="",$I67=""),"",IF($T67="Anulado",0,$I67))</f>
        <v/>
      </c>
      <c r="K67" s="54">
        <f>IF($F67="","",IFERROR(IF(INDEX(tblProductos[Precio de venta actual],MATCH($F67,tblProductos[SKU],0))="","",INDEX(tblProductos[Precio de venta actual],MATCH($F67,tblProductos[SKU],0))),""))</f>
        <v/>
      </c>
      <c r="L67" s="36" t="n"/>
      <c r="M67" s="37">
        <f>IF($J67="","",IF(NOT(ISNUMBER($K67)),"PRECIO PENDIENTE",$J67*$K67))</f>
        <v/>
      </c>
      <c r="N67" s="37">
        <f>IF($J67="","",IF(NOT(ISNUMBER($M67)),"PRECIO PENDIENTE",$M67-IF(ISNUMBER($L67),$L67,0)))</f>
        <v/>
      </c>
      <c r="O67" s="54">
        <f>IF($F67="","",IFERROR(INDEX(tblInventario[Costo unitario aplicado],MATCH($F67,tblInventario[SKU],0)),""))</f>
        <v/>
      </c>
      <c r="P67" s="37">
        <f>IF($J67="","",IF(NOT(ISNUMBER($O67)),"COSTO PENDIENTE",$J67*$O67))</f>
        <v/>
      </c>
      <c r="Q67" s="37">
        <f>IF($J67="","",IF(OR(NOT(ISNUMBER($N67)),NOT(ISNUMBER($P67))),"PENDIENTE",$N67-$P67))</f>
        <v/>
      </c>
      <c r="R67" s="38">
        <f>IF($J67="","",IF(OR(NOT(ISNUMBER($Q67)),NOT(ISNUMBER($N67)),$N67&lt;=0),"PENDIENTE",$Q67/$N67))</f>
        <v/>
      </c>
      <c r="S67" s="33" t="n"/>
      <c r="T67" s="33" t="n"/>
      <c r="U67" s="41" t="n"/>
      <c r="V67" s="36" t="n"/>
      <c r="W67" s="37">
        <f>IF(NOT(ISNUMBER($N67)),"",$N67-IF(ISNUMBER($V67),$V67,0))</f>
        <v/>
      </c>
      <c r="X67" s="33" t="n"/>
      <c r="Y67" s="51">
        <f>IF(COUNTA($B67,$C67,$D67,$E67,$F67,$I67)=0,"",IF(IF($B67=""," · Falta fecha","")&amp;IF($D67=""," · Falta cliente","")&amp;IF($E67=""," · Falta canal","")&amp;IF($F67=""," · Falta SKU","")&amp;IF(AND($F67&lt;&gt;"",COUNTIF(tblProductos[SKU],$F67)=0)," · SKU no existe","")&amp;IF(OR($I67="",NOT(ISNUMBER($I67)),$I67&lt;=0)," · Cantidad inválida","")&amp;IF($M67="PRECIO PENDIENTE"," · Falta precio de venta","")&amp;IF($P67="COSTO PENDIENTE"," · Falta costo del producto","")&amp;IF(AND(ISNUMBER($Q67),$Q67&lt;0)," · UTILIDAD NEGATIVA","")&amp;IF(AND($F67&lt;&gt;"",ISNUMBER(INDEX(tblInventario[Stock actual],MATCH($F67,tblInventario[SKU],0))),INDEX(tblInventario[Stock actual],MATCH($F67,tblInventario[SKU],0))&lt;0)," · Stock negativo del SKU","")&amp;IF(AND($T67="Cobrado",$U67="")," · Cobro sin fecha","")&amp;IF(AND(ISNUMBER($V67),ISNUMBER($N67),$V67&gt;N($N67)+0.01)," · Cobrado &gt; venta neta","")&amp;IF(AND(ISNUMBER($V67),$V67&gt;0,$U67="")," · Monto cobrado sin fecha","")="","OK",MID(IF($B67=""," · Falta fecha","")&amp;IF($D67=""," · Falta cliente","")&amp;IF($E67=""," · Falta canal","")&amp;IF($F67=""," · Falta SKU","")&amp;IF(AND($F67&lt;&gt;"",COUNTIF(tblProductos[SKU],$F67)=0)," · SKU no existe","")&amp;IF(OR($I67="",NOT(ISNUMBER($I67)),$I67&lt;=0)," · Cantidad inválida","")&amp;IF($M67="PRECIO PENDIENTE"," · Falta precio de venta","")&amp;IF($P67="COSTO PENDIENTE"," · Falta costo del producto","")&amp;IF(AND(ISNUMBER($Q67),$Q67&lt;0)," · UTILIDAD NEGATIVA","")&amp;IF(AND($F67&lt;&gt;"",ISNUMBER(INDEX(tblInventario[Stock actual],MATCH($F67,tblInventario[SKU],0))),INDEX(tblInventario[Stock actual],MATCH($F67,tblInventario[SKU],0))&lt;0)," · Stock negativo del SKU","")&amp;IF(AND($T67="Cobrado",$U67="")," · Cobro sin fecha","")&amp;IF(AND(ISNUMBER($V67),ISNUMBER($N67),$V67&gt;N($N67)+0.01)," · Cobrado &gt; venta neta","")&amp;IF(AND(ISNUMBER($V67),$V67&gt;0,$U67="")," · Monto cobrado sin fecha",""),4,900)))</f>
        <v/>
      </c>
    </row>
    <row r="68">
      <c r="A68" s="51">
        <f>IF(COUNTA($B68,$C68,$D68,$E68,$F68,$I68)=0,"","V-"&amp;TEXT(ROW()-6,"0000"))</f>
        <v/>
      </c>
      <c r="B68" s="41" t="n"/>
      <c r="C68" s="33" t="n"/>
      <c r="D68" s="33" t="n"/>
      <c r="E68" s="33" t="n"/>
      <c r="F68" s="33" t="n"/>
      <c r="G68" s="51">
        <f>IF($F68="","",IFERROR(IF(INDEX(tblProductos[Nombre del producto],MATCH($F68,tblProductos[SKU],0))="","",INDEX(tblProductos[Nombre del producto],MATCH($F68,tblProductos[SKU],0))),""))</f>
        <v/>
      </c>
      <c r="H68" s="51">
        <f>IF($F68="","",IFERROR(IF(INDEX(tblProductos[Categoría],MATCH($F68,tblProductos[SKU],0))="","",INDEX(tblProductos[Categoría],MATCH($F68,tblProductos[SKU],0))),""))</f>
        <v/>
      </c>
      <c r="I68" s="34" t="n"/>
      <c r="J68" s="39">
        <f>IF(OR($B68="",$F68="",$I68=""),"",IF($T68="Anulado",0,$I68))</f>
        <v/>
      </c>
      <c r="K68" s="54">
        <f>IF($F68="","",IFERROR(IF(INDEX(tblProductos[Precio de venta actual],MATCH($F68,tblProductos[SKU],0))="","",INDEX(tblProductos[Precio de venta actual],MATCH($F68,tblProductos[SKU],0))),""))</f>
        <v/>
      </c>
      <c r="L68" s="36" t="n"/>
      <c r="M68" s="37">
        <f>IF($J68="","",IF(NOT(ISNUMBER($K68)),"PRECIO PENDIENTE",$J68*$K68))</f>
        <v/>
      </c>
      <c r="N68" s="37">
        <f>IF($J68="","",IF(NOT(ISNUMBER($M68)),"PRECIO PENDIENTE",$M68-IF(ISNUMBER($L68),$L68,0)))</f>
        <v/>
      </c>
      <c r="O68" s="54">
        <f>IF($F68="","",IFERROR(INDEX(tblInventario[Costo unitario aplicado],MATCH($F68,tblInventario[SKU],0)),""))</f>
        <v/>
      </c>
      <c r="P68" s="37">
        <f>IF($J68="","",IF(NOT(ISNUMBER($O68)),"COSTO PENDIENTE",$J68*$O68))</f>
        <v/>
      </c>
      <c r="Q68" s="37">
        <f>IF($J68="","",IF(OR(NOT(ISNUMBER($N68)),NOT(ISNUMBER($P68))),"PENDIENTE",$N68-$P68))</f>
        <v/>
      </c>
      <c r="R68" s="38">
        <f>IF($J68="","",IF(OR(NOT(ISNUMBER($Q68)),NOT(ISNUMBER($N68)),$N68&lt;=0),"PENDIENTE",$Q68/$N68))</f>
        <v/>
      </c>
      <c r="S68" s="33" t="n"/>
      <c r="T68" s="33" t="n"/>
      <c r="U68" s="41" t="n"/>
      <c r="V68" s="36" t="n"/>
      <c r="W68" s="37">
        <f>IF(NOT(ISNUMBER($N68)),"",$N68-IF(ISNUMBER($V68),$V68,0))</f>
        <v/>
      </c>
      <c r="X68" s="33" t="n"/>
      <c r="Y68" s="51">
        <f>IF(COUNTA($B68,$C68,$D68,$E68,$F68,$I68)=0,"",IF(IF($B68=""," · Falta fecha","")&amp;IF($D68=""," · Falta cliente","")&amp;IF($E68=""," · Falta canal","")&amp;IF($F68=""," · Falta SKU","")&amp;IF(AND($F68&lt;&gt;"",COUNTIF(tblProductos[SKU],$F68)=0)," · SKU no existe","")&amp;IF(OR($I68="",NOT(ISNUMBER($I68)),$I68&lt;=0)," · Cantidad inválida","")&amp;IF($M68="PRECIO PENDIENTE"," · Falta precio de venta","")&amp;IF($P68="COSTO PENDIENTE"," · Falta costo del producto","")&amp;IF(AND(ISNUMBER($Q68),$Q68&lt;0)," · UTILIDAD NEGATIVA","")&amp;IF(AND($F68&lt;&gt;"",ISNUMBER(INDEX(tblInventario[Stock actual],MATCH($F68,tblInventario[SKU],0))),INDEX(tblInventario[Stock actual],MATCH($F68,tblInventario[SKU],0))&lt;0)," · Stock negativo del SKU","")&amp;IF(AND($T68="Cobrado",$U68="")," · Cobro sin fecha","")&amp;IF(AND(ISNUMBER($V68),ISNUMBER($N68),$V68&gt;N($N68)+0.01)," · Cobrado &gt; venta neta","")&amp;IF(AND(ISNUMBER($V68),$V68&gt;0,$U68="")," · Monto cobrado sin fecha","")="","OK",MID(IF($B68=""," · Falta fecha","")&amp;IF($D68=""," · Falta cliente","")&amp;IF($E68=""," · Falta canal","")&amp;IF($F68=""," · Falta SKU","")&amp;IF(AND($F68&lt;&gt;"",COUNTIF(tblProductos[SKU],$F68)=0)," · SKU no existe","")&amp;IF(OR($I68="",NOT(ISNUMBER($I68)),$I68&lt;=0)," · Cantidad inválida","")&amp;IF($M68="PRECIO PENDIENTE"," · Falta precio de venta","")&amp;IF($P68="COSTO PENDIENTE"," · Falta costo del producto","")&amp;IF(AND(ISNUMBER($Q68),$Q68&lt;0)," · UTILIDAD NEGATIVA","")&amp;IF(AND($F68&lt;&gt;"",ISNUMBER(INDEX(tblInventario[Stock actual],MATCH($F68,tblInventario[SKU],0))),INDEX(tblInventario[Stock actual],MATCH($F68,tblInventario[SKU],0))&lt;0)," · Stock negativo del SKU","")&amp;IF(AND($T68="Cobrado",$U68="")," · Cobro sin fecha","")&amp;IF(AND(ISNUMBER($V68),ISNUMBER($N68),$V68&gt;N($N68)+0.01)," · Cobrado &gt; venta neta","")&amp;IF(AND(ISNUMBER($V68),$V68&gt;0,$U68="")," · Monto cobrado sin fecha",""),4,900)))</f>
        <v/>
      </c>
    </row>
    <row r="69">
      <c r="A69" s="51">
        <f>IF(COUNTA($B69,$C69,$D69,$E69,$F69,$I69)=0,"","V-"&amp;TEXT(ROW()-6,"0000"))</f>
        <v/>
      </c>
      <c r="B69" s="41" t="n"/>
      <c r="C69" s="33" t="n"/>
      <c r="D69" s="33" t="n"/>
      <c r="E69" s="33" t="n"/>
      <c r="F69" s="33" t="n"/>
      <c r="G69" s="51">
        <f>IF($F69="","",IFERROR(IF(INDEX(tblProductos[Nombre del producto],MATCH($F69,tblProductos[SKU],0))="","",INDEX(tblProductos[Nombre del producto],MATCH($F69,tblProductos[SKU],0))),""))</f>
        <v/>
      </c>
      <c r="H69" s="51">
        <f>IF($F69="","",IFERROR(IF(INDEX(tblProductos[Categoría],MATCH($F69,tblProductos[SKU],0))="","",INDEX(tblProductos[Categoría],MATCH($F69,tblProductos[SKU],0))),""))</f>
        <v/>
      </c>
      <c r="I69" s="34" t="n"/>
      <c r="J69" s="39">
        <f>IF(OR($B69="",$F69="",$I69=""),"",IF($T69="Anulado",0,$I69))</f>
        <v/>
      </c>
      <c r="K69" s="54">
        <f>IF($F69="","",IFERROR(IF(INDEX(tblProductos[Precio de venta actual],MATCH($F69,tblProductos[SKU],0))="","",INDEX(tblProductos[Precio de venta actual],MATCH($F69,tblProductos[SKU],0))),""))</f>
        <v/>
      </c>
      <c r="L69" s="36" t="n"/>
      <c r="M69" s="37">
        <f>IF($J69="","",IF(NOT(ISNUMBER($K69)),"PRECIO PENDIENTE",$J69*$K69))</f>
        <v/>
      </c>
      <c r="N69" s="37">
        <f>IF($J69="","",IF(NOT(ISNUMBER($M69)),"PRECIO PENDIENTE",$M69-IF(ISNUMBER($L69),$L69,0)))</f>
        <v/>
      </c>
      <c r="O69" s="54">
        <f>IF($F69="","",IFERROR(INDEX(tblInventario[Costo unitario aplicado],MATCH($F69,tblInventario[SKU],0)),""))</f>
        <v/>
      </c>
      <c r="P69" s="37">
        <f>IF($J69="","",IF(NOT(ISNUMBER($O69)),"COSTO PENDIENTE",$J69*$O69))</f>
        <v/>
      </c>
      <c r="Q69" s="37">
        <f>IF($J69="","",IF(OR(NOT(ISNUMBER($N69)),NOT(ISNUMBER($P69))),"PENDIENTE",$N69-$P69))</f>
        <v/>
      </c>
      <c r="R69" s="38">
        <f>IF($J69="","",IF(OR(NOT(ISNUMBER($Q69)),NOT(ISNUMBER($N69)),$N69&lt;=0),"PENDIENTE",$Q69/$N69))</f>
        <v/>
      </c>
      <c r="S69" s="33" t="n"/>
      <c r="T69" s="33" t="n"/>
      <c r="U69" s="41" t="n"/>
      <c r="V69" s="36" t="n"/>
      <c r="W69" s="37">
        <f>IF(NOT(ISNUMBER($N69)),"",$N69-IF(ISNUMBER($V69),$V69,0))</f>
        <v/>
      </c>
      <c r="X69" s="33" t="n"/>
      <c r="Y69" s="51">
        <f>IF(COUNTA($B69,$C69,$D69,$E69,$F69,$I69)=0,"",IF(IF($B69=""," · Falta fecha","")&amp;IF($D69=""," · Falta cliente","")&amp;IF($E69=""," · Falta canal","")&amp;IF($F69=""," · Falta SKU","")&amp;IF(AND($F69&lt;&gt;"",COUNTIF(tblProductos[SKU],$F69)=0)," · SKU no existe","")&amp;IF(OR($I69="",NOT(ISNUMBER($I69)),$I69&lt;=0)," · Cantidad inválida","")&amp;IF($M69="PRECIO PENDIENTE"," · Falta precio de venta","")&amp;IF($P69="COSTO PENDIENTE"," · Falta costo del producto","")&amp;IF(AND(ISNUMBER($Q69),$Q69&lt;0)," · UTILIDAD NEGATIVA","")&amp;IF(AND($F69&lt;&gt;"",ISNUMBER(INDEX(tblInventario[Stock actual],MATCH($F69,tblInventario[SKU],0))),INDEX(tblInventario[Stock actual],MATCH($F69,tblInventario[SKU],0))&lt;0)," · Stock negativo del SKU","")&amp;IF(AND($T69="Cobrado",$U69="")," · Cobro sin fecha","")&amp;IF(AND(ISNUMBER($V69),ISNUMBER($N69),$V69&gt;N($N69)+0.01)," · Cobrado &gt; venta neta","")&amp;IF(AND(ISNUMBER($V69),$V69&gt;0,$U69="")," · Monto cobrado sin fecha","")="","OK",MID(IF($B69=""," · Falta fecha","")&amp;IF($D69=""," · Falta cliente","")&amp;IF($E69=""," · Falta canal","")&amp;IF($F69=""," · Falta SKU","")&amp;IF(AND($F69&lt;&gt;"",COUNTIF(tblProductos[SKU],$F69)=0)," · SKU no existe","")&amp;IF(OR($I69="",NOT(ISNUMBER($I69)),$I69&lt;=0)," · Cantidad inválida","")&amp;IF($M69="PRECIO PENDIENTE"," · Falta precio de venta","")&amp;IF($P69="COSTO PENDIENTE"," · Falta costo del producto","")&amp;IF(AND(ISNUMBER($Q69),$Q69&lt;0)," · UTILIDAD NEGATIVA","")&amp;IF(AND($F69&lt;&gt;"",ISNUMBER(INDEX(tblInventario[Stock actual],MATCH($F69,tblInventario[SKU],0))),INDEX(tblInventario[Stock actual],MATCH($F69,tblInventario[SKU],0))&lt;0)," · Stock negativo del SKU","")&amp;IF(AND($T69="Cobrado",$U69="")," · Cobro sin fecha","")&amp;IF(AND(ISNUMBER($V69),ISNUMBER($N69),$V69&gt;N($N69)+0.01)," · Cobrado &gt; venta neta","")&amp;IF(AND(ISNUMBER($V69),$V69&gt;0,$U69="")," · Monto cobrado sin fecha",""),4,900)))</f>
        <v/>
      </c>
    </row>
    <row r="70">
      <c r="A70" s="51">
        <f>IF(COUNTA($B70,$C70,$D70,$E70,$F70,$I70)=0,"","V-"&amp;TEXT(ROW()-6,"0000"))</f>
        <v/>
      </c>
      <c r="B70" s="41" t="n"/>
      <c r="C70" s="33" t="n"/>
      <c r="D70" s="33" t="n"/>
      <c r="E70" s="33" t="n"/>
      <c r="F70" s="33" t="n"/>
      <c r="G70" s="51">
        <f>IF($F70="","",IFERROR(IF(INDEX(tblProductos[Nombre del producto],MATCH($F70,tblProductos[SKU],0))="","",INDEX(tblProductos[Nombre del producto],MATCH($F70,tblProductos[SKU],0))),""))</f>
        <v/>
      </c>
      <c r="H70" s="51">
        <f>IF($F70="","",IFERROR(IF(INDEX(tblProductos[Categoría],MATCH($F70,tblProductos[SKU],0))="","",INDEX(tblProductos[Categoría],MATCH($F70,tblProductos[SKU],0))),""))</f>
        <v/>
      </c>
      <c r="I70" s="34" t="n"/>
      <c r="J70" s="39">
        <f>IF(OR($B70="",$F70="",$I70=""),"",IF($T70="Anulado",0,$I70))</f>
        <v/>
      </c>
      <c r="K70" s="54">
        <f>IF($F70="","",IFERROR(IF(INDEX(tblProductos[Precio de venta actual],MATCH($F70,tblProductos[SKU],0))="","",INDEX(tblProductos[Precio de venta actual],MATCH($F70,tblProductos[SKU],0))),""))</f>
        <v/>
      </c>
      <c r="L70" s="36" t="n"/>
      <c r="M70" s="37">
        <f>IF($J70="","",IF(NOT(ISNUMBER($K70)),"PRECIO PENDIENTE",$J70*$K70))</f>
        <v/>
      </c>
      <c r="N70" s="37">
        <f>IF($J70="","",IF(NOT(ISNUMBER($M70)),"PRECIO PENDIENTE",$M70-IF(ISNUMBER($L70),$L70,0)))</f>
        <v/>
      </c>
      <c r="O70" s="54">
        <f>IF($F70="","",IFERROR(INDEX(tblInventario[Costo unitario aplicado],MATCH($F70,tblInventario[SKU],0)),""))</f>
        <v/>
      </c>
      <c r="P70" s="37">
        <f>IF($J70="","",IF(NOT(ISNUMBER($O70)),"COSTO PENDIENTE",$J70*$O70))</f>
        <v/>
      </c>
      <c r="Q70" s="37">
        <f>IF($J70="","",IF(OR(NOT(ISNUMBER($N70)),NOT(ISNUMBER($P70))),"PENDIENTE",$N70-$P70))</f>
        <v/>
      </c>
      <c r="R70" s="38">
        <f>IF($J70="","",IF(OR(NOT(ISNUMBER($Q70)),NOT(ISNUMBER($N70)),$N70&lt;=0),"PENDIENTE",$Q70/$N70))</f>
        <v/>
      </c>
      <c r="S70" s="33" t="n"/>
      <c r="T70" s="33" t="n"/>
      <c r="U70" s="41" t="n"/>
      <c r="V70" s="36" t="n"/>
      <c r="W70" s="37">
        <f>IF(NOT(ISNUMBER($N70)),"",$N70-IF(ISNUMBER($V70),$V70,0))</f>
        <v/>
      </c>
      <c r="X70" s="33" t="n"/>
      <c r="Y70" s="51">
        <f>IF(COUNTA($B70,$C70,$D70,$E70,$F70,$I70)=0,"",IF(IF($B70=""," · Falta fecha","")&amp;IF($D70=""," · Falta cliente","")&amp;IF($E70=""," · Falta canal","")&amp;IF($F70=""," · Falta SKU","")&amp;IF(AND($F70&lt;&gt;"",COUNTIF(tblProductos[SKU],$F70)=0)," · SKU no existe","")&amp;IF(OR($I70="",NOT(ISNUMBER($I70)),$I70&lt;=0)," · Cantidad inválida","")&amp;IF($M70="PRECIO PENDIENTE"," · Falta precio de venta","")&amp;IF($P70="COSTO PENDIENTE"," · Falta costo del producto","")&amp;IF(AND(ISNUMBER($Q70),$Q70&lt;0)," · UTILIDAD NEGATIVA","")&amp;IF(AND($F70&lt;&gt;"",ISNUMBER(INDEX(tblInventario[Stock actual],MATCH($F70,tblInventario[SKU],0))),INDEX(tblInventario[Stock actual],MATCH($F70,tblInventario[SKU],0))&lt;0)," · Stock negativo del SKU","")&amp;IF(AND($T70="Cobrado",$U70="")," · Cobro sin fecha","")&amp;IF(AND(ISNUMBER($V70),ISNUMBER($N70),$V70&gt;N($N70)+0.01)," · Cobrado &gt; venta neta","")&amp;IF(AND(ISNUMBER($V70),$V70&gt;0,$U70="")," · Monto cobrado sin fecha","")="","OK",MID(IF($B70=""," · Falta fecha","")&amp;IF($D70=""," · Falta cliente","")&amp;IF($E70=""," · Falta canal","")&amp;IF($F70=""," · Falta SKU","")&amp;IF(AND($F70&lt;&gt;"",COUNTIF(tblProductos[SKU],$F70)=0)," · SKU no existe","")&amp;IF(OR($I70="",NOT(ISNUMBER($I70)),$I70&lt;=0)," · Cantidad inválida","")&amp;IF($M70="PRECIO PENDIENTE"," · Falta precio de venta","")&amp;IF($P70="COSTO PENDIENTE"," · Falta costo del producto","")&amp;IF(AND(ISNUMBER($Q70),$Q70&lt;0)," · UTILIDAD NEGATIVA","")&amp;IF(AND($F70&lt;&gt;"",ISNUMBER(INDEX(tblInventario[Stock actual],MATCH($F70,tblInventario[SKU],0))),INDEX(tblInventario[Stock actual],MATCH($F70,tblInventario[SKU],0))&lt;0)," · Stock negativo del SKU","")&amp;IF(AND($T70="Cobrado",$U70="")," · Cobro sin fecha","")&amp;IF(AND(ISNUMBER($V70),ISNUMBER($N70),$V70&gt;N($N70)+0.01)," · Cobrado &gt; venta neta","")&amp;IF(AND(ISNUMBER($V70),$V70&gt;0,$U70="")," · Monto cobrado sin fecha",""),4,900)))</f>
        <v/>
      </c>
    </row>
    <row r="71">
      <c r="A71" s="51">
        <f>IF(COUNTA($B71,$C71,$D71,$E71,$F71,$I71)=0,"","V-"&amp;TEXT(ROW()-6,"0000"))</f>
        <v/>
      </c>
      <c r="B71" s="41" t="n"/>
      <c r="C71" s="33" t="n"/>
      <c r="D71" s="33" t="n"/>
      <c r="E71" s="33" t="n"/>
      <c r="F71" s="33" t="n"/>
      <c r="G71" s="51">
        <f>IF($F71="","",IFERROR(IF(INDEX(tblProductos[Nombre del producto],MATCH($F71,tblProductos[SKU],0))="","",INDEX(tblProductos[Nombre del producto],MATCH($F71,tblProductos[SKU],0))),""))</f>
        <v/>
      </c>
      <c r="H71" s="51">
        <f>IF($F71="","",IFERROR(IF(INDEX(tblProductos[Categoría],MATCH($F71,tblProductos[SKU],0))="","",INDEX(tblProductos[Categoría],MATCH($F71,tblProductos[SKU],0))),""))</f>
        <v/>
      </c>
      <c r="I71" s="34" t="n"/>
      <c r="J71" s="39">
        <f>IF(OR($B71="",$F71="",$I71=""),"",IF($T71="Anulado",0,$I71))</f>
        <v/>
      </c>
      <c r="K71" s="54">
        <f>IF($F71="","",IFERROR(IF(INDEX(tblProductos[Precio de venta actual],MATCH($F71,tblProductos[SKU],0))="","",INDEX(tblProductos[Precio de venta actual],MATCH($F71,tblProductos[SKU],0))),""))</f>
        <v/>
      </c>
      <c r="L71" s="36" t="n"/>
      <c r="M71" s="37">
        <f>IF($J71="","",IF(NOT(ISNUMBER($K71)),"PRECIO PENDIENTE",$J71*$K71))</f>
        <v/>
      </c>
      <c r="N71" s="37">
        <f>IF($J71="","",IF(NOT(ISNUMBER($M71)),"PRECIO PENDIENTE",$M71-IF(ISNUMBER($L71),$L71,0)))</f>
        <v/>
      </c>
      <c r="O71" s="54">
        <f>IF($F71="","",IFERROR(INDEX(tblInventario[Costo unitario aplicado],MATCH($F71,tblInventario[SKU],0)),""))</f>
        <v/>
      </c>
      <c r="P71" s="37">
        <f>IF($J71="","",IF(NOT(ISNUMBER($O71)),"COSTO PENDIENTE",$J71*$O71))</f>
        <v/>
      </c>
      <c r="Q71" s="37">
        <f>IF($J71="","",IF(OR(NOT(ISNUMBER($N71)),NOT(ISNUMBER($P71))),"PENDIENTE",$N71-$P71))</f>
        <v/>
      </c>
      <c r="R71" s="38">
        <f>IF($J71="","",IF(OR(NOT(ISNUMBER($Q71)),NOT(ISNUMBER($N71)),$N71&lt;=0),"PENDIENTE",$Q71/$N71))</f>
        <v/>
      </c>
      <c r="S71" s="33" t="n"/>
      <c r="T71" s="33" t="n"/>
      <c r="U71" s="41" t="n"/>
      <c r="V71" s="36" t="n"/>
      <c r="W71" s="37">
        <f>IF(NOT(ISNUMBER($N71)),"",$N71-IF(ISNUMBER($V71),$V71,0))</f>
        <v/>
      </c>
      <c r="X71" s="33" t="n"/>
      <c r="Y71" s="51">
        <f>IF(COUNTA($B71,$C71,$D71,$E71,$F71,$I71)=0,"",IF(IF($B71=""," · Falta fecha","")&amp;IF($D71=""," · Falta cliente","")&amp;IF($E71=""," · Falta canal","")&amp;IF($F71=""," · Falta SKU","")&amp;IF(AND($F71&lt;&gt;"",COUNTIF(tblProductos[SKU],$F71)=0)," · SKU no existe","")&amp;IF(OR($I71="",NOT(ISNUMBER($I71)),$I71&lt;=0)," · Cantidad inválida","")&amp;IF($M71="PRECIO PENDIENTE"," · Falta precio de venta","")&amp;IF($P71="COSTO PENDIENTE"," · Falta costo del producto","")&amp;IF(AND(ISNUMBER($Q71),$Q71&lt;0)," · UTILIDAD NEGATIVA","")&amp;IF(AND($F71&lt;&gt;"",ISNUMBER(INDEX(tblInventario[Stock actual],MATCH($F71,tblInventario[SKU],0))),INDEX(tblInventario[Stock actual],MATCH($F71,tblInventario[SKU],0))&lt;0)," · Stock negativo del SKU","")&amp;IF(AND($T71="Cobrado",$U71="")," · Cobro sin fecha","")&amp;IF(AND(ISNUMBER($V71),ISNUMBER($N71),$V71&gt;N($N71)+0.01)," · Cobrado &gt; venta neta","")&amp;IF(AND(ISNUMBER($V71),$V71&gt;0,$U71="")," · Monto cobrado sin fecha","")="","OK",MID(IF($B71=""," · Falta fecha","")&amp;IF($D71=""," · Falta cliente","")&amp;IF($E71=""," · Falta canal","")&amp;IF($F71=""," · Falta SKU","")&amp;IF(AND($F71&lt;&gt;"",COUNTIF(tblProductos[SKU],$F71)=0)," · SKU no existe","")&amp;IF(OR($I71="",NOT(ISNUMBER($I71)),$I71&lt;=0)," · Cantidad inválida","")&amp;IF($M71="PRECIO PENDIENTE"," · Falta precio de venta","")&amp;IF($P71="COSTO PENDIENTE"," · Falta costo del producto","")&amp;IF(AND(ISNUMBER($Q71),$Q71&lt;0)," · UTILIDAD NEGATIVA","")&amp;IF(AND($F71&lt;&gt;"",ISNUMBER(INDEX(tblInventario[Stock actual],MATCH($F71,tblInventario[SKU],0))),INDEX(tblInventario[Stock actual],MATCH($F71,tblInventario[SKU],0))&lt;0)," · Stock negativo del SKU","")&amp;IF(AND($T71="Cobrado",$U71="")," · Cobro sin fecha","")&amp;IF(AND(ISNUMBER($V71),ISNUMBER($N71),$V71&gt;N($N71)+0.01)," · Cobrado &gt; venta neta","")&amp;IF(AND(ISNUMBER($V71),$V71&gt;0,$U71="")," · Monto cobrado sin fecha",""),4,900)))</f>
        <v/>
      </c>
    </row>
    <row r="72">
      <c r="A72" s="51">
        <f>IF(COUNTA($B72,$C72,$D72,$E72,$F72,$I72)=0,"","V-"&amp;TEXT(ROW()-6,"0000"))</f>
        <v/>
      </c>
      <c r="B72" s="41" t="n"/>
      <c r="C72" s="33" t="n"/>
      <c r="D72" s="33" t="n"/>
      <c r="E72" s="33" t="n"/>
      <c r="F72" s="33" t="n"/>
      <c r="G72" s="51">
        <f>IF($F72="","",IFERROR(IF(INDEX(tblProductos[Nombre del producto],MATCH($F72,tblProductos[SKU],0))="","",INDEX(tblProductos[Nombre del producto],MATCH($F72,tblProductos[SKU],0))),""))</f>
        <v/>
      </c>
      <c r="H72" s="51">
        <f>IF($F72="","",IFERROR(IF(INDEX(tblProductos[Categoría],MATCH($F72,tblProductos[SKU],0))="","",INDEX(tblProductos[Categoría],MATCH($F72,tblProductos[SKU],0))),""))</f>
        <v/>
      </c>
      <c r="I72" s="34" t="n"/>
      <c r="J72" s="39">
        <f>IF(OR($B72="",$F72="",$I72=""),"",IF($T72="Anulado",0,$I72))</f>
        <v/>
      </c>
      <c r="K72" s="54">
        <f>IF($F72="","",IFERROR(IF(INDEX(tblProductos[Precio de venta actual],MATCH($F72,tblProductos[SKU],0))="","",INDEX(tblProductos[Precio de venta actual],MATCH($F72,tblProductos[SKU],0))),""))</f>
        <v/>
      </c>
      <c r="L72" s="36" t="n"/>
      <c r="M72" s="37">
        <f>IF($J72="","",IF(NOT(ISNUMBER($K72)),"PRECIO PENDIENTE",$J72*$K72))</f>
        <v/>
      </c>
      <c r="N72" s="37">
        <f>IF($J72="","",IF(NOT(ISNUMBER($M72)),"PRECIO PENDIENTE",$M72-IF(ISNUMBER($L72),$L72,0)))</f>
        <v/>
      </c>
      <c r="O72" s="54">
        <f>IF($F72="","",IFERROR(INDEX(tblInventario[Costo unitario aplicado],MATCH($F72,tblInventario[SKU],0)),""))</f>
        <v/>
      </c>
      <c r="P72" s="37">
        <f>IF($J72="","",IF(NOT(ISNUMBER($O72)),"COSTO PENDIENTE",$J72*$O72))</f>
        <v/>
      </c>
      <c r="Q72" s="37">
        <f>IF($J72="","",IF(OR(NOT(ISNUMBER($N72)),NOT(ISNUMBER($P72))),"PENDIENTE",$N72-$P72))</f>
        <v/>
      </c>
      <c r="R72" s="38">
        <f>IF($J72="","",IF(OR(NOT(ISNUMBER($Q72)),NOT(ISNUMBER($N72)),$N72&lt;=0),"PENDIENTE",$Q72/$N72))</f>
        <v/>
      </c>
      <c r="S72" s="33" t="n"/>
      <c r="T72" s="33" t="n"/>
      <c r="U72" s="41" t="n"/>
      <c r="V72" s="36" t="n"/>
      <c r="W72" s="37">
        <f>IF(NOT(ISNUMBER($N72)),"",$N72-IF(ISNUMBER($V72),$V72,0))</f>
        <v/>
      </c>
      <c r="X72" s="33" t="n"/>
      <c r="Y72" s="51">
        <f>IF(COUNTA($B72,$C72,$D72,$E72,$F72,$I72)=0,"",IF(IF($B72=""," · Falta fecha","")&amp;IF($D72=""," · Falta cliente","")&amp;IF($E72=""," · Falta canal","")&amp;IF($F72=""," · Falta SKU","")&amp;IF(AND($F72&lt;&gt;"",COUNTIF(tblProductos[SKU],$F72)=0)," · SKU no existe","")&amp;IF(OR($I72="",NOT(ISNUMBER($I72)),$I72&lt;=0)," · Cantidad inválida","")&amp;IF($M72="PRECIO PENDIENTE"," · Falta precio de venta","")&amp;IF($P72="COSTO PENDIENTE"," · Falta costo del producto","")&amp;IF(AND(ISNUMBER($Q72),$Q72&lt;0)," · UTILIDAD NEGATIVA","")&amp;IF(AND($F72&lt;&gt;"",ISNUMBER(INDEX(tblInventario[Stock actual],MATCH($F72,tblInventario[SKU],0))),INDEX(tblInventario[Stock actual],MATCH($F72,tblInventario[SKU],0))&lt;0)," · Stock negativo del SKU","")&amp;IF(AND($T72="Cobrado",$U72="")," · Cobro sin fecha","")&amp;IF(AND(ISNUMBER($V72),ISNUMBER($N72),$V72&gt;N($N72)+0.01)," · Cobrado &gt; venta neta","")&amp;IF(AND(ISNUMBER($V72),$V72&gt;0,$U72="")," · Monto cobrado sin fecha","")="","OK",MID(IF($B72=""," · Falta fecha","")&amp;IF($D72=""," · Falta cliente","")&amp;IF($E72=""," · Falta canal","")&amp;IF($F72=""," · Falta SKU","")&amp;IF(AND($F72&lt;&gt;"",COUNTIF(tblProductos[SKU],$F72)=0)," · SKU no existe","")&amp;IF(OR($I72="",NOT(ISNUMBER($I72)),$I72&lt;=0)," · Cantidad inválida","")&amp;IF($M72="PRECIO PENDIENTE"," · Falta precio de venta","")&amp;IF($P72="COSTO PENDIENTE"," · Falta costo del producto","")&amp;IF(AND(ISNUMBER($Q72),$Q72&lt;0)," · UTILIDAD NEGATIVA","")&amp;IF(AND($F72&lt;&gt;"",ISNUMBER(INDEX(tblInventario[Stock actual],MATCH($F72,tblInventario[SKU],0))),INDEX(tblInventario[Stock actual],MATCH($F72,tblInventario[SKU],0))&lt;0)," · Stock negativo del SKU","")&amp;IF(AND($T72="Cobrado",$U72="")," · Cobro sin fecha","")&amp;IF(AND(ISNUMBER($V72),ISNUMBER($N72),$V72&gt;N($N72)+0.01)," · Cobrado &gt; venta neta","")&amp;IF(AND(ISNUMBER($V72),$V72&gt;0,$U72="")," · Monto cobrado sin fecha",""),4,900)))</f>
        <v/>
      </c>
    </row>
    <row r="73">
      <c r="A73" s="51">
        <f>IF(COUNTA($B73,$C73,$D73,$E73,$F73,$I73)=0,"","V-"&amp;TEXT(ROW()-6,"0000"))</f>
        <v/>
      </c>
      <c r="B73" s="41" t="n"/>
      <c r="C73" s="33" t="n"/>
      <c r="D73" s="33" t="n"/>
      <c r="E73" s="33" t="n"/>
      <c r="F73" s="33" t="n"/>
      <c r="G73" s="51">
        <f>IF($F73="","",IFERROR(IF(INDEX(tblProductos[Nombre del producto],MATCH($F73,tblProductos[SKU],0))="","",INDEX(tblProductos[Nombre del producto],MATCH($F73,tblProductos[SKU],0))),""))</f>
        <v/>
      </c>
      <c r="H73" s="51">
        <f>IF($F73="","",IFERROR(IF(INDEX(tblProductos[Categoría],MATCH($F73,tblProductos[SKU],0))="","",INDEX(tblProductos[Categoría],MATCH($F73,tblProductos[SKU],0))),""))</f>
        <v/>
      </c>
      <c r="I73" s="34" t="n"/>
      <c r="J73" s="39">
        <f>IF(OR($B73="",$F73="",$I73=""),"",IF($T73="Anulado",0,$I73))</f>
        <v/>
      </c>
      <c r="K73" s="54">
        <f>IF($F73="","",IFERROR(IF(INDEX(tblProductos[Precio de venta actual],MATCH($F73,tblProductos[SKU],0))="","",INDEX(tblProductos[Precio de venta actual],MATCH($F73,tblProductos[SKU],0))),""))</f>
        <v/>
      </c>
      <c r="L73" s="36" t="n"/>
      <c r="M73" s="37">
        <f>IF($J73="","",IF(NOT(ISNUMBER($K73)),"PRECIO PENDIENTE",$J73*$K73))</f>
        <v/>
      </c>
      <c r="N73" s="37">
        <f>IF($J73="","",IF(NOT(ISNUMBER($M73)),"PRECIO PENDIENTE",$M73-IF(ISNUMBER($L73),$L73,0)))</f>
        <v/>
      </c>
      <c r="O73" s="54">
        <f>IF($F73="","",IFERROR(INDEX(tblInventario[Costo unitario aplicado],MATCH($F73,tblInventario[SKU],0)),""))</f>
        <v/>
      </c>
      <c r="P73" s="37">
        <f>IF($J73="","",IF(NOT(ISNUMBER($O73)),"COSTO PENDIENTE",$J73*$O73))</f>
        <v/>
      </c>
      <c r="Q73" s="37">
        <f>IF($J73="","",IF(OR(NOT(ISNUMBER($N73)),NOT(ISNUMBER($P73))),"PENDIENTE",$N73-$P73))</f>
        <v/>
      </c>
      <c r="R73" s="38">
        <f>IF($J73="","",IF(OR(NOT(ISNUMBER($Q73)),NOT(ISNUMBER($N73)),$N73&lt;=0),"PENDIENTE",$Q73/$N73))</f>
        <v/>
      </c>
      <c r="S73" s="33" t="n"/>
      <c r="T73" s="33" t="n"/>
      <c r="U73" s="41" t="n"/>
      <c r="V73" s="36" t="n"/>
      <c r="W73" s="37">
        <f>IF(NOT(ISNUMBER($N73)),"",$N73-IF(ISNUMBER($V73),$V73,0))</f>
        <v/>
      </c>
      <c r="X73" s="33" t="n"/>
      <c r="Y73" s="51">
        <f>IF(COUNTA($B73,$C73,$D73,$E73,$F73,$I73)=0,"",IF(IF($B73=""," · Falta fecha","")&amp;IF($D73=""," · Falta cliente","")&amp;IF($E73=""," · Falta canal","")&amp;IF($F73=""," · Falta SKU","")&amp;IF(AND($F73&lt;&gt;"",COUNTIF(tblProductos[SKU],$F73)=0)," · SKU no existe","")&amp;IF(OR($I73="",NOT(ISNUMBER($I73)),$I73&lt;=0)," · Cantidad inválida","")&amp;IF($M73="PRECIO PENDIENTE"," · Falta precio de venta","")&amp;IF($P73="COSTO PENDIENTE"," · Falta costo del producto","")&amp;IF(AND(ISNUMBER($Q73),$Q73&lt;0)," · UTILIDAD NEGATIVA","")&amp;IF(AND($F73&lt;&gt;"",ISNUMBER(INDEX(tblInventario[Stock actual],MATCH($F73,tblInventario[SKU],0))),INDEX(tblInventario[Stock actual],MATCH($F73,tblInventario[SKU],0))&lt;0)," · Stock negativo del SKU","")&amp;IF(AND($T73="Cobrado",$U73="")," · Cobro sin fecha","")&amp;IF(AND(ISNUMBER($V73),ISNUMBER($N73),$V73&gt;N($N73)+0.01)," · Cobrado &gt; venta neta","")&amp;IF(AND(ISNUMBER($V73),$V73&gt;0,$U73="")," · Monto cobrado sin fecha","")="","OK",MID(IF($B73=""," · Falta fecha","")&amp;IF($D73=""," · Falta cliente","")&amp;IF($E73=""," · Falta canal","")&amp;IF($F73=""," · Falta SKU","")&amp;IF(AND($F73&lt;&gt;"",COUNTIF(tblProductos[SKU],$F73)=0)," · SKU no existe","")&amp;IF(OR($I73="",NOT(ISNUMBER($I73)),$I73&lt;=0)," · Cantidad inválida","")&amp;IF($M73="PRECIO PENDIENTE"," · Falta precio de venta","")&amp;IF($P73="COSTO PENDIENTE"," · Falta costo del producto","")&amp;IF(AND(ISNUMBER($Q73),$Q73&lt;0)," · UTILIDAD NEGATIVA","")&amp;IF(AND($F73&lt;&gt;"",ISNUMBER(INDEX(tblInventario[Stock actual],MATCH($F73,tblInventario[SKU],0))),INDEX(tblInventario[Stock actual],MATCH($F73,tblInventario[SKU],0))&lt;0)," · Stock negativo del SKU","")&amp;IF(AND($T73="Cobrado",$U73="")," · Cobro sin fecha","")&amp;IF(AND(ISNUMBER($V73),ISNUMBER($N73),$V73&gt;N($N73)+0.01)," · Cobrado &gt; venta neta","")&amp;IF(AND(ISNUMBER($V73),$V73&gt;0,$U73="")," · Monto cobrado sin fecha",""),4,900)))</f>
        <v/>
      </c>
    </row>
    <row r="74">
      <c r="A74" s="51">
        <f>IF(COUNTA($B74,$C74,$D74,$E74,$F74,$I74)=0,"","V-"&amp;TEXT(ROW()-6,"0000"))</f>
        <v/>
      </c>
      <c r="B74" s="41" t="n"/>
      <c r="C74" s="33" t="n"/>
      <c r="D74" s="33" t="n"/>
      <c r="E74" s="33" t="n"/>
      <c r="F74" s="33" t="n"/>
      <c r="G74" s="51">
        <f>IF($F74="","",IFERROR(IF(INDEX(tblProductos[Nombre del producto],MATCH($F74,tblProductos[SKU],0))="","",INDEX(tblProductos[Nombre del producto],MATCH($F74,tblProductos[SKU],0))),""))</f>
        <v/>
      </c>
      <c r="H74" s="51">
        <f>IF($F74="","",IFERROR(IF(INDEX(tblProductos[Categoría],MATCH($F74,tblProductos[SKU],0))="","",INDEX(tblProductos[Categoría],MATCH($F74,tblProductos[SKU],0))),""))</f>
        <v/>
      </c>
      <c r="I74" s="34" t="n"/>
      <c r="J74" s="39">
        <f>IF(OR($B74="",$F74="",$I74=""),"",IF($T74="Anulado",0,$I74))</f>
        <v/>
      </c>
      <c r="K74" s="54">
        <f>IF($F74="","",IFERROR(IF(INDEX(tblProductos[Precio de venta actual],MATCH($F74,tblProductos[SKU],0))="","",INDEX(tblProductos[Precio de venta actual],MATCH($F74,tblProductos[SKU],0))),""))</f>
        <v/>
      </c>
      <c r="L74" s="36" t="n"/>
      <c r="M74" s="37">
        <f>IF($J74="","",IF(NOT(ISNUMBER($K74)),"PRECIO PENDIENTE",$J74*$K74))</f>
        <v/>
      </c>
      <c r="N74" s="37">
        <f>IF($J74="","",IF(NOT(ISNUMBER($M74)),"PRECIO PENDIENTE",$M74-IF(ISNUMBER($L74),$L74,0)))</f>
        <v/>
      </c>
      <c r="O74" s="54">
        <f>IF($F74="","",IFERROR(INDEX(tblInventario[Costo unitario aplicado],MATCH($F74,tblInventario[SKU],0)),""))</f>
        <v/>
      </c>
      <c r="P74" s="37">
        <f>IF($J74="","",IF(NOT(ISNUMBER($O74)),"COSTO PENDIENTE",$J74*$O74))</f>
        <v/>
      </c>
      <c r="Q74" s="37">
        <f>IF($J74="","",IF(OR(NOT(ISNUMBER($N74)),NOT(ISNUMBER($P74))),"PENDIENTE",$N74-$P74))</f>
        <v/>
      </c>
      <c r="R74" s="38">
        <f>IF($J74="","",IF(OR(NOT(ISNUMBER($Q74)),NOT(ISNUMBER($N74)),$N74&lt;=0),"PENDIENTE",$Q74/$N74))</f>
        <v/>
      </c>
      <c r="S74" s="33" t="n"/>
      <c r="T74" s="33" t="n"/>
      <c r="U74" s="41" t="n"/>
      <c r="V74" s="36" t="n"/>
      <c r="W74" s="37">
        <f>IF(NOT(ISNUMBER($N74)),"",$N74-IF(ISNUMBER($V74),$V74,0))</f>
        <v/>
      </c>
      <c r="X74" s="33" t="n"/>
      <c r="Y74" s="51">
        <f>IF(COUNTA($B74,$C74,$D74,$E74,$F74,$I74)=0,"",IF(IF($B74=""," · Falta fecha","")&amp;IF($D74=""," · Falta cliente","")&amp;IF($E74=""," · Falta canal","")&amp;IF($F74=""," · Falta SKU","")&amp;IF(AND($F74&lt;&gt;"",COUNTIF(tblProductos[SKU],$F74)=0)," · SKU no existe","")&amp;IF(OR($I74="",NOT(ISNUMBER($I74)),$I74&lt;=0)," · Cantidad inválida","")&amp;IF($M74="PRECIO PENDIENTE"," · Falta precio de venta","")&amp;IF($P74="COSTO PENDIENTE"," · Falta costo del producto","")&amp;IF(AND(ISNUMBER($Q74),$Q74&lt;0)," · UTILIDAD NEGATIVA","")&amp;IF(AND($F74&lt;&gt;"",ISNUMBER(INDEX(tblInventario[Stock actual],MATCH($F74,tblInventario[SKU],0))),INDEX(tblInventario[Stock actual],MATCH($F74,tblInventario[SKU],0))&lt;0)," · Stock negativo del SKU","")&amp;IF(AND($T74="Cobrado",$U74="")," · Cobro sin fecha","")&amp;IF(AND(ISNUMBER($V74),ISNUMBER($N74),$V74&gt;N($N74)+0.01)," · Cobrado &gt; venta neta","")&amp;IF(AND(ISNUMBER($V74),$V74&gt;0,$U74="")," · Monto cobrado sin fecha","")="","OK",MID(IF($B74=""," · Falta fecha","")&amp;IF($D74=""," · Falta cliente","")&amp;IF($E74=""," · Falta canal","")&amp;IF($F74=""," · Falta SKU","")&amp;IF(AND($F74&lt;&gt;"",COUNTIF(tblProductos[SKU],$F74)=0)," · SKU no existe","")&amp;IF(OR($I74="",NOT(ISNUMBER($I74)),$I74&lt;=0)," · Cantidad inválida","")&amp;IF($M74="PRECIO PENDIENTE"," · Falta precio de venta","")&amp;IF($P74="COSTO PENDIENTE"," · Falta costo del producto","")&amp;IF(AND(ISNUMBER($Q74),$Q74&lt;0)," · UTILIDAD NEGATIVA","")&amp;IF(AND($F74&lt;&gt;"",ISNUMBER(INDEX(tblInventario[Stock actual],MATCH($F74,tblInventario[SKU],0))),INDEX(tblInventario[Stock actual],MATCH($F74,tblInventario[SKU],0))&lt;0)," · Stock negativo del SKU","")&amp;IF(AND($T74="Cobrado",$U74="")," · Cobro sin fecha","")&amp;IF(AND(ISNUMBER($V74),ISNUMBER($N74),$V74&gt;N($N74)+0.01)," · Cobrado &gt; venta neta","")&amp;IF(AND(ISNUMBER($V74),$V74&gt;0,$U74="")," · Monto cobrado sin fecha",""),4,900)))</f>
        <v/>
      </c>
    </row>
    <row r="75">
      <c r="A75" s="51">
        <f>IF(COUNTA($B75,$C75,$D75,$E75,$F75,$I75)=0,"","V-"&amp;TEXT(ROW()-6,"0000"))</f>
        <v/>
      </c>
      <c r="B75" s="41" t="n"/>
      <c r="C75" s="33" t="n"/>
      <c r="D75" s="33" t="n"/>
      <c r="E75" s="33" t="n"/>
      <c r="F75" s="33" t="n"/>
      <c r="G75" s="51">
        <f>IF($F75="","",IFERROR(IF(INDEX(tblProductos[Nombre del producto],MATCH($F75,tblProductos[SKU],0))="","",INDEX(tblProductos[Nombre del producto],MATCH($F75,tblProductos[SKU],0))),""))</f>
        <v/>
      </c>
      <c r="H75" s="51">
        <f>IF($F75="","",IFERROR(IF(INDEX(tblProductos[Categoría],MATCH($F75,tblProductos[SKU],0))="","",INDEX(tblProductos[Categoría],MATCH($F75,tblProductos[SKU],0))),""))</f>
        <v/>
      </c>
      <c r="I75" s="34" t="n"/>
      <c r="J75" s="39">
        <f>IF(OR($B75="",$F75="",$I75=""),"",IF($T75="Anulado",0,$I75))</f>
        <v/>
      </c>
      <c r="K75" s="54">
        <f>IF($F75="","",IFERROR(IF(INDEX(tblProductos[Precio de venta actual],MATCH($F75,tblProductos[SKU],0))="","",INDEX(tblProductos[Precio de venta actual],MATCH($F75,tblProductos[SKU],0))),""))</f>
        <v/>
      </c>
      <c r="L75" s="36" t="n"/>
      <c r="M75" s="37">
        <f>IF($J75="","",IF(NOT(ISNUMBER($K75)),"PRECIO PENDIENTE",$J75*$K75))</f>
        <v/>
      </c>
      <c r="N75" s="37">
        <f>IF($J75="","",IF(NOT(ISNUMBER($M75)),"PRECIO PENDIENTE",$M75-IF(ISNUMBER($L75),$L75,0)))</f>
        <v/>
      </c>
      <c r="O75" s="54">
        <f>IF($F75="","",IFERROR(INDEX(tblInventario[Costo unitario aplicado],MATCH($F75,tblInventario[SKU],0)),""))</f>
        <v/>
      </c>
      <c r="P75" s="37">
        <f>IF($J75="","",IF(NOT(ISNUMBER($O75)),"COSTO PENDIENTE",$J75*$O75))</f>
        <v/>
      </c>
      <c r="Q75" s="37">
        <f>IF($J75="","",IF(OR(NOT(ISNUMBER($N75)),NOT(ISNUMBER($P75))),"PENDIENTE",$N75-$P75))</f>
        <v/>
      </c>
      <c r="R75" s="38">
        <f>IF($J75="","",IF(OR(NOT(ISNUMBER($Q75)),NOT(ISNUMBER($N75)),$N75&lt;=0),"PENDIENTE",$Q75/$N75))</f>
        <v/>
      </c>
      <c r="S75" s="33" t="n"/>
      <c r="T75" s="33" t="n"/>
      <c r="U75" s="41" t="n"/>
      <c r="V75" s="36" t="n"/>
      <c r="W75" s="37">
        <f>IF(NOT(ISNUMBER($N75)),"",$N75-IF(ISNUMBER($V75),$V75,0))</f>
        <v/>
      </c>
      <c r="X75" s="33" t="n"/>
      <c r="Y75" s="51">
        <f>IF(COUNTA($B75,$C75,$D75,$E75,$F75,$I75)=0,"",IF(IF($B75=""," · Falta fecha","")&amp;IF($D75=""," · Falta cliente","")&amp;IF($E75=""," · Falta canal","")&amp;IF($F75=""," · Falta SKU","")&amp;IF(AND($F75&lt;&gt;"",COUNTIF(tblProductos[SKU],$F75)=0)," · SKU no existe","")&amp;IF(OR($I75="",NOT(ISNUMBER($I75)),$I75&lt;=0)," · Cantidad inválida","")&amp;IF($M75="PRECIO PENDIENTE"," · Falta precio de venta","")&amp;IF($P75="COSTO PENDIENTE"," · Falta costo del producto","")&amp;IF(AND(ISNUMBER($Q75),$Q75&lt;0)," · UTILIDAD NEGATIVA","")&amp;IF(AND($F75&lt;&gt;"",ISNUMBER(INDEX(tblInventario[Stock actual],MATCH($F75,tblInventario[SKU],0))),INDEX(tblInventario[Stock actual],MATCH($F75,tblInventario[SKU],0))&lt;0)," · Stock negativo del SKU","")&amp;IF(AND($T75="Cobrado",$U75="")," · Cobro sin fecha","")&amp;IF(AND(ISNUMBER($V75),ISNUMBER($N75),$V75&gt;N($N75)+0.01)," · Cobrado &gt; venta neta","")&amp;IF(AND(ISNUMBER($V75),$V75&gt;0,$U75="")," · Monto cobrado sin fecha","")="","OK",MID(IF($B75=""," · Falta fecha","")&amp;IF($D75=""," · Falta cliente","")&amp;IF($E75=""," · Falta canal","")&amp;IF($F75=""," · Falta SKU","")&amp;IF(AND($F75&lt;&gt;"",COUNTIF(tblProductos[SKU],$F75)=0)," · SKU no existe","")&amp;IF(OR($I75="",NOT(ISNUMBER($I75)),$I75&lt;=0)," · Cantidad inválida","")&amp;IF($M75="PRECIO PENDIENTE"," · Falta precio de venta","")&amp;IF($P75="COSTO PENDIENTE"," · Falta costo del producto","")&amp;IF(AND(ISNUMBER($Q75),$Q75&lt;0)," · UTILIDAD NEGATIVA","")&amp;IF(AND($F75&lt;&gt;"",ISNUMBER(INDEX(tblInventario[Stock actual],MATCH($F75,tblInventario[SKU],0))),INDEX(tblInventario[Stock actual],MATCH($F75,tblInventario[SKU],0))&lt;0)," · Stock negativo del SKU","")&amp;IF(AND($T75="Cobrado",$U75="")," · Cobro sin fecha","")&amp;IF(AND(ISNUMBER($V75),ISNUMBER($N75),$V75&gt;N($N75)+0.01)," · Cobrado &gt; venta neta","")&amp;IF(AND(ISNUMBER($V75),$V75&gt;0,$U75="")," · Monto cobrado sin fecha",""),4,900)))</f>
        <v/>
      </c>
    </row>
    <row r="76">
      <c r="A76" s="51">
        <f>IF(COUNTA($B76,$C76,$D76,$E76,$F76,$I76)=0,"","V-"&amp;TEXT(ROW()-6,"0000"))</f>
        <v/>
      </c>
      <c r="B76" s="41" t="n"/>
      <c r="C76" s="33" t="n"/>
      <c r="D76" s="33" t="n"/>
      <c r="E76" s="33" t="n"/>
      <c r="F76" s="33" t="n"/>
      <c r="G76" s="51">
        <f>IF($F76="","",IFERROR(IF(INDEX(tblProductos[Nombre del producto],MATCH($F76,tblProductos[SKU],0))="","",INDEX(tblProductos[Nombre del producto],MATCH($F76,tblProductos[SKU],0))),""))</f>
        <v/>
      </c>
      <c r="H76" s="51">
        <f>IF($F76="","",IFERROR(IF(INDEX(tblProductos[Categoría],MATCH($F76,tblProductos[SKU],0))="","",INDEX(tblProductos[Categoría],MATCH($F76,tblProductos[SKU],0))),""))</f>
        <v/>
      </c>
      <c r="I76" s="34" t="n"/>
      <c r="J76" s="39">
        <f>IF(OR($B76="",$F76="",$I76=""),"",IF($T76="Anulado",0,$I76))</f>
        <v/>
      </c>
      <c r="K76" s="54">
        <f>IF($F76="","",IFERROR(IF(INDEX(tblProductos[Precio de venta actual],MATCH($F76,tblProductos[SKU],0))="","",INDEX(tblProductos[Precio de venta actual],MATCH($F76,tblProductos[SKU],0))),""))</f>
        <v/>
      </c>
      <c r="L76" s="36" t="n"/>
      <c r="M76" s="37">
        <f>IF($J76="","",IF(NOT(ISNUMBER($K76)),"PRECIO PENDIENTE",$J76*$K76))</f>
        <v/>
      </c>
      <c r="N76" s="37">
        <f>IF($J76="","",IF(NOT(ISNUMBER($M76)),"PRECIO PENDIENTE",$M76-IF(ISNUMBER($L76),$L76,0)))</f>
        <v/>
      </c>
      <c r="O76" s="54">
        <f>IF($F76="","",IFERROR(INDEX(tblInventario[Costo unitario aplicado],MATCH($F76,tblInventario[SKU],0)),""))</f>
        <v/>
      </c>
      <c r="P76" s="37">
        <f>IF($J76="","",IF(NOT(ISNUMBER($O76)),"COSTO PENDIENTE",$J76*$O76))</f>
        <v/>
      </c>
      <c r="Q76" s="37">
        <f>IF($J76="","",IF(OR(NOT(ISNUMBER($N76)),NOT(ISNUMBER($P76))),"PENDIENTE",$N76-$P76))</f>
        <v/>
      </c>
      <c r="R76" s="38">
        <f>IF($J76="","",IF(OR(NOT(ISNUMBER($Q76)),NOT(ISNUMBER($N76)),$N76&lt;=0),"PENDIENTE",$Q76/$N76))</f>
        <v/>
      </c>
      <c r="S76" s="33" t="n"/>
      <c r="T76" s="33" t="n"/>
      <c r="U76" s="41" t="n"/>
      <c r="V76" s="36" t="n"/>
      <c r="W76" s="37">
        <f>IF(NOT(ISNUMBER($N76)),"",$N76-IF(ISNUMBER($V76),$V76,0))</f>
        <v/>
      </c>
      <c r="X76" s="33" t="n"/>
      <c r="Y76" s="51">
        <f>IF(COUNTA($B76,$C76,$D76,$E76,$F76,$I76)=0,"",IF(IF($B76=""," · Falta fecha","")&amp;IF($D76=""," · Falta cliente","")&amp;IF($E76=""," · Falta canal","")&amp;IF($F76=""," · Falta SKU","")&amp;IF(AND($F76&lt;&gt;"",COUNTIF(tblProductos[SKU],$F76)=0)," · SKU no existe","")&amp;IF(OR($I76="",NOT(ISNUMBER($I76)),$I76&lt;=0)," · Cantidad inválida","")&amp;IF($M76="PRECIO PENDIENTE"," · Falta precio de venta","")&amp;IF($P76="COSTO PENDIENTE"," · Falta costo del producto","")&amp;IF(AND(ISNUMBER($Q76),$Q76&lt;0)," · UTILIDAD NEGATIVA","")&amp;IF(AND($F76&lt;&gt;"",ISNUMBER(INDEX(tblInventario[Stock actual],MATCH($F76,tblInventario[SKU],0))),INDEX(tblInventario[Stock actual],MATCH($F76,tblInventario[SKU],0))&lt;0)," · Stock negativo del SKU","")&amp;IF(AND($T76="Cobrado",$U76="")," · Cobro sin fecha","")&amp;IF(AND(ISNUMBER($V76),ISNUMBER($N76),$V76&gt;N($N76)+0.01)," · Cobrado &gt; venta neta","")&amp;IF(AND(ISNUMBER($V76),$V76&gt;0,$U76="")," · Monto cobrado sin fecha","")="","OK",MID(IF($B76=""," · Falta fecha","")&amp;IF($D76=""," · Falta cliente","")&amp;IF($E76=""," · Falta canal","")&amp;IF($F76=""," · Falta SKU","")&amp;IF(AND($F76&lt;&gt;"",COUNTIF(tblProductos[SKU],$F76)=0)," · SKU no existe","")&amp;IF(OR($I76="",NOT(ISNUMBER($I76)),$I76&lt;=0)," · Cantidad inválida","")&amp;IF($M76="PRECIO PENDIENTE"," · Falta precio de venta","")&amp;IF($P76="COSTO PENDIENTE"," · Falta costo del producto","")&amp;IF(AND(ISNUMBER($Q76),$Q76&lt;0)," · UTILIDAD NEGATIVA","")&amp;IF(AND($F76&lt;&gt;"",ISNUMBER(INDEX(tblInventario[Stock actual],MATCH($F76,tblInventario[SKU],0))),INDEX(tblInventario[Stock actual],MATCH($F76,tblInventario[SKU],0))&lt;0)," · Stock negativo del SKU","")&amp;IF(AND($T76="Cobrado",$U76="")," · Cobro sin fecha","")&amp;IF(AND(ISNUMBER($V76),ISNUMBER($N76),$V76&gt;N($N76)+0.01)," · Cobrado &gt; venta neta","")&amp;IF(AND(ISNUMBER($V76),$V76&gt;0,$U76="")," · Monto cobrado sin fecha",""),4,900)))</f>
        <v/>
      </c>
    </row>
    <row r="77">
      <c r="A77" s="51">
        <f>IF(COUNTA($B77,$C77,$D77,$E77,$F77,$I77)=0,"","V-"&amp;TEXT(ROW()-6,"0000"))</f>
        <v/>
      </c>
      <c r="B77" s="41" t="n"/>
      <c r="C77" s="33" t="n"/>
      <c r="D77" s="33" t="n"/>
      <c r="E77" s="33" t="n"/>
      <c r="F77" s="33" t="n"/>
      <c r="G77" s="51">
        <f>IF($F77="","",IFERROR(IF(INDEX(tblProductos[Nombre del producto],MATCH($F77,tblProductos[SKU],0))="","",INDEX(tblProductos[Nombre del producto],MATCH($F77,tblProductos[SKU],0))),""))</f>
        <v/>
      </c>
      <c r="H77" s="51">
        <f>IF($F77="","",IFERROR(IF(INDEX(tblProductos[Categoría],MATCH($F77,tblProductos[SKU],0))="","",INDEX(tblProductos[Categoría],MATCH($F77,tblProductos[SKU],0))),""))</f>
        <v/>
      </c>
      <c r="I77" s="34" t="n"/>
      <c r="J77" s="39">
        <f>IF(OR($B77="",$F77="",$I77=""),"",IF($T77="Anulado",0,$I77))</f>
        <v/>
      </c>
      <c r="K77" s="54">
        <f>IF($F77="","",IFERROR(IF(INDEX(tblProductos[Precio de venta actual],MATCH($F77,tblProductos[SKU],0))="","",INDEX(tblProductos[Precio de venta actual],MATCH($F77,tblProductos[SKU],0))),""))</f>
        <v/>
      </c>
      <c r="L77" s="36" t="n"/>
      <c r="M77" s="37">
        <f>IF($J77="","",IF(NOT(ISNUMBER($K77)),"PRECIO PENDIENTE",$J77*$K77))</f>
        <v/>
      </c>
      <c r="N77" s="37">
        <f>IF($J77="","",IF(NOT(ISNUMBER($M77)),"PRECIO PENDIENTE",$M77-IF(ISNUMBER($L77),$L77,0)))</f>
        <v/>
      </c>
      <c r="O77" s="54">
        <f>IF($F77="","",IFERROR(INDEX(tblInventario[Costo unitario aplicado],MATCH($F77,tblInventario[SKU],0)),""))</f>
        <v/>
      </c>
      <c r="P77" s="37">
        <f>IF($J77="","",IF(NOT(ISNUMBER($O77)),"COSTO PENDIENTE",$J77*$O77))</f>
        <v/>
      </c>
      <c r="Q77" s="37">
        <f>IF($J77="","",IF(OR(NOT(ISNUMBER($N77)),NOT(ISNUMBER($P77))),"PENDIENTE",$N77-$P77))</f>
        <v/>
      </c>
      <c r="R77" s="38">
        <f>IF($J77="","",IF(OR(NOT(ISNUMBER($Q77)),NOT(ISNUMBER($N77)),$N77&lt;=0),"PENDIENTE",$Q77/$N77))</f>
        <v/>
      </c>
      <c r="S77" s="33" t="n"/>
      <c r="T77" s="33" t="n"/>
      <c r="U77" s="41" t="n"/>
      <c r="V77" s="36" t="n"/>
      <c r="W77" s="37">
        <f>IF(NOT(ISNUMBER($N77)),"",$N77-IF(ISNUMBER($V77),$V77,0))</f>
        <v/>
      </c>
      <c r="X77" s="33" t="n"/>
      <c r="Y77" s="51">
        <f>IF(COUNTA($B77,$C77,$D77,$E77,$F77,$I77)=0,"",IF(IF($B77=""," · Falta fecha","")&amp;IF($D77=""," · Falta cliente","")&amp;IF($E77=""," · Falta canal","")&amp;IF($F77=""," · Falta SKU","")&amp;IF(AND($F77&lt;&gt;"",COUNTIF(tblProductos[SKU],$F77)=0)," · SKU no existe","")&amp;IF(OR($I77="",NOT(ISNUMBER($I77)),$I77&lt;=0)," · Cantidad inválida","")&amp;IF($M77="PRECIO PENDIENTE"," · Falta precio de venta","")&amp;IF($P77="COSTO PENDIENTE"," · Falta costo del producto","")&amp;IF(AND(ISNUMBER($Q77),$Q77&lt;0)," · UTILIDAD NEGATIVA","")&amp;IF(AND($F77&lt;&gt;"",ISNUMBER(INDEX(tblInventario[Stock actual],MATCH($F77,tblInventario[SKU],0))),INDEX(tblInventario[Stock actual],MATCH($F77,tblInventario[SKU],0))&lt;0)," · Stock negativo del SKU","")&amp;IF(AND($T77="Cobrado",$U77="")," · Cobro sin fecha","")&amp;IF(AND(ISNUMBER($V77),ISNUMBER($N77),$V77&gt;N($N77)+0.01)," · Cobrado &gt; venta neta","")&amp;IF(AND(ISNUMBER($V77),$V77&gt;0,$U77="")," · Monto cobrado sin fecha","")="","OK",MID(IF($B77=""," · Falta fecha","")&amp;IF($D77=""," · Falta cliente","")&amp;IF($E77=""," · Falta canal","")&amp;IF($F77=""," · Falta SKU","")&amp;IF(AND($F77&lt;&gt;"",COUNTIF(tblProductos[SKU],$F77)=0)," · SKU no existe","")&amp;IF(OR($I77="",NOT(ISNUMBER($I77)),$I77&lt;=0)," · Cantidad inválida","")&amp;IF($M77="PRECIO PENDIENTE"," · Falta precio de venta","")&amp;IF($P77="COSTO PENDIENTE"," · Falta costo del producto","")&amp;IF(AND(ISNUMBER($Q77),$Q77&lt;0)," · UTILIDAD NEGATIVA","")&amp;IF(AND($F77&lt;&gt;"",ISNUMBER(INDEX(tblInventario[Stock actual],MATCH($F77,tblInventario[SKU],0))),INDEX(tblInventario[Stock actual],MATCH($F77,tblInventario[SKU],0))&lt;0)," · Stock negativo del SKU","")&amp;IF(AND($T77="Cobrado",$U77="")," · Cobro sin fecha","")&amp;IF(AND(ISNUMBER($V77),ISNUMBER($N77),$V77&gt;N($N77)+0.01)," · Cobrado &gt; venta neta","")&amp;IF(AND(ISNUMBER($V77),$V77&gt;0,$U77="")," · Monto cobrado sin fecha",""),4,900)))</f>
        <v/>
      </c>
    </row>
    <row r="78">
      <c r="A78" s="51">
        <f>IF(COUNTA($B78,$C78,$D78,$E78,$F78,$I78)=0,"","V-"&amp;TEXT(ROW()-6,"0000"))</f>
        <v/>
      </c>
      <c r="B78" s="41" t="n"/>
      <c r="C78" s="33" t="n"/>
      <c r="D78" s="33" t="n"/>
      <c r="E78" s="33" t="n"/>
      <c r="F78" s="33" t="n"/>
      <c r="G78" s="51">
        <f>IF($F78="","",IFERROR(IF(INDEX(tblProductos[Nombre del producto],MATCH($F78,tblProductos[SKU],0))="","",INDEX(tblProductos[Nombre del producto],MATCH($F78,tblProductos[SKU],0))),""))</f>
        <v/>
      </c>
      <c r="H78" s="51">
        <f>IF($F78="","",IFERROR(IF(INDEX(tblProductos[Categoría],MATCH($F78,tblProductos[SKU],0))="","",INDEX(tblProductos[Categoría],MATCH($F78,tblProductos[SKU],0))),""))</f>
        <v/>
      </c>
      <c r="I78" s="34" t="n"/>
      <c r="J78" s="39">
        <f>IF(OR($B78="",$F78="",$I78=""),"",IF($T78="Anulado",0,$I78))</f>
        <v/>
      </c>
      <c r="K78" s="54">
        <f>IF($F78="","",IFERROR(IF(INDEX(tblProductos[Precio de venta actual],MATCH($F78,tblProductos[SKU],0))="","",INDEX(tblProductos[Precio de venta actual],MATCH($F78,tblProductos[SKU],0))),""))</f>
        <v/>
      </c>
      <c r="L78" s="36" t="n"/>
      <c r="M78" s="37">
        <f>IF($J78="","",IF(NOT(ISNUMBER($K78)),"PRECIO PENDIENTE",$J78*$K78))</f>
        <v/>
      </c>
      <c r="N78" s="37">
        <f>IF($J78="","",IF(NOT(ISNUMBER($M78)),"PRECIO PENDIENTE",$M78-IF(ISNUMBER($L78),$L78,0)))</f>
        <v/>
      </c>
      <c r="O78" s="54">
        <f>IF($F78="","",IFERROR(INDEX(tblInventario[Costo unitario aplicado],MATCH($F78,tblInventario[SKU],0)),""))</f>
        <v/>
      </c>
      <c r="P78" s="37">
        <f>IF($J78="","",IF(NOT(ISNUMBER($O78)),"COSTO PENDIENTE",$J78*$O78))</f>
        <v/>
      </c>
      <c r="Q78" s="37">
        <f>IF($J78="","",IF(OR(NOT(ISNUMBER($N78)),NOT(ISNUMBER($P78))),"PENDIENTE",$N78-$P78))</f>
        <v/>
      </c>
      <c r="R78" s="38">
        <f>IF($J78="","",IF(OR(NOT(ISNUMBER($Q78)),NOT(ISNUMBER($N78)),$N78&lt;=0),"PENDIENTE",$Q78/$N78))</f>
        <v/>
      </c>
      <c r="S78" s="33" t="n"/>
      <c r="T78" s="33" t="n"/>
      <c r="U78" s="41" t="n"/>
      <c r="V78" s="36" t="n"/>
      <c r="W78" s="37">
        <f>IF(NOT(ISNUMBER($N78)),"",$N78-IF(ISNUMBER($V78),$V78,0))</f>
        <v/>
      </c>
      <c r="X78" s="33" t="n"/>
      <c r="Y78" s="51">
        <f>IF(COUNTA($B78,$C78,$D78,$E78,$F78,$I78)=0,"",IF(IF($B78=""," · Falta fecha","")&amp;IF($D78=""," · Falta cliente","")&amp;IF($E78=""," · Falta canal","")&amp;IF($F78=""," · Falta SKU","")&amp;IF(AND($F78&lt;&gt;"",COUNTIF(tblProductos[SKU],$F78)=0)," · SKU no existe","")&amp;IF(OR($I78="",NOT(ISNUMBER($I78)),$I78&lt;=0)," · Cantidad inválida","")&amp;IF($M78="PRECIO PENDIENTE"," · Falta precio de venta","")&amp;IF($P78="COSTO PENDIENTE"," · Falta costo del producto","")&amp;IF(AND(ISNUMBER($Q78),$Q78&lt;0)," · UTILIDAD NEGATIVA","")&amp;IF(AND($F78&lt;&gt;"",ISNUMBER(INDEX(tblInventario[Stock actual],MATCH($F78,tblInventario[SKU],0))),INDEX(tblInventario[Stock actual],MATCH($F78,tblInventario[SKU],0))&lt;0)," · Stock negativo del SKU","")&amp;IF(AND($T78="Cobrado",$U78="")," · Cobro sin fecha","")&amp;IF(AND(ISNUMBER($V78),ISNUMBER($N78),$V78&gt;N($N78)+0.01)," · Cobrado &gt; venta neta","")&amp;IF(AND(ISNUMBER($V78),$V78&gt;0,$U78="")," · Monto cobrado sin fecha","")="","OK",MID(IF($B78=""," · Falta fecha","")&amp;IF($D78=""," · Falta cliente","")&amp;IF($E78=""," · Falta canal","")&amp;IF($F78=""," · Falta SKU","")&amp;IF(AND($F78&lt;&gt;"",COUNTIF(tblProductos[SKU],$F78)=0)," · SKU no existe","")&amp;IF(OR($I78="",NOT(ISNUMBER($I78)),$I78&lt;=0)," · Cantidad inválida","")&amp;IF($M78="PRECIO PENDIENTE"," · Falta precio de venta","")&amp;IF($P78="COSTO PENDIENTE"," · Falta costo del producto","")&amp;IF(AND(ISNUMBER($Q78),$Q78&lt;0)," · UTILIDAD NEGATIVA","")&amp;IF(AND($F78&lt;&gt;"",ISNUMBER(INDEX(tblInventario[Stock actual],MATCH($F78,tblInventario[SKU],0))),INDEX(tblInventario[Stock actual],MATCH($F78,tblInventario[SKU],0))&lt;0)," · Stock negativo del SKU","")&amp;IF(AND($T78="Cobrado",$U78="")," · Cobro sin fecha","")&amp;IF(AND(ISNUMBER($V78),ISNUMBER($N78),$V78&gt;N($N78)+0.01)," · Cobrado &gt; venta neta","")&amp;IF(AND(ISNUMBER($V78),$V78&gt;0,$U78="")," · Monto cobrado sin fecha",""),4,900)))</f>
        <v/>
      </c>
    </row>
    <row r="79">
      <c r="A79" s="51">
        <f>IF(COUNTA($B79,$C79,$D79,$E79,$F79,$I79)=0,"","V-"&amp;TEXT(ROW()-6,"0000"))</f>
        <v/>
      </c>
      <c r="B79" s="41" t="n"/>
      <c r="C79" s="33" t="n"/>
      <c r="D79" s="33" t="n"/>
      <c r="E79" s="33" t="n"/>
      <c r="F79" s="33" t="n"/>
      <c r="G79" s="51">
        <f>IF($F79="","",IFERROR(IF(INDEX(tblProductos[Nombre del producto],MATCH($F79,tblProductos[SKU],0))="","",INDEX(tblProductos[Nombre del producto],MATCH($F79,tblProductos[SKU],0))),""))</f>
        <v/>
      </c>
      <c r="H79" s="51">
        <f>IF($F79="","",IFERROR(IF(INDEX(tblProductos[Categoría],MATCH($F79,tblProductos[SKU],0))="","",INDEX(tblProductos[Categoría],MATCH($F79,tblProductos[SKU],0))),""))</f>
        <v/>
      </c>
      <c r="I79" s="34" t="n"/>
      <c r="J79" s="39">
        <f>IF(OR($B79="",$F79="",$I79=""),"",IF($T79="Anulado",0,$I79))</f>
        <v/>
      </c>
      <c r="K79" s="54">
        <f>IF($F79="","",IFERROR(IF(INDEX(tblProductos[Precio de venta actual],MATCH($F79,tblProductos[SKU],0))="","",INDEX(tblProductos[Precio de venta actual],MATCH($F79,tblProductos[SKU],0))),""))</f>
        <v/>
      </c>
      <c r="L79" s="36" t="n"/>
      <c r="M79" s="37">
        <f>IF($J79="","",IF(NOT(ISNUMBER($K79)),"PRECIO PENDIENTE",$J79*$K79))</f>
        <v/>
      </c>
      <c r="N79" s="37">
        <f>IF($J79="","",IF(NOT(ISNUMBER($M79)),"PRECIO PENDIENTE",$M79-IF(ISNUMBER($L79),$L79,0)))</f>
        <v/>
      </c>
      <c r="O79" s="54">
        <f>IF($F79="","",IFERROR(INDEX(tblInventario[Costo unitario aplicado],MATCH($F79,tblInventario[SKU],0)),""))</f>
        <v/>
      </c>
      <c r="P79" s="37">
        <f>IF($J79="","",IF(NOT(ISNUMBER($O79)),"COSTO PENDIENTE",$J79*$O79))</f>
        <v/>
      </c>
      <c r="Q79" s="37">
        <f>IF($J79="","",IF(OR(NOT(ISNUMBER($N79)),NOT(ISNUMBER($P79))),"PENDIENTE",$N79-$P79))</f>
        <v/>
      </c>
      <c r="R79" s="38">
        <f>IF($J79="","",IF(OR(NOT(ISNUMBER($Q79)),NOT(ISNUMBER($N79)),$N79&lt;=0),"PENDIENTE",$Q79/$N79))</f>
        <v/>
      </c>
      <c r="S79" s="33" t="n"/>
      <c r="T79" s="33" t="n"/>
      <c r="U79" s="41" t="n"/>
      <c r="V79" s="36" t="n"/>
      <c r="W79" s="37">
        <f>IF(NOT(ISNUMBER($N79)),"",$N79-IF(ISNUMBER($V79),$V79,0))</f>
        <v/>
      </c>
      <c r="X79" s="33" t="n"/>
      <c r="Y79" s="51">
        <f>IF(COUNTA($B79,$C79,$D79,$E79,$F79,$I79)=0,"",IF(IF($B79=""," · Falta fecha","")&amp;IF($D79=""," · Falta cliente","")&amp;IF($E79=""," · Falta canal","")&amp;IF($F79=""," · Falta SKU","")&amp;IF(AND($F79&lt;&gt;"",COUNTIF(tblProductos[SKU],$F79)=0)," · SKU no existe","")&amp;IF(OR($I79="",NOT(ISNUMBER($I79)),$I79&lt;=0)," · Cantidad inválida","")&amp;IF($M79="PRECIO PENDIENTE"," · Falta precio de venta","")&amp;IF($P79="COSTO PENDIENTE"," · Falta costo del producto","")&amp;IF(AND(ISNUMBER($Q79),$Q79&lt;0)," · UTILIDAD NEGATIVA","")&amp;IF(AND($F79&lt;&gt;"",ISNUMBER(INDEX(tblInventario[Stock actual],MATCH($F79,tblInventario[SKU],0))),INDEX(tblInventario[Stock actual],MATCH($F79,tblInventario[SKU],0))&lt;0)," · Stock negativo del SKU","")&amp;IF(AND($T79="Cobrado",$U79="")," · Cobro sin fecha","")&amp;IF(AND(ISNUMBER($V79),ISNUMBER($N79),$V79&gt;N($N79)+0.01)," · Cobrado &gt; venta neta","")&amp;IF(AND(ISNUMBER($V79),$V79&gt;0,$U79="")," · Monto cobrado sin fecha","")="","OK",MID(IF($B79=""," · Falta fecha","")&amp;IF($D79=""," · Falta cliente","")&amp;IF($E79=""," · Falta canal","")&amp;IF($F79=""," · Falta SKU","")&amp;IF(AND($F79&lt;&gt;"",COUNTIF(tblProductos[SKU],$F79)=0)," · SKU no existe","")&amp;IF(OR($I79="",NOT(ISNUMBER($I79)),$I79&lt;=0)," · Cantidad inválida","")&amp;IF($M79="PRECIO PENDIENTE"," · Falta precio de venta","")&amp;IF($P79="COSTO PENDIENTE"," · Falta costo del producto","")&amp;IF(AND(ISNUMBER($Q79),$Q79&lt;0)," · UTILIDAD NEGATIVA","")&amp;IF(AND($F79&lt;&gt;"",ISNUMBER(INDEX(tblInventario[Stock actual],MATCH($F79,tblInventario[SKU],0))),INDEX(tblInventario[Stock actual],MATCH($F79,tblInventario[SKU],0))&lt;0)," · Stock negativo del SKU","")&amp;IF(AND($T79="Cobrado",$U79="")," · Cobro sin fecha","")&amp;IF(AND(ISNUMBER($V79),ISNUMBER($N79),$V79&gt;N($N79)+0.01)," · Cobrado &gt; venta neta","")&amp;IF(AND(ISNUMBER($V79),$V79&gt;0,$U79="")," · Monto cobrado sin fecha",""),4,900)))</f>
        <v/>
      </c>
    </row>
    <row r="80">
      <c r="A80" s="51">
        <f>IF(COUNTA($B80,$C80,$D80,$E80,$F80,$I80)=0,"","V-"&amp;TEXT(ROW()-6,"0000"))</f>
        <v/>
      </c>
      <c r="B80" s="41" t="n"/>
      <c r="C80" s="33" t="n"/>
      <c r="D80" s="33" t="n"/>
      <c r="E80" s="33" t="n"/>
      <c r="F80" s="33" t="n"/>
      <c r="G80" s="51">
        <f>IF($F80="","",IFERROR(IF(INDEX(tblProductos[Nombre del producto],MATCH($F80,tblProductos[SKU],0))="","",INDEX(tblProductos[Nombre del producto],MATCH($F80,tblProductos[SKU],0))),""))</f>
        <v/>
      </c>
      <c r="H80" s="51">
        <f>IF($F80="","",IFERROR(IF(INDEX(tblProductos[Categoría],MATCH($F80,tblProductos[SKU],0))="","",INDEX(tblProductos[Categoría],MATCH($F80,tblProductos[SKU],0))),""))</f>
        <v/>
      </c>
      <c r="I80" s="34" t="n"/>
      <c r="J80" s="39">
        <f>IF(OR($B80="",$F80="",$I80=""),"",IF($T80="Anulado",0,$I80))</f>
        <v/>
      </c>
      <c r="K80" s="54">
        <f>IF($F80="","",IFERROR(IF(INDEX(tblProductos[Precio de venta actual],MATCH($F80,tblProductos[SKU],0))="","",INDEX(tblProductos[Precio de venta actual],MATCH($F80,tblProductos[SKU],0))),""))</f>
        <v/>
      </c>
      <c r="L80" s="36" t="n"/>
      <c r="M80" s="37">
        <f>IF($J80="","",IF(NOT(ISNUMBER($K80)),"PRECIO PENDIENTE",$J80*$K80))</f>
        <v/>
      </c>
      <c r="N80" s="37">
        <f>IF($J80="","",IF(NOT(ISNUMBER($M80)),"PRECIO PENDIENTE",$M80-IF(ISNUMBER($L80),$L80,0)))</f>
        <v/>
      </c>
      <c r="O80" s="54">
        <f>IF($F80="","",IFERROR(INDEX(tblInventario[Costo unitario aplicado],MATCH($F80,tblInventario[SKU],0)),""))</f>
        <v/>
      </c>
      <c r="P80" s="37">
        <f>IF($J80="","",IF(NOT(ISNUMBER($O80)),"COSTO PENDIENTE",$J80*$O80))</f>
        <v/>
      </c>
      <c r="Q80" s="37">
        <f>IF($J80="","",IF(OR(NOT(ISNUMBER($N80)),NOT(ISNUMBER($P80))),"PENDIENTE",$N80-$P80))</f>
        <v/>
      </c>
      <c r="R80" s="38">
        <f>IF($J80="","",IF(OR(NOT(ISNUMBER($Q80)),NOT(ISNUMBER($N80)),$N80&lt;=0),"PENDIENTE",$Q80/$N80))</f>
        <v/>
      </c>
      <c r="S80" s="33" t="n"/>
      <c r="T80" s="33" t="n"/>
      <c r="U80" s="41" t="n"/>
      <c r="V80" s="36" t="n"/>
      <c r="W80" s="37">
        <f>IF(NOT(ISNUMBER($N80)),"",$N80-IF(ISNUMBER($V80),$V80,0))</f>
        <v/>
      </c>
      <c r="X80" s="33" t="n"/>
      <c r="Y80" s="51">
        <f>IF(COUNTA($B80,$C80,$D80,$E80,$F80,$I80)=0,"",IF(IF($B80=""," · Falta fecha","")&amp;IF($D80=""," · Falta cliente","")&amp;IF($E80=""," · Falta canal","")&amp;IF($F80=""," · Falta SKU","")&amp;IF(AND($F80&lt;&gt;"",COUNTIF(tblProductos[SKU],$F80)=0)," · SKU no existe","")&amp;IF(OR($I80="",NOT(ISNUMBER($I80)),$I80&lt;=0)," · Cantidad inválida","")&amp;IF($M80="PRECIO PENDIENTE"," · Falta precio de venta","")&amp;IF($P80="COSTO PENDIENTE"," · Falta costo del producto","")&amp;IF(AND(ISNUMBER($Q80),$Q80&lt;0)," · UTILIDAD NEGATIVA","")&amp;IF(AND($F80&lt;&gt;"",ISNUMBER(INDEX(tblInventario[Stock actual],MATCH($F80,tblInventario[SKU],0))),INDEX(tblInventario[Stock actual],MATCH($F80,tblInventario[SKU],0))&lt;0)," · Stock negativo del SKU","")&amp;IF(AND($T80="Cobrado",$U80="")," · Cobro sin fecha","")&amp;IF(AND(ISNUMBER($V80),ISNUMBER($N80),$V80&gt;N($N80)+0.01)," · Cobrado &gt; venta neta","")&amp;IF(AND(ISNUMBER($V80),$V80&gt;0,$U80="")," · Monto cobrado sin fecha","")="","OK",MID(IF($B80=""," · Falta fecha","")&amp;IF($D80=""," · Falta cliente","")&amp;IF($E80=""," · Falta canal","")&amp;IF($F80=""," · Falta SKU","")&amp;IF(AND($F80&lt;&gt;"",COUNTIF(tblProductos[SKU],$F80)=0)," · SKU no existe","")&amp;IF(OR($I80="",NOT(ISNUMBER($I80)),$I80&lt;=0)," · Cantidad inválida","")&amp;IF($M80="PRECIO PENDIENTE"," · Falta precio de venta","")&amp;IF($P80="COSTO PENDIENTE"," · Falta costo del producto","")&amp;IF(AND(ISNUMBER($Q80),$Q80&lt;0)," · UTILIDAD NEGATIVA","")&amp;IF(AND($F80&lt;&gt;"",ISNUMBER(INDEX(tblInventario[Stock actual],MATCH($F80,tblInventario[SKU],0))),INDEX(tblInventario[Stock actual],MATCH($F80,tblInventario[SKU],0))&lt;0)," · Stock negativo del SKU","")&amp;IF(AND($T80="Cobrado",$U80="")," · Cobro sin fecha","")&amp;IF(AND(ISNUMBER($V80),ISNUMBER($N80),$V80&gt;N($N80)+0.01)," · Cobrado &gt; venta neta","")&amp;IF(AND(ISNUMBER($V80),$V80&gt;0,$U80="")," · Monto cobrado sin fecha",""),4,900)))</f>
        <v/>
      </c>
    </row>
    <row r="81">
      <c r="A81" s="51">
        <f>IF(COUNTA($B81,$C81,$D81,$E81,$F81,$I81)=0,"","V-"&amp;TEXT(ROW()-6,"0000"))</f>
        <v/>
      </c>
      <c r="B81" s="41" t="n"/>
      <c r="C81" s="33" t="n"/>
      <c r="D81" s="33" t="n"/>
      <c r="E81" s="33" t="n"/>
      <c r="F81" s="33" t="n"/>
      <c r="G81" s="51">
        <f>IF($F81="","",IFERROR(IF(INDEX(tblProductos[Nombre del producto],MATCH($F81,tblProductos[SKU],0))="","",INDEX(tblProductos[Nombre del producto],MATCH($F81,tblProductos[SKU],0))),""))</f>
        <v/>
      </c>
      <c r="H81" s="51">
        <f>IF($F81="","",IFERROR(IF(INDEX(tblProductos[Categoría],MATCH($F81,tblProductos[SKU],0))="","",INDEX(tblProductos[Categoría],MATCH($F81,tblProductos[SKU],0))),""))</f>
        <v/>
      </c>
      <c r="I81" s="34" t="n"/>
      <c r="J81" s="39">
        <f>IF(OR($B81="",$F81="",$I81=""),"",IF($T81="Anulado",0,$I81))</f>
        <v/>
      </c>
      <c r="K81" s="54">
        <f>IF($F81="","",IFERROR(IF(INDEX(tblProductos[Precio de venta actual],MATCH($F81,tblProductos[SKU],0))="","",INDEX(tblProductos[Precio de venta actual],MATCH($F81,tblProductos[SKU],0))),""))</f>
        <v/>
      </c>
      <c r="L81" s="36" t="n"/>
      <c r="M81" s="37">
        <f>IF($J81="","",IF(NOT(ISNUMBER($K81)),"PRECIO PENDIENTE",$J81*$K81))</f>
        <v/>
      </c>
      <c r="N81" s="37">
        <f>IF($J81="","",IF(NOT(ISNUMBER($M81)),"PRECIO PENDIENTE",$M81-IF(ISNUMBER($L81),$L81,0)))</f>
        <v/>
      </c>
      <c r="O81" s="54">
        <f>IF($F81="","",IFERROR(INDEX(tblInventario[Costo unitario aplicado],MATCH($F81,tblInventario[SKU],0)),""))</f>
        <v/>
      </c>
      <c r="P81" s="37">
        <f>IF($J81="","",IF(NOT(ISNUMBER($O81)),"COSTO PENDIENTE",$J81*$O81))</f>
        <v/>
      </c>
      <c r="Q81" s="37">
        <f>IF($J81="","",IF(OR(NOT(ISNUMBER($N81)),NOT(ISNUMBER($P81))),"PENDIENTE",$N81-$P81))</f>
        <v/>
      </c>
      <c r="R81" s="38">
        <f>IF($J81="","",IF(OR(NOT(ISNUMBER($Q81)),NOT(ISNUMBER($N81)),$N81&lt;=0),"PENDIENTE",$Q81/$N81))</f>
        <v/>
      </c>
      <c r="S81" s="33" t="n"/>
      <c r="T81" s="33" t="n"/>
      <c r="U81" s="41" t="n"/>
      <c r="V81" s="36" t="n"/>
      <c r="W81" s="37">
        <f>IF(NOT(ISNUMBER($N81)),"",$N81-IF(ISNUMBER($V81),$V81,0))</f>
        <v/>
      </c>
      <c r="X81" s="33" t="n"/>
      <c r="Y81" s="51">
        <f>IF(COUNTA($B81,$C81,$D81,$E81,$F81,$I81)=0,"",IF(IF($B81=""," · Falta fecha","")&amp;IF($D81=""," · Falta cliente","")&amp;IF($E81=""," · Falta canal","")&amp;IF($F81=""," · Falta SKU","")&amp;IF(AND($F81&lt;&gt;"",COUNTIF(tblProductos[SKU],$F81)=0)," · SKU no existe","")&amp;IF(OR($I81="",NOT(ISNUMBER($I81)),$I81&lt;=0)," · Cantidad inválida","")&amp;IF($M81="PRECIO PENDIENTE"," · Falta precio de venta","")&amp;IF($P81="COSTO PENDIENTE"," · Falta costo del producto","")&amp;IF(AND(ISNUMBER($Q81),$Q81&lt;0)," · UTILIDAD NEGATIVA","")&amp;IF(AND($F81&lt;&gt;"",ISNUMBER(INDEX(tblInventario[Stock actual],MATCH($F81,tblInventario[SKU],0))),INDEX(tblInventario[Stock actual],MATCH($F81,tblInventario[SKU],0))&lt;0)," · Stock negativo del SKU","")&amp;IF(AND($T81="Cobrado",$U81="")," · Cobro sin fecha","")&amp;IF(AND(ISNUMBER($V81),ISNUMBER($N81),$V81&gt;N($N81)+0.01)," · Cobrado &gt; venta neta","")&amp;IF(AND(ISNUMBER($V81),$V81&gt;0,$U81="")," · Monto cobrado sin fecha","")="","OK",MID(IF($B81=""," · Falta fecha","")&amp;IF($D81=""," · Falta cliente","")&amp;IF($E81=""," · Falta canal","")&amp;IF($F81=""," · Falta SKU","")&amp;IF(AND($F81&lt;&gt;"",COUNTIF(tblProductos[SKU],$F81)=0)," · SKU no existe","")&amp;IF(OR($I81="",NOT(ISNUMBER($I81)),$I81&lt;=0)," · Cantidad inválida","")&amp;IF($M81="PRECIO PENDIENTE"," · Falta precio de venta","")&amp;IF($P81="COSTO PENDIENTE"," · Falta costo del producto","")&amp;IF(AND(ISNUMBER($Q81),$Q81&lt;0)," · UTILIDAD NEGATIVA","")&amp;IF(AND($F81&lt;&gt;"",ISNUMBER(INDEX(tblInventario[Stock actual],MATCH($F81,tblInventario[SKU],0))),INDEX(tblInventario[Stock actual],MATCH($F81,tblInventario[SKU],0))&lt;0)," · Stock negativo del SKU","")&amp;IF(AND($T81="Cobrado",$U81="")," · Cobro sin fecha","")&amp;IF(AND(ISNUMBER($V81),ISNUMBER($N81),$V81&gt;N($N81)+0.01)," · Cobrado &gt; venta neta","")&amp;IF(AND(ISNUMBER($V81),$V81&gt;0,$U81="")," · Monto cobrado sin fecha",""),4,900)))</f>
        <v/>
      </c>
    </row>
    <row r="82">
      <c r="A82" s="51">
        <f>IF(COUNTA($B82,$C82,$D82,$E82,$F82,$I82)=0,"","V-"&amp;TEXT(ROW()-6,"0000"))</f>
        <v/>
      </c>
      <c r="B82" s="41" t="n"/>
      <c r="C82" s="33" t="n"/>
      <c r="D82" s="33" t="n"/>
      <c r="E82" s="33" t="n"/>
      <c r="F82" s="33" t="n"/>
      <c r="G82" s="51">
        <f>IF($F82="","",IFERROR(IF(INDEX(tblProductos[Nombre del producto],MATCH($F82,tblProductos[SKU],0))="","",INDEX(tblProductos[Nombre del producto],MATCH($F82,tblProductos[SKU],0))),""))</f>
        <v/>
      </c>
      <c r="H82" s="51">
        <f>IF($F82="","",IFERROR(IF(INDEX(tblProductos[Categoría],MATCH($F82,tblProductos[SKU],0))="","",INDEX(tblProductos[Categoría],MATCH($F82,tblProductos[SKU],0))),""))</f>
        <v/>
      </c>
      <c r="I82" s="34" t="n"/>
      <c r="J82" s="39">
        <f>IF(OR($B82="",$F82="",$I82=""),"",IF($T82="Anulado",0,$I82))</f>
        <v/>
      </c>
      <c r="K82" s="54">
        <f>IF($F82="","",IFERROR(IF(INDEX(tblProductos[Precio de venta actual],MATCH($F82,tblProductos[SKU],0))="","",INDEX(tblProductos[Precio de venta actual],MATCH($F82,tblProductos[SKU],0))),""))</f>
        <v/>
      </c>
      <c r="L82" s="36" t="n"/>
      <c r="M82" s="37">
        <f>IF($J82="","",IF(NOT(ISNUMBER($K82)),"PRECIO PENDIENTE",$J82*$K82))</f>
        <v/>
      </c>
      <c r="N82" s="37">
        <f>IF($J82="","",IF(NOT(ISNUMBER($M82)),"PRECIO PENDIENTE",$M82-IF(ISNUMBER($L82),$L82,0)))</f>
        <v/>
      </c>
      <c r="O82" s="54">
        <f>IF($F82="","",IFERROR(INDEX(tblInventario[Costo unitario aplicado],MATCH($F82,tblInventario[SKU],0)),""))</f>
        <v/>
      </c>
      <c r="P82" s="37">
        <f>IF($J82="","",IF(NOT(ISNUMBER($O82)),"COSTO PENDIENTE",$J82*$O82))</f>
        <v/>
      </c>
      <c r="Q82" s="37">
        <f>IF($J82="","",IF(OR(NOT(ISNUMBER($N82)),NOT(ISNUMBER($P82))),"PENDIENTE",$N82-$P82))</f>
        <v/>
      </c>
      <c r="R82" s="38">
        <f>IF($J82="","",IF(OR(NOT(ISNUMBER($Q82)),NOT(ISNUMBER($N82)),$N82&lt;=0),"PENDIENTE",$Q82/$N82))</f>
        <v/>
      </c>
      <c r="S82" s="33" t="n"/>
      <c r="T82" s="33" t="n"/>
      <c r="U82" s="41" t="n"/>
      <c r="V82" s="36" t="n"/>
      <c r="W82" s="37">
        <f>IF(NOT(ISNUMBER($N82)),"",$N82-IF(ISNUMBER($V82),$V82,0))</f>
        <v/>
      </c>
      <c r="X82" s="33" t="n"/>
      <c r="Y82" s="51">
        <f>IF(COUNTA($B82,$C82,$D82,$E82,$F82,$I82)=0,"",IF(IF($B82=""," · Falta fecha","")&amp;IF($D82=""," · Falta cliente","")&amp;IF($E82=""," · Falta canal","")&amp;IF($F82=""," · Falta SKU","")&amp;IF(AND($F82&lt;&gt;"",COUNTIF(tblProductos[SKU],$F82)=0)," · SKU no existe","")&amp;IF(OR($I82="",NOT(ISNUMBER($I82)),$I82&lt;=0)," · Cantidad inválida","")&amp;IF($M82="PRECIO PENDIENTE"," · Falta precio de venta","")&amp;IF($P82="COSTO PENDIENTE"," · Falta costo del producto","")&amp;IF(AND(ISNUMBER($Q82),$Q82&lt;0)," · UTILIDAD NEGATIVA","")&amp;IF(AND($F82&lt;&gt;"",ISNUMBER(INDEX(tblInventario[Stock actual],MATCH($F82,tblInventario[SKU],0))),INDEX(tblInventario[Stock actual],MATCH($F82,tblInventario[SKU],0))&lt;0)," · Stock negativo del SKU","")&amp;IF(AND($T82="Cobrado",$U82="")," · Cobro sin fecha","")&amp;IF(AND(ISNUMBER($V82),ISNUMBER($N82),$V82&gt;N($N82)+0.01)," · Cobrado &gt; venta neta","")&amp;IF(AND(ISNUMBER($V82),$V82&gt;0,$U82="")," · Monto cobrado sin fecha","")="","OK",MID(IF($B82=""," · Falta fecha","")&amp;IF($D82=""," · Falta cliente","")&amp;IF($E82=""," · Falta canal","")&amp;IF($F82=""," · Falta SKU","")&amp;IF(AND($F82&lt;&gt;"",COUNTIF(tblProductos[SKU],$F82)=0)," · SKU no existe","")&amp;IF(OR($I82="",NOT(ISNUMBER($I82)),$I82&lt;=0)," · Cantidad inválida","")&amp;IF($M82="PRECIO PENDIENTE"," · Falta precio de venta","")&amp;IF($P82="COSTO PENDIENTE"," · Falta costo del producto","")&amp;IF(AND(ISNUMBER($Q82),$Q82&lt;0)," · UTILIDAD NEGATIVA","")&amp;IF(AND($F82&lt;&gt;"",ISNUMBER(INDEX(tblInventario[Stock actual],MATCH($F82,tblInventario[SKU],0))),INDEX(tblInventario[Stock actual],MATCH($F82,tblInventario[SKU],0))&lt;0)," · Stock negativo del SKU","")&amp;IF(AND($T82="Cobrado",$U82="")," · Cobro sin fecha","")&amp;IF(AND(ISNUMBER($V82),ISNUMBER($N82),$V82&gt;N($N82)+0.01)," · Cobrado &gt; venta neta","")&amp;IF(AND(ISNUMBER($V82),$V82&gt;0,$U82="")," · Monto cobrado sin fecha",""),4,900)))</f>
        <v/>
      </c>
    </row>
    <row r="83">
      <c r="A83" s="51">
        <f>IF(COUNTA($B83,$C83,$D83,$E83,$F83,$I83)=0,"","V-"&amp;TEXT(ROW()-6,"0000"))</f>
        <v/>
      </c>
      <c r="B83" s="41" t="n"/>
      <c r="C83" s="33" t="n"/>
      <c r="D83" s="33" t="n"/>
      <c r="E83" s="33" t="n"/>
      <c r="F83" s="33" t="n"/>
      <c r="G83" s="51">
        <f>IF($F83="","",IFERROR(IF(INDEX(tblProductos[Nombre del producto],MATCH($F83,tblProductos[SKU],0))="","",INDEX(tblProductos[Nombre del producto],MATCH($F83,tblProductos[SKU],0))),""))</f>
        <v/>
      </c>
      <c r="H83" s="51">
        <f>IF($F83="","",IFERROR(IF(INDEX(tblProductos[Categoría],MATCH($F83,tblProductos[SKU],0))="","",INDEX(tblProductos[Categoría],MATCH($F83,tblProductos[SKU],0))),""))</f>
        <v/>
      </c>
      <c r="I83" s="34" t="n"/>
      <c r="J83" s="39">
        <f>IF(OR($B83="",$F83="",$I83=""),"",IF($T83="Anulado",0,$I83))</f>
        <v/>
      </c>
      <c r="K83" s="54">
        <f>IF($F83="","",IFERROR(IF(INDEX(tblProductos[Precio de venta actual],MATCH($F83,tblProductos[SKU],0))="","",INDEX(tblProductos[Precio de venta actual],MATCH($F83,tblProductos[SKU],0))),""))</f>
        <v/>
      </c>
      <c r="L83" s="36" t="n"/>
      <c r="M83" s="37">
        <f>IF($J83="","",IF(NOT(ISNUMBER($K83)),"PRECIO PENDIENTE",$J83*$K83))</f>
        <v/>
      </c>
      <c r="N83" s="37">
        <f>IF($J83="","",IF(NOT(ISNUMBER($M83)),"PRECIO PENDIENTE",$M83-IF(ISNUMBER($L83),$L83,0)))</f>
        <v/>
      </c>
      <c r="O83" s="54">
        <f>IF($F83="","",IFERROR(INDEX(tblInventario[Costo unitario aplicado],MATCH($F83,tblInventario[SKU],0)),""))</f>
        <v/>
      </c>
      <c r="P83" s="37">
        <f>IF($J83="","",IF(NOT(ISNUMBER($O83)),"COSTO PENDIENTE",$J83*$O83))</f>
        <v/>
      </c>
      <c r="Q83" s="37">
        <f>IF($J83="","",IF(OR(NOT(ISNUMBER($N83)),NOT(ISNUMBER($P83))),"PENDIENTE",$N83-$P83))</f>
        <v/>
      </c>
      <c r="R83" s="38">
        <f>IF($J83="","",IF(OR(NOT(ISNUMBER($Q83)),NOT(ISNUMBER($N83)),$N83&lt;=0),"PENDIENTE",$Q83/$N83))</f>
        <v/>
      </c>
      <c r="S83" s="33" t="n"/>
      <c r="T83" s="33" t="n"/>
      <c r="U83" s="41" t="n"/>
      <c r="V83" s="36" t="n"/>
      <c r="W83" s="37">
        <f>IF(NOT(ISNUMBER($N83)),"",$N83-IF(ISNUMBER($V83),$V83,0))</f>
        <v/>
      </c>
      <c r="X83" s="33" t="n"/>
      <c r="Y83" s="51">
        <f>IF(COUNTA($B83,$C83,$D83,$E83,$F83,$I83)=0,"",IF(IF($B83=""," · Falta fecha","")&amp;IF($D83=""," · Falta cliente","")&amp;IF($E83=""," · Falta canal","")&amp;IF($F83=""," · Falta SKU","")&amp;IF(AND($F83&lt;&gt;"",COUNTIF(tblProductos[SKU],$F83)=0)," · SKU no existe","")&amp;IF(OR($I83="",NOT(ISNUMBER($I83)),$I83&lt;=0)," · Cantidad inválida","")&amp;IF($M83="PRECIO PENDIENTE"," · Falta precio de venta","")&amp;IF($P83="COSTO PENDIENTE"," · Falta costo del producto","")&amp;IF(AND(ISNUMBER($Q83),$Q83&lt;0)," · UTILIDAD NEGATIVA","")&amp;IF(AND($F83&lt;&gt;"",ISNUMBER(INDEX(tblInventario[Stock actual],MATCH($F83,tblInventario[SKU],0))),INDEX(tblInventario[Stock actual],MATCH($F83,tblInventario[SKU],0))&lt;0)," · Stock negativo del SKU","")&amp;IF(AND($T83="Cobrado",$U83="")," · Cobro sin fecha","")&amp;IF(AND(ISNUMBER($V83),ISNUMBER($N83),$V83&gt;N($N83)+0.01)," · Cobrado &gt; venta neta","")&amp;IF(AND(ISNUMBER($V83),$V83&gt;0,$U83="")," · Monto cobrado sin fecha","")="","OK",MID(IF($B83=""," · Falta fecha","")&amp;IF($D83=""," · Falta cliente","")&amp;IF($E83=""," · Falta canal","")&amp;IF($F83=""," · Falta SKU","")&amp;IF(AND($F83&lt;&gt;"",COUNTIF(tblProductos[SKU],$F83)=0)," · SKU no existe","")&amp;IF(OR($I83="",NOT(ISNUMBER($I83)),$I83&lt;=0)," · Cantidad inválida","")&amp;IF($M83="PRECIO PENDIENTE"," · Falta precio de venta","")&amp;IF($P83="COSTO PENDIENTE"," · Falta costo del producto","")&amp;IF(AND(ISNUMBER($Q83),$Q83&lt;0)," · UTILIDAD NEGATIVA","")&amp;IF(AND($F83&lt;&gt;"",ISNUMBER(INDEX(tblInventario[Stock actual],MATCH($F83,tblInventario[SKU],0))),INDEX(tblInventario[Stock actual],MATCH($F83,tblInventario[SKU],0))&lt;0)," · Stock negativo del SKU","")&amp;IF(AND($T83="Cobrado",$U83="")," · Cobro sin fecha","")&amp;IF(AND(ISNUMBER($V83),ISNUMBER($N83),$V83&gt;N($N83)+0.01)," · Cobrado &gt; venta neta","")&amp;IF(AND(ISNUMBER($V83),$V83&gt;0,$U83="")," · Monto cobrado sin fecha",""),4,900)))</f>
        <v/>
      </c>
    </row>
    <row r="84">
      <c r="A84" s="51">
        <f>IF(COUNTA($B84,$C84,$D84,$E84,$F84,$I84)=0,"","V-"&amp;TEXT(ROW()-6,"0000"))</f>
        <v/>
      </c>
      <c r="B84" s="41" t="n"/>
      <c r="C84" s="33" t="n"/>
      <c r="D84" s="33" t="n"/>
      <c r="E84" s="33" t="n"/>
      <c r="F84" s="33" t="n"/>
      <c r="G84" s="51">
        <f>IF($F84="","",IFERROR(IF(INDEX(tblProductos[Nombre del producto],MATCH($F84,tblProductos[SKU],0))="","",INDEX(tblProductos[Nombre del producto],MATCH($F84,tblProductos[SKU],0))),""))</f>
        <v/>
      </c>
      <c r="H84" s="51">
        <f>IF($F84="","",IFERROR(IF(INDEX(tblProductos[Categoría],MATCH($F84,tblProductos[SKU],0))="","",INDEX(tblProductos[Categoría],MATCH($F84,tblProductos[SKU],0))),""))</f>
        <v/>
      </c>
      <c r="I84" s="34" t="n"/>
      <c r="J84" s="39">
        <f>IF(OR($B84="",$F84="",$I84=""),"",IF($T84="Anulado",0,$I84))</f>
        <v/>
      </c>
      <c r="K84" s="54">
        <f>IF($F84="","",IFERROR(IF(INDEX(tblProductos[Precio de venta actual],MATCH($F84,tblProductos[SKU],0))="","",INDEX(tblProductos[Precio de venta actual],MATCH($F84,tblProductos[SKU],0))),""))</f>
        <v/>
      </c>
      <c r="L84" s="36" t="n"/>
      <c r="M84" s="37">
        <f>IF($J84="","",IF(NOT(ISNUMBER($K84)),"PRECIO PENDIENTE",$J84*$K84))</f>
        <v/>
      </c>
      <c r="N84" s="37">
        <f>IF($J84="","",IF(NOT(ISNUMBER($M84)),"PRECIO PENDIENTE",$M84-IF(ISNUMBER($L84),$L84,0)))</f>
        <v/>
      </c>
      <c r="O84" s="54">
        <f>IF($F84="","",IFERROR(INDEX(tblInventario[Costo unitario aplicado],MATCH($F84,tblInventario[SKU],0)),""))</f>
        <v/>
      </c>
      <c r="P84" s="37">
        <f>IF($J84="","",IF(NOT(ISNUMBER($O84)),"COSTO PENDIENTE",$J84*$O84))</f>
        <v/>
      </c>
      <c r="Q84" s="37">
        <f>IF($J84="","",IF(OR(NOT(ISNUMBER($N84)),NOT(ISNUMBER($P84))),"PENDIENTE",$N84-$P84))</f>
        <v/>
      </c>
      <c r="R84" s="38">
        <f>IF($J84="","",IF(OR(NOT(ISNUMBER($Q84)),NOT(ISNUMBER($N84)),$N84&lt;=0),"PENDIENTE",$Q84/$N84))</f>
        <v/>
      </c>
      <c r="S84" s="33" t="n"/>
      <c r="T84" s="33" t="n"/>
      <c r="U84" s="41" t="n"/>
      <c r="V84" s="36" t="n"/>
      <c r="W84" s="37">
        <f>IF(NOT(ISNUMBER($N84)),"",$N84-IF(ISNUMBER($V84),$V84,0))</f>
        <v/>
      </c>
      <c r="X84" s="33" t="n"/>
      <c r="Y84" s="51">
        <f>IF(COUNTA($B84,$C84,$D84,$E84,$F84,$I84)=0,"",IF(IF($B84=""," · Falta fecha","")&amp;IF($D84=""," · Falta cliente","")&amp;IF($E84=""," · Falta canal","")&amp;IF($F84=""," · Falta SKU","")&amp;IF(AND($F84&lt;&gt;"",COUNTIF(tblProductos[SKU],$F84)=0)," · SKU no existe","")&amp;IF(OR($I84="",NOT(ISNUMBER($I84)),$I84&lt;=0)," · Cantidad inválida","")&amp;IF($M84="PRECIO PENDIENTE"," · Falta precio de venta","")&amp;IF($P84="COSTO PENDIENTE"," · Falta costo del producto","")&amp;IF(AND(ISNUMBER($Q84),$Q84&lt;0)," · UTILIDAD NEGATIVA","")&amp;IF(AND($F84&lt;&gt;"",ISNUMBER(INDEX(tblInventario[Stock actual],MATCH($F84,tblInventario[SKU],0))),INDEX(tblInventario[Stock actual],MATCH($F84,tblInventario[SKU],0))&lt;0)," · Stock negativo del SKU","")&amp;IF(AND($T84="Cobrado",$U84="")," · Cobro sin fecha","")&amp;IF(AND(ISNUMBER($V84),ISNUMBER($N84),$V84&gt;N($N84)+0.01)," · Cobrado &gt; venta neta","")&amp;IF(AND(ISNUMBER($V84),$V84&gt;0,$U84="")," · Monto cobrado sin fecha","")="","OK",MID(IF($B84=""," · Falta fecha","")&amp;IF($D84=""," · Falta cliente","")&amp;IF($E84=""," · Falta canal","")&amp;IF($F84=""," · Falta SKU","")&amp;IF(AND($F84&lt;&gt;"",COUNTIF(tblProductos[SKU],$F84)=0)," · SKU no existe","")&amp;IF(OR($I84="",NOT(ISNUMBER($I84)),$I84&lt;=0)," · Cantidad inválida","")&amp;IF($M84="PRECIO PENDIENTE"," · Falta precio de venta","")&amp;IF($P84="COSTO PENDIENTE"," · Falta costo del producto","")&amp;IF(AND(ISNUMBER($Q84),$Q84&lt;0)," · UTILIDAD NEGATIVA","")&amp;IF(AND($F84&lt;&gt;"",ISNUMBER(INDEX(tblInventario[Stock actual],MATCH($F84,tblInventario[SKU],0))),INDEX(tblInventario[Stock actual],MATCH($F84,tblInventario[SKU],0))&lt;0)," · Stock negativo del SKU","")&amp;IF(AND($T84="Cobrado",$U84="")," · Cobro sin fecha","")&amp;IF(AND(ISNUMBER($V84),ISNUMBER($N84),$V84&gt;N($N84)+0.01)," · Cobrado &gt; venta neta","")&amp;IF(AND(ISNUMBER($V84),$V84&gt;0,$U84="")," · Monto cobrado sin fecha",""),4,900)))</f>
        <v/>
      </c>
    </row>
    <row r="85">
      <c r="A85" s="51">
        <f>IF(COUNTA($B85,$C85,$D85,$E85,$F85,$I85)=0,"","V-"&amp;TEXT(ROW()-6,"0000"))</f>
        <v/>
      </c>
      <c r="B85" s="41" t="n"/>
      <c r="C85" s="33" t="n"/>
      <c r="D85" s="33" t="n"/>
      <c r="E85" s="33" t="n"/>
      <c r="F85" s="33" t="n"/>
      <c r="G85" s="51">
        <f>IF($F85="","",IFERROR(IF(INDEX(tblProductos[Nombre del producto],MATCH($F85,tblProductos[SKU],0))="","",INDEX(tblProductos[Nombre del producto],MATCH($F85,tblProductos[SKU],0))),""))</f>
        <v/>
      </c>
      <c r="H85" s="51">
        <f>IF($F85="","",IFERROR(IF(INDEX(tblProductos[Categoría],MATCH($F85,tblProductos[SKU],0))="","",INDEX(tblProductos[Categoría],MATCH($F85,tblProductos[SKU],0))),""))</f>
        <v/>
      </c>
      <c r="I85" s="34" t="n"/>
      <c r="J85" s="39">
        <f>IF(OR($B85="",$F85="",$I85=""),"",IF($T85="Anulado",0,$I85))</f>
        <v/>
      </c>
      <c r="K85" s="54">
        <f>IF($F85="","",IFERROR(IF(INDEX(tblProductos[Precio de venta actual],MATCH($F85,tblProductos[SKU],0))="","",INDEX(tblProductos[Precio de venta actual],MATCH($F85,tblProductos[SKU],0))),""))</f>
        <v/>
      </c>
      <c r="L85" s="36" t="n"/>
      <c r="M85" s="37">
        <f>IF($J85="","",IF(NOT(ISNUMBER($K85)),"PRECIO PENDIENTE",$J85*$K85))</f>
        <v/>
      </c>
      <c r="N85" s="37">
        <f>IF($J85="","",IF(NOT(ISNUMBER($M85)),"PRECIO PENDIENTE",$M85-IF(ISNUMBER($L85),$L85,0)))</f>
        <v/>
      </c>
      <c r="O85" s="54">
        <f>IF($F85="","",IFERROR(INDEX(tblInventario[Costo unitario aplicado],MATCH($F85,tblInventario[SKU],0)),""))</f>
        <v/>
      </c>
      <c r="P85" s="37">
        <f>IF($J85="","",IF(NOT(ISNUMBER($O85)),"COSTO PENDIENTE",$J85*$O85))</f>
        <v/>
      </c>
      <c r="Q85" s="37">
        <f>IF($J85="","",IF(OR(NOT(ISNUMBER($N85)),NOT(ISNUMBER($P85))),"PENDIENTE",$N85-$P85))</f>
        <v/>
      </c>
      <c r="R85" s="38">
        <f>IF($J85="","",IF(OR(NOT(ISNUMBER($Q85)),NOT(ISNUMBER($N85)),$N85&lt;=0),"PENDIENTE",$Q85/$N85))</f>
        <v/>
      </c>
      <c r="S85" s="33" t="n"/>
      <c r="T85" s="33" t="n"/>
      <c r="U85" s="41" t="n"/>
      <c r="V85" s="36" t="n"/>
      <c r="W85" s="37">
        <f>IF(NOT(ISNUMBER($N85)),"",$N85-IF(ISNUMBER($V85),$V85,0))</f>
        <v/>
      </c>
      <c r="X85" s="33" t="n"/>
      <c r="Y85" s="51">
        <f>IF(COUNTA($B85,$C85,$D85,$E85,$F85,$I85)=0,"",IF(IF($B85=""," · Falta fecha","")&amp;IF($D85=""," · Falta cliente","")&amp;IF($E85=""," · Falta canal","")&amp;IF($F85=""," · Falta SKU","")&amp;IF(AND($F85&lt;&gt;"",COUNTIF(tblProductos[SKU],$F85)=0)," · SKU no existe","")&amp;IF(OR($I85="",NOT(ISNUMBER($I85)),$I85&lt;=0)," · Cantidad inválida","")&amp;IF($M85="PRECIO PENDIENTE"," · Falta precio de venta","")&amp;IF($P85="COSTO PENDIENTE"," · Falta costo del producto","")&amp;IF(AND(ISNUMBER($Q85),$Q85&lt;0)," · UTILIDAD NEGATIVA","")&amp;IF(AND($F85&lt;&gt;"",ISNUMBER(INDEX(tblInventario[Stock actual],MATCH($F85,tblInventario[SKU],0))),INDEX(tblInventario[Stock actual],MATCH($F85,tblInventario[SKU],0))&lt;0)," · Stock negativo del SKU","")&amp;IF(AND($T85="Cobrado",$U85="")," · Cobro sin fecha","")&amp;IF(AND(ISNUMBER($V85),ISNUMBER($N85),$V85&gt;N($N85)+0.01)," · Cobrado &gt; venta neta","")&amp;IF(AND(ISNUMBER($V85),$V85&gt;0,$U85="")," · Monto cobrado sin fecha","")="","OK",MID(IF($B85=""," · Falta fecha","")&amp;IF($D85=""," · Falta cliente","")&amp;IF($E85=""," · Falta canal","")&amp;IF($F85=""," · Falta SKU","")&amp;IF(AND($F85&lt;&gt;"",COUNTIF(tblProductos[SKU],$F85)=0)," · SKU no existe","")&amp;IF(OR($I85="",NOT(ISNUMBER($I85)),$I85&lt;=0)," · Cantidad inválida","")&amp;IF($M85="PRECIO PENDIENTE"," · Falta precio de venta","")&amp;IF($P85="COSTO PENDIENTE"," · Falta costo del producto","")&amp;IF(AND(ISNUMBER($Q85),$Q85&lt;0)," · UTILIDAD NEGATIVA","")&amp;IF(AND($F85&lt;&gt;"",ISNUMBER(INDEX(tblInventario[Stock actual],MATCH($F85,tblInventario[SKU],0))),INDEX(tblInventario[Stock actual],MATCH($F85,tblInventario[SKU],0))&lt;0)," · Stock negativo del SKU","")&amp;IF(AND($T85="Cobrado",$U85="")," · Cobro sin fecha","")&amp;IF(AND(ISNUMBER($V85),ISNUMBER($N85),$V85&gt;N($N85)+0.01)," · Cobrado &gt; venta neta","")&amp;IF(AND(ISNUMBER($V85),$V85&gt;0,$U85="")," · Monto cobrado sin fecha",""),4,900)))</f>
        <v/>
      </c>
    </row>
    <row r="86">
      <c r="A86" s="51">
        <f>IF(COUNTA($B86,$C86,$D86,$E86,$F86,$I86)=0,"","V-"&amp;TEXT(ROW()-6,"0000"))</f>
        <v/>
      </c>
      <c r="B86" s="41" t="n"/>
      <c r="C86" s="33" t="n"/>
      <c r="D86" s="33" t="n"/>
      <c r="E86" s="33" t="n"/>
      <c r="F86" s="33" t="n"/>
      <c r="G86" s="51">
        <f>IF($F86="","",IFERROR(IF(INDEX(tblProductos[Nombre del producto],MATCH($F86,tblProductos[SKU],0))="","",INDEX(tblProductos[Nombre del producto],MATCH($F86,tblProductos[SKU],0))),""))</f>
        <v/>
      </c>
      <c r="H86" s="51">
        <f>IF($F86="","",IFERROR(IF(INDEX(tblProductos[Categoría],MATCH($F86,tblProductos[SKU],0))="","",INDEX(tblProductos[Categoría],MATCH($F86,tblProductos[SKU],0))),""))</f>
        <v/>
      </c>
      <c r="I86" s="34" t="n"/>
      <c r="J86" s="39">
        <f>IF(OR($B86="",$F86="",$I86=""),"",IF($T86="Anulado",0,$I86))</f>
        <v/>
      </c>
      <c r="K86" s="54">
        <f>IF($F86="","",IFERROR(IF(INDEX(tblProductos[Precio de venta actual],MATCH($F86,tblProductos[SKU],0))="","",INDEX(tblProductos[Precio de venta actual],MATCH($F86,tblProductos[SKU],0))),""))</f>
        <v/>
      </c>
      <c r="L86" s="36" t="n"/>
      <c r="M86" s="37">
        <f>IF($J86="","",IF(NOT(ISNUMBER($K86)),"PRECIO PENDIENTE",$J86*$K86))</f>
        <v/>
      </c>
      <c r="N86" s="37">
        <f>IF($J86="","",IF(NOT(ISNUMBER($M86)),"PRECIO PENDIENTE",$M86-IF(ISNUMBER($L86),$L86,0)))</f>
        <v/>
      </c>
      <c r="O86" s="54">
        <f>IF($F86="","",IFERROR(INDEX(tblInventario[Costo unitario aplicado],MATCH($F86,tblInventario[SKU],0)),""))</f>
        <v/>
      </c>
      <c r="P86" s="37">
        <f>IF($J86="","",IF(NOT(ISNUMBER($O86)),"COSTO PENDIENTE",$J86*$O86))</f>
        <v/>
      </c>
      <c r="Q86" s="37">
        <f>IF($J86="","",IF(OR(NOT(ISNUMBER($N86)),NOT(ISNUMBER($P86))),"PENDIENTE",$N86-$P86))</f>
        <v/>
      </c>
      <c r="R86" s="38">
        <f>IF($J86="","",IF(OR(NOT(ISNUMBER($Q86)),NOT(ISNUMBER($N86)),$N86&lt;=0),"PENDIENTE",$Q86/$N86))</f>
        <v/>
      </c>
      <c r="S86" s="33" t="n"/>
      <c r="T86" s="33" t="n"/>
      <c r="U86" s="41" t="n"/>
      <c r="V86" s="36" t="n"/>
      <c r="W86" s="37">
        <f>IF(NOT(ISNUMBER($N86)),"",$N86-IF(ISNUMBER($V86),$V86,0))</f>
        <v/>
      </c>
      <c r="X86" s="33" t="n"/>
      <c r="Y86" s="51">
        <f>IF(COUNTA($B86,$C86,$D86,$E86,$F86,$I86)=0,"",IF(IF($B86=""," · Falta fecha","")&amp;IF($D86=""," · Falta cliente","")&amp;IF($E86=""," · Falta canal","")&amp;IF($F86=""," · Falta SKU","")&amp;IF(AND($F86&lt;&gt;"",COUNTIF(tblProductos[SKU],$F86)=0)," · SKU no existe","")&amp;IF(OR($I86="",NOT(ISNUMBER($I86)),$I86&lt;=0)," · Cantidad inválida","")&amp;IF($M86="PRECIO PENDIENTE"," · Falta precio de venta","")&amp;IF($P86="COSTO PENDIENTE"," · Falta costo del producto","")&amp;IF(AND(ISNUMBER($Q86),$Q86&lt;0)," · UTILIDAD NEGATIVA","")&amp;IF(AND($F86&lt;&gt;"",ISNUMBER(INDEX(tblInventario[Stock actual],MATCH($F86,tblInventario[SKU],0))),INDEX(tblInventario[Stock actual],MATCH($F86,tblInventario[SKU],0))&lt;0)," · Stock negativo del SKU","")&amp;IF(AND($T86="Cobrado",$U86="")," · Cobro sin fecha","")&amp;IF(AND(ISNUMBER($V86),ISNUMBER($N86),$V86&gt;N($N86)+0.01)," · Cobrado &gt; venta neta","")&amp;IF(AND(ISNUMBER($V86),$V86&gt;0,$U86="")," · Monto cobrado sin fecha","")="","OK",MID(IF($B86=""," · Falta fecha","")&amp;IF($D86=""," · Falta cliente","")&amp;IF($E86=""," · Falta canal","")&amp;IF($F86=""," · Falta SKU","")&amp;IF(AND($F86&lt;&gt;"",COUNTIF(tblProductos[SKU],$F86)=0)," · SKU no existe","")&amp;IF(OR($I86="",NOT(ISNUMBER($I86)),$I86&lt;=0)," · Cantidad inválida","")&amp;IF($M86="PRECIO PENDIENTE"," · Falta precio de venta","")&amp;IF($P86="COSTO PENDIENTE"," · Falta costo del producto","")&amp;IF(AND(ISNUMBER($Q86),$Q86&lt;0)," · UTILIDAD NEGATIVA","")&amp;IF(AND($F86&lt;&gt;"",ISNUMBER(INDEX(tblInventario[Stock actual],MATCH($F86,tblInventario[SKU],0))),INDEX(tblInventario[Stock actual],MATCH($F86,tblInventario[SKU],0))&lt;0)," · Stock negativo del SKU","")&amp;IF(AND($T86="Cobrado",$U86="")," · Cobro sin fecha","")&amp;IF(AND(ISNUMBER($V86),ISNUMBER($N86),$V86&gt;N($N86)+0.01)," · Cobrado &gt; venta neta","")&amp;IF(AND(ISNUMBER($V86),$V86&gt;0,$U86="")," · Monto cobrado sin fecha",""),4,900)))</f>
        <v/>
      </c>
    </row>
    <row r="87">
      <c r="A87" s="51">
        <f>IF(COUNTA($B87,$C87,$D87,$E87,$F87,$I87)=0,"","V-"&amp;TEXT(ROW()-6,"0000"))</f>
        <v/>
      </c>
      <c r="B87" s="41" t="n"/>
      <c r="C87" s="33" t="n"/>
      <c r="D87" s="33" t="n"/>
      <c r="E87" s="33" t="n"/>
      <c r="F87" s="33" t="n"/>
      <c r="G87" s="51">
        <f>IF($F87="","",IFERROR(IF(INDEX(tblProductos[Nombre del producto],MATCH($F87,tblProductos[SKU],0))="","",INDEX(tblProductos[Nombre del producto],MATCH($F87,tblProductos[SKU],0))),""))</f>
        <v/>
      </c>
      <c r="H87" s="51">
        <f>IF($F87="","",IFERROR(IF(INDEX(tblProductos[Categoría],MATCH($F87,tblProductos[SKU],0))="","",INDEX(tblProductos[Categoría],MATCH($F87,tblProductos[SKU],0))),""))</f>
        <v/>
      </c>
      <c r="I87" s="34" t="n"/>
      <c r="J87" s="39">
        <f>IF(OR($B87="",$F87="",$I87=""),"",IF($T87="Anulado",0,$I87))</f>
        <v/>
      </c>
      <c r="K87" s="54">
        <f>IF($F87="","",IFERROR(IF(INDEX(tblProductos[Precio de venta actual],MATCH($F87,tblProductos[SKU],0))="","",INDEX(tblProductos[Precio de venta actual],MATCH($F87,tblProductos[SKU],0))),""))</f>
        <v/>
      </c>
      <c r="L87" s="36" t="n"/>
      <c r="M87" s="37">
        <f>IF($J87="","",IF(NOT(ISNUMBER($K87)),"PRECIO PENDIENTE",$J87*$K87))</f>
        <v/>
      </c>
      <c r="N87" s="37">
        <f>IF($J87="","",IF(NOT(ISNUMBER($M87)),"PRECIO PENDIENTE",$M87-IF(ISNUMBER($L87),$L87,0)))</f>
        <v/>
      </c>
      <c r="O87" s="54">
        <f>IF($F87="","",IFERROR(INDEX(tblInventario[Costo unitario aplicado],MATCH($F87,tblInventario[SKU],0)),""))</f>
        <v/>
      </c>
      <c r="P87" s="37">
        <f>IF($J87="","",IF(NOT(ISNUMBER($O87)),"COSTO PENDIENTE",$J87*$O87))</f>
        <v/>
      </c>
      <c r="Q87" s="37">
        <f>IF($J87="","",IF(OR(NOT(ISNUMBER($N87)),NOT(ISNUMBER($P87))),"PENDIENTE",$N87-$P87))</f>
        <v/>
      </c>
      <c r="R87" s="38">
        <f>IF($J87="","",IF(OR(NOT(ISNUMBER($Q87)),NOT(ISNUMBER($N87)),$N87&lt;=0),"PENDIENTE",$Q87/$N87))</f>
        <v/>
      </c>
      <c r="S87" s="33" t="n"/>
      <c r="T87" s="33" t="n"/>
      <c r="U87" s="41" t="n"/>
      <c r="V87" s="36" t="n"/>
      <c r="W87" s="37">
        <f>IF(NOT(ISNUMBER($N87)),"",$N87-IF(ISNUMBER($V87),$V87,0))</f>
        <v/>
      </c>
      <c r="X87" s="33" t="n"/>
      <c r="Y87" s="51">
        <f>IF(COUNTA($B87,$C87,$D87,$E87,$F87,$I87)=0,"",IF(IF($B87=""," · Falta fecha","")&amp;IF($D87=""," · Falta cliente","")&amp;IF($E87=""," · Falta canal","")&amp;IF($F87=""," · Falta SKU","")&amp;IF(AND($F87&lt;&gt;"",COUNTIF(tblProductos[SKU],$F87)=0)," · SKU no existe","")&amp;IF(OR($I87="",NOT(ISNUMBER($I87)),$I87&lt;=0)," · Cantidad inválida","")&amp;IF($M87="PRECIO PENDIENTE"," · Falta precio de venta","")&amp;IF($P87="COSTO PENDIENTE"," · Falta costo del producto","")&amp;IF(AND(ISNUMBER($Q87),$Q87&lt;0)," · UTILIDAD NEGATIVA","")&amp;IF(AND($F87&lt;&gt;"",ISNUMBER(INDEX(tblInventario[Stock actual],MATCH($F87,tblInventario[SKU],0))),INDEX(tblInventario[Stock actual],MATCH($F87,tblInventario[SKU],0))&lt;0)," · Stock negativo del SKU","")&amp;IF(AND($T87="Cobrado",$U87="")," · Cobro sin fecha","")&amp;IF(AND(ISNUMBER($V87),ISNUMBER($N87),$V87&gt;N($N87)+0.01)," · Cobrado &gt; venta neta","")&amp;IF(AND(ISNUMBER($V87),$V87&gt;0,$U87="")," · Monto cobrado sin fecha","")="","OK",MID(IF($B87=""," · Falta fecha","")&amp;IF($D87=""," · Falta cliente","")&amp;IF($E87=""," · Falta canal","")&amp;IF($F87=""," · Falta SKU","")&amp;IF(AND($F87&lt;&gt;"",COUNTIF(tblProductos[SKU],$F87)=0)," · SKU no existe","")&amp;IF(OR($I87="",NOT(ISNUMBER($I87)),$I87&lt;=0)," · Cantidad inválida","")&amp;IF($M87="PRECIO PENDIENTE"," · Falta precio de venta","")&amp;IF($P87="COSTO PENDIENTE"," · Falta costo del producto","")&amp;IF(AND(ISNUMBER($Q87),$Q87&lt;0)," · UTILIDAD NEGATIVA","")&amp;IF(AND($F87&lt;&gt;"",ISNUMBER(INDEX(tblInventario[Stock actual],MATCH($F87,tblInventario[SKU],0))),INDEX(tblInventario[Stock actual],MATCH($F87,tblInventario[SKU],0))&lt;0)," · Stock negativo del SKU","")&amp;IF(AND($T87="Cobrado",$U87="")," · Cobro sin fecha","")&amp;IF(AND(ISNUMBER($V87),ISNUMBER($N87),$V87&gt;N($N87)+0.01)," · Cobrado &gt; venta neta","")&amp;IF(AND(ISNUMBER($V87),$V87&gt;0,$U87="")," · Monto cobrado sin fecha",""),4,900)))</f>
        <v/>
      </c>
    </row>
    <row r="88">
      <c r="A88" s="51">
        <f>IF(COUNTA($B88,$C88,$D88,$E88,$F88,$I88)=0,"","V-"&amp;TEXT(ROW()-6,"0000"))</f>
        <v/>
      </c>
      <c r="B88" s="41" t="n"/>
      <c r="C88" s="33" t="n"/>
      <c r="D88" s="33" t="n"/>
      <c r="E88" s="33" t="n"/>
      <c r="F88" s="33" t="n"/>
      <c r="G88" s="51">
        <f>IF($F88="","",IFERROR(IF(INDEX(tblProductos[Nombre del producto],MATCH($F88,tblProductos[SKU],0))="","",INDEX(tblProductos[Nombre del producto],MATCH($F88,tblProductos[SKU],0))),""))</f>
        <v/>
      </c>
      <c r="H88" s="51">
        <f>IF($F88="","",IFERROR(IF(INDEX(tblProductos[Categoría],MATCH($F88,tblProductos[SKU],0))="","",INDEX(tblProductos[Categoría],MATCH($F88,tblProductos[SKU],0))),""))</f>
        <v/>
      </c>
      <c r="I88" s="34" t="n"/>
      <c r="J88" s="39">
        <f>IF(OR($B88="",$F88="",$I88=""),"",IF($T88="Anulado",0,$I88))</f>
        <v/>
      </c>
      <c r="K88" s="54">
        <f>IF($F88="","",IFERROR(IF(INDEX(tblProductos[Precio de venta actual],MATCH($F88,tblProductos[SKU],0))="","",INDEX(tblProductos[Precio de venta actual],MATCH($F88,tblProductos[SKU],0))),""))</f>
        <v/>
      </c>
      <c r="L88" s="36" t="n"/>
      <c r="M88" s="37">
        <f>IF($J88="","",IF(NOT(ISNUMBER($K88)),"PRECIO PENDIENTE",$J88*$K88))</f>
        <v/>
      </c>
      <c r="N88" s="37">
        <f>IF($J88="","",IF(NOT(ISNUMBER($M88)),"PRECIO PENDIENTE",$M88-IF(ISNUMBER($L88),$L88,0)))</f>
        <v/>
      </c>
      <c r="O88" s="54">
        <f>IF($F88="","",IFERROR(INDEX(tblInventario[Costo unitario aplicado],MATCH($F88,tblInventario[SKU],0)),""))</f>
        <v/>
      </c>
      <c r="P88" s="37">
        <f>IF($J88="","",IF(NOT(ISNUMBER($O88)),"COSTO PENDIENTE",$J88*$O88))</f>
        <v/>
      </c>
      <c r="Q88" s="37">
        <f>IF($J88="","",IF(OR(NOT(ISNUMBER($N88)),NOT(ISNUMBER($P88))),"PENDIENTE",$N88-$P88))</f>
        <v/>
      </c>
      <c r="R88" s="38">
        <f>IF($J88="","",IF(OR(NOT(ISNUMBER($Q88)),NOT(ISNUMBER($N88)),$N88&lt;=0),"PENDIENTE",$Q88/$N88))</f>
        <v/>
      </c>
      <c r="S88" s="33" t="n"/>
      <c r="T88" s="33" t="n"/>
      <c r="U88" s="41" t="n"/>
      <c r="V88" s="36" t="n"/>
      <c r="W88" s="37">
        <f>IF(NOT(ISNUMBER($N88)),"",$N88-IF(ISNUMBER($V88),$V88,0))</f>
        <v/>
      </c>
      <c r="X88" s="33" t="n"/>
      <c r="Y88" s="51">
        <f>IF(COUNTA($B88,$C88,$D88,$E88,$F88,$I88)=0,"",IF(IF($B88=""," · Falta fecha","")&amp;IF($D88=""," · Falta cliente","")&amp;IF($E88=""," · Falta canal","")&amp;IF($F88=""," · Falta SKU","")&amp;IF(AND($F88&lt;&gt;"",COUNTIF(tblProductos[SKU],$F88)=0)," · SKU no existe","")&amp;IF(OR($I88="",NOT(ISNUMBER($I88)),$I88&lt;=0)," · Cantidad inválida","")&amp;IF($M88="PRECIO PENDIENTE"," · Falta precio de venta","")&amp;IF($P88="COSTO PENDIENTE"," · Falta costo del producto","")&amp;IF(AND(ISNUMBER($Q88),$Q88&lt;0)," · UTILIDAD NEGATIVA","")&amp;IF(AND($F88&lt;&gt;"",ISNUMBER(INDEX(tblInventario[Stock actual],MATCH($F88,tblInventario[SKU],0))),INDEX(tblInventario[Stock actual],MATCH($F88,tblInventario[SKU],0))&lt;0)," · Stock negativo del SKU","")&amp;IF(AND($T88="Cobrado",$U88="")," · Cobro sin fecha","")&amp;IF(AND(ISNUMBER($V88),ISNUMBER($N88),$V88&gt;N($N88)+0.01)," · Cobrado &gt; venta neta","")&amp;IF(AND(ISNUMBER($V88),$V88&gt;0,$U88="")," · Monto cobrado sin fecha","")="","OK",MID(IF($B88=""," · Falta fecha","")&amp;IF($D88=""," · Falta cliente","")&amp;IF($E88=""," · Falta canal","")&amp;IF($F88=""," · Falta SKU","")&amp;IF(AND($F88&lt;&gt;"",COUNTIF(tblProductos[SKU],$F88)=0)," · SKU no existe","")&amp;IF(OR($I88="",NOT(ISNUMBER($I88)),$I88&lt;=0)," · Cantidad inválida","")&amp;IF($M88="PRECIO PENDIENTE"," · Falta precio de venta","")&amp;IF($P88="COSTO PENDIENTE"," · Falta costo del producto","")&amp;IF(AND(ISNUMBER($Q88),$Q88&lt;0)," · UTILIDAD NEGATIVA","")&amp;IF(AND($F88&lt;&gt;"",ISNUMBER(INDEX(tblInventario[Stock actual],MATCH($F88,tblInventario[SKU],0))),INDEX(tblInventario[Stock actual],MATCH($F88,tblInventario[SKU],0))&lt;0)," · Stock negativo del SKU","")&amp;IF(AND($T88="Cobrado",$U88="")," · Cobro sin fecha","")&amp;IF(AND(ISNUMBER($V88),ISNUMBER($N88),$V88&gt;N($N88)+0.01)," · Cobrado &gt; venta neta","")&amp;IF(AND(ISNUMBER($V88),$V88&gt;0,$U88="")," · Monto cobrado sin fecha",""),4,900)))</f>
        <v/>
      </c>
    </row>
    <row r="89">
      <c r="A89" s="51">
        <f>IF(COUNTA($B89,$C89,$D89,$E89,$F89,$I89)=0,"","V-"&amp;TEXT(ROW()-6,"0000"))</f>
        <v/>
      </c>
      <c r="B89" s="41" t="n"/>
      <c r="C89" s="33" t="n"/>
      <c r="D89" s="33" t="n"/>
      <c r="E89" s="33" t="n"/>
      <c r="F89" s="33" t="n"/>
      <c r="G89" s="51">
        <f>IF($F89="","",IFERROR(IF(INDEX(tblProductos[Nombre del producto],MATCH($F89,tblProductos[SKU],0))="","",INDEX(tblProductos[Nombre del producto],MATCH($F89,tblProductos[SKU],0))),""))</f>
        <v/>
      </c>
      <c r="H89" s="51">
        <f>IF($F89="","",IFERROR(IF(INDEX(tblProductos[Categoría],MATCH($F89,tblProductos[SKU],0))="","",INDEX(tblProductos[Categoría],MATCH($F89,tblProductos[SKU],0))),""))</f>
        <v/>
      </c>
      <c r="I89" s="34" t="n"/>
      <c r="J89" s="39">
        <f>IF(OR($B89="",$F89="",$I89=""),"",IF($T89="Anulado",0,$I89))</f>
        <v/>
      </c>
      <c r="K89" s="54">
        <f>IF($F89="","",IFERROR(IF(INDEX(tblProductos[Precio de venta actual],MATCH($F89,tblProductos[SKU],0))="","",INDEX(tblProductos[Precio de venta actual],MATCH($F89,tblProductos[SKU],0))),""))</f>
        <v/>
      </c>
      <c r="L89" s="36" t="n"/>
      <c r="M89" s="37">
        <f>IF($J89="","",IF(NOT(ISNUMBER($K89)),"PRECIO PENDIENTE",$J89*$K89))</f>
        <v/>
      </c>
      <c r="N89" s="37">
        <f>IF($J89="","",IF(NOT(ISNUMBER($M89)),"PRECIO PENDIENTE",$M89-IF(ISNUMBER($L89),$L89,0)))</f>
        <v/>
      </c>
      <c r="O89" s="54">
        <f>IF($F89="","",IFERROR(INDEX(tblInventario[Costo unitario aplicado],MATCH($F89,tblInventario[SKU],0)),""))</f>
        <v/>
      </c>
      <c r="P89" s="37">
        <f>IF($J89="","",IF(NOT(ISNUMBER($O89)),"COSTO PENDIENTE",$J89*$O89))</f>
        <v/>
      </c>
      <c r="Q89" s="37">
        <f>IF($J89="","",IF(OR(NOT(ISNUMBER($N89)),NOT(ISNUMBER($P89))),"PENDIENTE",$N89-$P89))</f>
        <v/>
      </c>
      <c r="R89" s="38">
        <f>IF($J89="","",IF(OR(NOT(ISNUMBER($Q89)),NOT(ISNUMBER($N89)),$N89&lt;=0),"PENDIENTE",$Q89/$N89))</f>
        <v/>
      </c>
      <c r="S89" s="33" t="n"/>
      <c r="T89" s="33" t="n"/>
      <c r="U89" s="41" t="n"/>
      <c r="V89" s="36" t="n"/>
      <c r="W89" s="37">
        <f>IF(NOT(ISNUMBER($N89)),"",$N89-IF(ISNUMBER($V89),$V89,0))</f>
        <v/>
      </c>
      <c r="X89" s="33" t="n"/>
      <c r="Y89" s="51">
        <f>IF(COUNTA($B89,$C89,$D89,$E89,$F89,$I89)=0,"",IF(IF($B89=""," · Falta fecha","")&amp;IF($D89=""," · Falta cliente","")&amp;IF($E89=""," · Falta canal","")&amp;IF($F89=""," · Falta SKU","")&amp;IF(AND($F89&lt;&gt;"",COUNTIF(tblProductos[SKU],$F89)=0)," · SKU no existe","")&amp;IF(OR($I89="",NOT(ISNUMBER($I89)),$I89&lt;=0)," · Cantidad inválida","")&amp;IF($M89="PRECIO PENDIENTE"," · Falta precio de venta","")&amp;IF($P89="COSTO PENDIENTE"," · Falta costo del producto","")&amp;IF(AND(ISNUMBER($Q89),$Q89&lt;0)," · UTILIDAD NEGATIVA","")&amp;IF(AND($F89&lt;&gt;"",ISNUMBER(INDEX(tblInventario[Stock actual],MATCH($F89,tblInventario[SKU],0))),INDEX(tblInventario[Stock actual],MATCH($F89,tblInventario[SKU],0))&lt;0)," · Stock negativo del SKU","")&amp;IF(AND($T89="Cobrado",$U89="")," · Cobro sin fecha","")&amp;IF(AND(ISNUMBER($V89),ISNUMBER($N89),$V89&gt;N($N89)+0.01)," · Cobrado &gt; venta neta","")&amp;IF(AND(ISNUMBER($V89),$V89&gt;0,$U89="")," · Monto cobrado sin fecha","")="","OK",MID(IF($B89=""," · Falta fecha","")&amp;IF($D89=""," · Falta cliente","")&amp;IF($E89=""," · Falta canal","")&amp;IF($F89=""," · Falta SKU","")&amp;IF(AND($F89&lt;&gt;"",COUNTIF(tblProductos[SKU],$F89)=0)," · SKU no existe","")&amp;IF(OR($I89="",NOT(ISNUMBER($I89)),$I89&lt;=0)," · Cantidad inválida","")&amp;IF($M89="PRECIO PENDIENTE"," · Falta precio de venta","")&amp;IF($P89="COSTO PENDIENTE"," · Falta costo del producto","")&amp;IF(AND(ISNUMBER($Q89),$Q89&lt;0)," · UTILIDAD NEGATIVA","")&amp;IF(AND($F89&lt;&gt;"",ISNUMBER(INDEX(tblInventario[Stock actual],MATCH($F89,tblInventario[SKU],0))),INDEX(tblInventario[Stock actual],MATCH($F89,tblInventario[SKU],0))&lt;0)," · Stock negativo del SKU","")&amp;IF(AND($T89="Cobrado",$U89="")," · Cobro sin fecha","")&amp;IF(AND(ISNUMBER($V89),ISNUMBER($N89),$V89&gt;N($N89)+0.01)," · Cobrado &gt; venta neta","")&amp;IF(AND(ISNUMBER($V89),$V89&gt;0,$U89="")," · Monto cobrado sin fecha",""),4,900)))</f>
        <v/>
      </c>
    </row>
    <row r="90">
      <c r="A90" s="51">
        <f>IF(COUNTA($B90,$C90,$D90,$E90,$F90,$I90)=0,"","V-"&amp;TEXT(ROW()-6,"0000"))</f>
        <v/>
      </c>
      <c r="B90" s="41" t="n"/>
      <c r="C90" s="33" t="n"/>
      <c r="D90" s="33" t="n"/>
      <c r="E90" s="33" t="n"/>
      <c r="F90" s="33" t="n"/>
      <c r="G90" s="51">
        <f>IF($F90="","",IFERROR(IF(INDEX(tblProductos[Nombre del producto],MATCH($F90,tblProductos[SKU],0))="","",INDEX(tblProductos[Nombre del producto],MATCH($F90,tblProductos[SKU],0))),""))</f>
        <v/>
      </c>
      <c r="H90" s="51">
        <f>IF($F90="","",IFERROR(IF(INDEX(tblProductos[Categoría],MATCH($F90,tblProductos[SKU],0))="","",INDEX(tblProductos[Categoría],MATCH($F90,tblProductos[SKU],0))),""))</f>
        <v/>
      </c>
      <c r="I90" s="34" t="n"/>
      <c r="J90" s="39">
        <f>IF(OR($B90="",$F90="",$I90=""),"",IF($T90="Anulado",0,$I90))</f>
        <v/>
      </c>
      <c r="K90" s="54">
        <f>IF($F90="","",IFERROR(IF(INDEX(tblProductos[Precio de venta actual],MATCH($F90,tblProductos[SKU],0))="","",INDEX(tblProductos[Precio de venta actual],MATCH($F90,tblProductos[SKU],0))),""))</f>
        <v/>
      </c>
      <c r="L90" s="36" t="n"/>
      <c r="M90" s="37">
        <f>IF($J90="","",IF(NOT(ISNUMBER($K90)),"PRECIO PENDIENTE",$J90*$K90))</f>
        <v/>
      </c>
      <c r="N90" s="37">
        <f>IF($J90="","",IF(NOT(ISNUMBER($M90)),"PRECIO PENDIENTE",$M90-IF(ISNUMBER($L90),$L90,0)))</f>
        <v/>
      </c>
      <c r="O90" s="54">
        <f>IF($F90="","",IFERROR(INDEX(tblInventario[Costo unitario aplicado],MATCH($F90,tblInventario[SKU],0)),""))</f>
        <v/>
      </c>
      <c r="P90" s="37">
        <f>IF($J90="","",IF(NOT(ISNUMBER($O90)),"COSTO PENDIENTE",$J90*$O90))</f>
        <v/>
      </c>
      <c r="Q90" s="37">
        <f>IF($J90="","",IF(OR(NOT(ISNUMBER($N90)),NOT(ISNUMBER($P90))),"PENDIENTE",$N90-$P90))</f>
        <v/>
      </c>
      <c r="R90" s="38">
        <f>IF($J90="","",IF(OR(NOT(ISNUMBER($Q90)),NOT(ISNUMBER($N90)),$N90&lt;=0),"PENDIENTE",$Q90/$N90))</f>
        <v/>
      </c>
      <c r="S90" s="33" t="n"/>
      <c r="T90" s="33" t="n"/>
      <c r="U90" s="41" t="n"/>
      <c r="V90" s="36" t="n"/>
      <c r="W90" s="37">
        <f>IF(NOT(ISNUMBER($N90)),"",$N90-IF(ISNUMBER($V90),$V90,0))</f>
        <v/>
      </c>
      <c r="X90" s="33" t="n"/>
      <c r="Y90" s="51">
        <f>IF(COUNTA($B90,$C90,$D90,$E90,$F90,$I90)=0,"",IF(IF($B90=""," · Falta fecha","")&amp;IF($D90=""," · Falta cliente","")&amp;IF($E90=""," · Falta canal","")&amp;IF($F90=""," · Falta SKU","")&amp;IF(AND($F90&lt;&gt;"",COUNTIF(tblProductos[SKU],$F90)=0)," · SKU no existe","")&amp;IF(OR($I90="",NOT(ISNUMBER($I90)),$I90&lt;=0)," · Cantidad inválida","")&amp;IF($M90="PRECIO PENDIENTE"," · Falta precio de venta","")&amp;IF($P90="COSTO PENDIENTE"," · Falta costo del producto","")&amp;IF(AND(ISNUMBER($Q90),$Q90&lt;0)," · UTILIDAD NEGATIVA","")&amp;IF(AND($F90&lt;&gt;"",ISNUMBER(INDEX(tblInventario[Stock actual],MATCH($F90,tblInventario[SKU],0))),INDEX(tblInventario[Stock actual],MATCH($F90,tblInventario[SKU],0))&lt;0)," · Stock negativo del SKU","")&amp;IF(AND($T90="Cobrado",$U90="")," · Cobro sin fecha","")&amp;IF(AND(ISNUMBER($V90),ISNUMBER($N90),$V90&gt;N($N90)+0.01)," · Cobrado &gt; venta neta","")&amp;IF(AND(ISNUMBER($V90),$V90&gt;0,$U90="")," · Monto cobrado sin fecha","")="","OK",MID(IF($B90=""," · Falta fecha","")&amp;IF($D90=""," · Falta cliente","")&amp;IF($E90=""," · Falta canal","")&amp;IF($F90=""," · Falta SKU","")&amp;IF(AND($F90&lt;&gt;"",COUNTIF(tblProductos[SKU],$F90)=0)," · SKU no existe","")&amp;IF(OR($I90="",NOT(ISNUMBER($I90)),$I90&lt;=0)," · Cantidad inválida","")&amp;IF($M90="PRECIO PENDIENTE"," · Falta precio de venta","")&amp;IF($P90="COSTO PENDIENTE"," · Falta costo del producto","")&amp;IF(AND(ISNUMBER($Q90),$Q90&lt;0)," · UTILIDAD NEGATIVA","")&amp;IF(AND($F90&lt;&gt;"",ISNUMBER(INDEX(tblInventario[Stock actual],MATCH($F90,tblInventario[SKU],0))),INDEX(tblInventario[Stock actual],MATCH($F90,tblInventario[SKU],0))&lt;0)," · Stock negativo del SKU","")&amp;IF(AND($T90="Cobrado",$U90="")," · Cobro sin fecha","")&amp;IF(AND(ISNUMBER($V90),ISNUMBER($N90),$V90&gt;N($N90)+0.01)," · Cobrado &gt; venta neta","")&amp;IF(AND(ISNUMBER($V90),$V90&gt;0,$U90="")," · Monto cobrado sin fecha",""),4,900)))</f>
        <v/>
      </c>
    </row>
    <row r="91">
      <c r="A91" s="51">
        <f>IF(COUNTA($B91,$C91,$D91,$E91,$F91,$I91)=0,"","V-"&amp;TEXT(ROW()-6,"0000"))</f>
        <v/>
      </c>
      <c r="B91" s="41" t="n"/>
      <c r="C91" s="33" t="n"/>
      <c r="D91" s="33" t="n"/>
      <c r="E91" s="33" t="n"/>
      <c r="F91" s="33" t="n"/>
      <c r="G91" s="51">
        <f>IF($F91="","",IFERROR(IF(INDEX(tblProductos[Nombre del producto],MATCH($F91,tblProductos[SKU],0))="","",INDEX(tblProductos[Nombre del producto],MATCH($F91,tblProductos[SKU],0))),""))</f>
        <v/>
      </c>
      <c r="H91" s="51">
        <f>IF($F91="","",IFERROR(IF(INDEX(tblProductos[Categoría],MATCH($F91,tblProductos[SKU],0))="","",INDEX(tblProductos[Categoría],MATCH($F91,tblProductos[SKU],0))),""))</f>
        <v/>
      </c>
      <c r="I91" s="34" t="n"/>
      <c r="J91" s="39">
        <f>IF(OR($B91="",$F91="",$I91=""),"",IF($T91="Anulado",0,$I91))</f>
        <v/>
      </c>
      <c r="K91" s="54">
        <f>IF($F91="","",IFERROR(IF(INDEX(tblProductos[Precio de venta actual],MATCH($F91,tblProductos[SKU],0))="","",INDEX(tblProductos[Precio de venta actual],MATCH($F91,tblProductos[SKU],0))),""))</f>
        <v/>
      </c>
      <c r="L91" s="36" t="n"/>
      <c r="M91" s="37">
        <f>IF($J91="","",IF(NOT(ISNUMBER($K91)),"PRECIO PENDIENTE",$J91*$K91))</f>
        <v/>
      </c>
      <c r="N91" s="37">
        <f>IF($J91="","",IF(NOT(ISNUMBER($M91)),"PRECIO PENDIENTE",$M91-IF(ISNUMBER($L91),$L91,0)))</f>
        <v/>
      </c>
      <c r="O91" s="54">
        <f>IF($F91="","",IFERROR(INDEX(tblInventario[Costo unitario aplicado],MATCH($F91,tblInventario[SKU],0)),""))</f>
        <v/>
      </c>
      <c r="P91" s="37">
        <f>IF($J91="","",IF(NOT(ISNUMBER($O91)),"COSTO PENDIENTE",$J91*$O91))</f>
        <v/>
      </c>
      <c r="Q91" s="37">
        <f>IF($J91="","",IF(OR(NOT(ISNUMBER($N91)),NOT(ISNUMBER($P91))),"PENDIENTE",$N91-$P91))</f>
        <v/>
      </c>
      <c r="R91" s="38">
        <f>IF($J91="","",IF(OR(NOT(ISNUMBER($Q91)),NOT(ISNUMBER($N91)),$N91&lt;=0),"PENDIENTE",$Q91/$N91))</f>
        <v/>
      </c>
      <c r="S91" s="33" t="n"/>
      <c r="T91" s="33" t="n"/>
      <c r="U91" s="41" t="n"/>
      <c r="V91" s="36" t="n"/>
      <c r="W91" s="37">
        <f>IF(NOT(ISNUMBER($N91)),"",$N91-IF(ISNUMBER($V91),$V91,0))</f>
        <v/>
      </c>
      <c r="X91" s="33" t="n"/>
      <c r="Y91" s="51">
        <f>IF(COUNTA($B91,$C91,$D91,$E91,$F91,$I91)=0,"",IF(IF($B91=""," · Falta fecha","")&amp;IF($D91=""," · Falta cliente","")&amp;IF($E91=""," · Falta canal","")&amp;IF($F91=""," · Falta SKU","")&amp;IF(AND($F91&lt;&gt;"",COUNTIF(tblProductos[SKU],$F91)=0)," · SKU no existe","")&amp;IF(OR($I91="",NOT(ISNUMBER($I91)),$I91&lt;=0)," · Cantidad inválida","")&amp;IF($M91="PRECIO PENDIENTE"," · Falta precio de venta","")&amp;IF($P91="COSTO PENDIENTE"," · Falta costo del producto","")&amp;IF(AND(ISNUMBER($Q91),$Q91&lt;0)," · UTILIDAD NEGATIVA","")&amp;IF(AND($F91&lt;&gt;"",ISNUMBER(INDEX(tblInventario[Stock actual],MATCH($F91,tblInventario[SKU],0))),INDEX(tblInventario[Stock actual],MATCH($F91,tblInventario[SKU],0))&lt;0)," · Stock negativo del SKU","")&amp;IF(AND($T91="Cobrado",$U91="")," · Cobro sin fecha","")&amp;IF(AND(ISNUMBER($V91),ISNUMBER($N91),$V91&gt;N($N91)+0.01)," · Cobrado &gt; venta neta","")&amp;IF(AND(ISNUMBER($V91),$V91&gt;0,$U91="")," · Monto cobrado sin fecha","")="","OK",MID(IF($B91=""," · Falta fecha","")&amp;IF($D91=""," · Falta cliente","")&amp;IF($E91=""," · Falta canal","")&amp;IF($F91=""," · Falta SKU","")&amp;IF(AND($F91&lt;&gt;"",COUNTIF(tblProductos[SKU],$F91)=0)," · SKU no existe","")&amp;IF(OR($I91="",NOT(ISNUMBER($I91)),$I91&lt;=0)," · Cantidad inválida","")&amp;IF($M91="PRECIO PENDIENTE"," · Falta precio de venta","")&amp;IF($P91="COSTO PENDIENTE"," · Falta costo del producto","")&amp;IF(AND(ISNUMBER($Q91),$Q91&lt;0)," · UTILIDAD NEGATIVA","")&amp;IF(AND($F91&lt;&gt;"",ISNUMBER(INDEX(tblInventario[Stock actual],MATCH($F91,tblInventario[SKU],0))),INDEX(tblInventario[Stock actual],MATCH($F91,tblInventario[SKU],0))&lt;0)," · Stock negativo del SKU","")&amp;IF(AND($T91="Cobrado",$U91="")," · Cobro sin fecha","")&amp;IF(AND(ISNUMBER($V91),ISNUMBER($N91),$V91&gt;N($N91)+0.01)," · Cobrado &gt; venta neta","")&amp;IF(AND(ISNUMBER($V91),$V91&gt;0,$U91="")," · Monto cobrado sin fecha",""),4,900)))</f>
        <v/>
      </c>
    </row>
    <row r="92">
      <c r="A92" s="51">
        <f>IF(COUNTA($B92,$C92,$D92,$E92,$F92,$I92)=0,"","V-"&amp;TEXT(ROW()-6,"0000"))</f>
        <v/>
      </c>
      <c r="B92" s="41" t="n"/>
      <c r="C92" s="33" t="n"/>
      <c r="D92" s="33" t="n"/>
      <c r="E92" s="33" t="n"/>
      <c r="F92" s="33" t="n"/>
      <c r="G92" s="51">
        <f>IF($F92="","",IFERROR(IF(INDEX(tblProductos[Nombre del producto],MATCH($F92,tblProductos[SKU],0))="","",INDEX(tblProductos[Nombre del producto],MATCH($F92,tblProductos[SKU],0))),""))</f>
        <v/>
      </c>
      <c r="H92" s="51">
        <f>IF($F92="","",IFERROR(IF(INDEX(tblProductos[Categoría],MATCH($F92,tblProductos[SKU],0))="","",INDEX(tblProductos[Categoría],MATCH($F92,tblProductos[SKU],0))),""))</f>
        <v/>
      </c>
      <c r="I92" s="34" t="n"/>
      <c r="J92" s="39">
        <f>IF(OR($B92="",$F92="",$I92=""),"",IF($T92="Anulado",0,$I92))</f>
        <v/>
      </c>
      <c r="K92" s="54">
        <f>IF($F92="","",IFERROR(IF(INDEX(tblProductos[Precio de venta actual],MATCH($F92,tblProductos[SKU],0))="","",INDEX(tblProductos[Precio de venta actual],MATCH($F92,tblProductos[SKU],0))),""))</f>
        <v/>
      </c>
      <c r="L92" s="36" t="n"/>
      <c r="M92" s="37">
        <f>IF($J92="","",IF(NOT(ISNUMBER($K92)),"PRECIO PENDIENTE",$J92*$K92))</f>
        <v/>
      </c>
      <c r="N92" s="37">
        <f>IF($J92="","",IF(NOT(ISNUMBER($M92)),"PRECIO PENDIENTE",$M92-IF(ISNUMBER($L92),$L92,0)))</f>
        <v/>
      </c>
      <c r="O92" s="54">
        <f>IF($F92="","",IFERROR(INDEX(tblInventario[Costo unitario aplicado],MATCH($F92,tblInventario[SKU],0)),""))</f>
        <v/>
      </c>
      <c r="P92" s="37">
        <f>IF($J92="","",IF(NOT(ISNUMBER($O92)),"COSTO PENDIENTE",$J92*$O92))</f>
        <v/>
      </c>
      <c r="Q92" s="37">
        <f>IF($J92="","",IF(OR(NOT(ISNUMBER($N92)),NOT(ISNUMBER($P92))),"PENDIENTE",$N92-$P92))</f>
        <v/>
      </c>
      <c r="R92" s="38">
        <f>IF($J92="","",IF(OR(NOT(ISNUMBER($Q92)),NOT(ISNUMBER($N92)),$N92&lt;=0),"PENDIENTE",$Q92/$N92))</f>
        <v/>
      </c>
      <c r="S92" s="33" t="n"/>
      <c r="T92" s="33" t="n"/>
      <c r="U92" s="41" t="n"/>
      <c r="V92" s="36" t="n"/>
      <c r="W92" s="37">
        <f>IF(NOT(ISNUMBER($N92)),"",$N92-IF(ISNUMBER($V92),$V92,0))</f>
        <v/>
      </c>
      <c r="X92" s="33" t="n"/>
      <c r="Y92" s="51">
        <f>IF(COUNTA($B92,$C92,$D92,$E92,$F92,$I92)=0,"",IF(IF($B92=""," · Falta fecha","")&amp;IF($D92=""," · Falta cliente","")&amp;IF($E92=""," · Falta canal","")&amp;IF($F92=""," · Falta SKU","")&amp;IF(AND($F92&lt;&gt;"",COUNTIF(tblProductos[SKU],$F92)=0)," · SKU no existe","")&amp;IF(OR($I92="",NOT(ISNUMBER($I92)),$I92&lt;=0)," · Cantidad inválida","")&amp;IF($M92="PRECIO PENDIENTE"," · Falta precio de venta","")&amp;IF($P92="COSTO PENDIENTE"," · Falta costo del producto","")&amp;IF(AND(ISNUMBER($Q92),$Q92&lt;0)," · UTILIDAD NEGATIVA","")&amp;IF(AND($F92&lt;&gt;"",ISNUMBER(INDEX(tblInventario[Stock actual],MATCH($F92,tblInventario[SKU],0))),INDEX(tblInventario[Stock actual],MATCH($F92,tblInventario[SKU],0))&lt;0)," · Stock negativo del SKU","")&amp;IF(AND($T92="Cobrado",$U92="")," · Cobro sin fecha","")&amp;IF(AND(ISNUMBER($V92),ISNUMBER($N92),$V92&gt;N($N92)+0.01)," · Cobrado &gt; venta neta","")&amp;IF(AND(ISNUMBER($V92),$V92&gt;0,$U92="")," · Monto cobrado sin fecha","")="","OK",MID(IF($B92=""," · Falta fecha","")&amp;IF($D92=""," · Falta cliente","")&amp;IF($E92=""," · Falta canal","")&amp;IF($F92=""," · Falta SKU","")&amp;IF(AND($F92&lt;&gt;"",COUNTIF(tblProductos[SKU],$F92)=0)," · SKU no existe","")&amp;IF(OR($I92="",NOT(ISNUMBER($I92)),$I92&lt;=0)," · Cantidad inválida","")&amp;IF($M92="PRECIO PENDIENTE"," · Falta precio de venta","")&amp;IF($P92="COSTO PENDIENTE"," · Falta costo del producto","")&amp;IF(AND(ISNUMBER($Q92),$Q92&lt;0)," · UTILIDAD NEGATIVA","")&amp;IF(AND($F92&lt;&gt;"",ISNUMBER(INDEX(tblInventario[Stock actual],MATCH($F92,tblInventario[SKU],0))),INDEX(tblInventario[Stock actual],MATCH($F92,tblInventario[SKU],0))&lt;0)," · Stock negativo del SKU","")&amp;IF(AND($T92="Cobrado",$U92="")," · Cobro sin fecha","")&amp;IF(AND(ISNUMBER($V92),ISNUMBER($N92),$V92&gt;N($N92)+0.01)," · Cobrado &gt; venta neta","")&amp;IF(AND(ISNUMBER($V92),$V92&gt;0,$U92="")," · Monto cobrado sin fecha",""),4,900)))</f>
        <v/>
      </c>
    </row>
    <row r="93">
      <c r="A93" s="51">
        <f>IF(COUNTA($B93,$C93,$D93,$E93,$F93,$I93)=0,"","V-"&amp;TEXT(ROW()-6,"0000"))</f>
        <v/>
      </c>
      <c r="B93" s="41" t="n"/>
      <c r="C93" s="33" t="n"/>
      <c r="D93" s="33" t="n"/>
      <c r="E93" s="33" t="n"/>
      <c r="F93" s="33" t="n"/>
      <c r="G93" s="51">
        <f>IF($F93="","",IFERROR(IF(INDEX(tblProductos[Nombre del producto],MATCH($F93,tblProductos[SKU],0))="","",INDEX(tblProductos[Nombre del producto],MATCH($F93,tblProductos[SKU],0))),""))</f>
        <v/>
      </c>
      <c r="H93" s="51">
        <f>IF($F93="","",IFERROR(IF(INDEX(tblProductos[Categoría],MATCH($F93,tblProductos[SKU],0))="","",INDEX(tblProductos[Categoría],MATCH($F93,tblProductos[SKU],0))),""))</f>
        <v/>
      </c>
      <c r="I93" s="34" t="n"/>
      <c r="J93" s="39">
        <f>IF(OR($B93="",$F93="",$I93=""),"",IF($T93="Anulado",0,$I93))</f>
        <v/>
      </c>
      <c r="K93" s="54">
        <f>IF($F93="","",IFERROR(IF(INDEX(tblProductos[Precio de venta actual],MATCH($F93,tblProductos[SKU],0))="","",INDEX(tblProductos[Precio de venta actual],MATCH($F93,tblProductos[SKU],0))),""))</f>
        <v/>
      </c>
      <c r="L93" s="36" t="n"/>
      <c r="M93" s="37">
        <f>IF($J93="","",IF(NOT(ISNUMBER($K93)),"PRECIO PENDIENTE",$J93*$K93))</f>
        <v/>
      </c>
      <c r="N93" s="37">
        <f>IF($J93="","",IF(NOT(ISNUMBER($M93)),"PRECIO PENDIENTE",$M93-IF(ISNUMBER($L93),$L93,0)))</f>
        <v/>
      </c>
      <c r="O93" s="54">
        <f>IF($F93="","",IFERROR(INDEX(tblInventario[Costo unitario aplicado],MATCH($F93,tblInventario[SKU],0)),""))</f>
        <v/>
      </c>
      <c r="P93" s="37">
        <f>IF($J93="","",IF(NOT(ISNUMBER($O93)),"COSTO PENDIENTE",$J93*$O93))</f>
        <v/>
      </c>
      <c r="Q93" s="37">
        <f>IF($J93="","",IF(OR(NOT(ISNUMBER($N93)),NOT(ISNUMBER($P93))),"PENDIENTE",$N93-$P93))</f>
        <v/>
      </c>
      <c r="R93" s="38">
        <f>IF($J93="","",IF(OR(NOT(ISNUMBER($Q93)),NOT(ISNUMBER($N93)),$N93&lt;=0),"PENDIENTE",$Q93/$N93))</f>
        <v/>
      </c>
      <c r="S93" s="33" t="n"/>
      <c r="T93" s="33" t="n"/>
      <c r="U93" s="41" t="n"/>
      <c r="V93" s="36" t="n"/>
      <c r="W93" s="37">
        <f>IF(NOT(ISNUMBER($N93)),"",$N93-IF(ISNUMBER($V93),$V93,0))</f>
        <v/>
      </c>
      <c r="X93" s="33" t="n"/>
      <c r="Y93" s="51">
        <f>IF(COUNTA($B93,$C93,$D93,$E93,$F93,$I93)=0,"",IF(IF($B93=""," · Falta fecha","")&amp;IF($D93=""," · Falta cliente","")&amp;IF($E93=""," · Falta canal","")&amp;IF($F93=""," · Falta SKU","")&amp;IF(AND($F93&lt;&gt;"",COUNTIF(tblProductos[SKU],$F93)=0)," · SKU no existe","")&amp;IF(OR($I93="",NOT(ISNUMBER($I93)),$I93&lt;=0)," · Cantidad inválida","")&amp;IF($M93="PRECIO PENDIENTE"," · Falta precio de venta","")&amp;IF($P93="COSTO PENDIENTE"," · Falta costo del producto","")&amp;IF(AND(ISNUMBER($Q93),$Q93&lt;0)," · UTILIDAD NEGATIVA","")&amp;IF(AND($F93&lt;&gt;"",ISNUMBER(INDEX(tblInventario[Stock actual],MATCH($F93,tblInventario[SKU],0))),INDEX(tblInventario[Stock actual],MATCH($F93,tblInventario[SKU],0))&lt;0)," · Stock negativo del SKU","")&amp;IF(AND($T93="Cobrado",$U93="")," · Cobro sin fecha","")&amp;IF(AND(ISNUMBER($V93),ISNUMBER($N93),$V93&gt;N($N93)+0.01)," · Cobrado &gt; venta neta","")&amp;IF(AND(ISNUMBER($V93),$V93&gt;0,$U93="")," · Monto cobrado sin fecha","")="","OK",MID(IF($B93=""," · Falta fecha","")&amp;IF($D93=""," · Falta cliente","")&amp;IF($E93=""," · Falta canal","")&amp;IF($F93=""," · Falta SKU","")&amp;IF(AND($F93&lt;&gt;"",COUNTIF(tblProductos[SKU],$F93)=0)," · SKU no existe","")&amp;IF(OR($I93="",NOT(ISNUMBER($I93)),$I93&lt;=0)," · Cantidad inválida","")&amp;IF($M93="PRECIO PENDIENTE"," · Falta precio de venta","")&amp;IF($P93="COSTO PENDIENTE"," · Falta costo del producto","")&amp;IF(AND(ISNUMBER($Q93),$Q93&lt;0)," · UTILIDAD NEGATIVA","")&amp;IF(AND($F93&lt;&gt;"",ISNUMBER(INDEX(tblInventario[Stock actual],MATCH($F93,tblInventario[SKU],0))),INDEX(tblInventario[Stock actual],MATCH($F93,tblInventario[SKU],0))&lt;0)," · Stock negativo del SKU","")&amp;IF(AND($T93="Cobrado",$U93="")," · Cobro sin fecha","")&amp;IF(AND(ISNUMBER($V93),ISNUMBER($N93),$V93&gt;N($N93)+0.01)," · Cobrado &gt; venta neta","")&amp;IF(AND(ISNUMBER($V93),$V93&gt;0,$U93="")," · Monto cobrado sin fecha",""),4,900)))</f>
        <v/>
      </c>
    </row>
    <row r="94">
      <c r="A94" s="51">
        <f>IF(COUNTA($B94,$C94,$D94,$E94,$F94,$I94)=0,"","V-"&amp;TEXT(ROW()-6,"0000"))</f>
        <v/>
      </c>
      <c r="B94" s="41" t="n"/>
      <c r="C94" s="33" t="n"/>
      <c r="D94" s="33" t="n"/>
      <c r="E94" s="33" t="n"/>
      <c r="F94" s="33" t="n"/>
      <c r="G94" s="51">
        <f>IF($F94="","",IFERROR(IF(INDEX(tblProductos[Nombre del producto],MATCH($F94,tblProductos[SKU],0))="","",INDEX(tblProductos[Nombre del producto],MATCH($F94,tblProductos[SKU],0))),""))</f>
        <v/>
      </c>
      <c r="H94" s="51">
        <f>IF($F94="","",IFERROR(IF(INDEX(tblProductos[Categoría],MATCH($F94,tblProductos[SKU],0))="","",INDEX(tblProductos[Categoría],MATCH($F94,tblProductos[SKU],0))),""))</f>
        <v/>
      </c>
      <c r="I94" s="34" t="n"/>
      <c r="J94" s="39">
        <f>IF(OR($B94="",$F94="",$I94=""),"",IF($T94="Anulado",0,$I94))</f>
        <v/>
      </c>
      <c r="K94" s="54">
        <f>IF($F94="","",IFERROR(IF(INDEX(tblProductos[Precio de venta actual],MATCH($F94,tblProductos[SKU],0))="","",INDEX(tblProductos[Precio de venta actual],MATCH($F94,tblProductos[SKU],0))),""))</f>
        <v/>
      </c>
      <c r="L94" s="36" t="n"/>
      <c r="M94" s="37">
        <f>IF($J94="","",IF(NOT(ISNUMBER($K94)),"PRECIO PENDIENTE",$J94*$K94))</f>
        <v/>
      </c>
      <c r="N94" s="37">
        <f>IF($J94="","",IF(NOT(ISNUMBER($M94)),"PRECIO PENDIENTE",$M94-IF(ISNUMBER($L94),$L94,0)))</f>
        <v/>
      </c>
      <c r="O94" s="54">
        <f>IF($F94="","",IFERROR(INDEX(tblInventario[Costo unitario aplicado],MATCH($F94,tblInventario[SKU],0)),""))</f>
        <v/>
      </c>
      <c r="P94" s="37">
        <f>IF($J94="","",IF(NOT(ISNUMBER($O94)),"COSTO PENDIENTE",$J94*$O94))</f>
        <v/>
      </c>
      <c r="Q94" s="37">
        <f>IF($J94="","",IF(OR(NOT(ISNUMBER($N94)),NOT(ISNUMBER($P94))),"PENDIENTE",$N94-$P94))</f>
        <v/>
      </c>
      <c r="R94" s="38">
        <f>IF($J94="","",IF(OR(NOT(ISNUMBER($Q94)),NOT(ISNUMBER($N94)),$N94&lt;=0),"PENDIENTE",$Q94/$N94))</f>
        <v/>
      </c>
      <c r="S94" s="33" t="n"/>
      <c r="T94" s="33" t="n"/>
      <c r="U94" s="41" t="n"/>
      <c r="V94" s="36" t="n"/>
      <c r="W94" s="37">
        <f>IF(NOT(ISNUMBER($N94)),"",$N94-IF(ISNUMBER($V94),$V94,0))</f>
        <v/>
      </c>
      <c r="X94" s="33" t="n"/>
      <c r="Y94" s="51">
        <f>IF(COUNTA($B94,$C94,$D94,$E94,$F94,$I94)=0,"",IF(IF($B94=""," · Falta fecha","")&amp;IF($D94=""," · Falta cliente","")&amp;IF($E94=""," · Falta canal","")&amp;IF($F94=""," · Falta SKU","")&amp;IF(AND($F94&lt;&gt;"",COUNTIF(tblProductos[SKU],$F94)=0)," · SKU no existe","")&amp;IF(OR($I94="",NOT(ISNUMBER($I94)),$I94&lt;=0)," · Cantidad inválida","")&amp;IF($M94="PRECIO PENDIENTE"," · Falta precio de venta","")&amp;IF($P94="COSTO PENDIENTE"," · Falta costo del producto","")&amp;IF(AND(ISNUMBER($Q94),$Q94&lt;0)," · UTILIDAD NEGATIVA","")&amp;IF(AND($F94&lt;&gt;"",ISNUMBER(INDEX(tblInventario[Stock actual],MATCH($F94,tblInventario[SKU],0))),INDEX(tblInventario[Stock actual],MATCH($F94,tblInventario[SKU],0))&lt;0)," · Stock negativo del SKU","")&amp;IF(AND($T94="Cobrado",$U94="")," · Cobro sin fecha","")&amp;IF(AND(ISNUMBER($V94),ISNUMBER($N94),$V94&gt;N($N94)+0.01)," · Cobrado &gt; venta neta","")&amp;IF(AND(ISNUMBER($V94),$V94&gt;0,$U94="")," · Monto cobrado sin fecha","")="","OK",MID(IF($B94=""," · Falta fecha","")&amp;IF($D94=""," · Falta cliente","")&amp;IF($E94=""," · Falta canal","")&amp;IF($F94=""," · Falta SKU","")&amp;IF(AND($F94&lt;&gt;"",COUNTIF(tblProductos[SKU],$F94)=0)," · SKU no existe","")&amp;IF(OR($I94="",NOT(ISNUMBER($I94)),$I94&lt;=0)," · Cantidad inválida","")&amp;IF($M94="PRECIO PENDIENTE"," · Falta precio de venta","")&amp;IF($P94="COSTO PENDIENTE"," · Falta costo del producto","")&amp;IF(AND(ISNUMBER($Q94),$Q94&lt;0)," · UTILIDAD NEGATIVA","")&amp;IF(AND($F94&lt;&gt;"",ISNUMBER(INDEX(tblInventario[Stock actual],MATCH($F94,tblInventario[SKU],0))),INDEX(tblInventario[Stock actual],MATCH($F94,tblInventario[SKU],0))&lt;0)," · Stock negativo del SKU","")&amp;IF(AND($T94="Cobrado",$U94="")," · Cobro sin fecha","")&amp;IF(AND(ISNUMBER($V94),ISNUMBER($N94),$V94&gt;N($N94)+0.01)," · Cobrado &gt; venta neta","")&amp;IF(AND(ISNUMBER($V94),$V94&gt;0,$U94="")," · Monto cobrado sin fecha",""),4,900)))</f>
        <v/>
      </c>
    </row>
    <row r="95">
      <c r="A95" s="51">
        <f>IF(COUNTA($B95,$C95,$D95,$E95,$F95,$I95)=0,"","V-"&amp;TEXT(ROW()-6,"0000"))</f>
        <v/>
      </c>
      <c r="B95" s="41" t="n"/>
      <c r="C95" s="33" t="n"/>
      <c r="D95" s="33" t="n"/>
      <c r="E95" s="33" t="n"/>
      <c r="F95" s="33" t="n"/>
      <c r="G95" s="51">
        <f>IF($F95="","",IFERROR(IF(INDEX(tblProductos[Nombre del producto],MATCH($F95,tblProductos[SKU],0))="","",INDEX(tblProductos[Nombre del producto],MATCH($F95,tblProductos[SKU],0))),""))</f>
        <v/>
      </c>
      <c r="H95" s="51">
        <f>IF($F95="","",IFERROR(IF(INDEX(tblProductos[Categoría],MATCH($F95,tblProductos[SKU],0))="","",INDEX(tblProductos[Categoría],MATCH($F95,tblProductos[SKU],0))),""))</f>
        <v/>
      </c>
      <c r="I95" s="34" t="n"/>
      <c r="J95" s="39">
        <f>IF(OR($B95="",$F95="",$I95=""),"",IF($T95="Anulado",0,$I95))</f>
        <v/>
      </c>
      <c r="K95" s="54">
        <f>IF($F95="","",IFERROR(IF(INDEX(tblProductos[Precio de venta actual],MATCH($F95,tblProductos[SKU],0))="","",INDEX(tblProductos[Precio de venta actual],MATCH($F95,tblProductos[SKU],0))),""))</f>
        <v/>
      </c>
      <c r="L95" s="36" t="n"/>
      <c r="M95" s="37">
        <f>IF($J95="","",IF(NOT(ISNUMBER($K95)),"PRECIO PENDIENTE",$J95*$K95))</f>
        <v/>
      </c>
      <c r="N95" s="37">
        <f>IF($J95="","",IF(NOT(ISNUMBER($M95)),"PRECIO PENDIENTE",$M95-IF(ISNUMBER($L95),$L95,0)))</f>
        <v/>
      </c>
      <c r="O95" s="54">
        <f>IF($F95="","",IFERROR(INDEX(tblInventario[Costo unitario aplicado],MATCH($F95,tblInventario[SKU],0)),""))</f>
        <v/>
      </c>
      <c r="P95" s="37">
        <f>IF($J95="","",IF(NOT(ISNUMBER($O95)),"COSTO PENDIENTE",$J95*$O95))</f>
        <v/>
      </c>
      <c r="Q95" s="37">
        <f>IF($J95="","",IF(OR(NOT(ISNUMBER($N95)),NOT(ISNUMBER($P95))),"PENDIENTE",$N95-$P95))</f>
        <v/>
      </c>
      <c r="R95" s="38">
        <f>IF($J95="","",IF(OR(NOT(ISNUMBER($Q95)),NOT(ISNUMBER($N95)),$N95&lt;=0),"PENDIENTE",$Q95/$N95))</f>
        <v/>
      </c>
      <c r="S95" s="33" t="n"/>
      <c r="T95" s="33" t="n"/>
      <c r="U95" s="41" t="n"/>
      <c r="V95" s="36" t="n"/>
      <c r="W95" s="37">
        <f>IF(NOT(ISNUMBER($N95)),"",$N95-IF(ISNUMBER($V95),$V95,0))</f>
        <v/>
      </c>
      <c r="X95" s="33" t="n"/>
      <c r="Y95" s="51">
        <f>IF(COUNTA($B95,$C95,$D95,$E95,$F95,$I95)=0,"",IF(IF($B95=""," · Falta fecha","")&amp;IF($D95=""," · Falta cliente","")&amp;IF($E95=""," · Falta canal","")&amp;IF($F95=""," · Falta SKU","")&amp;IF(AND($F95&lt;&gt;"",COUNTIF(tblProductos[SKU],$F95)=0)," · SKU no existe","")&amp;IF(OR($I95="",NOT(ISNUMBER($I95)),$I95&lt;=0)," · Cantidad inválida","")&amp;IF($M95="PRECIO PENDIENTE"," · Falta precio de venta","")&amp;IF($P95="COSTO PENDIENTE"," · Falta costo del producto","")&amp;IF(AND(ISNUMBER($Q95),$Q95&lt;0)," · UTILIDAD NEGATIVA","")&amp;IF(AND($F95&lt;&gt;"",ISNUMBER(INDEX(tblInventario[Stock actual],MATCH($F95,tblInventario[SKU],0))),INDEX(tblInventario[Stock actual],MATCH($F95,tblInventario[SKU],0))&lt;0)," · Stock negativo del SKU","")&amp;IF(AND($T95="Cobrado",$U95="")," · Cobro sin fecha","")&amp;IF(AND(ISNUMBER($V95),ISNUMBER($N95),$V95&gt;N($N95)+0.01)," · Cobrado &gt; venta neta","")&amp;IF(AND(ISNUMBER($V95),$V95&gt;0,$U95="")," · Monto cobrado sin fecha","")="","OK",MID(IF($B95=""," · Falta fecha","")&amp;IF($D95=""," · Falta cliente","")&amp;IF($E95=""," · Falta canal","")&amp;IF($F95=""," · Falta SKU","")&amp;IF(AND($F95&lt;&gt;"",COUNTIF(tblProductos[SKU],$F95)=0)," · SKU no existe","")&amp;IF(OR($I95="",NOT(ISNUMBER($I95)),$I95&lt;=0)," · Cantidad inválida","")&amp;IF($M95="PRECIO PENDIENTE"," · Falta precio de venta","")&amp;IF($P95="COSTO PENDIENTE"," · Falta costo del producto","")&amp;IF(AND(ISNUMBER($Q95),$Q95&lt;0)," · UTILIDAD NEGATIVA","")&amp;IF(AND($F95&lt;&gt;"",ISNUMBER(INDEX(tblInventario[Stock actual],MATCH($F95,tblInventario[SKU],0))),INDEX(tblInventario[Stock actual],MATCH($F95,tblInventario[SKU],0))&lt;0)," · Stock negativo del SKU","")&amp;IF(AND($T95="Cobrado",$U95="")," · Cobro sin fecha","")&amp;IF(AND(ISNUMBER($V95),ISNUMBER($N95),$V95&gt;N($N95)+0.01)," · Cobrado &gt; venta neta","")&amp;IF(AND(ISNUMBER($V95),$V95&gt;0,$U95="")," · Monto cobrado sin fecha",""),4,900)))</f>
        <v/>
      </c>
    </row>
    <row r="96">
      <c r="A96" s="51">
        <f>IF(COUNTA($B96,$C96,$D96,$E96,$F96,$I96)=0,"","V-"&amp;TEXT(ROW()-6,"0000"))</f>
        <v/>
      </c>
      <c r="B96" s="41" t="n"/>
      <c r="C96" s="33" t="n"/>
      <c r="D96" s="33" t="n"/>
      <c r="E96" s="33" t="n"/>
      <c r="F96" s="33" t="n"/>
      <c r="G96" s="51">
        <f>IF($F96="","",IFERROR(IF(INDEX(tblProductos[Nombre del producto],MATCH($F96,tblProductos[SKU],0))="","",INDEX(tblProductos[Nombre del producto],MATCH($F96,tblProductos[SKU],0))),""))</f>
        <v/>
      </c>
      <c r="H96" s="51">
        <f>IF($F96="","",IFERROR(IF(INDEX(tblProductos[Categoría],MATCH($F96,tblProductos[SKU],0))="","",INDEX(tblProductos[Categoría],MATCH($F96,tblProductos[SKU],0))),""))</f>
        <v/>
      </c>
      <c r="I96" s="34" t="n"/>
      <c r="J96" s="39">
        <f>IF(OR($B96="",$F96="",$I96=""),"",IF($T96="Anulado",0,$I96))</f>
        <v/>
      </c>
      <c r="K96" s="54">
        <f>IF($F96="","",IFERROR(IF(INDEX(tblProductos[Precio de venta actual],MATCH($F96,tblProductos[SKU],0))="","",INDEX(tblProductos[Precio de venta actual],MATCH($F96,tblProductos[SKU],0))),""))</f>
        <v/>
      </c>
      <c r="L96" s="36" t="n"/>
      <c r="M96" s="37">
        <f>IF($J96="","",IF(NOT(ISNUMBER($K96)),"PRECIO PENDIENTE",$J96*$K96))</f>
        <v/>
      </c>
      <c r="N96" s="37">
        <f>IF($J96="","",IF(NOT(ISNUMBER($M96)),"PRECIO PENDIENTE",$M96-IF(ISNUMBER($L96),$L96,0)))</f>
        <v/>
      </c>
      <c r="O96" s="54">
        <f>IF($F96="","",IFERROR(INDEX(tblInventario[Costo unitario aplicado],MATCH($F96,tblInventario[SKU],0)),""))</f>
        <v/>
      </c>
      <c r="P96" s="37">
        <f>IF($J96="","",IF(NOT(ISNUMBER($O96)),"COSTO PENDIENTE",$J96*$O96))</f>
        <v/>
      </c>
      <c r="Q96" s="37">
        <f>IF($J96="","",IF(OR(NOT(ISNUMBER($N96)),NOT(ISNUMBER($P96))),"PENDIENTE",$N96-$P96))</f>
        <v/>
      </c>
      <c r="R96" s="38">
        <f>IF($J96="","",IF(OR(NOT(ISNUMBER($Q96)),NOT(ISNUMBER($N96)),$N96&lt;=0),"PENDIENTE",$Q96/$N96))</f>
        <v/>
      </c>
      <c r="S96" s="33" t="n"/>
      <c r="T96" s="33" t="n"/>
      <c r="U96" s="41" t="n"/>
      <c r="V96" s="36" t="n"/>
      <c r="W96" s="37">
        <f>IF(NOT(ISNUMBER($N96)),"",$N96-IF(ISNUMBER($V96),$V96,0))</f>
        <v/>
      </c>
      <c r="X96" s="33" t="n"/>
      <c r="Y96" s="51">
        <f>IF(COUNTA($B96,$C96,$D96,$E96,$F96,$I96)=0,"",IF(IF($B96=""," · Falta fecha","")&amp;IF($D96=""," · Falta cliente","")&amp;IF($E96=""," · Falta canal","")&amp;IF($F96=""," · Falta SKU","")&amp;IF(AND($F96&lt;&gt;"",COUNTIF(tblProductos[SKU],$F96)=0)," · SKU no existe","")&amp;IF(OR($I96="",NOT(ISNUMBER($I96)),$I96&lt;=0)," · Cantidad inválida","")&amp;IF($M96="PRECIO PENDIENTE"," · Falta precio de venta","")&amp;IF($P96="COSTO PENDIENTE"," · Falta costo del producto","")&amp;IF(AND(ISNUMBER($Q96),$Q96&lt;0)," · UTILIDAD NEGATIVA","")&amp;IF(AND($F96&lt;&gt;"",ISNUMBER(INDEX(tblInventario[Stock actual],MATCH($F96,tblInventario[SKU],0))),INDEX(tblInventario[Stock actual],MATCH($F96,tblInventario[SKU],0))&lt;0)," · Stock negativo del SKU","")&amp;IF(AND($T96="Cobrado",$U96="")," · Cobro sin fecha","")&amp;IF(AND(ISNUMBER($V96),ISNUMBER($N96),$V96&gt;N($N96)+0.01)," · Cobrado &gt; venta neta","")&amp;IF(AND(ISNUMBER($V96),$V96&gt;0,$U96="")," · Monto cobrado sin fecha","")="","OK",MID(IF($B96=""," · Falta fecha","")&amp;IF($D96=""," · Falta cliente","")&amp;IF($E96=""," · Falta canal","")&amp;IF($F96=""," · Falta SKU","")&amp;IF(AND($F96&lt;&gt;"",COUNTIF(tblProductos[SKU],$F96)=0)," · SKU no existe","")&amp;IF(OR($I96="",NOT(ISNUMBER($I96)),$I96&lt;=0)," · Cantidad inválida","")&amp;IF($M96="PRECIO PENDIENTE"," · Falta precio de venta","")&amp;IF($P96="COSTO PENDIENTE"," · Falta costo del producto","")&amp;IF(AND(ISNUMBER($Q96),$Q96&lt;0)," · UTILIDAD NEGATIVA","")&amp;IF(AND($F96&lt;&gt;"",ISNUMBER(INDEX(tblInventario[Stock actual],MATCH($F96,tblInventario[SKU],0))),INDEX(tblInventario[Stock actual],MATCH($F96,tblInventario[SKU],0))&lt;0)," · Stock negativo del SKU","")&amp;IF(AND($T96="Cobrado",$U96="")," · Cobro sin fecha","")&amp;IF(AND(ISNUMBER($V96),ISNUMBER($N96),$V96&gt;N($N96)+0.01)," · Cobrado &gt; venta neta","")&amp;IF(AND(ISNUMBER($V96),$V96&gt;0,$U96="")," · Monto cobrado sin fecha",""),4,900)))</f>
        <v/>
      </c>
    </row>
    <row r="97">
      <c r="A97" s="51">
        <f>IF(COUNTA($B97,$C97,$D97,$E97,$F97,$I97)=0,"","V-"&amp;TEXT(ROW()-6,"0000"))</f>
        <v/>
      </c>
      <c r="B97" s="41" t="n"/>
      <c r="C97" s="33" t="n"/>
      <c r="D97" s="33" t="n"/>
      <c r="E97" s="33" t="n"/>
      <c r="F97" s="33" t="n"/>
      <c r="G97" s="51">
        <f>IF($F97="","",IFERROR(IF(INDEX(tblProductos[Nombre del producto],MATCH($F97,tblProductos[SKU],0))="","",INDEX(tblProductos[Nombre del producto],MATCH($F97,tblProductos[SKU],0))),""))</f>
        <v/>
      </c>
      <c r="H97" s="51">
        <f>IF($F97="","",IFERROR(IF(INDEX(tblProductos[Categoría],MATCH($F97,tblProductos[SKU],0))="","",INDEX(tblProductos[Categoría],MATCH($F97,tblProductos[SKU],0))),""))</f>
        <v/>
      </c>
      <c r="I97" s="34" t="n"/>
      <c r="J97" s="39">
        <f>IF(OR($B97="",$F97="",$I97=""),"",IF($T97="Anulado",0,$I97))</f>
        <v/>
      </c>
      <c r="K97" s="54">
        <f>IF($F97="","",IFERROR(IF(INDEX(tblProductos[Precio de venta actual],MATCH($F97,tblProductos[SKU],0))="","",INDEX(tblProductos[Precio de venta actual],MATCH($F97,tblProductos[SKU],0))),""))</f>
        <v/>
      </c>
      <c r="L97" s="36" t="n"/>
      <c r="M97" s="37">
        <f>IF($J97="","",IF(NOT(ISNUMBER($K97)),"PRECIO PENDIENTE",$J97*$K97))</f>
        <v/>
      </c>
      <c r="N97" s="37">
        <f>IF($J97="","",IF(NOT(ISNUMBER($M97)),"PRECIO PENDIENTE",$M97-IF(ISNUMBER($L97),$L97,0)))</f>
        <v/>
      </c>
      <c r="O97" s="54">
        <f>IF($F97="","",IFERROR(INDEX(tblInventario[Costo unitario aplicado],MATCH($F97,tblInventario[SKU],0)),""))</f>
        <v/>
      </c>
      <c r="P97" s="37">
        <f>IF($J97="","",IF(NOT(ISNUMBER($O97)),"COSTO PENDIENTE",$J97*$O97))</f>
        <v/>
      </c>
      <c r="Q97" s="37">
        <f>IF($J97="","",IF(OR(NOT(ISNUMBER($N97)),NOT(ISNUMBER($P97))),"PENDIENTE",$N97-$P97))</f>
        <v/>
      </c>
      <c r="R97" s="38">
        <f>IF($J97="","",IF(OR(NOT(ISNUMBER($Q97)),NOT(ISNUMBER($N97)),$N97&lt;=0),"PENDIENTE",$Q97/$N97))</f>
        <v/>
      </c>
      <c r="S97" s="33" t="n"/>
      <c r="T97" s="33" t="n"/>
      <c r="U97" s="41" t="n"/>
      <c r="V97" s="36" t="n"/>
      <c r="W97" s="37">
        <f>IF(NOT(ISNUMBER($N97)),"",$N97-IF(ISNUMBER($V97),$V97,0))</f>
        <v/>
      </c>
      <c r="X97" s="33" t="n"/>
      <c r="Y97" s="51">
        <f>IF(COUNTA($B97,$C97,$D97,$E97,$F97,$I97)=0,"",IF(IF($B97=""," · Falta fecha","")&amp;IF($D97=""," · Falta cliente","")&amp;IF($E97=""," · Falta canal","")&amp;IF($F97=""," · Falta SKU","")&amp;IF(AND($F97&lt;&gt;"",COUNTIF(tblProductos[SKU],$F97)=0)," · SKU no existe","")&amp;IF(OR($I97="",NOT(ISNUMBER($I97)),$I97&lt;=0)," · Cantidad inválida","")&amp;IF($M97="PRECIO PENDIENTE"," · Falta precio de venta","")&amp;IF($P97="COSTO PENDIENTE"," · Falta costo del producto","")&amp;IF(AND(ISNUMBER($Q97),$Q97&lt;0)," · UTILIDAD NEGATIVA","")&amp;IF(AND($F97&lt;&gt;"",ISNUMBER(INDEX(tblInventario[Stock actual],MATCH($F97,tblInventario[SKU],0))),INDEX(tblInventario[Stock actual],MATCH($F97,tblInventario[SKU],0))&lt;0)," · Stock negativo del SKU","")&amp;IF(AND($T97="Cobrado",$U97="")," · Cobro sin fecha","")&amp;IF(AND(ISNUMBER($V97),ISNUMBER($N97),$V97&gt;N($N97)+0.01)," · Cobrado &gt; venta neta","")&amp;IF(AND(ISNUMBER($V97),$V97&gt;0,$U97="")," · Monto cobrado sin fecha","")="","OK",MID(IF($B97=""," · Falta fecha","")&amp;IF($D97=""," · Falta cliente","")&amp;IF($E97=""," · Falta canal","")&amp;IF($F97=""," · Falta SKU","")&amp;IF(AND($F97&lt;&gt;"",COUNTIF(tblProductos[SKU],$F97)=0)," · SKU no existe","")&amp;IF(OR($I97="",NOT(ISNUMBER($I97)),$I97&lt;=0)," · Cantidad inválida","")&amp;IF($M97="PRECIO PENDIENTE"," · Falta precio de venta","")&amp;IF($P97="COSTO PENDIENTE"," · Falta costo del producto","")&amp;IF(AND(ISNUMBER($Q97),$Q97&lt;0)," · UTILIDAD NEGATIVA","")&amp;IF(AND($F97&lt;&gt;"",ISNUMBER(INDEX(tblInventario[Stock actual],MATCH($F97,tblInventario[SKU],0))),INDEX(tblInventario[Stock actual],MATCH($F97,tblInventario[SKU],0))&lt;0)," · Stock negativo del SKU","")&amp;IF(AND($T97="Cobrado",$U97="")," · Cobro sin fecha","")&amp;IF(AND(ISNUMBER($V97),ISNUMBER($N97),$V97&gt;N($N97)+0.01)," · Cobrado &gt; venta neta","")&amp;IF(AND(ISNUMBER($V97),$V97&gt;0,$U97="")," · Monto cobrado sin fecha",""),4,900)))</f>
        <v/>
      </c>
    </row>
    <row r="98">
      <c r="A98" s="51">
        <f>IF(COUNTA($B98,$C98,$D98,$E98,$F98,$I98)=0,"","V-"&amp;TEXT(ROW()-6,"0000"))</f>
        <v/>
      </c>
      <c r="B98" s="41" t="n"/>
      <c r="C98" s="33" t="n"/>
      <c r="D98" s="33" t="n"/>
      <c r="E98" s="33" t="n"/>
      <c r="F98" s="33" t="n"/>
      <c r="G98" s="51">
        <f>IF($F98="","",IFERROR(IF(INDEX(tblProductos[Nombre del producto],MATCH($F98,tblProductos[SKU],0))="","",INDEX(tblProductos[Nombre del producto],MATCH($F98,tblProductos[SKU],0))),""))</f>
        <v/>
      </c>
      <c r="H98" s="51">
        <f>IF($F98="","",IFERROR(IF(INDEX(tblProductos[Categoría],MATCH($F98,tblProductos[SKU],0))="","",INDEX(tblProductos[Categoría],MATCH($F98,tblProductos[SKU],0))),""))</f>
        <v/>
      </c>
      <c r="I98" s="34" t="n"/>
      <c r="J98" s="39">
        <f>IF(OR($B98="",$F98="",$I98=""),"",IF($T98="Anulado",0,$I98))</f>
        <v/>
      </c>
      <c r="K98" s="54">
        <f>IF($F98="","",IFERROR(IF(INDEX(tblProductos[Precio de venta actual],MATCH($F98,tblProductos[SKU],0))="","",INDEX(tblProductos[Precio de venta actual],MATCH($F98,tblProductos[SKU],0))),""))</f>
        <v/>
      </c>
      <c r="L98" s="36" t="n"/>
      <c r="M98" s="37">
        <f>IF($J98="","",IF(NOT(ISNUMBER($K98)),"PRECIO PENDIENTE",$J98*$K98))</f>
        <v/>
      </c>
      <c r="N98" s="37">
        <f>IF($J98="","",IF(NOT(ISNUMBER($M98)),"PRECIO PENDIENTE",$M98-IF(ISNUMBER($L98),$L98,0)))</f>
        <v/>
      </c>
      <c r="O98" s="54">
        <f>IF($F98="","",IFERROR(INDEX(tblInventario[Costo unitario aplicado],MATCH($F98,tblInventario[SKU],0)),""))</f>
        <v/>
      </c>
      <c r="P98" s="37">
        <f>IF($J98="","",IF(NOT(ISNUMBER($O98)),"COSTO PENDIENTE",$J98*$O98))</f>
        <v/>
      </c>
      <c r="Q98" s="37">
        <f>IF($J98="","",IF(OR(NOT(ISNUMBER($N98)),NOT(ISNUMBER($P98))),"PENDIENTE",$N98-$P98))</f>
        <v/>
      </c>
      <c r="R98" s="38">
        <f>IF($J98="","",IF(OR(NOT(ISNUMBER($Q98)),NOT(ISNUMBER($N98)),$N98&lt;=0),"PENDIENTE",$Q98/$N98))</f>
        <v/>
      </c>
      <c r="S98" s="33" t="n"/>
      <c r="T98" s="33" t="n"/>
      <c r="U98" s="41" t="n"/>
      <c r="V98" s="36" t="n"/>
      <c r="W98" s="37">
        <f>IF(NOT(ISNUMBER($N98)),"",$N98-IF(ISNUMBER($V98),$V98,0))</f>
        <v/>
      </c>
      <c r="X98" s="33" t="n"/>
      <c r="Y98" s="51">
        <f>IF(COUNTA($B98,$C98,$D98,$E98,$F98,$I98)=0,"",IF(IF($B98=""," · Falta fecha","")&amp;IF($D98=""," · Falta cliente","")&amp;IF($E98=""," · Falta canal","")&amp;IF($F98=""," · Falta SKU","")&amp;IF(AND($F98&lt;&gt;"",COUNTIF(tblProductos[SKU],$F98)=0)," · SKU no existe","")&amp;IF(OR($I98="",NOT(ISNUMBER($I98)),$I98&lt;=0)," · Cantidad inválida","")&amp;IF($M98="PRECIO PENDIENTE"," · Falta precio de venta","")&amp;IF($P98="COSTO PENDIENTE"," · Falta costo del producto","")&amp;IF(AND(ISNUMBER($Q98),$Q98&lt;0)," · UTILIDAD NEGATIVA","")&amp;IF(AND($F98&lt;&gt;"",ISNUMBER(INDEX(tblInventario[Stock actual],MATCH($F98,tblInventario[SKU],0))),INDEX(tblInventario[Stock actual],MATCH($F98,tblInventario[SKU],0))&lt;0)," · Stock negativo del SKU","")&amp;IF(AND($T98="Cobrado",$U98="")," · Cobro sin fecha","")&amp;IF(AND(ISNUMBER($V98),ISNUMBER($N98),$V98&gt;N($N98)+0.01)," · Cobrado &gt; venta neta","")&amp;IF(AND(ISNUMBER($V98),$V98&gt;0,$U98="")," · Monto cobrado sin fecha","")="","OK",MID(IF($B98=""," · Falta fecha","")&amp;IF($D98=""," · Falta cliente","")&amp;IF($E98=""," · Falta canal","")&amp;IF($F98=""," · Falta SKU","")&amp;IF(AND($F98&lt;&gt;"",COUNTIF(tblProductos[SKU],$F98)=0)," · SKU no existe","")&amp;IF(OR($I98="",NOT(ISNUMBER($I98)),$I98&lt;=0)," · Cantidad inválida","")&amp;IF($M98="PRECIO PENDIENTE"," · Falta precio de venta","")&amp;IF($P98="COSTO PENDIENTE"," · Falta costo del producto","")&amp;IF(AND(ISNUMBER($Q98),$Q98&lt;0)," · UTILIDAD NEGATIVA","")&amp;IF(AND($F98&lt;&gt;"",ISNUMBER(INDEX(tblInventario[Stock actual],MATCH($F98,tblInventario[SKU],0))),INDEX(tblInventario[Stock actual],MATCH($F98,tblInventario[SKU],0))&lt;0)," · Stock negativo del SKU","")&amp;IF(AND($T98="Cobrado",$U98="")," · Cobro sin fecha","")&amp;IF(AND(ISNUMBER($V98),ISNUMBER($N98),$V98&gt;N($N98)+0.01)," · Cobrado &gt; venta neta","")&amp;IF(AND(ISNUMBER($V98),$V98&gt;0,$U98="")," · Monto cobrado sin fecha",""),4,900)))</f>
        <v/>
      </c>
    </row>
    <row r="99">
      <c r="A99" s="51">
        <f>IF(COUNTA($B99,$C99,$D99,$E99,$F99,$I99)=0,"","V-"&amp;TEXT(ROW()-6,"0000"))</f>
        <v/>
      </c>
      <c r="B99" s="41" t="n"/>
      <c r="C99" s="33" t="n"/>
      <c r="D99" s="33" t="n"/>
      <c r="E99" s="33" t="n"/>
      <c r="F99" s="33" t="n"/>
      <c r="G99" s="51">
        <f>IF($F99="","",IFERROR(IF(INDEX(tblProductos[Nombre del producto],MATCH($F99,tblProductos[SKU],0))="","",INDEX(tblProductos[Nombre del producto],MATCH($F99,tblProductos[SKU],0))),""))</f>
        <v/>
      </c>
      <c r="H99" s="51">
        <f>IF($F99="","",IFERROR(IF(INDEX(tblProductos[Categoría],MATCH($F99,tblProductos[SKU],0))="","",INDEX(tblProductos[Categoría],MATCH($F99,tblProductos[SKU],0))),""))</f>
        <v/>
      </c>
      <c r="I99" s="34" t="n"/>
      <c r="J99" s="39">
        <f>IF(OR($B99="",$F99="",$I99=""),"",IF($T99="Anulado",0,$I99))</f>
        <v/>
      </c>
      <c r="K99" s="54">
        <f>IF($F99="","",IFERROR(IF(INDEX(tblProductos[Precio de venta actual],MATCH($F99,tblProductos[SKU],0))="","",INDEX(tblProductos[Precio de venta actual],MATCH($F99,tblProductos[SKU],0))),""))</f>
        <v/>
      </c>
      <c r="L99" s="36" t="n"/>
      <c r="M99" s="37">
        <f>IF($J99="","",IF(NOT(ISNUMBER($K99)),"PRECIO PENDIENTE",$J99*$K99))</f>
        <v/>
      </c>
      <c r="N99" s="37">
        <f>IF($J99="","",IF(NOT(ISNUMBER($M99)),"PRECIO PENDIENTE",$M99-IF(ISNUMBER($L99),$L99,0)))</f>
        <v/>
      </c>
      <c r="O99" s="54">
        <f>IF($F99="","",IFERROR(INDEX(tblInventario[Costo unitario aplicado],MATCH($F99,tblInventario[SKU],0)),""))</f>
        <v/>
      </c>
      <c r="P99" s="37">
        <f>IF($J99="","",IF(NOT(ISNUMBER($O99)),"COSTO PENDIENTE",$J99*$O99))</f>
        <v/>
      </c>
      <c r="Q99" s="37">
        <f>IF($J99="","",IF(OR(NOT(ISNUMBER($N99)),NOT(ISNUMBER($P99))),"PENDIENTE",$N99-$P99))</f>
        <v/>
      </c>
      <c r="R99" s="38">
        <f>IF($J99="","",IF(OR(NOT(ISNUMBER($Q99)),NOT(ISNUMBER($N99)),$N99&lt;=0),"PENDIENTE",$Q99/$N99))</f>
        <v/>
      </c>
      <c r="S99" s="33" t="n"/>
      <c r="T99" s="33" t="n"/>
      <c r="U99" s="41" t="n"/>
      <c r="V99" s="36" t="n"/>
      <c r="W99" s="37">
        <f>IF(NOT(ISNUMBER($N99)),"",$N99-IF(ISNUMBER($V99),$V99,0))</f>
        <v/>
      </c>
      <c r="X99" s="33" t="n"/>
      <c r="Y99" s="51">
        <f>IF(COUNTA($B99,$C99,$D99,$E99,$F99,$I99)=0,"",IF(IF($B99=""," · Falta fecha","")&amp;IF($D99=""," · Falta cliente","")&amp;IF($E99=""," · Falta canal","")&amp;IF($F99=""," · Falta SKU","")&amp;IF(AND($F99&lt;&gt;"",COUNTIF(tblProductos[SKU],$F99)=0)," · SKU no existe","")&amp;IF(OR($I99="",NOT(ISNUMBER($I99)),$I99&lt;=0)," · Cantidad inválida","")&amp;IF($M99="PRECIO PENDIENTE"," · Falta precio de venta","")&amp;IF($P99="COSTO PENDIENTE"," · Falta costo del producto","")&amp;IF(AND(ISNUMBER($Q99),$Q99&lt;0)," · UTILIDAD NEGATIVA","")&amp;IF(AND($F99&lt;&gt;"",ISNUMBER(INDEX(tblInventario[Stock actual],MATCH($F99,tblInventario[SKU],0))),INDEX(tblInventario[Stock actual],MATCH($F99,tblInventario[SKU],0))&lt;0)," · Stock negativo del SKU","")&amp;IF(AND($T99="Cobrado",$U99="")," · Cobro sin fecha","")&amp;IF(AND(ISNUMBER($V99),ISNUMBER($N99),$V99&gt;N($N99)+0.01)," · Cobrado &gt; venta neta","")&amp;IF(AND(ISNUMBER($V99),$V99&gt;0,$U99="")," · Monto cobrado sin fecha","")="","OK",MID(IF($B99=""," · Falta fecha","")&amp;IF($D99=""," · Falta cliente","")&amp;IF($E99=""," · Falta canal","")&amp;IF($F99=""," · Falta SKU","")&amp;IF(AND($F99&lt;&gt;"",COUNTIF(tblProductos[SKU],$F99)=0)," · SKU no existe","")&amp;IF(OR($I99="",NOT(ISNUMBER($I99)),$I99&lt;=0)," · Cantidad inválida","")&amp;IF($M99="PRECIO PENDIENTE"," · Falta precio de venta","")&amp;IF($P99="COSTO PENDIENTE"," · Falta costo del producto","")&amp;IF(AND(ISNUMBER($Q99),$Q99&lt;0)," · UTILIDAD NEGATIVA","")&amp;IF(AND($F99&lt;&gt;"",ISNUMBER(INDEX(tblInventario[Stock actual],MATCH($F99,tblInventario[SKU],0))),INDEX(tblInventario[Stock actual],MATCH($F99,tblInventario[SKU],0))&lt;0)," · Stock negativo del SKU","")&amp;IF(AND($T99="Cobrado",$U99="")," · Cobro sin fecha","")&amp;IF(AND(ISNUMBER($V99),ISNUMBER($N99),$V99&gt;N($N99)+0.01)," · Cobrado &gt; venta neta","")&amp;IF(AND(ISNUMBER($V99),$V99&gt;0,$U99="")," · Monto cobrado sin fecha",""),4,900)))</f>
        <v/>
      </c>
    </row>
    <row r="100">
      <c r="A100" s="51">
        <f>IF(COUNTA($B100,$C100,$D100,$E100,$F100,$I100)=0,"","V-"&amp;TEXT(ROW()-6,"0000"))</f>
        <v/>
      </c>
      <c r="B100" s="41" t="n"/>
      <c r="C100" s="33" t="n"/>
      <c r="D100" s="33" t="n"/>
      <c r="E100" s="33" t="n"/>
      <c r="F100" s="33" t="n"/>
      <c r="G100" s="51">
        <f>IF($F100="","",IFERROR(IF(INDEX(tblProductos[Nombre del producto],MATCH($F100,tblProductos[SKU],0))="","",INDEX(tblProductos[Nombre del producto],MATCH($F100,tblProductos[SKU],0))),""))</f>
        <v/>
      </c>
      <c r="H100" s="51">
        <f>IF($F100="","",IFERROR(IF(INDEX(tblProductos[Categoría],MATCH($F100,tblProductos[SKU],0))="","",INDEX(tblProductos[Categoría],MATCH($F100,tblProductos[SKU],0))),""))</f>
        <v/>
      </c>
      <c r="I100" s="34" t="n"/>
      <c r="J100" s="39">
        <f>IF(OR($B100="",$F100="",$I100=""),"",IF($T100="Anulado",0,$I100))</f>
        <v/>
      </c>
      <c r="K100" s="54">
        <f>IF($F100="","",IFERROR(IF(INDEX(tblProductos[Precio de venta actual],MATCH($F100,tblProductos[SKU],0))="","",INDEX(tblProductos[Precio de venta actual],MATCH($F100,tblProductos[SKU],0))),""))</f>
        <v/>
      </c>
      <c r="L100" s="36" t="n"/>
      <c r="M100" s="37">
        <f>IF($J100="","",IF(NOT(ISNUMBER($K100)),"PRECIO PENDIENTE",$J100*$K100))</f>
        <v/>
      </c>
      <c r="N100" s="37">
        <f>IF($J100="","",IF(NOT(ISNUMBER($M100)),"PRECIO PENDIENTE",$M100-IF(ISNUMBER($L100),$L100,0)))</f>
        <v/>
      </c>
      <c r="O100" s="54">
        <f>IF($F100="","",IFERROR(INDEX(tblInventario[Costo unitario aplicado],MATCH($F100,tblInventario[SKU],0)),""))</f>
        <v/>
      </c>
      <c r="P100" s="37">
        <f>IF($J100="","",IF(NOT(ISNUMBER($O100)),"COSTO PENDIENTE",$J100*$O100))</f>
        <v/>
      </c>
      <c r="Q100" s="37">
        <f>IF($J100="","",IF(OR(NOT(ISNUMBER($N100)),NOT(ISNUMBER($P100))),"PENDIENTE",$N100-$P100))</f>
        <v/>
      </c>
      <c r="R100" s="38">
        <f>IF($J100="","",IF(OR(NOT(ISNUMBER($Q100)),NOT(ISNUMBER($N100)),$N100&lt;=0),"PENDIENTE",$Q100/$N100))</f>
        <v/>
      </c>
      <c r="S100" s="33" t="n"/>
      <c r="T100" s="33" t="n"/>
      <c r="U100" s="41" t="n"/>
      <c r="V100" s="36" t="n"/>
      <c r="W100" s="37">
        <f>IF(NOT(ISNUMBER($N100)),"",$N100-IF(ISNUMBER($V100),$V100,0))</f>
        <v/>
      </c>
      <c r="X100" s="33" t="n"/>
      <c r="Y100" s="51">
        <f>IF(COUNTA($B100,$C100,$D100,$E100,$F100,$I100)=0,"",IF(IF($B100=""," · Falta fecha","")&amp;IF($D100=""," · Falta cliente","")&amp;IF($E100=""," · Falta canal","")&amp;IF($F100=""," · Falta SKU","")&amp;IF(AND($F100&lt;&gt;"",COUNTIF(tblProductos[SKU],$F100)=0)," · SKU no existe","")&amp;IF(OR($I100="",NOT(ISNUMBER($I100)),$I100&lt;=0)," · Cantidad inválida","")&amp;IF($M100="PRECIO PENDIENTE"," · Falta precio de venta","")&amp;IF($P100="COSTO PENDIENTE"," · Falta costo del producto","")&amp;IF(AND(ISNUMBER($Q100),$Q100&lt;0)," · UTILIDAD NEGATIVA","")&amp;IF(AND($F100&lt;&gt;"",ISNUMBER(INDEX(tblInventario[Stock actual],MATCH($F100,tblInventario[SKU],0))),INDEX(tblInventario[Stock actual],MATCH($F100,tblInventario[SKU],0))&lt;0)," · Stock negativo del SKU","")&amp;IF(AND($T100="Cobrado",$U100="")," · Cobro sin fecha","")&amp;IF(AND(ISNUMBER($V100),ISNUMBER($N100),$V100&gt;N($N100)+0.01)," · Cobrado &gt; venta neta","")&amp;IF(AND(ISNUMBER($V100),$V100&gt;0,$U100="")," · Monto cobrado sin fecha","")="","OK",MID(IF($B100=""," · Falta fecha","")&amp;IF($D100=""," · Falta cliente","")&amp;IF($E100=""," · Falta canal","")&amp;IF($F100=""," · Falta SKU","")&amp;IF(AND($F100&lt;&gt;"",COUNTIF(tblProductos[SKU],$F100)=0)," · SKU no existe","")&amp;IF(OR($I100="",NOT(ISNUMBER($I100)),$I100&lt;=0)," · Cantidad inválida","")&amp;IF($M100="PRECIO PENDIENTE"," · Falta precio de venta","")&amp;IF($P100="COSTO PENDIENTE"," · Falta costo del producto","")&amp;IF(AND(ISNUMBER($Q100),$Q100&lt;0)," · UTILIDAD NEGATIVA","")&amp;IF(AND($F100&lt;&gt;"",ISNUMBER(INDEX(tblInventario[Stock actual],MATCH($F100,tblInventario[SKU],0))),INDEX(tblInventario[Stock actual],MATCH($F100,tblInventario[SKU],0))&lt;0)," · Stock negativo del SKU","")&amp;IF(AND($T100="Cobrado",$U100="")," · Cobro sin fecha","")&amp;IF(AND(ISNUMBER($V100),ISNUMBER($N100),$V100&gt;N($N100)+0.01)," · Cobrado &gt; venta neta","")&amp;IF(AND(ISNUMBER($V100),$V100&gt;0,$U100="")," · Monto cobrado sin fecha",""),4,900)))</f>
        <v/>
      </c>
    </row>
    <row r="101">
      <c r="A101" s="51">
        <f>IF(COUNTA($B101,$C101,$D101,$E101,$F101,$I101)=0,"","V-"&amp;TEXT(ROW()-6,"0000"))</f>
        <v/>
      </c>
      <c r="B101" s="41" t="n"/>
      <c r="C101" s="33" t="n"/>
      <c r="D101" s="33" t="n"/>
      <c r="E101" s="33" t="n"/>
      <c r="F101" s="33" t="n"/>
      <c r="G101" s="51">
        <f>IF($F101="","",IFERROR(IF(INDEX(tblProductos[Nombre del producto],MATCH($F101,tblProductos[SKU],0))="","",INDEX(tblProductos[Nombre del producto],MATCH($F101,tblProductos[SKU],0))),""))</f>
        <v/>
      </c>
      <c r="H101" s="51">
        <f>IF($F101="","",IFERROR(IF(INDEX(tblProductos[Categoría],MATCH($F101,tblProductos[SKU],0))="","",INDEX(tblProductos[Categoría],MATCH($F101,tblProductos[SKU],0))),""))</f>
        <v/>
      </c>
      <c r="I101" s="34" t="n"/>
      <c r="J101" s="39">
        <f>IF(OR($B101="",$F101="",$I101=""),"",IF($T101="Anulado",0,$I101))</f>
        <v/>
      </c>
      <c r="K101" s="54">
        <f>IF($F101="","",IFERROR(IF(INDEX(tblProductos[Precio de venta actual],MATCH($F101,tblProductos[SKU],0))="","",INDEX(tblProductos[Precio de venta actual],MATCH($F101,tblProductos[SKU],0))),""))</f>
        <v/>
      </c>
      <c r="L101" s="36" t="n"/>
      <c r="M101" s="37">
        <f>IF($J101="","",IF(NOT(ISNUMBER($K101)),"PRECIO PENDIENTE",$J101*$K101))</f>
        <v/>
      </c>
      <c r="N101" s="37">
        <f>IF($J101="","",IF(NOT(ISNUMBER($M101)),"PRECIO PENDIENTE",$M101-IF(ISNUMBER($L101),$L101,0)))</f>
        <v/>
      </c>
      <c r="O101" s="54">
        <f>IF($F101="","",IFERROR(INDEX(tblInventario[Costo unitario aplicado],MATCH($F101,tblInventario[SKU],0)),""))</f>
        <v/>
      </c>
      <c r="P101" s="37">
        <f>IF($J101="","",IF(NOT(ISNUMBER($O101)),"COSTO PENDIENTE",$J101*$O101))</f>
        <v/>
      </c>
      <c r="Q101" s="37">
        <f>IF($J101="","",IF(OR(NOT(ISNUMBER($N101)),NOT(ISNUMBER($P101))),"PENDIENTE",$N101-$P101))</f>
        <v/>
      </c>
      <c r="R101" s="38">
        <f>IF($J101="","",IF(OR(NOT(ISNUMBER($Q101)),NOT(ISNUMBER($N101)),$N101&lt;=0),"PENDIENTE",$Q101/$N101))</f>
        <v/>
      </c>
      <c r="S101" s="33" t="n"/>
      <c r="T101" s="33" t="n"/>
      <c r="U101" s="41" t="n"/>
      <c r="V101" s="36" t="n"/>
      <c r="W101" s="37">
        <f>IF(NOT(ISNUMBER($N101)),"",$N101-IF(ISNUMBER($V101),$V101,0))</f>
        <v/>
      </c>
      <c r="X101" s="33" t="n"/>
      <c r="Y101" s="51">
        <f>IF(COUNTA($B101,$C101,$D101,$E101,$F101,$I101)=0,"",IF(IF($B101=""," · Falta fecha","")&amp;IF($D101=""," · Falta cliente","")&amp;IF($E101=""," · Falta canal","")&amp;IF($F101=""," · Falta SKU","")&amp;IF(AND($F101&lt;&gt;"",COUNTIF(tblProductos[SKU],$F101)=0)," · SKU no existe","")&amp;IF(OR($I101="",NOT(ISNUMBER($I101)),$I101&lt;=0)," · Cantidad inválida","")&amp;IF($M101="PRECIO PENDIENTE"," · Falta precio de venta","")&amp;IF($P101="COSTO PENDIENTE"," · Falta costo del producto","")&amp;IF(AND(ISNUMBER($Q101),$Q101&lt;0)," · UTILIDAD NEGATIVA","")&amp;IF(AND($F101&lt;&gt;"",ISNUMBER(INDEX(tblInventario[Stock actual],MATCH($F101,tblInventario[SKU],0))),INDEX(tblInventario[Stock actual],MATCH($F101,tblInventario[SKU],0))&lt;0)," · Stock negativo del SKU","")&amp;IF(AND($T101="Cobrado",$U101="")," · Cobro sin fecha","")&amp;IF(AND(ISNUMBER($V101),ISNUMBER($N101),$V101&gt;N($N101)+0.01)," · Cobrado &gt; venta neta","")&amp;IF(AND(ISNUMBER($V101),$V101&gt;0,$U101="")," · Monto cobrado sin fecha","")="","OK",MID(IF($B101=""," · Falta fecha","")&amp;IF($D101=""," · Falta cliente","")&amp;IF($E101=""," · Falta canal","")&amp;IF($F101=""," · Falta SKU","")&amp;IF(AND($F101&lt;&gt;"",COUNTIF(tblProductos[SKU],$F101)=0)," · SKU no existe","")&amp;IF(OR($I101="",NOT(ISNUMBER($I101)),$I101&lt;=0)," · Cantidad inválida","")&amp;IF($M101="PRECIO PENDIENTE"," · Falta precio de venta","")&amp;IF($P101="COSTO PENDIENTE"," · Falta costo del producto","")&amp;IF(AND(ISNUMBER($Q101),$Q101&lt;0)," · UTILIDAD NEGATIVA","")&amp;IF(AND($F101&lt;&gt;"",ISNUMBER(INDEX(tblInventario[Stock actual],MATCH($F101,tblInventario[SKU],0))),INDEX(tblInventario[Stock actual],MATCH($F101,tblInventario[SKU],0))&lt;0)," · Stock negativo del SKU","")&amp;IF(AND($T101="Cobrado",$U101="")," · Cobro sin fecha","")&amp;IF(AND(ISNUMBER($V101),ISNUMBER($N101),$V101&gt;N($N101)+0.01)," · Cobrado &gt; venta neta","")&amp;IF(AND(ISNUMBER($V101),$V101&gt;0,$U101="")," · Monto cobrado sin fecha",""),4,900)))</f>
        <v/>
      </c>
    </row>
    <row r="102">
      <c r="A102" s="51">
        <f>IF(COUNTA($B102,$C102,$D102,$E102,$F102,$I102)=0,"","V-"&amp;TEXT(ROW()-6,"0000"))</f>
        <v/>
      </c>
      <c r="B102" s="41" t="n"/>
      <c r="C102" s="33" t="n"/>
      <c r="D102" s="33" t="n"/>
      <c r="E102" s="33" t="n"/>
      <c r="F102" s="33" t="n"/>
      <c r="G102" s="51">
        <f>IF($F102="","",IFERROR(IF(INDEX(tblProductos[Nombre del producto],MATCH($F102,tblProductos[SKU],0))="","",INDEX(tblProductos[Nombre del producto],MATCH($F102,tblProductos[SKU],0))),""))</f>
        <v/>
      </c>
      <c r="H102" s="51">
        <f>IF($F102="","",IFERROR(IF(INDEX(tblProductos[Categoría],MATCH($F102,tblProductos[SKU],0))="","",INDEX(tblProductos[Categoría],MATCH($F102,tblProductos[SKU],0))),""))</f>
        <v/>
      </c>
      <c r="I102" s="34" t="n"/>
      <c r="J102" s="39">
        <f>IF(OR($B102="",$F102="",$I102=""),"",IF($T102="Anulado",0,$I102))</f>
        <v/>
      </c>
      <c r="K102" s="54">
        <f>IF($F102="","",IFERROR(IF(INDEX(tblProductos[Precio de venta actual],MATCH($F102,tblProductos[SKU],0))="","",INDEX(tblProductos[Precio de venta actual],MATCH($F102,tblProductos[SKU],0))),""))</f>
        <v/>
      </c>
      <c r="L102" s="36" t="n"/>
      <c r="M102" s="37">
        <f>IF($J102="","",IF(NOT(ISNUMBER($K102)),"PRECIO PENDIENTE",$J102*$K102))</f>
        <v/>
      </c>
      <c r="N102" s="37">
        <f>IF($J102="","",IF(NOT(ISNUMBER($M102)),"PRECIO PENDIENTE",$M102-IF(ISNUMBER($L102),$L102,0)))</f>
        <v/>
      </c>
      <c r="O102" s="54">
        <f>IF($F102="","",IFERROR(INDEX(tblInventario[Costo unitario aplicado],MATCH($F102,tblInventario[SKU],0)),""))</f>
        <v/>
      </c>
      <c r="P102" s="37">
        <f>IF($J102="","",IF(NOT(ISNUMBER($O102)),"COSTO PENDIENTE",$J102*$O102))</f>
        <v/>
      </c>
      <c r="Q102" s="37">
        <f>IF($J102="","",IF(OR(NOT(ISNUMBER($N102)),NOT(ISNUMBER($P102))),"PENDIENTE",$N102-$P102))</f>
        <v/>
      </c>
      <c r="R102" s="38">
        <f>IF($J102="","",IF(OR(NOT(ISNUMBER($Q102)),NOT(ISNUMBER($N102)),$N102&lt;=0),"PENDIENTE",$Q102/$N102))</f>
        <v/>
      </c>
      <c r="S102" s="33" t="n"/>
      <c r="T102" s="33" t="n"/>
      <c r="U102" s="41" t="n"/>
      <c r="V102" s="36" t="n"/>
      <c r="W102" s="37">
        <f>IF(NOT(ISNUMBER($N102)),"",$N102-IF(ISNUMBER($V102),$V102,0))</f>
        <v/>
      </c>
      <c r="X102" s="33" t="n"/>
      <c r="Y102" s="51">
        <f>IF(COUNTA($B102,$C102,$D102,$E102,$F102,$I102)=0,"",IF(IF($B102=""," · Falta fecha","")&amp;IF($D102=""," · Falta cliente","")&amp;IF($E102=""," · Falta canal","")&amp;IF($F102=""," · Falta SKU","")&amp;IF(AND($F102&lt;&gt;"",COUNTIF(tblProductos[SKU],$F102)=0)," · SKU no existe","")&amp;IF(OR($I102="",NOT(ISNUMBER($I102)),$I102&lt;=0)," · Cantidad inválida","")&amp;IF($M102="PRECIO PENDIENTE"," · Falta precio de venta","")&amp;IF($P102="COSTO PENDIENTE"," · Falta costo del producto","")&amp;IF(AND(ISNUMBER($Q102),$Q102&lt;0)," · UTILIDAD NEGATIVA","")&amp;IF(AND($F102&lt;&gt;"",ISNUMBER(INDEX(tblInventario[Stock actual],MATCH($F102,tblInventario[SKU],0))),INDEX(tblInventario[Stock actual],MATCH($F102,tblInventario[SKU],0))&lt;0)," · Stock negativo del SKU","")&amp;IF(AND($T102="Cobrado",$U102="")," · Cobro sin fecha","")&amp;IF(AND(ISNUMBER($V102),ISNUMBER($N102),$V102&gt;N($N102)+0.01)," · Cobrado &gt; venta neta","")&amp;IF(AND(ISNUMBER($V102),$V102&gt;0,$U102="")," · Monto cobrado sin fecha","")="","OK",MID(IF($B102=""," · Falta fecha","")&amp;IF($D102=""," · Falta cliente","")&amp;IF($E102=""," · Falta canal","")&amp;IF($F102=""," · Falta SKU","")&amp;IF(AND($F102&lt;&gt;"",COUNTIF(tblProductos[SKU],$F102)=0)," · SKU no existe","")&amp;IF(OR($I102="",NOT(ISNUMBER($I102)),$I102&lt;=0)," · Cantidad inválida","")&amp;IF($M102="PRECIO PENDIENTE"," · Falta precio de venta","")&amp;IF($P102="COSTO PENDIENTE"," · Falta costo del producto","")&amp;IF(AND(ISNUMBER($Q102),$Q102&lt;0)," · UTILIDAD NEGATIVA","")&amp;IF(AND($F102&lt;&gt;"",ISNUMBER(INDEX(tblInventario[Stock actual],MATCH($F102,tblInventario[SKU],0))),INDEX(tblInventario[Stock actual],MATCH($F102,tblInventario[SKU],0))&lt;0)," · Stock negativo del SKU","")&amp;IF(AND($T102="Cobrado",$U102="")," · Cobro sin fecha","")&amp;IF(AND(ISNUMBER($V102),ISNUMBER($N102),$V102&gt;N($N102)+0.01)," · Cobrado &gt; venta neta","")&amp;IF(AND(ISNUMBER($V102),$V102&gt;0,$U102="")," · Monto cobrado sin fecha",""),4,900)))</f>
        <v/>
      </c>
    </row>
    <row r="103">
      <c r="A103" s="51">
        <f>IF(COUNTA($B103,$C103,$D103,$E103,$F103,$I103)=0,"","V-"&amp;TEXT(ROW()-6,"0000"))</f>
        <v/>
      </c>
      <c r="B103" s="41" t="n"/>
      <c r="C103" s="33" t="n"/>
      <c r="D103" s="33" t="n"/>
      <c r="E103" s="33" t="n"/>
      <c r="F103" s="33" t="n"/>
      <c r="G103" s="51">
        <f>IF($F103="","",IFERROR(IF(INDEX(tblProductos[Nombre del producto],MATCH($F103,tblProductos[SKU],0))="","",INDEX(tblProductos[Nombre del producto],MATCH($F103,tblProductos[SKU],0))),""))</f>
        <v/>
      </c>
      <c r="H103" s="51">
        <f>IF($F103="","",IFERROR(IF(INDEX(tblProductos[Categoría],MATCH($F103,tblProductos[SKU],0))="","",INDEX(tblProductos[Categoría],MATCH($F103,tblProductos[SKU],0))),""))</f>
        <v/>
      </c>
      <c r="I103" s="34" t="n"/>
      <c r="J103" s="39">
        <f>IF(OR($B103="",$F103="",$I103=""),"",IF($T103="Anulado",0,$I103))</f>
        <v/>
      </c>
      <c r="K103" s="54">
        <f>IF($F103="","",IFERROR(IF(INDEX(tblProductos[Precio de venta actual],MATCH($F103,tblProductos[SKU],0))="","",INDEX(tblProductos[Precio de venta actual],MATCH($F103,tblProductos[SKU],0))),""))</f>
        <v/>
      </c>
      <c r="L103" s="36" t="n"/>
      <c r="M103" s="37">
        <f>IF($J103="","",IF(NOT(ISNUMBER($K103)),"PRECIO PENDIENTE",$J103*$K103))</f>
        <v/>
      </c>
      <c r="N103" s="37">
        <f>IF($J103="","",IF(NOT(ISNUMBER($M103)),"PRECIO PENDIENTE",$M103-IF(ISNUMBER($L103),$L103,0)))</f>
        <v/>
      </c>
      <c r="O103" s="54">
        <f>IF($F103="","",IFERROR(INDEX(tblInventario[Costo unitario aplicado],MATCH($F103,tblInventario[SKU],0)),""))</f>
        <v/>
      </c>
      <c r="P103" s="37">
        <f>IF($J103="","",IF(NOT(ISNUMBER($O103)),"COSTO PENDIENTE",$J103*$O103))</f>
        <v/>
      </c>
      <c r="Q103" s="37">
        <f>IF($J103="","",IF(OR(NOT(ISNUMBER($N103)),NOT(ISNUMBER($P103))),"PENDIENTE",$N103-$P103))</f>
        <v/>
      </c>
      <c r="R103" s="38">
        <f>IF($J103="","",IF(OR(NOT(ISNUMBER($Q103)),NOT(ISNUMBER($N103)),$N103&lt;=0),"PENDIENTE",$Q103/$N103))</f>
        <v/>
      </c>
      <c r="S103" s="33" t="n"/>
      <c r="T103" s="33" t="n"/>
      <c r="U103" s="41" t="n"/>
      <c r="V103" s="36" t="n"/>
      <c r="W103" s="37">
        <f>IF(NOT(ISNUMBER($N103)),"",$N103-IF(ISNUMBER($V103),$V103,0))</f>
        <v/>
      </c>
      <c r="X103" s="33" t="n"/>
      <c r="Y103" s="51">
        <f>IF(COUNTA($B103,$C103,$D103,$E103,$F103,$I103)=0,"",IF(IF($B103=""," · Falta fecha","")&amp;IF($D103=""," · Falta cliente","")&amp;IF($E103=""," · Falta canal","")&amp;IF($F103=""," · Falta SKU","")&amp;IF(AND($F103&lt;&gt;"",COUNTIF(tblProductos[SKU],$F103)=0)," · SKU no existe","")&amp;IF(OR($I103="",NOT(ISNUMBER($I103)),$I103&lt;=0)," · Cantidad inválida","")&amp;IF($M103="PRECIO PENDIENTE"," · Falta precio de venta","")&amp;IF($P103="COSTO PENDIENTE"," · Falta costo del producto","")&amp;IF(AND(ISNUMBER($Q103),$Q103&lt;0)," · UTILIDAD NEGATIVA","")&amp;IF(AND($F103&lt;&gt;"",ISNUMBER(INDEX(tblInventario[Stock actual],MATCH($F103,tblInventario[SKU],0))),INDEX(tblInventario[Stock actual],MATCH($F103,tblInventario[SKU],0))&lt;0)," · Stock negativo del SKU","")&amp;IF(AND($T103="Cobrado",$U103="")," · Cobro sin fecha","")&amp;IF(AND(ISNUMBER($V103),ISNUMBER($N103),$V103&gt;N($N103)+0.01)," · Cobrado &gt; venta neta","")&amp;IF(AND(ISNUMBER($V103),$V103&gt;0,$U103="")," · Monto cobrado sin fecha","")="","OK",MID(IF($B103=""," · Falta fecha","")&amp;IF($D103=""," · Falta cliente","")&amp;IF($E103=""," · Falta canal","")&amp;IF($F103=""," · Falta SKU","")&amp;IF(AND($F103&lt;&gt;"",COUNTIF(tblProductos[SKU],$F103)=0)," · SKU no existe","")&amp;IF(OR($I103="",NOT(ISNUMBER($I103)),$I103&lt;=0)," · Cantidad inválida","")&amp;IF($M103="PRECIO PENDIENTE"," · Falta precio de venta","")&amp;IF($P103="COSTO PENDIENTE"," · Falta costo del producto","")&amp;IF(AND(ISNUMBER($Q103),$Q103&lt;0)," · UTILIDAD NEGATIVA","")&amp;IF(AND($F103&lt;&gt;"",ISNUMBER(INDEX(tblInventario[Stock actual],MATCH($F103,tblInventario[SKU],0))),INDEX(tblInventario[Stock actual],MATCH($F103,tblInventario[SKU],0))&lt;0)," · Stock negativo del SKU","")&amp;IF(AND($T103="Cobrado",$U103="")," · Cobro sin fecha","")&amp;IF(AND(ISNUMBER($V103),ISNUMBER($N103),$V103&gt;N($N103)+0.01)," · Cobrado &gt; venta neta","")&amp;IF(AND(ISNUMBER($V103),$V103&gt;0,$U103="")," · Monto cobrado sin fecha",""),4,900)))</f>
        <v/>
      </c>
    </row>
    <row r="104">
      <c r="A104" s="51">
        <f>IF(COUNTA($B104,$C104,$D104,$E104,$F104,$I104)=0,"","V-"&amp;TEXT(ROW()-6,"0000"))</f>
        <v/>
      </c>
      <c r="B104" s="41" t="n"/>
      <c r="C104" s="33" t="n"/>
      <c r="D104" s="33" t="n"/>
      <c r="E104" s="33" t="n"/>
      <c r="F104" s="33" t="n"/>
      <c r="G104" s="51">
        <f>IF($F104="","",IFERROR(IF(INDEX(tblProductos[Nombre del producto],MATCH($F104,tblProductos[SKU],0))="","",INDEX(tblProductos[Nombre del producto],MATCH($F104,tblProductos[SKU],0))),""))</f>
        <v/>
      </c>
      <c r="H104" s="51">
        <f>IF($F104="","",IFERROR(IF(INDEX(tblProductos[Categoría],MATCH($F104,tblProductos[SKU],0))="","",INDEX(tblProductos[Categoría],MATCH($F104,tblProductos[SKU],0))),""))</f>
        <v/>
      </c>
      <c r="I104" s="34" t="n"/>
      <c r="J104" s="39">
        <f>IF(OR($B104="",$F104="",$I104=""),"",IF($T104="Anulado",0,$I104))</f>
        <v/>
      </c>
      <c r="K104" s="54">
        <f>IF($F104="","",IFERROR(IF(INDEX(tblProductos[Precio de venta actual],MATCH($F104,tblProductos[SKU],0))="","",INDEX(tblProductos[Precio de venta actual],MATCH($F104,tblProductos[SKU],0))),""))</f>
        <v/>
      </c>
      <c r="L104" s="36" t="n"/>
      <c r="M104" s="37">
        <f>IF($J104="","",IF(NOT(ISNUMBER($K104)),"PRECIO PENDIENTE",$J104*$K104))</f>
        <v/>
      </c>
      <c r="N104" s="37">
        <f>IF($J104="","",IF(NOT(ISNUMBER($M104)),"PRECIO PENDIENTE",$M104-IF(ISNUMBER($L104),$L104,0)))</f>
        <v/>
      </c>
      <c r="O104" s="54">
        <f>IF($F104="","",IFERROR(INDEX(tblInventario[Costo unitario aplicado],MATCH($F104,tblInventario[SKU],0)),""))</f>
        <v/>
      </c>
      <c r="P104" s="37">
        <f>IF($J104="","",IF(NOT(ISNUMBER($O104)),"COSTO PENDIENTE",$J104*$O104))</f>
        <v/>
      </c>
      <c r="Q104" s="37">
        <f>IF($J104="","",IF(OR(NOT(ISNUMBER($N104)),NOT(ISNUMBER($P104))),"PENDIENTE",$N104-$P104))</f>
        <v/>
      </c>
      <c r="R104" s="38">
        <f>IF($J104="","",IF(OR(NOT(ISNUMBER($Q104)),NOT(ISNUMBER($N104)),$N104&lt;=0),"PENDIENTE",$Q104/$N104))</f>
        <v/>
      </c>
      <c r="S104" s="33" t="n"/>
      <c r="T104" s="33" t="n"/>
      <c r="U104" s="41" t="n"/>
      <c r="V104" s="36" t="n"/>
      <c r="W104" s="37">
        <f>IF(NOT(ISNUMBER($N104)),"",$N104-IF(ISNUMBER($V104),$V104,0))</f>
        <v/>
      </c>
      <c r="X104" s="33" t="n"/>
      <c r="Y104" s="51">
        <f>IF(COUNTA($B104,$C104,$D104,$E104,$F104,$I104)=0,"",IF(IF($B104=""," · Falta fecha","")&amp;IF($D104=""," · Falta cliente","")&amp;IF($E104=""," · Falta canal","")&amp;IF($F104=""," · Falta SKU","")&amp;IF(AND($F104&lt;&gt;"",COUNTIF(tblProductos[SKU],$F104)=0)," · SKU no existe","")&amp;IF(OR($I104="",NOT(ISNUMBER($I104)),$I104&lt;=0)," · Cantidad inválida","")&amp;IF($M104="PRECIO PENDIENTE"," · Falta precio de venta","")&amp;IF($P104="COSTO PENDIENTE"," · Falta costo del producto","")&amp;IF(AND(ISNUMBER($Q104),$Q104&lt;0)," · UTILIDAD NEGATIVA","")&amp;IF(AND($F104&lt;&gt;"",ISNUMBER(INDEX(tblInventario[Stock actual],MATCH($F104,tblInventario[SKU],0))),INDEX(tblInventario[Stock actual],MATCH($F104,tblInventario[SKU],0))&lt;0)," · Stock negativo del SKU","")&amp;IF(AND($T104="Cobrado",$U104="")," · Cobro sin fecha","")&amp;IF(AND(ISNUMBER($V104),ISNUMBER($N104),$V104&gt;N($N104)+0.01)," · Cobrado &gt; venta neta","")&amp;IF(AND(ISNUMBER($V104),$V104&gt;0,$U104="")," · Monto cobrado sin fecha","")="","OK",MID(IF($B104=""," · Falta fecha","")&amp;IF($D104=""," · Falta cliente","")&amp;IF($E104=""," · Falta canal","")&amp;IF($F104=""," · Falta SKU","")&amp;IF(AND($F104&lt;&gt;"",COUNTIF(tblProductos[SKU],$F104)=0)," · SKU no existe","")&amp;IF(OR($I104="",NOT(ISNUMBER($I104)),$I104&lt;=0)," · Cantidad inválida","")&amp;IF($M104="PRECIO PENDIENTE"," · Falta precio de venta","")&amp;IF($P104="COSTO PENDIENTE"," · Falta costo del producto","")&amp;IF(AND(ISNUMBER($Q104),$Q104&lt;0)," · UTILIDAD NEGATIVA","")&amp;IF(AND($F104&lt;&gt;"",ISNUMBER(INDEX(tblInventario[Stock actual],MATCH($F104,tblInventario[SKU],0))),INDEX(tblInventario[Stock actual],MATCH($F104,tblInventario[SKU],0))&lt;0)," · Stock negativo del SKU","")&amp;IF(AND($T104="Cobrado",$U104="")," · Cobro sin fecha","")&amp;IF(AND(ISNUMBER($V104),ISNUMBER($N104),$V104&gt;N($N104)+0.01)," · Cobrado &gt; venta neta","")&amp;IF(AND(ISNUMBER($V104),$V104&gt;0,$U104="")," · Monto cobrado sin fecha",""),4,900)))</f>
        <v/>
      </c>
    </row>
    <row r="105">
      <c r="A105" s="51">
        <f>IF(COUNTA($B105,$C105,$D105,$E105,$F105,$I105)=0,"","V-"&amp;TEXT(ROW()-6,"0000"))</f>
        <v/>
      </c>
      <c r="B105" s="41" t="n"/>
      <c r="C105" s="33" t="n"/>
      <c r="D105" s="33" t="n"/>
      <c r="E105" s="33" t="n"/>
      <c r="F105" s="33" t="n"/>
      <c r="G105" s="51">
        <f>IF($F105="","",IFERROR(IF(INDEX(tblProductos[Nombre del producto],MATCH($F105,tblProductos[SKU],0))="","",INDEX(tblProductos[Nombre del producto],MATCH($F105,tblProductos[SKU],0))),""))</f>
        <v/>
      </c>
      <c r="H105" s="51">
        <f>IF($F105="","",IFERROR(IF(INDEX(tblProductos[Categoría],MATCH($F105,tblProductos[SKU],0))="","",INDEX(tblProductos[Categoría],MATCH($F105,tblProductos[SKU],0))),""))</f>
        <v/>
      </c>
      <c r="I105" s="34" t="n"/>
      <c r="J105" s="39">
        <f>IF(OR($B105="",$F105="",$I105=""),"",IF($T105="Anulado",0,$I105))</f>
        <v/>
      </c>
      <c r="K105" s="54">
        <f>IF($F105="","",IFERROR(IF(INDEX(tblProductos[Precio de venta actual],MATCH($F105,tblProductos[SKU],0))="","",INDEX(tblProductos[Precio de venta actual],MATCH($F105,tblProductos[SKU],0))),""))</f>
        <v/>
      </c>
      <c r="L105" s="36" t="n"/>
      <c r="M105" s="37">
        <f>IF($J105="","",IF(NOT(ISNUMBER($K105)),"PRECIO PENDIENTE",$J105*$K105))</f>
        <v/>
      </c>
      <c r="N105" s="37">
        <f>IF($J105="","",IF(NOT(ISNUMBER($M105)),"PRECIO PENDIENTE",$M105-IF(ISNUMBER($L105),$L105,0)))</f>
        <v/>
      </c>
      <c r="O105" s="54">
        <f>IF($F105="","",IFERROR(INDEX(tblInventario[Costo unitario aplicado],MATCH($F105,tblInventario[SKU],0)),""))</f>
        <v/>
      </c>
      <c r="P105" s="37">
        <f>IF($J105="","",IF(NOT(ISNUMBER($O105)),"COSTO PENDIENTE",$J105*$O105))</f>
        <v/>
      </c>
      <c r="Q105" s="37">
        <f>IF($J105="","",IF(OR(NOT(ISNUMBER($N105)),NOT(ISNUMBER($P105))),"PENDIENTE",$N105-$P105))</f>
        <v/>
      </c>
      <c r="R105" s="38">
        <f>IF($J105="","",IF(OR(NOT(ISNUMBER($Q105)),NOT(ISNUMBER($N105)),$N105&lt;=0),"PENDIENTE",$Q105/$N105))</f>
        <v/>
      </c>
      <c r="S105" s="33" t="n"/>
      <c r="T105" s="33" t="n"/>
      <c r="U105" s="41" t="n"/>
      <c r="V105" s="36" t="n"/>
      <c r="W105" s="37">
        <f>IF(NOT(ISNUMBER($N105)),"",$N105-IF(ISNUMBER($V105),$V105,0))</f>
        <v/>
      </c>
      <c r="X105" s="33" t="n"/>
      <c r="Y105" s="51">
        <f>IF(COUNTA($B105,$C105,$D105,$E105,$F105,$I105)=0,"",IF(IF($B105=""," · Falta fecha","")&amp;IF($D105=""," · Falta cliente","")&amp;IF($E105=""," · Falta canal","")&amp;IF($F105=""," · Falta SKU","")&amp;IF(AND($F105&lt;&gt;"",COUNTIF(tblProductos[SKU],$F105)=0)," · SKU no existe","")&amp;IF(OR($I105="",NOT(ISNUMBER($I105)),$I105&lt;=0)," · Cantidad inválida","")&amp;IF($M105="PRECIO PENDIENTE"," · Falta precio de venta","")&amp;IF($P105="COSTO PENDIENTE"," · Falta costo del producto","")&amp;IF(AND(ISNUMBER($Q105),$Q105&lt;0)," · UTILIDAD NEGATIVA","")&amp;IF(AND($F105&lt;&gt;"",ISNUMBER(INDEX(tblInventario[Stock actual],MATCH($F105,tblInventario[SKU],0))),INDEX(tblInventario[Stock actual],MATCH($F105,tblInventario[SKU],0))&lt;0)," · Stock negativo del SKU","")&amp;IF(AND($T105="Cobrado",$U105="")," · Cobro sin fecha","")&amp;IF(AND(ISNUMBER($V105),ISNUMBER($N105),$V105&gt;N($N105)+0.01)," · Cobrado &gt; venta neta","")&amp;IF(AND(ISNUMBER($V105),$V105&gt;0,$U105="")," · Monto cobrado sin fecha","")="","OK",MID(IF($B105=""," · Falta fecha","")&amp;IF($D105=""," · Falta cliente","")&amp;IF($E105=""," · Falta canal","")&amp;IF($F105=""," · Falta SKU","")&amp;IF(AND($F105&lt;&gt;"",COUNTIF(tblProductos[SKU],$F105)=0)," · SKU no existe","")&amp;IF(OR($I105="",NOT(ISNUMBER($I105)),$I105&lt;=0)," · Cantidad inválida","")&amp;IF($M105="PRECIO PENDIENTE"," · Falta precio de venta","")&amp;IF($P105="COSTO PENDIENTE"," · Falta costo del producto","")&amp;IF(AND(ISNUMBER($Q105),$Q105&lt;0)," · UTILIDAD NEGATIVA","")&amp;IF(AND($F105&lt;&gt;"",ISNUMBER(INDEX(tblInventario[Stock actual],MATCH($F105,tblInventario[SKU],0))),INDEX(tblInventario[Stock actual],MATCH($F105,tblInventario[SKU],0))&lt;0)," · Stock negativo del SKU","")&amp;IF(AND($T105="Cobrado",$U105="")," · Cobro sin fecha","")&amp;IF(AND(ISNUMBER($V105),ISNUMBER($N105),$V105&gt;N($N105)+0.01)," · Cobrado &gt; venta neta","")&amp;IF(AND(ISNUMBER($V105),$V105&gt;0,$U105="")," · Monto cobrado sin fecha",""),4,900)))</f>
        <v/>
      </c>
    </row>
    <row r="106">
      <c r="A106" s="51">
        <f>IF(COUNTA($B106,$C106,$D106,$E106,$F106,$I106)=0,"","V-"&amp;TEXT(ROW()-6,"0000"))</f>
        <v/>
      </c>
      <c r="B106" s="41" t="n"/>
      <c r="C106" s="33" t="n"/>
      <c r="D106" s="33" t="n"/>
      <c r="E106" s="33" t="n"/>
      <c r="F106" s="33" t="n"/>
      <c r="G106" s="51">
        <f>IF($F106="","",IFERROR(IF(INDEX(tblProductos[Nombre del producto],MATCH($F106,tblProductos[SKU],0))="","",INDEX(tblProductos[Nombre del producto],MATCH($F106,tblProductos[SKU],0))),""))</f>
        <v/>
      </c>
      <c r="H106" s="51">
        <f>IF($F106="","",IFERROR(IF(INDEX(tblProductos[Categoría],MATCH($F106,tblProductos[SKU],0))="","",INDEX(tblProductos[Categoría],MATCH($F106,tblProductos[SKU],0))),""))</f>
        <v/>
      </c>
      <c r="I106" s="34" t="n"/>
      <c r="J106" s="39">
        <f>IF(OR($B106="",$F106="",$I106=""),"",IF($T106="Anulado",0,$I106))</f>
        <v/>
      </c>
      <c r="K106" s="54">
        <f>IF($F106="","",IFERROR(IF(INDEX(tblProductos[Precio de venta actual],MATCH($F106,tblProductos[SKU],0))="","",INDEX(tblProductos[Precio de venta actual],MATCH($F106,tblProductos[SKU],0))),""))</f>
        <v/>
      </c>
      <c r="L106" s="36" t="n"/>
      <c r="M106" s="37">
        <f>IF($J106="","",IF(NOT(ISNUMBER($K106)),"PRECIO PENDIENTE",$J106*$K106))</f>
        <v/>
      </c>
      <c r="N106" s="37">
        <f>IF($J106="","",IF(NOT(ISNUMBER($M106)),"PRECIO PENDIENTE",$M106-IF(ISNUMBER($L106),$L106,0)))</f>
        <v/>
      </c>
      <c r="O106" s="54">
        <f>IF($F106="","",IFERROR(INDEX(tblInventario[Costo unitario aplicado],MATCH($F106,tblInventario[SKU],0)),""))</f>
        <v/>
      </c>
      <c r="P106" s="37">
        <f>IF($J106="","",IF(NOT(ISNUMBER($O106)),"COSTO PENDIENTE",$J106*$O106))</f>
        <v/>
      </c>
      <c r="Q106" s="37">
        <f>IF($J106="","",IF(OR(NOT(ISNUMBER($N106)),NOT(ISNUMBER($P106))),"PENDIENTE",$N106-$P106))</f>
        <v/>
      </c>
      <c r="R106" s="38">
        <f>IF($J106="","",IF(OR(NOT(ISNUMBER($Q106)),NOT(ISNUMBER($N106)),$N106&lt;=0),"PENDIENTE",$Q106/$N106))</f>
        <v/>
      </c>
      <c r="S106" s="33" t="n"/>
      <c r="T106" s="33" t="n"/>
      <c r="U106" s="41" t="n"/>
      <c r="V106" s="36" t="n"/>
      <c r="W106" s="37">
        <f>IF(NOT(ISNUMBER($N106)),"",$N106-IF(ISNUMBER($V106),$V106,0))</f>
        <v/>
      </c>
      <c r="X106" s="33" t="n"/>
      <c r="Y106" s="51">
        <f>IF(COUNTA($B106,$C106,$D106,$E106,$F106,$I106)=0,"",IF(IF($B106=""," · Falta fecha","")&amp;IF($D106=""," · Falta cliente","")&amp;IF($E106=""," · Falta canal","")&amp;IF($F106=""," · Falta SKU","")&amp;IF(AND($F106&lt;&gt;"",COUNTIF(tblProductos[SKU],$F106)=0)," · SKU no existe","")&amp;IF(OR($I106="",NOT(ISNUMBER($I106)),$I106&lt;=0)," · Cantidad inválida","")&amp;IF($M106="PRECIO PENDIENTE"," · Falta precio de venta","")&amp;IF($P106="COSTO PENDIENTE"," · Falta costo del producto","")&amp;IF(AND(ISNUMBER($Q106),$Q106&lt;0)," · UTILIDAD NEGATIVA","")&amp;IF(AND($F106&lt;&gt;"",ISNUMBER(INDEX(tblInventario[Stock actual],MATCH($F106,tblInventario[SKU],0))),INDEX(tblInventario[Stock actual],MATCH($F106,tblInventario[SKU],0))&lt;0)," · Stock negativo del SKU","")&amp;IF(AND($T106="Cobrado",$U106="")," · Cobro sin fecha","")&amp;IF(AND(ISNUMBER($V106),ISNUMBER($N106),$V106&gt;N($N106)+0.01)," · Cobrado &gt; venta neta","")&amp;IF(AND(ISNUMBER($V106),$V106&gt;0,$U106="")," · Monto cobrado sin fecha","")="","OK",MID(IF($B106=""," · Falta fecha","")&amp;IF($D106=""," · Falta cliente","")&amp;IF($E106=""," · Falta canal","")&amp;IF($F106=""," · Falta SKU","")&amp;IF(AND($F106&lt;&gt;"",COUNTIF(tblProductos[SKU],$F106)=0)," · SKU no existe","")&amp;IF(OR($I106="",NOT(ISNUMBER($I106)),$I106&lt;=0)," · Cantidad inválida","")&amp;IF($M106="PRECIO PENDIENTE"," · Falta precio de venta","")&amp;IF($P106="COSTO PENDIENTE"," · Falta costo del producto","")&amp;IF(AND(ISNUMBER($Q106),$Q106&lt;0)," · UTILIDAD NEGATIVA","")&amp;IF(AND($F106&lt;&gt;"",ISNUMBER(INDEX(tblInventario[Stock actual],MATCH($F106,tblInventario[SKU],0))),INDEX(tblInventario[Stock actual],MATCH($F106,tblInventario[SKU],0))&lt;0)," · Stock negativo del SKU","")&amp;IF(AND($T106="Cobrado",$U106="")," · Cobro sin fecha","")&amp;IF(AND(ISNUMBER($V106),ISNUMBER($N106),$V106&gt;N($N106)+0.01)," · Cobrado &gt; venta neta","")&amp;IF(AND(ISNUMBER($V106),$V106&gt;0,$U106="")," · Monto cobrado sin fecha",""),4,900)))</f>
        <v/>
      </c>
    </row>
    <row r="107">
      <c r="A107" s="51">
        <f>IF(COUNTA($B107,$C107,$D107,$E107,$F107,$I107)=0,"","V-"&amp;TEXT(ROW()-6,"0000"))</f>
        <v/>
      </c>
      <c r="B107" s="41" t="n"/>
      <c r="C107" s="33" t="n"/>
      <c r="D107" s="33" t="n"/>
      <c r="E107" s="33" t="n"/>
      <c r="F107" s="33" t="n"/>
      <c r="G107" s="51">
        <f>IF($F107="","",IFERROR(IF(INDEX(tblProductos[Nombre del producto],MATCH($F107,tblProductos[SKU],0))="","",INDEX(tblProductos[Nombre del producto],MATCH($F107,tblProductos[SKU],0))),""))</f>
        <v/>
      </c>
      <c r="H107" s="51">
        <f>IF($F107="","",IFERROR(IF(INDEX(tblProductos[Categoría],MATCH($F107,tblProductos[SKU],0))="","",INDEX(tblProductos[Categoría],MATCH($F107,tblProductos[SKU],0))),""))</f>
        <v/>
      </c>
      <c r="I107" s="34" t="n"/>
      <c r="J107" s="39">
        <f>IF(OR($B107="",$F107="",$I107=""),"",IF($T107="Anulado",0,$I107))</f>
        <v/>
      </c>
      <c r="K107" s="54">
        <f>IF($F107="","",IFERROR(IF(INDEX(tblProductos[Precio de venta actual],MATCH($F107,tblProductos[SKU],0))="","",INDEX(tblProductos[Precio de venta actual],MATCH($F107,tblProductos[SKU],0))),""))</f>
        <v/>
      </c>
      <c r="L107" s="36" t="n"/>
      <c r="M107" s="37">
        <f>IF($J107="","",IF(NOT(ISNUMBER($K107)),"PRECIO PENDIENTE",$J107*$K107))</f>
        <v/>
      </c>
      <c r="N107" s="37">
        <f>IF($J107="","",IF(NOT(ISNUMBER($M107)),"PRECIO PENDIENTE",$M107-IF(ISNUMBER($L107),$L107,0)))</f>
        <v/>
      </c>
      <c r="O107" s="54">
        <f>IF($F107="","",IFERROR(INDEX(tblInventario[Costo unitario aplicado],MATCH($F107,tblInventario[SKU],0)),""))</f>
        <v/>
      </c>
      <c r="P107" s="37">
        <f>IF($J107="","",IF(NOT(ISNUMBER($O107)),"COSTO PENDIENTE",$J107*$O107))</f>
        <v/>
      </c>
      <c r="Q107" s="37">
        <f>IF($J107="","",IF(OR(NOT(ISNUMBER($N107)),NOT(ISNUMBER($P107))),"PENDIENTE",$N107-$P107))</f>
        <v/>
      </c>
      <c r="R107" s="38">
        <f>IF($J107="","",IF(OR(NOT(ISNUMBER($Q107)),NOT(ISNUMBER($N107)),$N107&lt;=0),"PENDIENTE",$Q107/$N107))</f>
        <v/>
      </c>
      <c r="S107" s="33" t="n"/>
      <c r="T107" s="33" t="n"/>
      <c r="U107" s="41" t="n"/>
      <c r="V107" s="36" t="n"/>
      <c r="W107" s="37">
        <f>IF(NOT(ISNUMBER($N107)),"",$N107-IF(ISNUMBER($V107),$V107,0))</f>
        <v/>
      </c>
      <c r="X107" s="33" t="n"/>
      <c r="Y107" s="51">
        <f>IF(COUNTA($B107,$C107,$D107,$E107,$F107,$I107)=0,"",IF(IF($B107=""," · Falta fecha","")&amp;IF($D107=""," · Falta cliente","")&amp;IF($E107=""," · Falta canal","")&amp;IF($F107=""," · Falta SKU","")&amp;IF(AND($F107&lt;&gt;"",COUNTIF(tblProductos[SKU],$F107)=0)," · SKU no existe","")&amp;IF(OR($I107="",NOT(ISNUMBER($I107)),$I107&lt;=0)," · Cantidad inválida","")&amp;IF($M107="PRECIO PENDIENTE"," · Falta precio de venta","")&amp;IF($P107="COSTO PENDIENTE"," · Falta costo del producto","")&amp;IF(AND(ISNUMBER($Q107),$Q107&lt;0)," · UTILIDAD NEGATIVA","")&amp;IF(AND($F107&lt;&gt;"",ISNUMBER(INDEX(tblInventario[Stock actual],MATCH($F107,tblInventario[SKU],0))),INDEX(tblInventario[Stock actual],MATCH($F107,tblInventario[SKU],0))&lt;0)," · Stock negativo del SKU","")&amp;IF(AND($T107="Cobrado",$U107="")," · Cobro sin fecha","")&amp;IF(AND(ISNUMBER($V107),ISNUMBER($N107),$V107&gt;N($N107)+0.01)," · Cobrado &gt; venta neta","")&amp;IF(AND(ISNUMBER($V107),$V107&gt;0,$U107="")," · Monto cobrado sin fecha","")="","OK",MID(IF($B107=""," · Falta fecha","")&amp;IF($D107=""," · Falta cliente","")&amp;IF($E107=""," · Falta canal","")&amp;IF($F107=""," · Falta SKU","")&amp;IF(AND($F107&lt;&gt;"",COUNTIF(tblProductos[SKU],$F107)=0)," · SKU no existe","")&amp;IF(OR($I107="",NOT(ISNUMBER($I107)),$I107&lt;=0)," · Cantidad inválida","")&amp;IF($M107="PRECIO PENDIENTE"," · Falta precio de venta","")&amp;IF($P107="COSTO PENDIENTE"," · Falta costo del producto","")&amp;IF(AND(ISNUMBER($Q107),$Q107&lt;0)," · UTILIDAD NEGATIVA","")&amp;IF(AND($F107&lt;&gt;"",ISNUMBER(INDEX(tblInventario[Stock actual],MATCH($F107,tblInventario[SKU],0))),INDEX(tblInventario[Stock actual],MATCH($F107,tblInventario[SKU],0))&lt;0)," · Stock negativo del SKU","")&amp;IF(AND($T107="Cobrado",$U107="")," · Cobro sin fecha","")&amp;IF(AND(ISNUMBER($V107),ISNUMBER($N107),$V107&gt;N($N107)+0.01)," · Cobrado &gt; venta neta","")&amp;IF(AND(ISNUMBER($V107),$V107&gt;0,$U107="")," · Monto cobrado sin fecha",""),4,900)))</f>
        <v/>
      </c>
    </row>
    <row r="108">
      <c r="A108" s="51">
        <f>IF(COUNTA($B108,$C108,$D108,$E108,$F108,$I108)=0,"","V-"&amp;TEXT(ROW()-6,"0000"))</f>
        <v/>
      </c>
      <c r="B108" s="41" t="n"/>
      <c r="C108" s="33" t="n"/>
      <c r="D108" s="33" t="n"/>
      <c r="E108" s="33" t="n"/>
      <c r="F108" s="33" t="n"/>
      <c r="G108" s="51">
        <f>IF($F108="","",IFERROR(IF(INDEX(tblProductos[Nombre del producto],MATCH($F108,tblProductos[SKU],0))="","",INDEX(tblProductos[Nombre del producto],MATCH($F108,tblProductos[SKU],0))),""))</f>
        <v/>
      </c>
      <c r="H108" s="51">
        <f>IF($F108="","",IFERROR(IF(INDEX(tblProductos[Categoría],MATCH($F108,tblProductos[SKU],0))="","",INDEX(tblProductos[Categoría],MATCH($F108,tblProductos[SKU],0))),""))</f>
        <v/>
      </c>
      <c r="I108" s="34" t="n"/>
      <c r="J108" s="39">
        <f>IF(OR($B108="",$F108="",$I108=""),"",IF($T108="Anulado",0,$I108))</f>
        <v/>
      </c>
      <c r="K108" s="54">
        <f>IF($F108="","",IFERROR(IF(INDEX(tblProductos[Precio de venta actual],MATCH($F108,tblProductos[SKU],0))="","",INDEX(tblProductos[Precio de venta actual],MATCH($F108,tblProductos[SKU],0))),""))</f>
        <v/>
      </c>
      <c r="L108" s="36" t="n"/>
      <c r="M108" s="37">
        <f>IF($J108="","",IF(NOT(ISNUMBER($K108)),"PRECIO PENDIENTE",$J108*$K108))</f>
        <v/>
      </c>
      <c r="N108" s="37">
        <f>IF($J108="","",IF(NOT(ISNUMBER($M108)),"PRECIO PENDIENTE",$M108-IF(ISNUMBER($L108),$L108,0)))</f>
        <v/>
      </c>
      <c r="O108" s="54">
        <f>IF($F108="","",IFERROR(INDEX(tblInventario[Costo unitario aplicado],MATCH($F108,tblInventario[SKU],0)),""))</f>
        <v/>
      </c>
      <c r="P108" s="37">
        <f>IF($J108="","",IF(NOT(ISNUMBER($O108)),"COSTO PENDIENTE",$J108*$O108))</f>
        <v/>
      </c>
      <c r="Q108" s="37">
        <f>IF($J108="","",IF(OR(NOT(ISNUMBER($N108)),NOT(ISNUMBER($P108))),"PENDIENTE",$N108-$P108))</f>
        <v/>
      </c>
      <c r="R108" s="38">
        <f>IF($J108="","",IF(OR(NOT(ISNUMBER($Q108)),NOT(ISNUMBER($N108)),$N108&lt;=0),"PENDIENTE",$Q108/$N108))</f>
        <v/>
      </c>
      <c r="S108" s="33" t="n"/>
      <c r="T108" s="33" t="n"/>
      <c r="U108" s="41" t="n"/>
      <c r="V108" s="36" t="n"/>
      <c r="W108" s="37">
        <f>IF(NOT(ISNUMBER($N108)),"",$N108-IF(ISNUMBER($V108),$V108,0))</f>
        <v/>
      </c>
      <c r="X108" s="33" t="n"/>
      <c r="Y108" s="51">
        <f>IF(COUNTA($B108,$C108,$D108,$E108,$F108,$I108)=0,"",IF(IF($B108=""," · Falta fecha","")&amp;IF($D108=""," · Falta cliente","")&amp;IF($E108=""," · Falta canal","")&amp;IF($F108=""," · Falta SKU","")&amp;IF(AND($F108&lt;&gt;"",COUNTIF(tblProductos[SKU],$F108)=0)," · SKU no existe","")&amp;IF(OR($I108="",NOT(ISNUMBER($I108)),$I108&lt;=0)," · Cantidad inválida","")&amp;IF($M108="PRECIO PENDIENTE"," · Falta precio de venta","")&amp;IF($P108="COSTO PENDIENTE"," · Falta costo del producto","")&amp;IF(AND(ISNUMBER($Q108),$Q108&lt;0)," · UTILIDAD NEGATIVA","")&amp;IF(AND($F108&lt;&gt;"",ISNUMBER(INDEX(tblInventario[Stock actual],MATCH($F108,tblInventario[SKU],0))),INDEX(tblInventario[Stock actual],MATCH($F108,tblInventario[SKU],0))&lt;0)," · Stock negativo del SKU","")&amp;IF(AND($T108="Cobrado",$U108="")," · Cobro sin fecha","")&amp;IF(AND(ISNUMBER($V108),ISNUMBER($N108),$V108&gt;N($N108)+0.01)," · Cobrado &gt; venta neta","")&amp;IF(AND(ISNUMBER($V108),$V108&gt;0,$U108="")," · Monto cobrado sin fecha","")="","OK",MID(IF($B108=""," · Falta fecha","")&amp;IF($D108=""," · Falta cliente","")&amp;IF($E108=""," · Falta canal","")&amp;IF($F108=""," · Falta SKU","")&amp;IF(AND($F108&lt;&gt;"",COUNTIF(tblProductos[SKU],$F108)=0)," · SKU no existe","")&amp;IF(OR($I108="",NOT(ISNUMBER($I108)),$I108&lt;=0)," · Cantidad inválida","")&amp;IF($M108="PRECIO PENDIENTE"," · Falta precio de venta","")&amp;IF($P108="COSTO PENDIENTE"," · Falta costo del producto","")&amp;IF(AND(ISNUMBER($Q108),$Q108&lt;0)," · UTILIDAD NEGATIVA","")&amp;IF(AND($F108&lt;&gt;"",ISNUMBER(INDEX(tblInventario[Stock actual],MATCH($F108,tblInventario[SKU],0))),INDEX(tblInventario[Stock actual],MATCH($F108,tblInventario[SKU],0))&lt;0)," · Stock negativo del SKU","")&amp;IF(AND($T108="Cobrado",$U108="")," · Cobro sin fecha","")&amp;IF(AND(ISNUMBER($V108),ISNUMBER($N108),$V108&gt;N($N108)+0.01)," · Cobrado &gt; venta neta","")&amp;IF(AND(ISNUMBER($V108),$V108&gt;0,$U108="")," · Monto cobrado sin fecha",""),4,900)))</f>
        <v/>
      </c>
    </row>
    <row r="109">
      <c r="A109" s="51">
        <f>IF(COUNTA($B109,$C109,$D109,$E109,$F109,$I109)=0,"","V-"&amp;TEXT(ROW()-6,"0000"))</f>
        <v/>
      </c>
      <c r="B109" s="41" t="n"/>
      <c r="C109" s="33" t="n"/>
      <c r="D109" s="33" t="n"/>
      <c r="E109" s="33" t="n"/>
      <c r="F109" s="33" t="n"/>
      <c r="G109" s="51">
        <f>IF($F109="","",IFERROR(IF(INDEX(tblProductos[Nombre del producto],MATCH($F109,tblProductos[SKU],0))="","",INDEX(tblProductos[Nombre del producto],MATCH($F109,tblProductos[SKU],0))),""))</f>
        <v/>
      </c>
      <c r="H109" s="51">
        <f>IF($F109="","",IFERROR(IF(INDEX(tblProductos[Categoría],MATCH($F109,tblProductos[SKU],0))="","",INDEX(tblProductos[Categoría],MATCH($F109,tblProductos[SKU],0))),""))</f>
        <v/>
      </c>
      <c r="I109" s="34" t="n"/>
      <c r="J109" s="39">
        <f>IF(OR($B109="",$F109="",$I109=""),"",IF($T109="Anulado",0,$I109))</f>
        <v/>
      </c>
      <c r="K109" s="54">
        <f>IF($F109="","",IFERROR(IF(INDEX(tblProductos[Precio de venta actual],MATCH($F109,tblProductos[SKU],0))="","",INDEX(tblProductos[Precio de venta actual],MATCH($F109,tblProductos[SKU],0))),""))</f>
        <v/>
      </c>
      <c r="L109" s="36" t="n"/>
      <c r="M109" s="37">
        <f>IF($J109="","",IF(NOT(ISNUMBER($K109)),"PRECIO PENDIENTE",$J109*$K109))</f>
        <v/>
      </c>
      <c r="N109" s="37">
        <f>IF($J109="","",IF(NOT(ISNUMBER($M109)),"PRECIO PENDIENTE",$M109-IF(ISNUMBER($L109),$L109,0)))</f>
        <v/>
      </c>
      <c r="O109" s="54">
        <f>IF($F109="","",IFERROR(INDEX(tblInventario[Costo unitario aplicado],MATCH($F109,tblInventario[SKU],0)),""))</f>
        <v/>
      </c>
      <c r="P109" s="37">
        <f>IF($J109="","",IF(NOT(ISNUMBER($O109)),"COSTO PENDIENTE",$J109*$O109))</f>
        <v/>
      </c>
      <c r="Q109" s="37">
        <f>IF($J109="","",IF(OR(NOT(ISNUMBER($N109)),NOT(ISNUMBER($P109))),"PENDIENTE",$N109-$P109))</f>
        <v/>
      </c>
      <c r="R109" s="38">
        <f>IF($J109="","",IF(OR(NOT(ISNUMBER($Q109)),NOT(ISNUMBER($N109)),$N109&lt;=0),"PENDIENTE",$Q109/$N109))</f>
        <v/>
      </c>
      <c r="S109" s="33" t="n"/>
      <c r="T109" s="33" t="n"/>
      <c r="U109" s="41" t="n"/>
      <c r="V109" s="36" t="n"/>
      <c r="W109" s="37">
        <f>IF(NOT(ISNUMBER($N109)),"",$N109-IF(ISNUMBER($V109),$V109,0))</f>
        <v/>
      </c>
      <c r="X109" s="33" t="n"/>
      <c r="Y109" s="51">
        <f>IF(COUNTA($B109,$C109,$D109,$E109,$F109,$I109)=0,"",IF(IF($B109=""," · Falta fecha","")&amp;IF($D109=""," · Falta cliente","")&amp;IF($E109=""," · Falta canal","")&amp;IF($F109=""," · Falta SKU","")&amp;IF(AND($F109&lt;&gt;"",COUNTIF(tblProductos[SKU],$F109)=0)," · SKU no existe","")&amp;IF(OR($I109="",NOT(ISNUMBER($I109)),$I109&lt;=0)," · Cantidad inválida","")&amp;IF($M109="PRECIO PENDIENTE"," · Falta precio de venta","")&amp;IF($P109="COSTO PENDIENTE"," · Falta costo del producto","")&amp;IF(AND(ISNUMBER($Q109),$Q109&lt;0)," · UTILIDAD NEGATIVA","")&amp;IF(AND($F109&lt;&gt;"",ISNUMBER(INDEX(tblInventario[Stock actual],MATCH($F109,tblInventario[SKU],0))),INDEX(tblInventario[Stock actual],MATCH($F109,tblInventario[SKU],0))&lt;0)," · Stock negativo del SKU","")&amp;IF(AND($T109="Cobrado",$U109="")," · Cobro sin fecha","")&amp;IF(AND(ISNUMBER($V109),ISNUMBER($N109),$V109&gt;N($N109)+0.01)," · Cobrado &gt; venta neta","")&amp;IF(AND(ISNUMBER($V109),$V109&gt;0,$U109="")," · Monto cobrado sin fecha","")="","OK",MID(IF($B109=""," · Falta fecha","")&amp;IF($D109=""," · Falta cliente","")&amp;IF($E109=""," · Falta canal","")&amp;IF($F109=""," · Falta SKU","")&amp;IF(AND($F109&lt;&gt;"",COUNTIF(tblProductos[SKU],$F109)=0)," · SKU no existe","")&amp;IF(OR($I109="",NOT(ISNUMBER($I109)),$I109&lt;=0)," · Cantidad inválida","")&amp;IF($M109="PRECIO PENDIENTE"," · Falta precio de venta","")&amp;IF($P109="COSTO PENDIENTE"," · Falta costo del producto","")&amp;IF(AND(ISNUMBER($Q109),$Q109&lt;0)," · UTILIDAD NEGATIVA","")&amp;IF(AND($F109&lt;&gt;"",ISNUMBER(INDEX(tblInventario[Stock actual],MATCH($F109,tblInventario[SKU],0))),INDEX(tblInventario[Stock actual],MATCH($F109,tblInventario[SKU],0))&lt;0)," · Stock negativo del SKU","")&amp;IF(AND($T109="Cobrado",$U109="")," · Cobro sin fecha","")&amp;IF(AND(ISNUMBER($V109),ISNUMBER($N109),$V109&gt;N($N109)+0.01)," · Cobrado &gt; venta neta","")&amp;IF(AND(ISNUMBER($V109),$V109&gt;0,$U109="")," · Monto cobrado sin fecha",""),4,900)))</f>
        <v/>
      </c>
    </row>
    <row r="110">
      <c r="A110" s="51">
        <f>IF(COUNTA($B110,$C110,$D110,$E110,$F110,$I110)=0,"","V-"&amp;TEXT(ROW()-6,"0000"))</f>
        <v/>
      </c>
      <c r="B110" s="41" t="n"/>
      <c r="C110" s="33" t="n"/>
      <c r="D110" s="33" t="n"/>
      <c r="E110" s="33" t="n"/>
      <c r="F110" s="33" t="n"/>
      <c r="G110" s="51">
        <f>IF($F110="","",IFERROR(IF(INDEX(tblProductos[Nombre del producto],MATCH($F110,tblProductos[SKU],0))="","",INDEX(tblProductos[Nombre del producto],MATCH($F110,tblProductos[SKU],0))),""))</f>
        <v/>
      </c>
      <c r="H110" s="51">
        <f>IF($F110="","",IFERROR(IF(INDEX(tblProductos[Categoría],MATCH($F110,tblProductos[SKU],0))="","",INDEX(tblProductos[Categoría],MATCH($F110,tblProductos[SKU],0))),""))</f>
        <v/>
      </c>
      <c r="I110" s="34" t="n"/>
      <c r="J110" s="39">
        <f>IF(OR($B110="",$F110="",$I110=""),"",IF($T110="Anulado",0,$I110))</f>
        <v/>
      </c>
      <c r="K110" s="54">
        <f>IF($F110="","",IFERROR(IF(INDEX(tblProductos[Precio de venta actual],MATCH($F110,tblProductos[SKU],0))="","",INDEX(tblProductos[Precio de venta actual],MATCH($F110,tblProductos[SKU],0))),""))</f>
        <v/>
      </c>
      <c r="L110" s="36" t="n"/>
      <c r="M110" s="37">
        <f>IF($J110="","",IF(NOT(ISNUMBER($K110)),"PRECIO PENDIENTE",$J110*$K110))</f>
        <v/>
      </c>
      <c r="N110" s="37">
        <f>IF($J110="","",IF(NOT(ISNUMBER($M110)),"PRECIO PENDIENTE",$M110-IF(ISNUMBER($L110),$L110,0)))</f>
        <v/>
      </c>
      <c r="O110" s="54">
        <f>IF($F110="","",IFERROR(INDEX(tblInventario[Costo unitario aplicado],MATCH($F110,tblInventario[SKU],0)),""))</f>
        <v/>
      </c>
      <c r="P110" s="37">
        <f>IF($J110="","",IF(NOT(ISNUMBER($O110)),"COSTO PENDIENTE",$J110*$O110))</f>
        <v/>
      </c>
      <c r="Q110" s="37">
        <f>IF($J110="","",IF(OR(NOT(ISNUMBER($N110)),NOT(ISNUMBER($P110))),"PENDIENTE",$N110-$P110))</f>
        <v/>
      </c>
      <c r="R110" s="38">
        <f>IF($J110="","",IF(OR(NOT(ISNUMBER($Q110)),NOT(ISNUMBER($N110)),$N110&lt;=0),"PENDIENTE",$Q110/$N110))</f>
        <v/>
      </c>
      <c r="S110" s="33" t="n"/>
      <c r="T110" s="33" t="n"/>
      <c r="U110" s="41" t="n"/>
      <c r="V110" s="36" t="n"/>
      <c r="W110" s="37">
        <f>IF(NOT(ISNUMBER($N110)),"",$N110-IF(ISNUMBER($V110),$V110,0))</f>
        <v/>
      </c>
      <c r="X110" s="33" t="n"/>
      <c r="Y110" s="51">
        <f>IF(COUNTA($B110,$C110,$D110,$E110,$F110,$I110)=0,"",IF(IF($B110=""," · Falta fecha","")&amp;IF($D110=""," · Falta cliente","")&amp;IF($E110=""," · Falta canal","")&amp;IF($F110=""," · Falta SKU","")&amp;IF(AND($F110&lt;&gt;"",COUNTIF(tblProductos[SKU],$F110)=0)," · SKU no existe","")&amp;IF(OR($I110="",NOT(ISNUMBER($I110)),$I110&lt;=0)," · Cantidad inválida","")&amp;IF($M110="PRECIO PENDIENTE"," · Falta precio de venta","")&amp;IF($P110="COSTO PENDIENTE"," · Falta costo del producto","")&amp;IF(AND(ISNUMBER($Q110),$Q110&lt;0)," · UTILIDAD NEGATIVA","")&amp;IF(AND($F110&lt;&gt;"",ISNUMBER(INDEX(tblInventario[Stock actual],MATCH($F110,tblInventario[SKU],0))),INDEX(tblInventario[Stock actual],MATCH($F110,tblInventario[SKU],0))&lt;0)," · Stock negativo del SKU","")&amp;IF(AND($T110="Cobrado",$U110="")," · Cobro sin fecha","")&amp;IF(AND(ISNUMBER($V110),ISNUMBER($N110),$V110&gt;N($N110)+0.01)," · Cobrado &gt; venta neta","")&amp;IF(AND(ISNUMBER($V110),$V110&gt;0,$U110="")," · Monto cobrado sin fecha","")="","OK",MID(IF($B110=""," · Falta fecha","")&amp;IF($D110=""," · Falta cliente","")&amp;IF($E110=""," · Falta canal","")&amp;IF($F110=""," · Falta SKU","")&amp;IF(AND($F110&lt;&gt;"",COUNTIF(tblProductos[SKU],$F110)=0)," · SKU no existe","")&amp;IF(OR($I110="",NOT(ISNUMBER($I110)),$I110&lt;=0)," · Cantidad inválida","")&amp;IF($M110="PRECIO PENDIENTE"," · Falta precio de venta","")&amp;IF($P110="COSTO PENDIENTE"," · Falta costo del producto","")&amp;IF(AND(ISNUMBER($Q110),$Q110&lt;0)," · UTILIDAD NEGATIVA","")&amp;IF(AND($F110&lt;&gt;"",ISNUMBER(INDEX(tblInventario[Stock actual],MATCH($F110,tblInventario[SKU],0))),INDEX(tblInventario[Stock actual],MATCH($F110,tblInventario[SKU],0))&lt;0)," · Stock negativo del SKU","")&amp;IF(AND($T110="Cobrado",$U110="")," · Cobro sin fecha","")&amp;IF(AND(ISNUMBER($V110),ISNUMBER($N110),$V110&gt;N($N110)+0.01)," · Cobrado &gt; venta neta","")&amp;IF(AND(ISNUMBER($V110),$V110&gt;0,$U110="")," · Monto cobrado sin fecha",""),4,900)))</f>
        <v/>
      </c>
    </row>
    <row r="111">
      <c r="A111" s="51">
        <f>IF(COUNTA($B111,$C111,$D111,$E111,$F111,$I111)=0,"","V-"&amp;TEXT(ROW()-6,"0000"))</f>
        <v/>
      </c>
      <c r="B111" s="41" t="n"/>
      <c r="C111" s="33" t="n"/>
      <c r="D111" s="33" t="n"/>
      <c r="E111" s="33" t="n"/>
      <c r="F111" s="33" t="n"/>
      <c r="G111" s="51">
        <f>IF($F111="","",IFERROR(IF(INDEX(tblProductos[Nombre del producto],MATCH($F111,tblProductos[SKU],0))="","",INDEX(tblProductos[Nombre del producto],MATCH($F111,tblProductos[SKU],0))),""))</f>
        <v/>
      </c>
      <c r="H111" s="51">
        <f>IF($F111="","",IFERROR(IF(INDEX(tblProductos[Categoría],MATCH($F111,tblProductos[SKU],0))="","",INDEX(tblProductos[Categoría],MATCH($F111,tblProductos[SKU],0))),""))</f>
        <v/>
      </c>
      <c r="I111" s="34" t="n"/>
      <c r="J111" s="39">
        <f>IF(OR($B111="",$F111="",$I111=""),"",IF($T111="Anulado",0,$I111))</f>
        <v/>
      </c>
      <c r="K111" s="54">
        <f>IF($F111="","",IFERROR(IF(INDEX(tblProductos[Precio de venta actual],MATCH($F111,tblProductos[SKU],0))="","",INDEX(tblProductos[Precio de venta actual],MATCH($F111,tblProductos[SKU],0))),""))</f>
        <v/>
      </c>
      <c r="L111" s="36" t="n"/>
      <c r="M111" s="37">
        <f>IF($J111="","",IF(NOT(ISNUMBER($K111)),"PRECIO PENDIENTE",$J111*$K111))</f>
        <v/>
      </c>
      <c r="N111" s="37">
        <f>IF($J111="","",IF(NOT(ISNUMBER($M111)),"PRECIO PENDIENTE",$M111-IF(ISNUMBER($L111),$L111,0)))</f>
        <v/>
      </c>
      <c r="O111" s="54">
        <f>IF($F111="","",IFERROR(INDEX(tblInventario[Costo unitario aplicado],MATCH($F111,tblInventario[SKU],0)),""))</f>
        <v/>
      </c>
      <c r="P111" s="37">
        <f>IF($J111="","",IF(NOT(ISNUMBER($O111)),"COSTO PENDIENTE",$J111*$O111))</f>
        <v/>
      </c>
      <c r="Q111" s="37">
        <f>IF($J111="","",IF(OR(NOT(ISNUMBER($N111)),NOT(ISNUMBER($P111))),"PENDIENTE",$N111-$P111))</f>
        <v/>
      </c>
      <c r="R111" s="38">
        <f>IF($J111="","",IF(OR(NOT(ISNUMBER($Q111)),NOT(ISNUMBER($N111)),$N111&lt;=0),"PENDIENTE",$Q111/$N111))</f>
        <v/>
      </c>
      <c r="S111" s="33" t="n"/>
      <c r="T111" s="33" t="n"/>
      <c r="U111" s="41" t="n"/>
      <c r="V111" s="36" t="n"/>
      <c r="W111" s="37">
        <f>IF(NOT(ISNUMBER($N111)),"",$N111-IF(ISNUMBER($V111),$V111,0))</f>
        <v/>
      </c>
      <c r="X111" s="33" t="n"/>
      <c r="Y111" s="51">
        <f>IF(COUNTA($B111,$C111,$D111,$E111,$F111,$I111)=0,"",IF(IF($B111=""," · Falta fecha","")&amp;IF($D111=""," · Falta cliente","")&amp;IF($E111=""," · Falta canal","")&amp;IF($F111=""," · Falta SKU","")&amp;IF(AND($F111&lt;&gt;"",COUNTIF(tblProductos[SKU],$F111)=0)," · SKU no existe","")&amp;IF(OR($I111="",NOT(ISNUMBER($I111)),$I111&lt;=0)," · Cantidad inválida","")&amp;IF($M111="PRECIO PENDIENTE"," · Falta precio de venta","")&amp;IF($P111="COSTO PENDIENTE"," · Falta costo del producto","")&amp;IF(AND(ISNUMBER($Q111),$Q111&lt;0)," · UTILIDAD NEGATIVA","")&amp;IF(AND($F111&lt;&gt;"",ISNUMBER(INDEX(tblInventario[Stock actual],MATCH($F111,tblInventario[SKU],0))),INDEX(tblInventario[Stock actual],MATCH($F111,tblInventario[SKU],0))&lt;0)," · Stock negativo del SKU","")&amp;IF(AND($T111="Cobrado",$U111="")," · Cobro sin fecha","")&amp;IF(AND(ISNUMBER($V111),ISNUMBER($N111),$V111&gt;N($N111)+0.01)," · Cobrado &gt; venta neta","")&amp;IF(AND(ISNUMBER($V111),$V111&gt;0,$U111="")," · Monto cobrado sin fecha","")="","OK",MID(IF($B111=""," · Falta fecha","")&amp;IF($D111=""," · Falta cliente","")&amp;IF($E111=""," · Falta canal","")&amp;IF($F111=""," · Falta SKU","")&amp;IF(AND($F111&lt;&gt;"",COUNTIF(tblProductos[SKU],$F111)=0)," · SKU no existe","")&amp;IF(OR($I111="",NOT(ISNUMBER($I111)),$I111&lt;=0)," · Cantidad inválida","")&amp;IF($M111="PRECIO PENDIENTE"," · Falta precio de venta","")&amp;IF($P111="COSTO PENDIENTE"," · Falta costo del producto","")&amp;IF(AND(ISNUMBER($Q111),$Q111&lt;0)," · UTILIDAD NEGATIVA","")&amp;IF(AND($F111&lt;&gt;"",ISNUMBER(INDEX(tblInventario[Stock actual],MATCH($F111,tblInventario[SKU],0))),INDEX(tblInventario[Stock actual],MATCH($F111,tblInventario[SKU],0))&lt;0)," · Stock negativo del SKU","")&amp;IF(AND($T111="Cobrado",$U111="")," · Cobro sin fecha","")&amp;IF(AND(ISNUMBER($V111),ISNUMBER($N111),$V111&gt;N($N111)+0.01)," · Cobrado &gt; venta neta","")&amp;IF(AND(ISNUMBER($V111),$V111&gt;0,$U111="")," · Monto cobrado sin fecha",""),4,900)))</f>
        <v/>
      </c>
    </row>
    <row r="112">
      <c r="A112" s="51">
        <f>IF(COUNTA($B112,$C112,$D112,$E112,$F112,$I112)=0,"","V-"&amp;TEXT(ROW()-6,"0000"))</f>
        <v/>
      </c>
      <c r="B112" s="41" t="n"/>
      <c r="C112" s="33" t="n"/>
      <c r="D112" s="33" t="n"/>
      <c r="E112" s="33" t="n"/>
      <c r="F112" s="33" t="n"/>
      <c r="G112" s="51">
        <f>IF($F112="","",IFERROR(IF(INDEX(tblProductos[Nombre del producto],MATCH($F112,tblProductos[SKU],0))="","",INDEX(tblProductos[Nombre del producto],MATCH($F112,tblProductos[SKU],0))),""))</f>
        <v/>
      </c>
      <c r="H112" s="51">
        <f>IF($F112="","",IFERROR(IF(INDEX(tblProductos[Categoría],MATCH($F112,tblProductos[SKU],0))="","",INDEX(tblProductos[Categoría],MATCH($F112,tblProductos[SKU],0))),""))</f>
        <v/>
      </c>
      <c r="I112" s="34" t="n"/>
      <c r="J112" s="39">
        <f>IF(OR($B112="",$F112="",$I112=""),"",IF($T112="Anulado",0,$I112))</f>
        <v/>
      </c>
      <c r="K112" s="54">
        <f>IF($F112="","",IFERROR(IF(INDEX(tblProductos[Precio de venta actual],MATCH($F112,tblProductos[SKU],0))="","",INDEX(tblProductos[Precio de venta actual],MATCH($F112,tblProductos[SKU],0))),""))</f>
        <v/>
      </c>
      <c r="L112" s="36" t="n"/>
      <c r="M112" s="37">
        <f>IF($J112="","",IF(NOT(ISNUMBER($K112)),"PRECIO PENDIENTE",$J112*$K112))</f>
        <v/>
      </c>
      <c r="N112" s="37">
        <f>IF($J112="","",IF(NOT(ISNUMBER($M112)),"PRECIO PENDIENTE",$M112-IF(ISNUMBER($L112),$L112,0)))</f>
        <v/>
      </c>
      <c r="O112" s="54">
        <f>IF($F112="","",IFERROR(INDEX(tblInventario[Costo unitario aplicado],MATCH($F112,tblInventario[SKU],0)),""))</f>
        <v/>
      </c>
      <c r="P112" s="37">
        <f>IF($J112="","",IF(NOT(ISNUMBER($O112)),"COSTO PENDIENTE",$J112*$O112))</f>
        <v/>
      </c>
      <c r="Q112" s="37">
        <f>IF($J112="","",IF(OR(NOT(ISNUMBER($N112)),NOT(ISNUMBER($P112))),"PENDIENTE",$N112-$P112))</f>
        <v/>
      </c>
      <c r="R112" s="38">
        <f>IF($J112="","",IF(OR(NOT(ISNUMBER($Q112)),NOT(ISNUMBER($N112)),$N112&lt;=0),"PENDIENTE",$Q112/$N112))</f>
        <v/>
      </c>
      <c r="S112" s="33" t="n"/>
      <c r="T112" s="33" t="n"/>
      <c r="U112" s="41" t="n"/>
      <c r="V112" s="36" t="n"/>
      <c r="W112" s="37">
        <f>IF(NOT(ISNUMBER($N112)),"",$N112-IF(ISNUMBER($V112),$V112,0))</f>
        <v/>
      </c>
      <c r="X112" s="33" t="n"/>
      <c r="Y112" s="51">
        <f>IF(COUNTA($B112,$C112,$D112,$E112,$F112,$I112)=0,"",IF(IF($B112=""," · Falta fecha","")&amp;IF($D112=""," · Falta cliente","")&amp;IF($E112=""," · Falta canal","")&amp;IF($F112=""," · Falta SKU","")&amp;IF(AND($F112&lt;&gt;"",COUNTIF(tblProductos[SKU],$F112)=0)," · SKU no existe","")&amp;IF(OR($I112="",NOT(ISNUMBER($I112)),$I112&lt;=0)," · Cantidad inválida","")&amp;IF($M112="PRECIO PENDIENTE"," · Falta precio de venta","")&amp;IF($P112="COSTO PENDIENTE"," · Falta costo del producto","")&amp;IF(AND(ISNUMBER($Q112),$Q112&lt;0)," · UTILIDAD NEGATIVA","")&amp;IF(AND($F112&lt;&gt;"",ISNUMBER(INDEX(tblInventario[Stock actual],MATCH($F112,tblInventario[SKU],0))),INDEX(tblInventario[Stock actual],MATCH($F112,tblInventario[SKU],0))&lt;0)," · Stock negativo del SKU","")&amp;IF(AND($T112="Cobrado",$U112="")," · Cobro sin fecha","")&amp;IF(AND(ISNUMBER($V112),ISNUMBER($N112),$V112&gt;N($N112)+0.01)," · Cobrado &gt; venta neta","")&amp;IF(AND(ISNUMBER($V112),$V112&gt;0,$U112="")," · Monto cobrado sin fecha","")="","OK",MID(IF($B112=""," · Falta fecha","")&amp;IF($D112=""," · Falta cliente","")&amp;IF($E112=""," · Falta canal","")&amp;IF($F112=""," · Falta SKU","")&amp;IF(AND($F112&lt;&gt;"",COUNTIF(tblProductos[SKU],$F112)=0)," · SKU no existe","")&amp;IF(OR($I112="",NOT(ISNUMBER($I112)),$I112&lt;=0)," · Cantidad inválida","")&amp;IF($M112="PRECIO PENDIENTE"," · Falta precio de venta","")&amp;IF($P112="COSTO PENDIENTE"," · Falta costo del producto","")&amp;IF(AND(ISNUMBER($Q112),$Q112&lt;0)," · UTILIDAD NEGATIVA","")&amp;IF(AND($F112&lt;&gt;"",ISNUMBER(INDEX(tblInventario[Stock actual],MATCH($F112,tblInventario[SKU],0))),INDEX(tblInventario[Stock actual],MATCH($F112,tblInventario[SKU],0))&lt;0)," · Stock negativo del SKU","")&amp;IF(AND($T112="Cobrado",$U112="")," · Cobro sin fecha","")&amp;IF(AND(ISNUMBER($V112),ISNUMBER($N112),$V112&gt;N($N112)+0.01)," · Cobrado &gt; venta neta","")&amp;IF(AND(ISNUMBER($V112),$V112&gt;0,$U112="")," · Monto cobrado sin fecha",""),4,900)))</f>
        <v/>
      </c>
    </row>
    <row r="113">
      <c r="A113" s="51">
        <f>IF(COUNTA($B113,$C113,$D113,$E113,$F113,$I113)=0,"","V-"&amp;TEXT(ROW()-6,"0000"))</f>
        <v/>
      </c>
      <c r="B113" s="41" t="n"/>
      <c r="C113" s="33" t="n"/>
      <c r="D113" s="33" t="n"/>
      <c r="E113" s="33" t="n"/>
      <c r="F113" s="33" t="n"/>
      <c r="G113" s="51">
        <f>IF($F113="","",IFERROR(IF(INDEX(tblProductos[Nombre del producto],MATCH($F113,tblProductos[SKU],0))="","",INDEX(tblProductos[Nombre del producto],MATCH($F113,tblProductos[SKU],0))),""))</f>
        <v/>
      </c>
      <c r="H113" s="51">
        <f>IF($F113="","",IFERROR(IF(INDEX(tblProductos[Categoría],MATCH($F113,tblProductos[SKU],0))="","",INDEX(tblProductos[Categoría],MATCH($F113,tblProductos[SKU],0))),""))</f>
        <v/>
      </c>
      <c r="I113" s="34" t="n"/>
      <c r="J113" s="39">
        <f>IF(OR($B113="",$F113="",$I113=""),"",IF($T113="Anulado",0,$I113))</f>
        <v/>
      </c>
      <c r="K113" s="54">
        <f>IF($F113="","",IFERROR(IF(INDEX(tblProductos[Precio de venta actual],MATCH($F113,tblProductos[SKU],0))="","",INDEX(tblProductos[Precio de venta actual],MATCH($F113,tblProductos[SKU],0))),""))</f>
        <v/>
      </c>
      <c r="L113" s="36" t="n"/>
      <c r="M113" s="37">
        <f>IF($J113="","",IF(NOT(ISNUMBER($K113)),"PRECIO PENDIENTE",$J113*$K113))</f>
        <v/>
      </c>
      <c r="N113" s="37">
        <f>IF($J113="","",IF(NOT(ISNUMBER($M113)),"PRECIO PENDIENTE",$M113-IF(ISNUMBER($L113),$L113,0)))</f>
        <v/>
      </c>
      <c r="O113" s="54">
        <f>IF($F113="","",IFERROR(INDEX(tblInventario[Costo unitario aplicado],MATCH($F113,tblInventario[SKU],0)),""))</f>
        <v/>
      </c>
      <c r="P113" s="37">
        <f>IF($J113="","",IF(NOT(ISNUMBER($O113)),"COSTO PENDIENTE",$J113*$O113))</f>
        <v/>
      </c>
      <c r="Q113" s="37">
        <f>IF($J113="","",IF(OR(NOT(ISNUMBER($N113)),NOT(ISNUMBER($P113))),"PENDIENTE",$N113-$P113))</f>
        <v/>
      </c>
      <c r="R113" s="38">
        <f>IF($J113="","",IF(OR(NOT(ISNUMBER($Q113)),NOT(ISNUMBER($N113)),$N113&lt;=0),"PENDIENTE",$Q113/$N113))</f>
        <v/>
      </c>
      <c r="S113" s="33" t="n"/>
      <c r="T113" s="33" t="n"/>
      <c r="U113" s="41" t="n"/>
      <c r="V113" s="36" t="n"/>
      <c r="W113" s="37">
        <f>IF(NOT(ISNUMBER($N113)),"",$N113-IF(ISNUMBER($V113),$V113,0))</f>
        <v/>
      </c>
      <c r="X113" s="33" t="n"/>
      <c r="Y113" s="51">
        <f>IF(COUNTA($B113,$C113,$D113,$E113,$F113,$I113)=0,"",IF(IF($B113=""," · Falta fecha","")&amp;IF($D113=""," · Falta cliente","")&amp;IF($E113=""," · Falta canal","")&amp;IF($F113=""," · Falta SKU","")&amp;IF(AND($F113&lt;&gt;"",COUNTIF(tblProductos[SKU],$F113)=0)," · SKU no existe","")&amp;IF(OR($I113="",NOT(ISNUMBER($I113)),$I113&lt;=0)," · Cantidad inválida","")&amp;IF($M113="PRECIO PENDIENTE"," · Falta precio de venta","")&amp;IF($P113="COSTO PENDIENTE"," · Falta costo del producto","")&amp;IF(AND(ISNUMBER($Q113),$Q113&lt;0)," · UTILIDAD NEGATIVA","")&amp;IF(AND($F113&lt;&gt;"",ISNUMBER(INDEX(tblInventario[Stock actual],MATCH($F113,tblInventario[SKU],0))),INDEX(tblInventario[Stock actual],MATCH($F113,tblInventario[SKU],0))&lt;0)," · Stock negativo del SKU","")&amp;IF(AND($T113="Cobrado",$U113="")," · Cobro sin fecha","")&amp;IF(AND(ISNUMBER($V113),ISNUMBER($N113),$V113&gt;N($N113)+0.01)," · Cobrado &gt; venta neta","")&amp;IF(AND(ISNUMBER($V113),$V113&gt;0,$U113="")," · Monto cobrado sin fecha","")="","OK",MID(IF($B113=""," · Falta fecha","")&amp;IF($D113=""," · Falta cliente","")&amp;IF($E113=""," · Falta canal","")&amp;IF($F113=""," · Falta SKU","")&amp;IF(AND($F113&lt;&gt;"",COUNTIF(tblProductos[SKU],$F113)=0)," · SKU no existe","")&amp;IF(OR($I113="",NOT(ISNUMBER($I113)),$I113&lt;=0)," · Cantidad inválida","")&amp;IF($M113="PRECIO PENDIENTE"," · Falta precio de venta","")&amp;IF($P113="COSTO PENDIENTE"," · Falta costo del producto","")&amp;IF(AND(ISNUMBER($Q113),$Q113&lt;0)," · UTILIDAD NEGATIVA","")&amp;IF(AND($F113&lt;&gt;"",ISNUMBER(INDEX(tblInventario[Stock actual],MATCH($F113,tblInventario[SKU],0))),INDEX(tblInventario[Stock actual],MATCH($F113,tblInventario[SKU],0))&lt;0)," · Stock negativo del SKU","")&amp;IF(AND($T113="Cobrado",$U113="")," · Cobro sin fecha","")&amp;IF(AND(ISNUMBER($V113),ISNUMBER($N113),$V113&gt;N($N113)+0.01)," · Cobrado &gt; venta neta","")&amp;IF(AND(ISNUMBER($V113),$V113&gt;0,$U113="")," · Monto cobrado sin fecha",""),4,900)))</f>
        <v/>
      </c>
    </row>
    <row r="114">
      <c r="A114" s="51">
        <f>IF(COUNTA($B114,$C114,$D114,$E114,$F114,$I114)=0,"","V-"&amp;TEXT(ROW()-6,"0000"))</f>
        <v/>
      </c>
      <c r="B114" s="41" t="n"/>
      <c r="C114" s="33" t="n"/>
      <c r="D114" s="33" t="n"/>
      <c r="E114" s="33" t="n"/>
      <c r="F114" s="33" t="n"/>
      <c r="G114" s="51">
        <f>IF($F114="","",IFERROR(IF(INDEX(tblProductos[Nombre del producto],MATCH($F114,tblProductos[SKU],0))="","",INDEX(tblProductos[Nombre del producto],MATCH($F114,tblProductos[SKU],0))),""))</f>
        <v/>
      </c>
      <c r="H114" s="51">
        <f>IF($F114="","",IFERROR(IF(INDEX(tblProductos[Categoría],MATCH($F114,tblProductos[SKU],0))="","",INDEX(tblProductos[Categoría],MATCH($F114,tblProductos[SKU],0))),""))</f>
        <v/>
      </c>
      <c r="I114" s="34" t="n"/>
      <c r="J114" s="39">
        <f>IF(OR($B114="",$F114="",$I114=""),"",IF($T114="Anulado",0,$I114))</f>
        <v/>
      </c>
      <c r="K114" s="54">
        <f>IF($F114="","",IFERROR(IF(INDEX(tblProductos[Precio de venta actual],MATCH($F114,tblProductos[SKU],0))="","",INDEX(tblProductos[Precio de venta actual],MATCH($F114,tblProductos[SKU],0))),""))</f>
        <v/>
      </c>
      <c r="L114" s="36" t="n"/>
      <c r="M114" s="37">
        <f>IF($J114="","",IF(NOT(ISNUMBER($K114)),"PRECIO PENDIENTE",$J114*$K114))</f>
        <v/>
      </c>
      <c r="N114" s="37">
        <f>IF($J114="","",IF(NOT(ISNUMBER($M114)),"PRECIO PENDIENTE",$M114-IF(ISNUMBER($L114),$L114,0)))</f>
        <v/>
      </c>
      <c r="O114" s="54">
        <f>IF($F114="","",IFERROR(INDEX(tblInventario[Costo unitario aplicado],MATCH($F114,tblInventario[SKU],0)),""))</f>
        <v/>
      </c>
      <c r="P114" s="37">
        <f>IF($J114="","",IF(NOT(ISNUMBER($O114)),"COSTO PENDIENTE",$J114*$O114))</f>
        <v/>
      </c>
      <c r="Q114" s="37">
        <f>IF($J114="","",IF(OR(NOT(ISNUMBER($N114)),NOT(ISNUMBER($P114))),"PENDIENTE",$N114-$P114))</f>
        <v/>
      </c>
      <c r="R114" s="38">
        <f>IF($J114="","",IF(OR(NOT(ISNUMBER($Q114)),NOT(ISNUMBER($N114)),$N114&lt;=0),"PENDIENTE",$Q114/$N114))</f>
        <v/>
      </c>
      <c r="S114" s="33" t="n"/>
      <c r="T114" s="33" t="n"/>
      <c r="U114" s="41" t="n"/>
      <c r="V114" s="36" t="n"/>
      <c r="W114" s="37">
        <f>IF(NOT(ISNUMBER($N114)),"",$N114-IF(ISNUMBER($V114),$V114,0))</f>
        <v/>
      </c>
      <c r="X114" s="33" t="n"/>
      <c r="Y114" s="51">
        <f>IF(COUNTA($B114,$C114,$D114,$E114,$F114,$I114)=0,"",IF(IF($B114=""," · Falta fecha","")&amp;IF($D114=""," · Falta cliente","")&amp;IF($E114=""," · Falta canal","")&amp;IF($F114=""," · Falta SKU","")&amp;IF(AND($F114&lt;&gt;"",COUNTIF(tblProductos[SKU],$F114)=0)," · SKU no existe","")&amp;IF(OR($I114="",NOT(ISNUMBER($I114)),$I114&lt;=0)," · Cantidad inválida","")&amp;IF($M114="PRECIO PENDIENTE"," · Falta precio de venta","")&amp;IF($P114="COSTO PENDIENTE"," · Falta costo del producto","")&amp;IF(AND(ISNUMBER($Q114),$Q114&lt;0)," · UTILIDAD NEGATIVA","")&amp;IF(AND($F114&lt;&gt;"",ISNUMBER(INDEX(tblInventario[Stock actual],MATCH($F114,tblInventario[SKU],0))),INDEX(tblInventario[Stock actual],MATCH($F114,tblInventario[SKU],0))&lt;0)," · Stock negativo del SKU","")&amp;IF(AND($T114="Cobrado",$U114="")," · Cobro sin fecha","")&amp;IF(AND(ISNUMBER($V114),ISNUMBER($N114),$V114&gt;N($N114)+0.01)," · Cobrado &gt; venta neta","")&amp;IF(AND(ISNUMBER($V114),$V114&gt;0,$U114="")," · Monto cobrado sin fecha","")="","OK",MID(IF($B114=""," · Falta fecha","")&amp;IF($D114=""," · Falta cliente","")&amp;IF($E114=""," · Falta canal","")&amp;IF($F114=""," · Falta SKU","")&amp;IF(AND($F114&lt;&gt;"",COUNTIF(tblProductos[SKU],$F114)=0)," · SKU no existe","")&amp;IF(OR($I114="",NOT(ISNUMBER($I114)),$I114&lt;=0)," · Cantidad inválida","")&amp;IF($M114="PRECIO PENDIENTE"," · Falta precio de venta","")&amp;IF($P114="COSTO PENDIENTE"," · Falta costo del producto","")&amp;IF(AND(ISNUMBER($Q114),$Q114&lt;0)," · UTILIDAD NEGATIVA","")&amp;IF(AND($F114&lt;&gt;"",ISNUMBER(INDEX(tblInventario[Stock actual],MATCH($F114,tblInventario[SKU],0))),INDEX(tblInventario[Stock actual],MATCH($F114,tblInventario[SKU],0))&lt;0)," · Stock negativo del SKU","")&amp;IF(AND($T114="Cobrado",$U114="")," · Cobro sin fecha","")&amp;IF(AND(ISNUMBER($V114),ISNUMBER($N114),$V114&gt;N($N114)+0.01)," · Cobrado &gt; venta neta","")&amp;IF(AND(ISNUMBER($V114),$V114&gt;0,$U114="")," · Monto cobrado sin fecha",""),4,900)))</f>
        <v/>
      </c>
    </row>
    <row r="115">
      <c r="A115" s="51">
        <f>IF(COUNTA($B115,$C115,$D115,$E115,$F115,$I115)=0,"","V-"&amp;TEXT(ROW()-6,"0000"))</f>
        <v/>
      </c>
      <c r="B115" s="41" t="n"/>
      <c r="C115" s="33" t="n"/>
      <c r="D115" s="33" t="n"/>
      <c r="E115" s="33" t="n"/>
      <c r="F115" s="33" t="n"/>
      <c r="G115" s="51">
        <f>IF($F115="","",IFERROR(IF(INDEX(tblProductos[Nombre del producto],MATCH($F115,tblProductos[SKU],0))="","",INDEX(tblProductos[Nombre del producto],MATCH($F115,tblProductos[SKU],0))),""))</f>
        <v/>
      </c>
      <c r="H115" s="51">
        <f>IF($F115="","",IFERROR(IF(INDEX(tblProductos[Categoría],MATCH($F115,tblProductos[SKU],0))="","",INDEX(tblProductos[Categoría],MATCH($F115,tblProductos[SKU],0))),""))</f>
        <v/>
      </c>
      <c r="I115" s="34" t="n"/>
      <c r="J115" s="39">
        <f>IF(OR($B115="",$F115="",$I115=""),"",IF($T115="Anulado",0,$I115))</f>
        <v/>
      </c>
      <c r="K115" s="54">
        <f>IF($F115="","",IFERROR(IF(INDEX(tblProductos[Precio de venta actual],MATCH($F115,tblProductos[SKU],0))="","",INDEX(tblProductos[Precio de venta actual],MATCH($F115,tblProductos[SKU],0))),""))</f>
        <v/>
      </c>
      <c r="L115" s="36" t="n"/>
      <c r="M115" s="37">
        <f>IF($J115="","",IF(NOT(ISNUMBER($K115)),"PRECIO PENDIENTE",$J115*$K115))</f>
        <v/>
      </c>
      <c r="N115" s="37">
        <f>IF($J115="","",IF(NOT(ISNUMBER($M115)),"PRECIO PENDIENTE",$M115-IF(ISNUMBER($L115),$L115,0)))</f>
        <v/>
      </c>
      <c r="O115" s="54">
        <f>IF($F115="","",IFERROR(INDEX(tblInventario[Costo unitario aplicado],MATCH($F115,tblInventario[SKU],0)),""))</f>
        <v/>
      </c>
      <c r="P115" s="37">
        <f>IF($J115="","",IF(NOT(ISNUMBER($O115)),"COSTO PENDIENTE",$J115*$O115))</f>
        <v/>
      </c>
      <c r="Q115" s="37">
        <f>IF($J115="","",IF(OR(NOT(ISNUMBER($N115)),NOT(ISNUMBER($P115))),"PENDIENTE",$N115-$P115))</f>
        <v/>
      </c>
      <c r="R115" s="38">
        <f>IF($J115="","",IF(OR(NOT(ISNUMBER($Q115)),NOT(ISNUMBER($N115)),$N115&lt;=0),"PENDIENTE",$Q115/$N115))</f>
        <v/>
      </c>
      <c r="S115" s="33" t="n"/>
      <c r="T115" s="33" t="n"/>
      <c r="U115" s="41" t="n"/>
      <c r="V115" s="36" t="n"/>
      <c r="W115" s="37">
        <f>IF(NOT(ISNUMBER($N115)),"",$N115-IF(ISNUMBER($V115),$V115,0))</f>
        <v/>
      </c>
      <c r="X115" s="33" t="n"/>
      <c r="Y115" s="51">
        <f>IF(COUNTA($B115,$C115,$D115,$E115,$F115,$I115)=0,"",IF(IF($B115=""," · Falta fecha","")&amp;IF($D115=""," · Falta cliente","")&amp;IF($E115=""," · Falta canal","")&amp;IF($F115=""," · Falta SKU","")&amp;IF(AND($F115&lt;&gt;"",COUNTIF(tblProductos[SKU],$F115)=0)," · SKU no existe","")&amp;IF(OR($I115="",NOT(ISNUMBER($I115)),$I115&lt;=0)," · Cantidad inválida","")&amp;IF($M115="PRECIO PENDIENTE"," · Falta precio de venta","")&amp;IF($P115="COSTO PENDIENTE"," · Falta costo del producto","")&amp;IF(AND(ISNUMBER($Q115),$Q115&lt;0)," · UTILIDAD NEGATIVA","")&amp;IF(AND($F115&lt;&gt;"",ISNUMBER(INDEX(tblInventario[Stock actual],MATCH($F115,tblInventario[SKU],0))),INDEX(tblInventario[Stock actual],MATCH($F115,tblInventario[SKU],0))&lt;0)," · Stock negativo del SKU","")&amp;IF(AND($T115="Cobrado",$U115="")," · Cobro sin fecha","")&amp;IF(AND(ISNUMBER($V115),ISNUMBER($N115),$V115&gt;N($N115)+0.01)," · Cobrado &gt; venta neta","")&amp;IF(AND(ISNUMBER($V115),$V115&gt;0,$U115="")," · Monto cobrado sin fecha","")="","OK",MID(IF($B115=""," · Falta fecha","")&amp;IF($D115=""," · Falta cliente","")&amp;IF($E115=""," · Falta canal","")&amp;IF($F115=""," · Falta SKU","")&amp;IF(AND($F115&lt;&gt;"",COUNTIF(tblProductos[SKU],$F115)=0)," · SKU no existe","")&amp;IF(OR($I115="",NOT(ISNUMBER($I115)),$I115&lt;=0)," · Cantidad inválida","")&amp;IF($M115="PRECIO PENDIENTE"," · Falta precio de venta","")&amp;IF($P115="COSTO PENDIENTE"," · Falta costo del producto","")&amp;IF(AND(ISNUMBER($Q115),$Q115&lt;0)," · UTILIDAD NEGATIVA","")&amp;IF(AND($F115&lt;&gt;"",ISNUMBER(INDEX(tblInventario[Stock actual],MATCH($F115,tblInventario[SKU],0))),INDEX(tblInventario[Stock actual],MATCH($F115,tblInventario[SKU],0))&lt;0)," · Stock negativo del SKU","")&amp;IF(AND($T115="Cobrado",$U115="")," · Cobro sin fecha","")&amp;IF(AND(ISNUMBER($V115),ISNUMBER($N115),$V115&gt;N($N115)+0.01)," · Cobrado &gt; venta neta","")&amp;IF(AND(ISNUMBER($V115),$V115&gt;0,$U115="")," · Monto cobrado sin fecha",""),4,900)))</f>
        <v/>
      </c>
    </row>
    <row r="116">
      <c r="A116" s="51">
        <f>IF(COUNTA($B116,$C116,$D116,$E116,$F116,$I116)=0,"","V-"&amp;TEXT(ROW()-6,"0000"))</f>
        <v/>
      </c>
      <c r="B116" s="41" t="n"/>
      <c r="C116" s="33" t="n"/>
      <c r="D116" s="33" t="n"/>
      <c r="E116" s="33" t="n"/>
      <c r="F116" s="33" t="n"/>
      <c r="G116" s="51">
        <f>IF($F116="","",IFERROR(IF(INDEX(tblProductos[Nombre del producto],MATCH($F116,tblProductos[SKU],0))="","",INDEX(tblProductos[Nombre del producto],MATCH($F116,tblProductos[SKU],0))),""))</f>
        <v/>
      </c>
      <c r="H116" s="51">
        <f>IF($F116="","",IFERROR(IF(INDEX(tblProductos[Categoría],MATCH($F116,tblProductos[SKU],0))="","",INDEX(tblProductos[Categoría],MATCH($F116,tblProductos[SKU],0))),""))</f>
        <v/>
      </c>
      <c r="I116" s="34" t="n"/>
      <c r="J116" s="39">
        <f>IF(OR($B116="",$F116="",$I116=""),"",IF($T116="Anulado",0,$I116))</f>
        <v/>
      </c>
      <c r="K116" s="54">
        <f>IF($F116="","",IFERROR(IF(INDEX(tblProductos[Precio de venta actual],MATCH($F116,tblProductos[SKU],0))="","",INDEX(tblProductos[Precio de venta actual],MATCH($F116,tblProductos[SKU],0))),""))</f>
        <v/>
      </c>
      <c r="L116" s="36" t="n"/>
      <c r="M116" s="37">
        <f>IF($J116="","",IF(NOT(ISNUMBER($K116)),"PRECIO PENDIENTE",$J116*$K116))</f>
        <v/>
      </c>
      <c r="N116" s="37">
        <f>IF($J116="","",IF(NOT(ISNUMBER($M116)),"PRECIO PENDIENTE",$M116-IF(ISNUMBER($L116),$L116,0)))</f>
        <v/>
      </c>
      <c r="O116" s="54">
        <f>IF($F116="","",IFERROR(INDEX(tblInventario[Costo unitario aplicado],MATCH($F116,tblInventario[SKU],0)),""))</f>
        <v/>
      </c>
      <c r="P116" s="37">
        <f>IF($J116="","",IF(NOT(ISNUMBER($O116)),"COSTO PENDIENTE",$J116*$O116))</f>
        <v/>
      </c>
      <c r="Q116" s="37">
        <f>IF($J116="","",IF(OR(NOT(ISNUMBER($N116)),NOT(ISNUMBER($P116))),"PENDIENTE",$N116-$P116))</f>
        <v/>
      </c>
      <c r="R116" s="38">
        <f>IF($J116="","",IF(OR(NOT(ISNUMBER($Q116)),NOT(ISNUMBER($N116)),$N116&lt;=0),"PENDIENTE",$Q116/$N116))</f>
        <v/>
      </c>
      <c r="S116" s="33" t="n"/>
      <c r="T116" s="33" t="n"/>
      <c r="U116" s="41" t="n"/>
      <c r="V116" s="36" t="n"/>
      <c r="W116" s="37">
        <f>IF(NOT(ISNUMBER($N116)),"",$N116-IF(ISNUMBER($V116),$V116,0))</f>
        <v/>
      </c>
      <c r="X116" s="33" t="n"/>
      <c r="Y116" s="51">
        <f>IF(COUNTA($B116,$C116,$D116,$E116,$F116,$I116)=0,"",IF(IF($B116=""," · Falta fecha","")&amp;IF($D116=""," · Falta cliente","")&amp;IF($E116=""," · Falta canal","")&amp;IF($F116=""," · Falta SKU","")&amp;IF(AND($F116&lt;&gt;"",COUNTIF(tblProductos[SKU],$F116)=0)," · SKU no existe","")&amp;IF(OR($I116="",NOT(ISNUMBER($I116)),$I116&lt;=0)," · Cantidad inválida","")&amp;IF($M116="PRECIO PENDIENTE"," · Falta precio de venta","")&amp;IF($P116="COSTO PENDIENTE"," · Falta costo del producto","")&amp;IF(AND(ISNUMBER($Q116),$Q116&lt;0)," · UTILIDAD NEGATIVA","")&amp;IF(AND($F116&lt;&gt;"",ISNUMBER(INDEX(tblInventario[Stock actual],MATCH($F116,tblInventario[SKU],0))),INDEX(tblInventario[Stock actual],MATCH($F116,tblInventario[SKU],0))&lt;0)," · Stock negativo del SKU","")&amp;IF(AND($T116="Cobrado",$U116="")," · Cobro sin fecha","")&amp;IF(AND(ISNUMBER($V116),ISNUMBER($N116),$V116&gt;N($N116)+0.01)," · Cobrado &gt; venta neta","")&amp;IF(AND(ISNUMBER($V116),$V116&gt;0,$U116="")," · Monto cobrado sin fecha","")="","OK",MID(IF($B116=""," · Falta fecha","")&amp;IF($D116=""," · Falta cliente","")&amp;IF($E116=""," · Falta canal","")&amp;IF($F116=""," · Falta SKU","")&amp;IF(AND($F116&lt;&gt;"",COUNTIF(tblProductos[SKU],$F116)=0)," · SKU no existe","")&amp;IF(OR($I116="",NOT(ISNUMBER($I116)),$I116&lt;=0)," · Cantidad inválida","")&amp;IF($M116="PRECIO PENDIENTE"," · Falta precio de venta","")&amp;IF($P116="COSTO PENDIENTE"," · Falta costo del producto","")&amp;IF(AND(ISNUMBER($Q116),$Q116&lt;0)," · UTILIDAD NEGATIVA","")&amp;IF(AND($F116&lt;&gt;"",ISNUMBER(INDEX(tblInventario[Stock actual],MATCH($F116,tblInventario[SKU],0))),INDEX(tblInventario[Stock actual],MATCH($F116,tblInventario[SKU],0))&lt;0)," · Stock negativo del SKU","")&amp;IF(AND($T116="Cobrado",$U116="")," · Cobro sin fecha","")&amp;IF(AND(ISNUMBER($V116),ISNUMBER($N116),$V116&gt;N($N116)+0.01)," · Cobrado &gt; venta neta","")&amp;IF(AND(ISNUMBER($V116),$V116&gt;0,$U116="")," · Monto cobrado sin fecha",""),4,900)))</f>
        <v/>
      </c>
    </row>
    <row r="117">
      <c r="A117" s="51">
        <f>IF(COUNTA($B117,$C117,$D117,$E117,$F117,$I117)=0,"","V-"&amp;TEXT(ROW()-6,"0000"))</f>
        <v/>
      </c>
      <c r="B117" s="41" t="n"/>
      <c r="C117" s="33" t="n"/>
      <c r="D117" s="33" t="n"/>
      <c r="E117" s="33" t="n"/>
      <c r="F117" s="33" t="n"/>
      <c r="G117" s="51">
        <f>IF($F117="","",IFERROR(IF(INDEX(tblProductos[Nombre del producto],MATCH($F117,tblProductos[SKU],0))="","",INDEX(tblProductos[Nombre del producto],MATCH($F117,tblProductos[SKU],0))),""))</f>
        <v/>
      </c>
      <c r="H117" s="51">
        <f>IF($F117="","",IFERROR(IF(INDEX(tblProductos[Categoría],MATCH($F117,tblProductos[SKU],0))="","",INDEX(tblProductos[Categoría],MATCH($F117,tblProductos[SKU],0))),""))</f>
        <v/>
      </c>
      <c r="I117" s="34" t="n"/>
      <c r="J117" s="39">
        <f>IF(OR($B117="",$F117="",$I117=""),"",IF($T117="Anulado",0,$I117))</f>
        <v/>
      </c>
      <c r="K117" s="54">
        <f>IF($F117="","",IFERROR(IF(INDEX(tblProductos[Precio de venta actual],MATCH($F117,tblProductos[SKU],0))="","",INDEX(tblProductos[Precio de venta actual],MATCH($F117,tblProductos[SKU],0))),""))</f>
        <v/>
      </c>
      <c r="L117" s="36" t="n"/>
      <c r="M117" s="37">
        <f>IF($J117="","",IF(NOT(ISNUMBER($K117)),"PRECIO PENDIENTE",$J117*$K117))</f>
        <v/>
      </c>
      <c r="N117" s="37">
        <f>IF($J117="","",IF(NOT(ISNUMBER($M117)),"PRECIO PENDIENTE",$M117-IF(ISNUMBER($L117),$L117,0)))</f>
        <v/>
      </c>
      <c r="O117" s="54">
        <f>IF($F117="","",IFERROR(INDEX(tblInventario[Costo unitario aplicado],MATCH($F117,tblInventario[SKU],0)),""))</f>
        <v/>
      </c>
      <c r="P117" s="37">
        <f>IF($J117="","",IF(NOT(ISNUMBER($O117)),"COSTO PENDIENTE",$J117*$O117))</f>
        <v/>
      </c>
      <c r="Q117" s="37">
        <f>IF($J117="","",IF(OR(NOT(ISNUMBER($N117)),NOT(ISNUMBER($P117))),"PENDIENTE",$N117-$P117))</f>
        <v/>
      </c>
      <c r="R117" s="38">
        <f>IF($J117="","",IF(OR(NOT(ISNUMBER($Q117)),NOT(ISNUMBER($N117)),$N117&lt;=0),"PENDIENTE",$Q117/$N117))</f>
        <v/>
      </c>
      <c r="S117" s="33" t="n"/>
      <c r="T117" s="33" t="n"/>
      <c r="U117" s="41" t="n"/>
      <c r="V117" s="36" t="n"/>
      <c r="W117" s="37">
        <f>IF(NOT(ISNUMBER($N117)),"",$N117-IF(ISNUMBER($V117),$V117,0))</f>
        <v/>
      </c>
      <c r="X117" s="33" t="n"/>
      <c r="Y117" s="51">
        <f>IF(COUNTA($B117,$C117,$D117,$E117,$F117,$I117)=0,"",IF(IF($B117=""," · Falta fecha","")&amp;IF($D117=""," · Falta cliente","")&amp;IF($E117=""," · Falta canal","")&amp;IF($F117=""," · Falta SKU","")&amp;IF(AND($F117&lt;&gt;"",COUNTIF(tblProductos[SKU],$F117)=0)," · SKU no existe","")&amp;IF(OR($I117="",NOT(ISNUMBER($I117)),$I117&lt;=0)," · Cantidad inválida","")&amp;IF($M117="PRECIO PENDIENTE"," · Falta precio de venta","")&amp;IF($P117="COSTO PENDIENTE"," · Falta costo del producto","")&amp;IF(AND(ISNUMBER($Q117),$Q117&lt;0)," · UTILIDAD NEGATIVA","")&amp;IF(AND($F117&lt;&gt;"",ISNUMBER(INDEX(tblInventario[Stock actual],MATCH($F117,tblInventario[SKU],0))),INDEX(tblInventario[Stock actual],MATCH($F117,tblInventario[SKU],0))&lt;0)," · Stock negativo del SKU","")&amp;IF(AND($T117="Cobrado",$U117="")," · Cobro sin fecha","")&amp;IF(AND(ISNUMBER($V117),ISNUMBER($N117),$V117&gt;N($N117)+0.01)," · Cobrado &gt; venta neta","")&amp;IF(AND(ISNUMBER($V117),$V117&gt;0,$U117="")," · Monto cobrado sin fecha","")="","OK",MID(IF($B117=""," · Falta fecha","")&amp;IF($D117=""," · Falta cliente","")&amp;IF($E117=""," · Falta canal","")&amp;IF($F117=""," · Falta SKU","")&amp;IF(AND($F117&lt;&gt;"",COUNTIF(tblProductos[SKU],$F117)=0)," · SKU no existe","")&amp;IF(OR($I117="",NOT(ISNUMBER($I117)),$I117&lt;=0)," · Cantidad inválida","")&amp;IF($M117="PRECIO PENDIENTE"," · Falta precio de venta","")&amp;IF($P117="COSTO PENDIENTE"," · Falta costo del producto","")&amp;IF(AND(ISNUMBER($Q117),$Q117&lt;0)," · UTILIDAD NEGATIVA","")&amp;IF(AND($F117&lt;&gt;"",ISNUMBER(INDEX(tblInventario[Stock actual],MATCH($F117,tblInventario[SKU],0))),INDEX(tblInventario[Stock actual],MATCH($F117,tblInventario[SKU],0))&lt;0)," · Stock negativo del SKU","")&amp;IF(AND($T117="Cobrado",$U117="")," · Cobro sin fecha","")&amp;IF(AND(ISNUMBER($V117),ISNUMBER($N117),$V117&gt;N($N117)+0.01)," · Cobrado &gt; venta neta","")&amp;IF(AND(ISNUMBER($V117),$V117&gt;0,$U117="")," · Monto cobrado sin fecha",""),4,900)))</f>
        <v/>
      </c>
    </row>
    <row r="118">
      <c r="A118" s="51">
        <f>IF(COUNTA($B118,$C118,$D118,$E118,$F118,$I118)=0,"","V-"&amp;TEXT(ROW()-6,"0000"))</f>
        <v/>
      </c>
      <c r="B118" s="41" t="n"/>
      <c r="C118" s="33" t="n"/>
      <c r="D118" s="33" t="n"/>
      <c r="E118" s="33" t="n"/>
      <c r="F118" s="33" t="n"/>
      <c r="G118" s="51">
        <f>IF($F118="","",IFERROR(IF(INDEX(tblProductos[Nombre del producto],MATCH($F118,tblProductos[SKU],0))="","",INDEX(tblProductos[Nombre del producto],MATCH($F118,tblProductos[SKU],0))),""))</f>
        <v/>
      </c>
      <c r="H118" s="51">
        <f>IF($F118="","",IFERROR(IF(INDEX(tblProductos[Categoría],MATCH($F118,tblProductos[SKU],0))="","",INDEX(tblProductos[Categoría],MATCH($F118,tblProductos[SKU],0))),""))</f>
        <v/>
      </c>
      <c r="I118" s="34" t="n"/>
      <c r="J118" s="39">
        <f>IF(OR($B118="",$F118="",$I118=""),"",IF($T118="Anulado",0,$I118))</f>
        <v/>
      </c>
      <c r="K118" s="54">
        <f>IF($F118="","",IFERROR(IF(INDEX(tblProductos[Precio de venta actual],MATCH($F118,tblProductos[SKU],0))="","",INDEX(tblProductos[Precio de venta actual],MATCH($F118,tblProductos[SKU],0))),""))</f>
        <v/>
      </c>
      <c r="L118" s="36" t="n"/>
      <c r="M118" s="37">
        <f>IF($J118="","",IF(NOT(ISNUMBER($K118)),"PRECIO PENDIENTE",$J118*$K118))</f>
        <v/>
      </c>
      <c r="N118" s="37">
        <f>IF($J118="","",IF(NOT(ISNUMBER($M118)),"PRECIO PENDIENTE",$M118-IF(ISNUMBER($L118),$L118,0)))</f>
        <v/>
      </c>
      <c r="O118" s="54">
        <f>IF($F118="","",IFERROR(INDEX(tblInventario[Costo unitario aplicado],MATCH($F118,tblInventario[SKU],0)),""))</f>
        <v/>
      </c>
      <c r="P118" s="37">
        <f>IF($J118="","",IF(NOT(ISNUMBER($O118)),"COSTO PENDIENTE",$J118*$O118))</f>
        <v/>
      </c>
      <c r="Q118" s="37">
        <f>IF($J118="","",IF(OR(NOT(ISNUMBER($N118)),NOT(ISNUMBER($P118))),"PENDIENTE",$N118-$P118))</f>
        <v/>
      </c>
      <c r="R118" s="38">
        <f>IF($J118="","",IF(OR(NOT(ISNUMBER($Q118)),NOT(ISNUMBER($N118)),$N118&lt;=0),"PENDIENTE",$Q118/$N118))</f>
        <v/>
      </c>
      <c r="S118" s="33" t="n"/>
      <c r="T118" s="33" t="n"/>
      <c r="U118" s="41" t="n"/>
      <c r="V118" s="36" t="n"/>
      <c r="W118" s="37">
        <f>IF(NOT(ISNUMBER($N118)),"",$N118-IF(ISNUMBER($V118),$V118,0))</f>
        <v/>
      </c>
      <c r="X118" s="33" t="n"/>
      <c r="Y118" s="51">
        <f>IF(COUNTA($B118,$C118,$D118,$E118,$F118,$I118)=0,"",IF(IF($B118=""," · Falta fecha","")&amp;IF($D118=""," · Falta cliente","")&amp;IF($E118=""," · Falta canal","")&amp;IF($F118=""," · Falta SKU","")&amp;IF(AND($F118&lt;&gt;"",COUNTIF(tblProductos[SKU],$F118)=0)," · SKU no existe","")&amp;IF(OR($I118="",NOT(ISNUMBER($I118)),$I118&lt;=0)," · Cantidad inválida","")&amp;IF($M118="PRECIO PENDIENTE"," · Falta precio de venta","")&amp;IF($P118="COSTO PENDIENTE"," · Falta costo del producto","")&amp;IF(AND(ISNUMBER($Q118),$Q118&lt;0)," · UTILIDAD NEGATIVA","")&amp;IF(AND($F118&lt;&gt;"",ISNUMBER(INDEX(tblInventario[Stock actual],MATCH($F118,tblInventario[SKU],0))),INDEX(tblInventario[Stock actual],MATCH($F118,tblInventario[SKU],0))&lt;0)," · Stock negativo del SKU","")&amp;IF(AND($T118="Cobrado",$U118="")," · Cobro sin fecha","")&amp;IF(AND(ISNUMBER($V118),ISNUMBER($N118),$V118&gt;N($N118)+0.01)," · Cobrado &gt; venta neta","")&amp;IF(AND(ISNUMBER($V118),$V118&gt;0,$U118="")," · Monto cobrado sin fecha","")="","OK",MID(IF($B118=""," · Falta fecha","")&amp;IF($D118=""," · Falta cliente","")&amp;IF($E118=""," · Falta canal","")&amp;IF($F118=""," · Falta SKU","")&amp;IF(AND($F118&lt;&gt;"",COUNTIF(tblProductos[SKU],$F118)=0)," · SKU no existe","")&amp;IF(OR($I118="",NOT(ISNUMBER($I118)),$I118&lt;=0)," · Cantidad inválida","")&amp;IF($M118="PRECIO PENDIENTE"," · Falta precio de venta","")&amp;IF($P118="COSTO PENDIENTE"," · Falta costo del producto","")&amp;IF(AND(ISNUMBER($Q118),$Q118&lt;0)," · UTILIDAD NEGATIVA","")&amp;IF(AND($F118&lt;&gt;"",ISNUMBER(INDEX(tblInventario[Stock actual],MATCH($F118,tblInventario[SKU],0))),INDEX(tblInventario[Stock actual],MATCH($F118,tblInventario[SKU],0))&lt;0)," · Stock negativo del SKU","")&amp;IF(AND($T118="Cobrado",$U118="")," · Cobro sin fecha","")&amp;IF(AND(ISNUMBER($V118),ISNUMBER($N118),$V118&gt;N($N118)+0.01)," · Cobrado &gt; venta neta","")&amp;IF(AND(ISNUMBER($V118),$V118&gt;0,$U118="")," · Monto cobrado sin fecha",""),4,900)))</f>
        <v/>
      </c>
    </row>
    <row r="119">
      <c r="A119" s="51">
        <f>IF(COUNTA($B119,$C119,$D119,$E119,$F119,$I119)=0,"","V-"&amp;TEXT(ROW()-6,"0000"))</f>
        <v/>
      </c>
      <c r="B119" s="41" t="n"/>
      <c r="C119" s="33" t="n"/>
      <c r="D119" s="33" t="n"/>
      <c r="E119" s="33" t="n"/>
      <c r="F119" s="33" t="n"/>
      <c r="G119" s="51">
        <f>IF($F119="","",IFERROR(IF(INDEX(tblProductos[Nombre del producto],MATCH($F119,tblProductos[SKU],0))="","",INDEX(tblProductos[Nombre del producto],MATCH($F119,tblProductos[SKU],0))),""))</f>
        <v/>
      </c>
      <c r="H119" s="51">
        <f>IF($F119="","",IFERROR(IF(INDEX(tblProductos[Categoría],MATCH($F119,tblProductos[SKU],0))="","",INDEX(tblProductos[Categoría],MATCH($F119,tblProductos[SKU],0))),""))</f>
        <v/>
      </c>
      <c r="I119" s="34" t="n"/>
      <c r="J119" s="39">
        <f>IF(OR($B119="",$F119="",$I119=""),"",IF($T119="Anulado",0,$I119))</f>
        <v/>
      </c>
      <c r="K119" s="54">
        <f>IF($F119="","",IFERROR(IF(INDEX(tblProductos[Precio de venta actual],MATCH($F119,tblProductos[SKU],0))="","",INDEX(tblProductos[Precio de venta actual],MATCH($F119,tblProductos[SKU],0))),""))</f>
        <v/>
      </c>
      <c r="L119" s="36" t="n"/>
      <c r="M119" s="37">
        <f>IF($J119="","",IF(NOT(ISNUMBER($K119)),"PRECIO PENDIENTE",$J119*$K119))</f>
        <v/>
      </c>
      <c r="N119" s="37">
        <f>IF($J119="","",IF(NOT(ISNUMBER($M119)),"PRECIO PENDIENTE",$M119-IF(ISNUMBER($L119),$L119,0)))</f>
        <v/>
      </c>
      <c r="O119" s="54">
        <f>IF($F119="","",IFERROR(INDEX(tblInventario[Costo unitario aplicado],MATCH($F119,tblInventario[SKU],0)),""))</f>
        <v/>
      </c>
      <c r="P119" s="37">
        <f>IF($J119="","",IF(NOT(ISNUMBER($O119)),"COSTO PENDIENTE",$J119*$O119))</f>
        <v/>
      </c>
      <c r="Q119" s="37">
        <f>IF($J119="","",IF(OR(NOT(ISNUMBER($N119)),NOT(ISNUMBER($P119))),"PENDIENTE",$N119-$P119))</f>
        <v/>
      </c>
      <c r="R119" s="38">
        <f>IF($J119="","",IF(OR(NOT(ISNUMBER($Q119)),NOT(ISNUMBER($N119)),$N119&lt;=0),"PENDIENTE",$Q119/$N119))</f>
        <v/>
      </c>
      <c r="S119" s="33" t="n"/>
      <c r="T119" s="33" t="n"/>
      <c r="U119" s="41" t="n"/>
      <c r="V119" s="36" t="n"/>
      <c r="W119" s="37">
        <f>IF(NOT(ISNUMBER($N119)),"",$N119-IF(ISNUMBER($V119),$V119,0))</f>
        <v/>
      </c>
      <c r="X119" s="33" t="n"/>
      <c r="Y119" s="51">
        <f>IF(COUNTA($B119,$C119,$D119,$E119,$F119,$I119)=0,"",IF(IF($B119=""," · Falta fecha","")&amp;IF($D119=""," · Falta cliente","")&amp;IF($E119=""," · Falta canal","")&amp;IF($F119=""," · Falta SKU","")&amp;IF(AND($F119&lt;&gt;"",COUNTIF(tblProductos[SKU],$F119)=0)," · SKU no existe","")&amp;IF(OR($I119="",NOT(ISNUMBER($I119)),$I119&lt;=0)," · Cantidad inválida","")&amp;IF($M119="PRECIO PENDIENTE"," · Falta precio de venta","")&amp;IF($P119="COSTO PENDIENTE"," · Falta costo del producto","")&amp;IF(AND(ISNUMBER($Q119),$Q119&lt;0)," · UTILIDAD NEGATIVA","")&amp;IF(AND($F119&lt;&gt;"",ISNUMBER(INDEX(tblInventario[Stock actual],MATCH($F119,tblInventario[SKU],0))),INDEX(tblInventario[Stock actual],MATCH($F119,tblInventario[SKU],0))&lt;0)," · Stock negativo del SKU","")&amp;IF(AND($T119="Cobrado",$U119="")," · Cobro sin fecha","")&amp;IF(AND(ISNUMBER($V119),ISNUMBER($N119),$V119&gt;N($N119)+0.01)," · Cobrado &gt; venta neta","")&amp;IF(AND(ISNUMBER($V119),$V119&gt;0,$U119="")," · Monto cobrado sin fecha","")="","OK",MID(IF($B119=""," · Falta fecha","")&amp;IF($D119=""," · Falta cliente","")&amp;IF($E119=""," · Falta canal","")&amp;IF($F119=""," · Falta SKU","")&amp;IF(AND($F119&lt;&gt;"",COUNTIF(tblProductos[SKU],$F119)=0)," · SKU no existe","")&amp;IF(OR($I119="",NOT(ISNUMBER($I119)),$I119&lt;=0)," · Cantidad inválida","")&amp;IF($M119="PRECIO PENDIENTE"," · Falta precio de venta","")&amp;IF($P119="COSTO PENDIENTE"," · Falta costo del producto","")&amp;IF(AND(ISNUMBER($Q119),$Q119&lt;0)," · UTILIDAD NEGATIVA","")&amp;IF(AND($F119&lt;&gt;"",ISNUMBER(INDEX(tblInventario[Stock actual],MATCH($F119,tblInventario[SKU],0))),INDEX(tblInventario[Stock actual],MATCH($F119,tblInventario[SKU],0))&lt;0)," · Stock negativo del SKU","")&amp;IF(AND($T119="Cobrado",$U119="")," · Cobro sin fecha","")&amp;IF(AND(ISNUMBER($V119),ISNUMBER($N119),$V119&gt;N($N119)+0.01)," · Cobrado &gt; venta neta","")&amp;IF(AND(ISNUMBER($V119),$V119&gt;0,$U119="")," · Monto cobrado sin fecha",""),4,900)))</f>
        <v/>
      </c>
    </row>
    <row r="120">
      <c r="A120" s="51">
        <f>IF(COUNTA($B120,$C120,$D120,$E120,$F120,$I120)=0,"","V-"&amp;TEXT(ROW()-6,"0000"))</f>
        <v/>
      </c>
      <c r="B120" s="41" t="n"/>
      <c r="C120" s="33" t="n"/>
      <c r="D120" s="33" t="n"/>
      <c r="E120" s="33" t="n"/>
      <c r="F120" s="33" t="n"/>
      <c r="G120" s="51">
        <f>IF($F120="","",IFERROR(IF(INDEX(tblProductos[Nombre del producto],MATCH($F120,tblProductos[SKU],0))="","",INDEX(tblProductos[Nombre del producto],MATCH($F120,tblProductos[SKU],0))),""))</f>
        <v/>
      </c>
      <c r="H120" s="51">
        <f>IF($F120="","",IFERROR(IF(INDEX(tblProductos[Categoría],MATCH($F120,tblProductos[SKU],0))="","",INDEX(tblProductos[Categoría],MATCH($F120,tblProductos[SKU],0))),""))</f>
        <v/>
      </c>
      <c r="I120" s="34" t="n"/>
      <c r="J120" s="39">
        <f>IF(OR($B120="",$F120="",$I120=""),"",IF($T120="Anulado",0,$I120))</f>
        <v/>
      </c>
      <c r="K120" s="54">
        <f>IF($F120="","",IFERROR(IF(INDEX(tblProductos[Precio de venta actual],MATCH($F120,tblProductos[SKU],0))="","",INDEX(tblProductos[Precio de venta actual],MATCH($F120,tblProductos[SKU],0))),""))</f>
        <v/>
      </c>
      <c r="L120" s="36" t="n"/>
      <c r="M120" s="37">
        <f>IF($J120="","",IF(NOT(ISNUMBER($K120)),"PRECIO PENDIENTE",$J120*$K120))</f>
        <v/>
      </c>
      <c r="N120" s="37">
        <f>IF($J120="","",IF(NOT(ISNUMBER($M120)),"PRECIO PENDIENTE",$M120-IF(ISNUMBER($L120),$L120,0)))</f>
        <v/>
      </c>
      <c r="O120" s="54">
        <f>IF($F120="","",IFERROR(INDEX(tblInventario[Costo unitario aplicado],MATCH($F120,tblInventario[SKU],0)),""))</f>
        <v/>
      </c>
      <c r="P120" s="37">
        <f>IF($J120="","",IF(NOT(ISNUMBER($O120)),"COSTO PENDIENTE",$J120*$O120))</f>
        <v/>
      </c>
      <c r="Q120" s="37">
        <f>IF($J120="","",IF(OR(NOT(ISNUMBER($N120)),NOT(ISNUMBER($P120))),"PENDIENTE",$N120-$P120))</f>
        <v/>
      </c>
      <c r="R120" s="38">
        <f>IF($J120="","",IF(OR(NOT(ISNUMBER($Q120)),NOT(ISNUMBER($N120)),$N120&lt;=0),"PENDIENTE",$Q120/$N120))</f>
        <v/>
      </c>
      <c r="S120" s="33" t="n"/>
      <c r="T120" s="33" t="n"/>
      <c r="U120" s="41" t="n"/>
      <c r="V120" s="36" t="n"/>
      <c r="W120" s="37">
        <f>IF(NOT(ISNUMBER($N120)),"",$N120-IF(ISNUMBER($V120),$V120,0))</f>
        <v/>
      </c>
      <c r="X120" s="33" t="n"/>
      <c r="Y120" s="51">
        <f>IF(COUNTA($B120,$C120,$D120,$E120,$F120,$I120)=0,"",IF(IF($B120=""," · Falta fecha","")&amp;IF($D120=""," · Falta cliente","")&amp;IF($E120=""," · Falta canal","")&amp;IF($F120=""," · Falta SKU","")&amp;IF(AND($F120&lt;&gt;"",COUNTIF(tblProductos[SKU],$F120)=0)," · SKU no existe","")&amp;IF(OR($I120="",NOT(ISNUMBER($I120)),$I120&lt;=0)," · Cantidad inválida","")&amp;IF($M120="PRECIO PENDIENTE"," · Falta precio de venta","")&amp;IF($P120="COSTO PENDIENTE"," · Falta costo del producto","")&amp;IF(AND(ISNUMBER($Q120),$Q120&lt;0)," · UTILIDAD NEGATIVA","")&amp;IF(AND($F120&lt;&gt;"",ISNUMBER(INDEX(tblInventario[Stock actual],MATCH($F120,tblInventario[SKU],0))),INDEX(tblInventario[Stock actual],MATCH($F120,tblInventario[SKU],0))&lt;0)," · Stock negativo del SKU","")&amp;IF(AND($T120="Cobrado",$U120="")," · Cobro sin fecha","")&amp;IF(AND(ISNUMBER($V120),ISNUMBER($N120),$V120&gt;N($N120)+0.01)," · Cobrado &gt; venta neta","")&amp;IF(AND(ISNUMBER($V120),$V120&gt;0,$U120="")," · Monto cobrado sin fecha","")="","OK",MID(IF($B120=""," · Falta fecha","")&amp;IF($D120=""," · Falta cliente","")&amp;IF($E120=""," · Falta canal","")&amp;IF($F120=""," · Falta SKU","")&amp;IF(AND($F120&lt;&gt;"",COUNTIF(tblProductos[SKU],$F120)=0)," · SKU no existe","")&amp;IF(OR($I120="",NOT(ISNUMBER($I120)),$I120&lt;=0)," · Cantidad inválida","")&amp;IF($M120="PRECIO PENDIENTE"," · Falta precio de venta","")&amp;IF($P120="COSTO PENDIENTE"," · Falta costo del producto","")&amp;IF(AND(ISNUMBER($Q120),$Q120&lt;0)," · UTILIDAD NEGATIVA","")&amp;IF(AND($F120&lt;&gt;"",ISNUMBER(INDEX(tblInventario[Stock actual],MATCH($F120,tblInventario[SKU],0))),INDEX(tblInventario[Stock actual],MATCH($F120,tblInventario[SKU],0))&lt;0)," · Stock negativo del SKU","")&amp;IF(AND($T120="Cobrado",$U120="")," · Cobro sin fecha","")&amp;IF(AND(ISNUMBER($V120),ISNUMBER($N120),$V120&gt;N($N120)+0.01)," · Cobrado &gt; venta neta","")&amp;IF(AND(ISNUMBER($V120),$V120&gt;0,$U120="")," · Monto cobrado sin fecha",""),4,900)))</f>
        <v/>
      </c>
    </row>
    <row r="121">
      <c r="A121" s="51">
        <f>IF(COUNTA($B121,$C121,$D121,$E121,$F121,$I121)=0,"","V-"&amp;TEXT(ROW()-6,"0000"))</f>
        <v/>
      </c>
      <c r="B121" s="41" t="n"/>
      <c r="C121" s="33" t="n"/>
      <c r="D121" s="33" t="n"/>
      <c r="E121" s="33" t="n"/>
      <c r="F121" s="33" t="n"/>
      <c r="G121" s="51">
        <f>IF($F121="","",IFERROR(IF(INDEX(tblProductos[Nombre del producto],MATCH($F121,tblProductos[SKU],0))="","",INDEX(tblProductos[Nombre del producto],MATCH($F121,tblProductos[SKU],0))),""))</f>
        <v/>
      </c>
      <c r="H121" s="51">
        <f>IF($F121="","",IFERROR(IF(INDEX(tblProductos[Categoría],MATCH($F121,tblProductos[SKU],0))="","",INDEX(tblProductos[Categoría],MATCH($F121,tblProductos[SKU],0))),""))</f>
        <v/>
      </c>
      <c r="I121" s="34" t="n"/>
      <c r="J121" s="39">
        <f>IF(OR($B121="",$F121="",$I121=""),"",IF($T121="Anulado",0,$I121))</f>
        <v/>
      </c>
      <c r="K121" s="54">
        <f>IF($F121="","",IFERROR(IF(INDEX(tblProductos[Precio de venta actual],MATCH($F121,tblProductos[SKU],0))="","",INDEX(tblProductos[Precio de venta actual],MATCH($F121,tblProductos[SKU],0))),""))</f>
        <v/>
      </c>
      <c r="L121" s="36" t="n"/>
      <c r="M121" s="37">
        <f>IF($J121="","",IF(NOT(ISNUMBER($K121)),"PRECIO PENDIENTE",$J121*$K121))</f>
        <v/>
      </c>
      <c r="N121" s="37">
        <f>IF($J121="","",IF(NOT(ISNUMBER($M121)),"PRECIO PENDIENTE",$M121-IF(ISNUMBER($L121),$L121,0)))</f>
        <v/>
      </c>
      <c r="O121" s="54">
        <f>IF($F121="","",IFERROR(INDEX(tblInventario[Costo unitario aplicado],MATCH($F121,tblInventario[SKU],0)),""))</f>
        <v/>
      </c>
      <c r="P121" s="37">
        <f>IF($J121="","",IF(NOT(ISNUMBER($O121)),"COSTO PENDIENTE",$J121*$O121))</f>
        <v/>
      </c>
      <c r="Q121" s="37">
        <f>IF($J121="","",IF(OR(NOT(ISNUMBER($N121)),NOT(ISNUMBER($P121))),"PENDIENTE",$N121-$P121))</f>
        <v/>
      </c>
      <c r="R121" s="38">
        <f>IF($J121="","",IF(OR(NOT(ISNUMBER($Q121)),NOT(ISNUMBER($N121)),$N121&lt;=0),"PENDIENTE",$Q121/$N121))</f>
        <v/>
      </c>
      <c r="S121" s="33" t="n"/>
      <c r="T121" s="33" t="n"/>
      <c r="U121" s="41" t="n"/>
      <c r="V121" s="36" t="n"/>
      <c r="W121" s="37">
        <f>IF(NOT(ISNUMBER($N121)),"",$N121-IF(ISNUMBER($V121),$V121,0))</f>
        <v/>
      </c>
      <c r="X121" s="33" t="n"/>
      <c r="Y121" s="51">
        <f>IF(COUNTA($B121,$C121,$D121,$E121,$F121,$I121)=0,"",IF(IF($B121=""," · Falta fecha","")&amp;IF($D121=""," · Falta cliente","")&amp;IF($E121=""," · Falta canal","")&amp;IF($F121=""," · Falta SKU","")&amp;IF(AND($F121&lt;&gt;"",COUNTIF(tblProductos[SKU],$F121)=0)," · SKU no existe","")&amp;IF(OR($I121="",NOT(ISNUMBER($I121)),$I121&lt;=0)," · Cantidad inválida","")&amp;IF($M121="PRECIO PENDIENTE"," · Falta precio de venta","")&amp;IF($P121="COSTO PENDIENTE"," · Falta costo del producto","")&amp;IF(AND(ISNUMBER($Q121),$Q121&lt;0)," · UTILIDAD NEGATIVA","")&amp;IF(AND($F121&lt;&gt;"",ISNUMBER(INDEX(tblInventario[Stock actual],MATCH($F121,tblInventario[SKU],0))),INDEX(tblInventario[Stock actual],MATCH($F121,tblInventario[SKU],0))&lt;0)," · Stock negativo del SKU","")&amp;IF(AND($T121="Cobrado",$U121="")," · Cobro sin fecha","")&amp;IF(AND(ISNUMBER($V121),ISNUMBER($N121),$V121&gt;N($N121)+0.01)," · Cobrado &gt; venta neta","")&amp;IF(AND(ISNUMBER($V121),$V121&gt;0,$U121="")," · Monto cobrado sin fecha","")="","OK",MID(IF($B121=""," · Falta fecha","")&amp;IF($D121=""," · Falta cliente","")&amp;IF($E121=""," · Falta canal","")&amp;IF($F121=""," · Falta SKU","")&amp;IF(AND($F121&lt;&gt;"",COUNTIF(tblProductos[SKU],$F121)=0)," · SKU no existe","")&amp;IF(OR($I121="",NOT(ISNUMBER($I121)),$I121&lt;=0)," · Cantidad inválida","")&amp;IF($M121="PRECIO PENDIENTE"," · Falta precio de venta","")&amp;IF($P121="COSTO PENDIENTE"," · Falta costo del producto","")&amp;IF(AND(ISNUMBER($Q121),$Q121&lt;0)," · UTILIDAD NEGATIVA","")&amp;IF(AND($F121&lt;&gt;"",ISNUMBER(INDEX(tblInventario[Stock actual],MATCH($F121,tblInventario[SKU],0))),INDEX(tblInventario[Stock actual],MATCH($F121,tblInventario[SKU],0))&lt;0)," · Stock negativo del SKU","")&amp;IF(AND($T121="Cobrado",$U121="")," · Cobro sin fecha","")&amp;IF(AND(ISNUMBER($V121),ISNUMBER($N121),$V121&gt;N($N121)+0.01)," · Cobrado &gt; venta neta","")&amp;IF(AND(ISNUMBER($V121),$V121&gt;0,$U121="")," · Monto cobrado sin fecha",""),4,900)))</f>
        <v/>
      </c>
    </row>
    <row r="122">
      <c r="A122" s="51">
        <f>IF(COUNTA($B122,$C122,$D122,$E122,$F122,$I122)=0,"","V-"&amp;TEXT(ROW()-6,"0000"))</f>
        <v/>
      </c>
      <c r="B122" s="41" t="n"/>
      <c r="C122" s="33" t="n"/>
      <c r="D122" s="33" t="n"/>
      <c r="E122" s="33" t="n"/>
      <c r="F122" s="33" t="n"/>
      <c r="G122" s="51">
        <f>IF($F122="","",IFERROR(IF(INDEX(tblProductos[Nombre del producto],MATCH($F122,tblProductos[SKU],0))="","",INDEX(tblProductos[Nombre del producto],MATCH($F122,tblProductos[SKU],0))),""))</f>
        <v/>
      </c>
      <c r="H122" s="51">
        <f>IF($F122="","",IFERROR(IF(INDEX(tblProductos[Categoría],MATCH($F122,tblProductos[SKU],0))="","",INDEX(tblProductos[Categoría],MATCH($F122,tblProductos[SKU],0))),""))</f>
        <v/>
      </c>
      <c r="I122" s="34" t="n"/>
      <c r="J122" s="39">
        <f>IF(OR($B122="",$F122="",$I122=""),"",IF($T122="Anulado",0,$I122))</f>
        <v/>
      </c>
      <c r="K122" s="54">
        <f>IF($F122="","",IFERROR(IF(INDEX(tblProductos[Precio de venta actual],MATCH($F122,tblProductos[SKU],0))="","",INDEX(tblProductos[Precio de venta actual],MATCH($F122,tblProductos[SKU],0))),""))</f>
        <v/>
      </c>
      <c r="L122" s="36" t="n"/>
      <c r="M122" s="37">
        <f>IF($J122="","",IF(NOT(ISNUMBER($K122)),"PRECIO PENDIENTE",$J122*$K122))</f>
        <v/>
      </c>
      <c r="N122" s="37">
        <f>IF($J122="","",IF(NOT(ISNUMBER($M122)),"PRECIO PENDIENTE",$M122-IF(ISNUMBER($L122),$L122,0)))</f>
        <v/>
      </c>
      <c r="O122" s="54">
        <f>IF($F122="","",IFERROR(INDEX(tblInventario[Costo unitario aplicado],MATCH($F122,tblInventario[SKU],0)),""))</f>
        <v/>
      </c>
      <c r="P122" s="37">
        <f>IF($J122="","",IF(NOT(ISNUMBER($O122)),"COSTO PENDIENTE",$J122*$O122))</f>
        <v/>
      </c>
      <c r="Q122" s="37">
        <f>IF($J122="","",IF(OR(NOT(ISNUMBER($N122)),NOT(ISNUMBER($P122))),"PENDIENTE",$N122-$P122))</f>
        <v/>
      </c>
      <c r="R122" s="38">
        <f>IF($J122="","",IF(OR(NOT(ISNUMBER($Q122)),NOT(ISNUMBER($N122)),$N122&lt;=0),"PENDIENTE",$Q122/$N122))</f>
        <v/>
      </c>
      <c r="S122" s="33" t="n"/>
      <c r="T122" s="33" t="n"/>
      <c r="U122" s="41" t="n"/>
      <c r="V122" s="36" t="n"/>
      <c r="W122" s="37">
        <f>IF(NOT(ISNUMBER($N122)),"",$N122-IF(ISNUMBER($V122),$V122,0))</f>
        <v/>
      </c>
      <c r="X122" s="33" t="n"/>
      <c r="Y122" s="51">
        <f>IF(COUNTA($B122,$C122,$D122,$E122,$F122,$I122)=0,"",IF(IF($B122=""," · Falta fecha","")&amp;IF($D122=""," · Falta cliente","")&amp;IF($E122=""," · Falta canal","")&amp;IF($F122=""," · Falta SKU","")&amp;IF(AND($F122&lt;&gt;"",COUNTIF(tblProductos[SKU],$F122)=0)," · SKU no existe","")&amp;IF(OR($I122="",NOT(ISNUMBER($I122)),$I122&lt;=0)," · Cantidad inválida","")&amp;IF($M122="PRECIO PENDIENTE"," · Falta precio de venta","")&amp;IF($P122="COSTO PENDIENTE"," · Falta costo del producto","")&amp;IF(AND(ISNUMBER($Q122),$Q122&lt;0)," · UTILIDAD NEGATIVA","")&amp;IF(AND($F122&lt;&gt;"",ISNUMBER(INDEX(tblInventario[Stock actual],MATCH($F122,tblInventario[SKU],0))),INDEX(tblInventario[Stock actual],MATCH($F122,tblInventario[SKU],0))&lt;0)," · Stock negativo del SKU","")&amp;IF(AND($T122="Cobrado",$U122="")," · Cobro sin fecha","")&amp;IF(AND(ISNUMBER($V122),ISNUMBER($N122),$V122&gt;N($N122)+0.01)," · Cobrado &gt; venta neta","")&amp;IF(AND(ISNUMBER($V122),$V122&gt;0,$U122="")," · Monto cobrado sin fecha","")="","OK",MID(IF($B122=""," · Falta fecha","")&amp;IF($D122=""," · Falta cliente","")&amp;IF($E122=""," · Falta canal","")&amp;IF($F122=""," · Falta SKU","")&amp;IF(AND($F122&lt;&gt;"",COUNTIF(tblProductos[SKU],$F122)=0)," · SKU no existe","")&amp;IF(OR($I122="",NOT(ISNUMBER($I122)),$I122&lt;=0)," · Cantidad inválida","")&amp;IF($M122="PRECIO PENDIENTE"," · Falta precio de venta","")&amp;IF($P122="COSTO PENDIENTE"," · Falta costo del producto","")&amp;IF(AND(ISNUMBER($Q122),$Q122&lt;0)," · UTILIDAD NEGATIVA","")&amp;IF(AND($F122&lt;&gt;"",ISNUMBER(INDEX(tblInventario[Stock actual],MATCH($F122,tblInventario[SKU],0))),INDEX(tblInventario[Stock actual],MATCH($F122,tblInventario[SKU],0))&lt;0)," · Stock negativo del SKU","")&amp;IF(AND($T122="Cobrado",$U122="")," · Cobro sin fecha","")&amp;IF(AND(ISNUMBER($V122),ISNUMBER($N122),$V122&gt;N($N122)+0.01)," · Cobrado &gt; venta neta","")&amp;IF(AND(ISNUMBER($V122),$V122&gt;0,$U122="")," · Monto cobrado sin fecha",""),4,900)))</f>
        <v/>
      </c>
    </row>
    <row r="123">
      <c r="A123" s="51">
        <f>IF(COUNTA($B123,$C123,$D123,$E123,$F123,$I123)=0,"","V-"&amp;TEXT(ROW()-6,"0000"))</f>
        <v/>
      </c>
      <c r="B123" s="41" t="n"/>
      <c r="C123" s="33" t="n"/>
      <c r="D123" s="33" t="n"/>
      <c r="E123" s="33" t="n"/>
      <c r="F123" s="33" t="n"/>
      <c r="G123" s="51">
        <f>IF($F123="","",IFERROR(IF(INDEX(tblProductos[Nombre del producto],MATCH($F123,tblProductos[SKU],0))="","",INDEX(tblProductos[Nombre del producto],MATCH($F123,tblProductos[SKU],0))),""))</f>
        <v/>
      </c>
      <c r="H123" s="51">
        <f>IF($F123="","",IFERROR(IF(INDEX(tblProductos[Categoría],MATCH($F123,tblProductos[SKU],0))="","",INDEX(tblProductos[Categoría],MATCH($F123,tblProductos[SKU],0))),""))</f>
        <v/>
      </c>
      <c r="I123" s="34" t="n"/>
      <c r="J123" s="39">
        <f>IF(OR($B123="",$F123="",$I123=""),"",IF($T123="Anulado",0,$I123))</f>
        <v/>
      </c>
      <c r="K123" s="54">
        <f>IF($F123="","",IFERROR(IF(INDEX(tblProductos[Precio de venta actual],MATCH($F123,tblProductos[SKU],0))="","",INDEX(tblProductos[Precio de venta actual],MATCH($F123,tblProductos[SKU],0))),""))</f>
        <v/>
      </c>
      <c r="L123" s="36" t="n"/>
      <c r="M123" s="37">
        <f>IF($J123="","",IF(NOT(ISNUMBER($K123)),"PRECIO PENDIENTE",$J123*$K123))</f>
        <v/>
      </c>
      <c r="N123" s="37">
        <f>IF($J123="","",IF(NOT(ISNUMBER($M123)),"PRECIO PENDIENTE",$M123-IF(ISNUMBER($L123),$L123,0)))</f>
        <v/>
      </c>
      <c r="O123" s="54">
        <f>IF($F123="","",IFERROR(INDEX(tblInventario[Costo unitario aplicado],MATCH($F123,tblInventario[SKU],0)),""))</f>
        <v/>
      </c>
      <c r="P123" s="37">
        <f>IF($J123="","",IF(NOT(ISNUMBER($O123)),"COSTO PENDIENTE",$J123*$O123))</f>
        <v/>
      </c>
      <c r="Q123" s="37">
        <f>IF($J123="","",IF(OR(NOT(ISNUMBER($N123)),NOT(ISNUMBER($P123))),"PENDIENTE",$N123-$P123))</f>
        <v/>
      </c>
      <c r="R123" s="38">
        <f>IF($J123="","",IF(OR(NOT(ISNUMBER($Q123)),NOT(ISNUMBER($N123)),$N123&lt;=0),"PENDIENTE",$Q123/$N123))</f>
        <v/>
      </c>
      <c r="S123" s="33" t="n"/>
      <c r="T123" s="33" t="n"/>
      <c r="U123" s="41" t="n"/>
      <c r="V123" s="36" t="n"/>
      <c r="W123" s="37">
        <f>IF(NOT(ISNUMBER($N123)),"",$N123-IF(ISNUMBER($V123),$V123,0))</f>
        <v/>
      </c>
      <c r="X123" s="33" t="n"/>
      <c r="Y123" s="51">
        <f>IF(COUNTA($B123,$C123,$D123,$E123,$F123,$I123)=0,"",IF(IF($B123=""," · Falta fecha","")&amp;IF($D123=""," · Falta cliente","")&amp;IF($E123=""," · Falta canal","")&amp;IF($F123=""," · Falta SKU","")&amp;IF(AND($F123&lt;&gt;"",COUNTIF(tblProductos[SKU],$F123)=0)," · SKU no existe","")&amp;IF(OR($I123="",NOT(ISNUMBER($I123)),$I123&lt;=0)," · Cantidad inválida","")&amp;IF($M123="PRECIO PENDIENTE"," · Falta precio de venta","")&amp;IF($P123="COSTO PENDIENTE"," · Falta costo del producto","")&amp;IF(AND(ISNUMBER($Q123),$Q123&lt;0)," · UTILIDAD NEGATIVA","")&amp;IF(AND($F123&lt;&gt;"",ISNUMBER(INDEX(tblInventario[Stock actual],MATCH($F123,tblInventario[SKU],0))),INDEX(tblInventario[Stock actual],MATCH($F123,tblInventario[SKU],0))&lt;0)," · Stock negativo del SKU","")&amp;IF(AND($T123="Cobrado",$U123="")," · Cobro sin fecha","")&amp;IF(AND(ISNUMBER($V123),ISNUMBER($N123),$V123&gt;N($N123)+0.01)," · Cobrado &gt; venta neta","")&amp;IF(AND(ISNUMBER($V123),$V123&gt;0,$U123="")," · Monto cobrado sin fecha","")="","OK",MID(IF($B123=""," · Falta fecha","")&amp;IF($D123=""," · Falta cliente","")&amp;IF($E123=""," · Falta canal","")&amp;IF($F123=""," · Falta SKU","")&amp;IF(AND($F123&lt;&gt;"",COUNTIF(tblProductos[SKU],$F123)=0)," · SKU no existe","")&amp;IF(OR($I123="",NOT(ISNUMBER($I123)),$I123&lt;=0)," · Cantidad inválida","")&amp;IF($M123="PRECIO PENDIENTE"," · Falta precio de venta","")&amp;IF($P123="COSTO PENDIENTE"," · Falta costo del producto","")&amp;IF(AND(ISNUMBER($Q123),$Q123&lt;0)," · UTILIDAD NEGATIVA","")&amp;IF(AND($F123&lt;&gt;"",ISNUMBER(INDEX(tblInventario[Stock actual],MATCH($F123,tblInventario[SKU],0))),INDEX(tblInventario[Stock actual],MATCH($F123,tblInventario[SKU],0))&lt;0)," · Stock negativo del SKU","")&amp;IF(AND($T123="Cobrado",$U123="")," · Cobro sin fecha","")&amp;IF(AND(ISNUMBER($V123),ISNUMBER($N123),$V123&gt;N($N123)+0.01)," · Cobrado &gt; venta neta","")&amp;IF(AND(ISNUMBER($V123),$V123&gt;0,$U123="")," · Monto cobrado sin fecha",""),4,900)))</f>
        <v/>
      </c>
    </row>
    <row r="124">
      <c r="A124" s="51">
        <f>IF(COUNTA($B124,$C124,$D124,$E124,$F124,$I124)=0,"","V-"&amp;TEXT(ROW()-6,"0000"))</f>
        <v/>
      </c>
      <c r="B124" s="41" t="n"/>
      <c r="C124" s="33" t="n"/>
      <c r="D124" s="33" t="n"/>
      <c r="E124" s="33" t="n"/>
      <c r="F124" s="33" t="n"/>
      <c r="G124" s="51">
        <f>IF($F124="","",IFERROR(IF(INDEX(tblProductos[Nombre del producto],MATCH($F124,tblProductos[SKU],0))="","",INDEX(tblProductos[Nombre del producto],MATCH($F124,tblProductos[SKU],0))),""))</f>
        <v/>
      </c>
      <c r="H124" s="51">
        <f>IF($F124="","",IFERROR(IF(INDEX(tblProductos[Categoría],MATCH($F124,tblProductos[SKU],0))="","",INDEX(tblProductos[Categoría],MATCH($F124,tblProductos[SKU],0))),""))</f>
        <v/>
      </c>
      <c r="I124" s="34" t="n"/>
      <c r="J124" s="39">
        <f>IF(OR($B124="",$F124="",$I124=""),"",IF($T124="Anulado",0,$I124))</f>
        <v/>
      </c>
      <c r="K124" s="54">
        <f>IF($F124="","",IFERROR(IF(INDEX(tblProductos[Precio de venta actual],MATCH($F124,tblProductos[SKU],0))="","",INDEX(tblProductos[Precio de venta actual],MATCH($F124,tblProductos[SKU],0))),""))</f>
        <v/>
      </c>
      <c r="L124" s="36" t="n"/>
      <c r="M124" s="37">
        <f>IF($J124="","",IF(NOT(ISNUMBER($K124)),"PRECIO PENDIENTE",$J124*$K124))</f>
        <v/>
      </c>
      <c r="N124" s="37">
        <f>IF($J124="","",IF(NOT(ISNUMBER($M124)),"PRECIO PENDIENTE",$M124-IF(ISNUMBER($L124),$L124,0)))</f>
        <v/>
      </c>
      <c r="O124" s="54">
        <f>IF($F124="","",IFERROR(INDEX(tblInventario[Costo unitario aplicado],MATCH($F124,tblInventario[SKU],0)),""))</f>
        <v/>
      </c>
      <c r="P124" s="37">
        <f>IF($J124="","",IF(NOT(ISNUMBER($O124)),"COSTO PENDIENTE",$J124*$O124))</f>
        <v/>
      </c>
      <c r="Q124" s="37">
        <f>IF($J124="","",IF(OR(NOT(ISNUMBER($N124)),NOT(ISNUMBER($P124))),"PENDIENTE",$N124-$P124))</f>
        <v/>
      </c>
      <c r="R124" s="38">
        <f>IF($J124="","",IF(OR(NOT(ISNUMBER($Q124)),NOT(ISNUMBER($N124)),$N124&lt;=0),"PENDIENTE",$Q124/$N124))</f>
        <v/>
      </c>
      <c r="S124" s="33" t="n"/>
      <c r="T124" s="33" t="n"/>
      <c r="U124" s="41" t="n"/>
      <c r="V124" s="36" t="n"/>
      <c r="W124" s="37">
        <f>IF(NOT(ISNUMBER($N124)),"",$N124-IF(ISNUMBER($V124),$V124,0))</f>
        <v/>
      </c>
      <c r="X124" s="33" t="n"/>
      <c r="Y124" s="51">
        <f>IF(COUNTA($B124,$C124,$D124,$E124,$F124,$I124)=0,"",IF(IF($B124=""," · Falta fecha","")&amp;IF($D124=""," · Falta cliente","")&amp;IF($E124=""," · Falta canal","")&amp;IF($F124=""," · Falta SKU","")&amp;IF(AND($F124&lt;&gt;"",COUNTIF(tblProductos[SKU],$F124)=0)," · SKU no existe","")&amp;IF(OR($I124="",NOT(ISNUMBER($I124)),$I124&lt;=0)," · Cantidad inválida","")&amp;IF($M124="PRECIO PENDIENTE"," · Falta precio de venta","")&amp;IF($P124="COSTO PENDIENTE"," · Falta costo del producto","")&amp;IF(AND(ISNUMBER($Q124),$Q124&lt;0)," · UTILIDAD NEGATIVA","")&amp;IF(AND($F124&lt;&gt;"",ISNUMBER(INDEX(tblInventario[Stock actual],MATCH($F124,tblInventario[SKU],0))),INDEX(tblInventario[Stock actual],MATCH($F124,tblInventario[SKU],0))&lt;0)," · Stock negativo del SKU","")&amp;IF(AND($T124="Cobrado",$U124="")," · Cobro sin fecha","")&amp;IF(AND(ISNUMBER($V124),ISNUMBER($N124),$V124&gt;N($N124)+0.01)," · Cobrado &gt; venta neta","")&amp;IF(AND(ISNUMBER($V124),$V124&gt;0,$U124="")," · Monto cobrado sin fecha","")="","OK",MID(IF($B124=""," · Falta fecha","")&amp;IF($D124=""," · Falta cliente","")&amp;IF($E124=""," · Falta canal","")&amp;IF($F124=""," · Falta SKU","")&amp;IF(AND($F124&lt;&gt;"",COUNTIF(tblProductos[SKU],$F124)=0)," · SKU no existe","")&amp;IF(OR($I124="",NOT(ISNUMBER($I124)),$I124&lt;=0)," · Cantidad inválida","")&amp;IF($M124="PRECIO PENDIENTE"," · Falta precio de venta","")&amp;IF($P124="COSTO PENDIENTE"," · Falta costo del producto","")&amp;IF(AND(ISNUMBER($Q124),$Q124&lt;0)," · UTILIDAD NEGATIVA","")&amp;IF(AND($F124&lt;&gt;"",ISNUMBER(INDEX(tblInventario[Stock actual],MATCH($F124,tblInventario[SKU],0))),INDEX(tblInventario[Stock actual],MATCH($F124,tblInventario[SKU],0))&lt;0)," · Stock negativo del SKU","")&amp;IF(AND($T124="Cobrado",$U124="")," · Cobro sin fecha","")&amp;IF(AND(ISNUMBER($V124),ISNUMBER($N124),$V124&gt;N($N124)+0.01)," · Cobrado &gt; venta neta","")&amp;IF(AND(ISNUMBER($V124),$V124&gt;0,$U124="")," · Monto cobrado sin fecha",""),4,900)))</f>
        <v/>
      </c>
    </row>
    <row r="125">
      <c r="A125" s="51">
        <f>IF(COUNTA($B125,$C125,$D125,$E125,$F125,$I125)=0,"","V-"&amp;TEXT(ROW()-6,"0000"))</f>
        <v/>
      </c>
      <c r="B125" s="41" t="n"/>
      <c r="C125" s="33" t="n"/>
      <c r="D125" s="33" t="n"/>
      <c r="E125" s="33" t="n"/>
      <c r="F125" s="33" t="n"/>
      <c r="G125" s="51">
        <f>IF($F125="","",IFERROR(IF(INDEX(tblProductos[Nombre del producto],MATCH($F125,tblProductos[SKU],0))="","",INDEX(tblProductos[Nombre del producto],MATCH($F125,tblProductos[SKU],0))),""))</f>
        <v/>
      </c>
      <c r="H125" s="51">
        <f>IF($F125="","",IFERROR(IF(INDEX(tblProductos[Categoría],MATCH($F125,tblProductos[SKU],0))="","",INDEX(tblProductos[Categoría],MATCH($F125,tblProductos[SKU],0))),""))</f>
        <v/>
      </c>
      <c r="I125" s="34" t="n"/>
      <c r="J125" s="39">
        <f>IF(OR($B125="",$F125="",$I125=""),"",IF($T125="Anulado",0,$I125))</f>
        <v/>
      </c>
      <c r="K125" s="54">
        <f>IF($F125="","",IFERROR(IF(INDEX(tblProductos[Precio de venta actual],MATCH($F125,tblProductos[SKU],0))="","",INDEX(tblProductos[Precio de venta actual],MATCH($F125,tblProductos[SKU],0))),""))</f>
        <v/>
      </c>
      <c r="L125" s="36" t="n"/>
      <c r="M125" s="37">
        <f>IF($J125="","",IF(NOT(ISNUMBER($K125)),"PRECIO PENDIENTE",$J125*$K125))</f>
        <v/>
      </c>
      <c r="N125" s="37">
        <f>IF($J125="","",IF(NOT(ISNUMBER($M125)),"PRECIO PENDIENTE",$M125-IF(ISNUMBER($L125),$L125,0)))</f>
        <v/>
      </c>
      <c r="O125" s="54">
        <f>IF($F125="","",IFERROR(INDEX(tblInventario[Costo unitario aplicado],MATCH($F125,tblInventario[SKU],0)),""))</f>
        <v/>
      </c>
      <c r="P125" s="37">
        <f>IF($J125="","",IF(NOT(ISNUMBER($O125)),"COSTO PENDIENTE",$J125*$O125))</f>
        <v/>
      </c>
      <c r="Q125" s="37">
        <f>IF($J125="","",IF(OR(NOT(ISNUMBER($N125)),NOT(ISNUMBER($P125))),"PENDIENTE",$N125-$P125))</f>
        <v/>
      </c>
      <c r="R125" s="38">
        <f>IF($J125="","",IF(OR(NOT(ISNUMBER($Q125)),NOT(ISNUMBER($N125)),$N125&lt;=0),"PENDIENTE",$Q125/$N125))</f>
        <v/>
      </c>
      <c r="S125" s="33" t="n"/>
      <c r="T125" s="33" t="n"/>
      <c r="U125" s="41" t="n"/>
      <c r="V125" s="36" t="n"/>
      <c r="W125" s="37">
        <f>IF(NOT(ISNUMBER($N125)),"",$N125-IF(ISNUMBER($V125),$V125,0))</f>
        <v/>
      </c>
      <c r="X125" s="33" t="n"/>
      <c r="Y125" s="51">
        <f>IF(COUNTA($B125,$C125,$D125,$E125,$F125,$I125)=0,"",IF(IF($B125=""," · Falta fecha","")&amp;IF($D125=""," · Falta cliente","")&amp;IF($E125=""," · Falta canal","")&amp;IF($F125=""," · Falta SKU","")&amp;IF(AND($F125&lt;&gt;"",COUNTIF(tblProductos[SKU],$F125)=0)," · SKU no existe","")&amp;IF(OR($I125="",NOT(ISNUMBER($I125)),$I125&lt;=0)," · Cantidad inválida","")&amp;IF($M125="PRECIO PENDIENTE"," · Falta precio de venta","")&amp;IF($P125="COSTO PENDIENTE"," · Falta costo del producto","")&amp;IF(AND(ISNUMBER($Q125),$Q125&lt;0)," · UTILIDAD NEGATIVA","")&amp;IF(AND($F125&lt;&gt;"",ISNUMBER(INDEX(tblInventario[Stock actual],MATCH($F125,tblInventario[SKU],0))),INDEX(tblInventario[Stock actual],MATCH($F125,tblInventario[SKU],0))&lt;0)," · Stock negativo del SKU","")&amp;IF(AND($T125="Cobrado",$U125="")," · Cobro sin fecha","")&amp;IF(AND(ISNUMBER($V125),ISNUMBER($N125),$V125&gt;N($N125)+0.01)," · Cobrado &gt; venta neta","")&amp;IF(AND(ISNUMBER($V125),$V125&gt;0,$U125="")," · Monto cobrado sin fecha","")="","OK",MID(IF($B125=""," · Falta fecha","")&amp;IF($D125=""," · Falta cliente","")&amp;IF($E125=""," · Falta canal","")&amp;IF($F125=""," · Falta SKU","")&amp;IF(AND($F125&lt;&gt;"",COUNTIF(tblProductos[SKU],$F125)=0)," · SKU no existe","")&amp;IF(OR($I125="",NOT(ISNUMBER($I125)),$I125&lt;=0)," · Cantidad inválida","")&amp;IF($M125="PRECIO PENDIENTE"," · Falta precio de venta","")&amp;IF($P125="COSTO PENDIENTE"," · Falta costo del producto","")&amp;IF(AND(ISNUMBER($Q125),$Q125&lt;0)," · UTILIDAD NEGATIVA","")&amp;IF(AND($F125&lt;&gt;"",ISNUMBER(INDEX(tblInventario[Stock actual],MATCH($F125,tblInventario[SKU],0))),INDEX(tblInventario[Stock actual],MATCH($F125,tblInventario[SKU],0))&lt;0)," · Stock negativo del SKU","")&amp;IF(AND($T125="Cobrado",$U125="")," · Cobro sin fecha","")&amp;IF(AND(ISNUMBER($V125),ISNUMBER($N125),$V125&gt;N($N125)+0.01)," · Cobrado &gt; venta neta","")&amp;IF(AND(ISNUMBER($V125),$V125&gt;0,$U125="")," · Monto cobrado sin fecha",""),4,900)))</f>
        <v/>
      </c>
    </row>
    <row r="126">
      <c r="A126" s="51">
        <f>IF(COUNTA($B126,$C126,$D126,$E126,$F126,$I126)=0,"","V-"&amp;TEXT(ROW()-6,"0000"))</f>
        <v/>
      </c>
      <c r="B126" s="41" t="n"/>
      <c r="C126" s="33" t="n"/>
      <c r="D126" s="33" t="n"/>
      <c r="E126" s="33" t="n"/>
      <c r="F126" s="33" t="n"/>
      <c r="G126" s="51">
        <f>IF($F126="","",IFERROR(IF(INDEX(tblProductos[Nombre del producto],MATCH($F126,tblProductos[SKU],0))="","",INDEX(tblProductos[Nombre del producto],MATCH($F126,tblProductos[SKU],0))),""))</f>
        <v/>
      </c>
      <c r="H126" s="51">
        <f>IF($F126="","",IFERROR(IF(INDEX(tblProductos[Categoría],MATCH($F126,tblProductos[SKU],0))="","",INDEX(tblProductos[Categoría],MATCH($F126,tblProductos[SKU],0))),""))</f>
        <v/>
      </c>
      <c r="I126" s="34" t="n"/>
      <c r="J126" s="39">
        <f>IF(OR($B126="",$F126="",$I126=""),"",IF($T126="Anulado",0,$I126))</f>
        <v/>
      </c>
      <c r="K126" s="54">
        <f>IF($F126="","",IFERROR(IF(INDEX(tblProductos[Precio de venta actual],MATCH($F126,tblProductos[SKU],0))="","",INDEX(tblProductos[Precio de venta actual],MATCH($F126,tblProductos[SKU],0))),""))</f>
        <v/>
      </c>
      <c r="L126" s="36" t="n"/>
      <c r="M126" s="37">
        <f>IF($J126="","",IF(NOT(ISNUMBER($K126)),"PRECIO PENDIENTE",$J126*$K126))</f>
        <v/>
      </c>
      <c r="N126" s="37">
        <f>IF($J126="","",IF(NOT(ISNUMBER($M126)),"PRECIO PENDIENTE",$M126-IF(ISNUMBER($L126),$L126,0)))</f>
        <v/>
      </c>
      <c r="O126" s="54">
        <f>IF($F126="","",IFERROR(INDEX(tblInventario[Costo unitario aplicado],MATCH($F126,tblInventario[SKU],0)),""))</f>
        <v/>
      </c>
      <c r="P126" s="37">
        <f>IF($J126="","",IF(NOT(ISNUMBER($O126)),"COSTO PENDIENTE",$J126*$O126))</f>
        <v/>
      </c>
      <c r="Q126" s="37">
        <f>IF($J126="","",IF(OR(NOT(ISNUMBER($N126)),NOT(ISNUMBER($P126))),"PENDIENTE",$N126-$P126))</f>
        <v/>
      </c>
      <c r="R126" s="38">
        <f>IF($J126="","",IF(OR(NOT(ISNUMBER($Q126)),NOT(ISNUMBER($N126)),$N126&lt;=0),"PENDIENTE",$Q126/$N126))</f>
        <v/>
      </c>
      <c r="S126" s="33" t="n"/>
      <c r="T126" s="33" t="n"/>
      <c r="U126" s="41" t="n"/>
      <c r="V126" s="36" t="n"/>
      <c r="W126" s="37">
        <f>IF(NOT(ISNUMBER($N126)),"",$N126-IF(ISNUMBER($V126),$V126,0))</f>
        <v/>
      </c>
      <c r="X126" s="33" t="n"/>
      <c r="Y126" s="51">
        <f>IF(COUNTA($B126,$C126,$D126,$E126,$F126,$I126)=0,"",IF(IF($B126=""," · Falta fecha","")&amp;IF($D126=""," · Falta cliente","")&amp;IF($E126=""," · Falta canal","")&amp;IF($F126=""," · Falta SKU","")&amp;IF(AND($F126&lt;&gt;"",COUNTIF(tblProductos[SKU],$F126)=0)," · SKU no existe","")&amp;IF(OR($I126="",NOT(ISNUMBER($I126)),$I126&lt;=0)," · Cantidad inválida","")&amp;IF($M126="PRECIO PENDIENTE"," · Falta precio de venta","")&amp;IF($P126="COSTO PENDIENTE"," · Falta costo del producto","")&amp;IF(AND(ISNUMBER($Q126),$Q126&lt;0)," · UTILIDAD NEGATIVA","")&amp;IF(AND($F126&lt;&gt;"",ISNUMBER(INDEX(tblInventario[Stock actual],MATCH($F126,tblInventario[SKU],0))),INDEX(tblInventario[Stock actual],MATCH($F126,tblInventario[SKU],0))&lt;0)," · Stock negativo del SKU","")&amp;IF(AND($T126="Cobrado",$U126="")," · Cobro sin fecha","")&amp;IF(AND(ISNUMBER($V126),ISNUMBER($N126),$V126&gt;N($N126)+0.01)," · Cobrado &gt; venta neta","")&amp;IF(AND(ISNUMBER($V126),$V126&gt;0,$U126="")," · Monto cobrado sin fecha","")="","OK",MID(IF($B126=""," · Falta fecha","")&amp;IF($D126=""," · Falta cliente","")&amp;IF($E126=""," · Falta canal","")&amp;IF($F126=""," · Falta SKU","")&amp;IF(AND($F126&lt;&gt;"",COUNTIF(tblProductos[SKU],$F126)=0)," · SKU no existe","")&amp;IF(OR($I126="",NOT(ISNUMBER($I126)),$I126&lt;=0)," · Cantidad inválida","")&amp;IF($M126="PRECIO PENDIENTE"," · Falta precio de venta","")&amp;IF($P126="COSTO PENDIENTE"," · Falta costo del producto","")&amp;IF(AND(ISNUMBER($Q126),$Q126&lt;0)," · UTILIDAD NEGATIVA","")&amp;IF(AND($F126&lt;&gt;"",ISNUMBER(INDEX(tblInventario[Stock actual],MATCH($F126,tblInventario[SKU],0))),INDEX(tblInventario[Stock actual],MATCH($F126,tblInventario[SKU],0))&lt;0)," · Stock negativo del SKU","")&amp;IF(AND($T126="Cobrado",$U126="")," · Cobro sin fecha","")&amp;IF(AND(ISNUMBER($V126),ISNUMBER($N126),$V126&gt;N($N126)+0.01)," · Cobrado &gt; venta neta","")&amp;IF(AND(ISNUMBER($V126),$V126&gt;0,$U126="")," · Monto cobrado sin fecha",""),4,900)))</f>
        <v/>
      </c>
    </row>
    <row r="127">
      <c r="A127" s="51">
        <f>IF(COUNTA($B127,$C127,$D127,$E127,$F127,$I127)=0,"","V-"&amp;TEXT(ROW()-6,"0000"))</f>
        <v/>
      </c>
      <c r="B127" s="41" t="n"/>
      <c r="C127" s="33" t="n"/>
      <c r="D127" s="33" t="n"/>
      <c r="E127" s="33" t="n"/>
      <c r="F127" s="33" t="n"/>
      <c r="G127" s="51">
        <f>IF($F127="","",IFERROR(IF(INDEX(tblProductos[Nombre del producto],MATCH($F127,tblProductos[SKU],0))="","",INDEX(tblProductos[Nombre del producto],MATCH($F127,tblProductos[SKU],0))),""))</f>
        <v/>
      </c>
      <c r="H127" s="51">
        <f>IF($F127="","",IFERROR(IF(INDEX(tblProductos[Categoría],MATCH($F127,tblProductos[SKU],0))="","",INDEX(tblProductos[Categoría],MATCH($F127,tblProductos[SKU],0))),""))</f>
        <v/>
      </c>
      <c r="I127" s="34" t="n"/>
      <c r="J127" s="39">
        <f>IF(OR($B127="",$F127="",$I127=""),"",IF($T127="Anulado",0,$I127))</f>
        <v/>
      </c>
      <c r="K127" s="54">
        <f>IF($F127="","",IFERROR(IF(INDEX(tblProductos[Precio de venta actual],MATCH($F127,tblProductos[SKU],0))="","",INDEX(tblProductos[Precio de venta actual],MATCH($F127,tblProductos[SKU],0))),""))</f>
        <v/>
      </c>
      <c r="L127" s="36" t="n"/>
      <c r="M127" s="37">
        <f>IF($J127="","",IF(NOT(ISNUMBER($K127)),"PRECIO PENDIENTE",$J127*$K127))</f>
        <v/>
      </c>
      <c r="N127" s="37">
        <f>IF($J127="","",IF(NOT(ISNUMBER($M127)),"PRECIO PENDIENTE",$M127-IF(ISNUMBER($L127),$L127,0)))</f>
        <v/>
      </c>
      <c r="O127" s="54">
        <f>IF($F127="","",IFERROR(INDEX(tblInventario[Costo unitario aplicado],MATCH($F127,tblInventario[SKU],0)),""))</f>
        <v/>
      </c>
      <c r="P127" s="37">
        <f>IF($J127="","",IF(NOT(ISNUMBER($O127)),"COSTO PENDIENTE",$J127*$O127))</f>
        <v/>
      </c>
      <c r="Q127" s="37">
        <f>IF($J127="","",IF(OR(NOT(ISNUMBER($N127)),NOT(ISNUMBER($P127))),"PENDIENTE",$N127-$P127))</f>
        <v/>
      </c>
      <c r="R127" s="38">
        <f>IF($J127="","",IF(OR(NOT(ISNUMBER($Q127)),NOT(ISNUMBER($N127)),$N127&lt;=0),"PENDIENTE",$Q127/$N127))</f>
        <v/>
      </c>
      <c r="S127" s="33" t="n"/>
      <c r="T127" s="33" t="n"/>
      <c r="U127" s="41" t="n"/>
      <c r="V127" s="36" t="n"/>
      <c r="W127" s="37">
        <f>IF(NOT(ISNUMBER($N127)),"",$N127-IF(ISNUMBER($V127),$V127,0))</f>
        <v/>
      </c>
      <c r="X127" s="33" t="n"/>
      <c r="Y127" s="51">
        <f>IF(COUNTA($B127,$C127,$D127,$E127,$F127,$I127)=0,"",IF(IF($B127=""," · Falta fecha","")&amp;IF($D127=""," · Falta cliente","")&amp;IF($E127=""," · Falta canal","")&amp;IF($F127=""," · Falta SKU","")&amp;IF(AND($F127&lt;&gt;"",COUNTIF(tblProductos[SKU],$F127)=0)," · SKU no existe","")&amp;IF(OR($I127="",NOT(ISNUMBER($I127)),$I127&lt;=0)," · Cantidad inválida","")&amp;IF($M127="PRECIO PENDIENTE"," · Falta precio de venta","")&amp;IF($P127="COSTO PENDIENTE"," · Falta costo del producto","")&amp;IF(AND(ISNUMBER($Q127),$Q127&lt;0)," · UTILIDAD NEGATIVA","")&amp;IF(AND($F127&lt;&gt;"",ISNUMBER(INDEX(tblInventario[Stock actual],MATCH($F127,tblInventario[SKU],0))),INDEX(tblInventario[Stock actual],MATCH($F127,tblInventario[SKU],0))&lt;0)," · Stock negativo del SKU","")&amp;IF(AND($T127="Cobrado",$U127="")," · Cobro sin fecha","")&amp;IF(AND(ISNUMBER($V127),ISNUMBER($N127),$V127&gt;N($N127)+0.01)," · Cobrado &gt; venta neta","")&amp;IF(AND(ISNUMBER($V127),$V127&gt;0,$U127="")," · Monto cobrado sin fecha","")="","OK",MID(IF($B127=""," · Falta fecha","")&amp;IF($D127=""," · Falta cliente","")&amp;IF($E127=""," · Falta canal","")&amp;IF($F127=""," · Falta SKU","")&amp;IF(AND($F127&lt;&gt;"",COUNTIF(tblProductos[SKU],$F127)=0)," · SKU no existe","")&amp;IF(OR($I127="",NOT(ISNUMBER($I127)),$I127&lt;=0)," · Cantidad inválida","")&amp;IF($M127="PRECIO PENDIENTE"," · Falta precio de venta","")&amp;IF($P127="COSTO PENDIENTE"," · Falta costo del producto","")&amp;IF(AND(ISNUMBER($Q127),$Q127&lt;0)," · UTILIDAD NEGATIVA","")&amp;IF(AND($F127&lt;&gt;"",ISNUMBER(INDEX(tblInventario[Stock actual],MATCH($F127,tblInventario[SKU],0))),INDEX(tblInventario[Stock actual],MATCH($F127,tblInventario[SKU],0))&lt;0)," · Stock negativo del SKU","")&amp;IF(AND($T127="Cobrado",$U127="")," · Cobro sin fecha","")&amp;IF(AND(ISNUMBER($V127),ISNUMBER($N127),$V127&gt;N($N127)+0.01)," · Cobrado &gt; venta neta","")&amp;IF(AND(ISNUMBER($V127),$V127&gt;0,$U127="")," · Monto cobrado sin fecha",""),4,900)))</f>
        <v/>
      </c>
    </row>
    <row r="128">
      <c r="A128" s="51">
        <f>IF(COUNTA($B128,$C128,$D128,$E128,$F128,$I128)=0,"","V-"&amp;TEXT(ROW()-6,"0000"))</f>
        <v/>
      </c>
      <c r="B128" s="41" t="n"/>
      <c r="C128" s="33" t="n"/>
      <c r="D128" s="33" t="n"/>
      <c r="E128" s="33" t="n"/>
      <c r="F128" s="33" t="n"/>
      <c r="G128" s="51">
        <f>IF($F128="","",IFERROR(IF(INDEX(tblProductos[Nombre del producto],MATCH($F128,tblProductos[SKU],0))="","",INDEX(tblProductos[Nombre del producto],MATCH($F128,tblProductos[SKU],0))),""))</f>
        <v/>
      </c>
      <c r="H128" s="51">
        <f>IF($F128="","",IFERROR(IF(INDEX(tblProductos[Categoría],MATCH($F128,tblProductos[SKU],0))="","",INDEX(tblProductos[Categoría],MATCH($F128,tblProductos[SKU],0))),""))</f>
        <v/>
      </c>
      <c r="I128" s="34" t="n"/>
      <c r="J128" s="39">
        <f>IF(OR($B128="",$F128="",$I128=""),"",IF($T128="Anulado",0,$I128))</f>
        <v/>
      </c>
      <c r="K128" s="54">
        <f>IF($F128="","",IFERROR(IF(INDEX(tblProductos[Precio de venta actual],MATCH($F128,tblProductos[SKU],0))="","",INDEX(tblProductos[Precio de venta actual],MATCH($F128,tblProductos[SKU],0))),""))</f>
        <v/>
      </c>
      <c r="L128" s="36" t="n"/>
      <c r="M128" s="37">
        <f>IF($J128="","",IF(NOT(ISNUMBER($K128)),"PRECIO PENDIENTE",$J128*$K128))</f>
        <v/>
      </c>
      <c r="N128" s="37">
        <f>IF($J128="","",IF(NOT(ISNUMBER($M128)),"PRECIO PENDIENTE",$M128-IF(ISNUMBER($L128),$L128,0)))</f>
        <v/>
      </c>
      <c r="O128" s="54">
        <f>IF($F128="","",IFERROR(INDEX(tblInventario[Costo unitario aplicado],MATCH($F128,tblInventario[SKU],0)),""))</f>
        <v/>
      </c>
      <c r="P128" s="37">
        <f>IF($J128="","",IF(NOT(ISNUMBER($O128)),"COSTO PENDIENTE",$J128*$O128))</f>
        <v/>
      </c>
      <c r="Q128" s="37">
        <f>IF($J128="","",IF(OR(NOT(ISNUMBER($N128)),NOT(ISNUMBER($P128))),"PENDIENTE",$N128-$P128))</f>
        <v/>
      </c>
      <c r="R128" s="38">
        <f>IF($J128="","",IF(OR(NOT(ISNUMBER($Q128)),NOT(ISNUMBER($N128)),$N128&lt;=0),"PENDIENTE",$Q128/$N128))</f>
        <v/>
      </c>
      <c r="S128" s="33" t="n"/>
      <c r="T128" s="33" t="n"/>
      <c r="U128" s="41" t="n"/>
      <c r="V128" s="36" t="n"/>
      <c r="W128" s="37">
        <f>IF(NOT(ISNUMBER($N128)),"",$N128-IF(ISNUMBER($V128),$V128,0))</f>
        <v/>
      </c>
      <c r="X128" s="33" t="n"/>
      <c r="Y128" s="51">
        <f>IF(COUNTA($B128,$C128,$D128,$E128,$F128,$I128)=0,"",IF(IF($B128=""," · Falta fecha","")&amp;IF($D128=""," · Falta cliente","")&amp;IF($E128=""," · Falta canal","")&amp;IF($F128=""," · Falta SKU","")&amp;IF(AND($F128&lt;&gt;"",COUNTIF(tblProductos[SKU],$F128)=0)," · SKU no existe","")&amp;IF(OR($I128="",NOT(ISNUMBER($I128)),$I128&lt;=0)," · Cantidad inválida","")&amp;IF($M128="PRECIO PENDIENTE"," · Falta precio de venta","")&amp;IF($P128="COSTO PENDIENTE"," · Falta costo del producto","")&amp;IF(AND(ISNUMBER($Q128),$Q128&lt;0)," · UTILIDAD NEGATIVA","")&amp;IF(AND($F128&lt;&gt;"",ISNUMBER(INDEX(tblInventario[Stock actual],MATCH($F128,tblInventario[SKU],0))),INDEX(tblInventario[Stock actual],MATCH($F128,tblInventario[SKU],0))&lt;0)," · Stock negativo del SKU","")&amp;IF(AND($T128="Cobrado",$U128="")," · Cobro sin fecha","")&amp;IF(AND(ISNUMBER($V128),ISNUMBER($N128),$V128&gt;N($N128)+0.01)," · Cobrado &gt; venta neta","")&amp;IF(AND(ISNUMBER($V128),$V128&gt;0,$U128="")," · Monto cobrado sin fecha","")="","OK",MID(IF($B128=""," · Falta fecha","")&amp;IF($D128=""," · Falta cliente","")&amp;IF($E128=""," · Falta canal","")&amp;IF($F128=""," · Falta SKU","")&amp;IF(AND($F128&lt;&gt;"",COUNTIF(tblProductos[SKU],$F128)=0)," · SKU no existe","")&amp;IF(OR($I128="",NOT(ISNUMBER($I128)),$I128&lt;=0)," · Cantidad inválida","")&amp;IF($M128="PRECIO PENDIENTE"," · Falta precio de venta","")&amp;IF($P128="COSTO PENDIENTE"," · Falta costo del producto","")&amp;IF(AND(ISNUMBER($Q128),$Q128&lt;0)," · UTILIDAD NEGATIVA","")&amp;IF(AND($F128&lt;&gt;"",ISNUMBER(INDEX(tblInventario[Stock actual],MATCH($F128,tblInventario[SKU],0))),INDEX(tblInventario[Stock actual],MATCH($F128,tblInventario[SKU],0))&lt;0)," · Stock negativo del SKU","")&amp;IF(AND($T128="Cobrado",$U128="")," · Cobro sin fecha","")&amp;IF(AND(ISNUMBER($V128),ISNUMBER($N128),$V128&gt;N($N128)+0.01)," · Cobrado &gt; venta neta","")&amp;IF(AND(ISNUMBER($V128),$V128&gt;0,$U128="")," · Monto cobrado sin fecha",""),4,900)))</f>
        <v/>
      </c>
    </row>
    <row r="129">
      <c r="A129" s="51">
        <f>IF(COUNTA($B129,$C129,$D129,$E129,$F129,$I129)=0,"","V-"&amp;TEXT(ROW()-6,"0000"))</f>
        <v/>
      </c>
      <c r="B129" s="41" t="n"/>
      <c r="C129" s="33" t="n"/>
      <c r="D129" s="33" t="n"/>
      <c r="E129" s="33" t="n"/>
      <c r="F129" s="33" t="n"/>
      <c r="G129" s="51">
        <f>IF($F129="","",IFERROR(IF(INDEX(tblProductos[Nombre del producto],MATCH($F129,tblProductos[SKU],0))="","",INDEX(tblProductos[Nombre del producto],MATCH($F129,tblProductos[SKU],0))),""))</f>
        <v/>
      </c>
      <c r="H129" s="51">
        <f>IF($F129="","",IFERROR(IF(INDEX(tblProductos[Categoría],MATCH($F129,tblProductos[SKU],0))="","",INDEX(tblProductos[Categoría],MATCH($F129,tblProductos[SKU],0))),""))</f>
        <v/>
      </c>
      <c r="I129" s="34" t="n"/>
      <c r="J129" s="39">
        <f>IF(OR($B129="",$F129="",$I129=""),"",IF($T129="Anulado",0,$I129))</f>
        <v/>
      </c>
      <c r="K129" s="54">
        <f>IF($F129="","",IFERROR(IF(INDEX(tblProductos[Precio de venta actual],MATCH($F129,tblProductos[SKU],0))="","",INDEX(tblProductos[Precio de venta actual],MATCH($F129,tblProductos[SKU],0))),""))</f>
        <v/>
      </c>
      <c r="L129" s="36" t="n"/>
      <c r="M129" s="37">
        <f>IF($J129="","",IF(NOT(ISNUMBER($K129)),"PRECIO PENDIENTE",$J129*$K129))</f>
        <v/>
      </c>
      <c r="N129" s="37">
        <f>IF($J129="","",IF(NOT(ISNUMBER($M129)),"PRECIO PENDIENTE",$M129-IF(ISNUMBER($L129),$L129,0)))</f>
        <v/>
      </c>
      <c r="O129" s="54">
        <f>IF($F129="","",IFERROR(INDEX(tblInventario[Costo unitario aplicado],MATCH($F129,tblInventario[SKU],0)),""))</f>
        <v/>
      </c>
      <c r="P129" s="37">
        <f>IF($J129="","",IF(NOT(ISNUMBER($O129)),"COSTO PENDIENTE",$J129*$O129))</f>
        <v/>
      </c>
      <c r="Q129" s="37">
        <f>IF($J129="","",IF(OR(NOT(ISNUMBER($N129)),NOT(ISNUMBER($P129))),"PENDIENTE",$N129-$P129))</f>
        <v/>
      </c>
      <c r="R129" s="38">
        <f>IF($J129="","",IF(OR(NOT(ISNUMBER($Q129)),NOT(ISNUMBER($N129)),$N129&lt;=0),"PENDIENTE",$Q129/$N129))</f>
        <v/>
      </c>
      <c r="S129" s="33" t="n"/>
      <c r="T129" s="33" t="n"/>
      <c r="U129" s="41" t="n"/>
      <c r="V129" s="36" t="n"/>
      <c r="W129" s="37">
        <f>IF(NOT(ISNUMBER($N129)),"",$N129-IF(ISNUMBER($V129),$V129,0))</f>
        <v/>
      </c>
      <c r="X129" s="33" t="n"/>
      <c r="Y129" s="51">
        <f>IF(COUNTA($B129,$C129,$D129,$E129,$F129,$I129)=0,"",IF(IF($B129=""," · Falta fecha","")&amp;IF($D129=""," · Falta cliente","")&amp;IF($E129=""," · Falta canal","")&amp;IF($F129=""," · Falta SKU","")&amp;IF(AND($F129&lt;&gt;"",COUNTIF(tblProductos[SKU],$F129)=0)," · SKU no existe","")&amp;IF(OR($I129="",NOT(ISNUMBER($I129)),$I129&lt;=0)," · Cantidad inválida","")&amp;IF($M129="PRECIO PENDIENTE"," · Falta precio de venta","")&amp;IF($P129="COSTO PENDIENTE"," · Falta costo del producto","")&amp;IF(AND(ISNUMBER($Q129),$Q129&lt;0)," · UTILIDAD NEGATIVA","")&amp;IF(AND($F129&lt;&gt;"",ISNUMBER(INDEX(tblInventario[Stock actual],MATCH($F129,tblInventario[SKU],0))),INDEX(tblInventario[Stock actual],MATCH($F129,tblInventario[SKU],0))&lt;0)," · Stock negativo del SKU","")&amp;IF(AND($T129="Cobrado",$U129="")," · Cobro sin fecha","")&amp;IF(AND(ISNUMBER($V129),ISNUMBER($N129),$V129&gt;N($N129)+0.01)," · Cobrado &gt; venta neta","")&amp;IF(AND(ISNUMBER($V129),$V129&gt;0,$U129="")," · Monto cobrado sin fecha","")="","OK",MID(IF($B129=""," · Falta fecha","")&amp;IF($D129=""," · Falta cliente","")&amp;IF($E129=""," · Falta canal","")&amp;IF($F129=""," · Falta SKU","")&amp;IF(AND($F129&lt;&gt;"",COUNTIF(tblProductos[SKU],$F129)=0)," · SKU no existe","")&amp;IF(OR($I129="",NOT(ISNUMBER($I129)),$I129&lt;=0)," · Cantidad inválida","")&amp;IF($M129="PRECIO PENDIENTE"," · Falta precio de venta","")&amp;IF($P129="COSTO PENDIENTE"," · Falta costo del producto","")&amp;IF(AND(ISNUMBER($Q129),$Q129&lt;0)," · UTILIDAD NEGATIVA","")&amp;IF(AND($F129&lt;&gt;"",ISNUMBER(INDEX(tblInventario[Stock actual],MATCH($F129,tblInventario[SKU],0))),INDEX(tblInventario[Stock actual],MATCH($F129,tblInventario[SKU],0))&lt;0)," · Stock negativo del SKU","")&amp;IF(AND($T129="Cobrado",$U129="")," · Cobro sin fecha","")&amp;IF(AND(ISNUMBER($V129),ISNUMBER($N129),$V129&gt;N($N129)+0.01)," · Cobrado &gt; venta neta","")&amp;IF(AND(ISNUMBER($V129),$V129&gt;0,$U129="")," · Monto cobrado sin fecha",""),4,900)))</f>
        <v/>
      </c>
    </row>
    <row r="130">
      <c r="A130" s="51">
        <f>IF(COUNTA($B130,$C130,$D130,$E130,$F130,$I130)=0,"","V-"&amp;TEXT(ROW()-6,"0000"))</f>
        <v/>
      </c>
      <c r="B130" s="41" t="n"/>
      <c r="C130" s="33" t="n"/>
      <c r="D130" s="33" t="n"/>
      <c r="E130" s="33" t="n"/>
      <c r="F130" s="33" t="n"/>
      <c r="G130" s="51">
        <f>IF($F130="","",IFERROR(IF(INDEX(tblProductos[Nombre del producto],MATCH($F130,tblProductos[SKU],0))="","",INDEX(tblProductos[Nombre del producto],MATCH($F130,tblProductos[SKU],0))),""))</f>
        <v/>
      </c>
      <c r="H130" s="51">
        <f>IF($F130="","",IFERROR(IF(INDEX(tblProductos[Categoría],MATCH($F130,tblProductos[SKU],0))="","",INDEX(tblProductos[Categoría],MATCH($F130,tblProductos[SKU],0))),""))</f>
        <v/>
      </c>
      <c r="I130" s="34" t="n"/>
      <c r="J130" s="39">
        <f>IF(OR($B130="",$F130="",$I130=""),"",IF($T130="Anulado",0,$I130))</f>
        <v/>
      </c>
      <c r="K130" s="54">
        <f>IF($F130="","",IFERROR(IF(INDEX(tblProductos[Precio de venta actual],MATCH($F130,tblProductos[SKU],0))="","",INDEX(tblProductos[Precio de venta actual],MATCH($F130,tblProductos[SKU],0))),""))</f>
        <v/>
      </c>
      <c r="L130" s="36" t="n"/>
      <c r="M130" s="37">
        <f>IF($J130="","",IF(NOT(ISNUMBER($K130)),"PRECIO PENDIENTE",$J130*$K130))</f>
        <v/>
      </c>
      <c r="N130" s="37">
        <f>IF($J130="","",IF(NOT(ISNUMBER($M130)),"PRECIO PENDIENTE",$M130-IF(ISNUMBER($L130),$L130,0)))</f>
        <v/>
      </c>
      <c r="O130" s="54">
        <f>IF($F130="","",IFERROR(INDEX(tblInventario[Costo unitario aplicado],MATCH($F130,tblInventario[SKU],0)),""))</f>
        <v/>
      </c>
      <c r="P130" s="37">
        <f>IF($J130="","",IF(NOT(ISNUMBER($O130)),"COSTO PENDIENTE",$J130*$O130))</f>
        <v/>
      </c>
      <c r="Q130" s="37">
        <f>IF($J130="","",IF(OR(NOT(ISNUMBER($N130)),NOT(ISNUMBER($P130))),"PENDIENTE",$N130-$P130))</f>
        <v/>
      </c>
      <c r="R130" s="38">
        <f>IF($J130="","",IF(OR(NOT(ISNUMBER($Q130)),NOT(ISNUMBER($N130)),$N130&lt;=0),"PENDIENTE",$Q130/$N130))</f>
        <v/>
      </c>
      <c r="S130" s="33" t="n"/>
      <c r="T130" s="33" t="n"/>
      <c r="U130" s="41" t="n"/>
      <c r="V130" s="36" t="n"/>
      <c r="W130" s="37">
        <f>IF(NOT(ISNUMBER($N130)),"",$N130-IF(ISNUMBER($V130),$V130,0))</f>
        <v/>
      </c>
      <c r="X130" s="33" t="n"/>
      <c r="Y130" s="51">
        <f>IF(COUNTA($B130,$C130,$D130,$E130,$F130,$I130)=0,"",IF(IF($B130=""," · Falta fecha","")&amp;IF($D130=""," · Falta cliente","")&amp;IF($E130=""," · Falta canal","")&amp;IF($F130=""," · Falta SKU","")&amp;IF(AND($F130&lt;&gt;"",COUNTIF(tblProductos[SKU],$F130)=0)," · SKU no existe","")&amp;IF(OR($I130="",NOT(ISNUMBER($I130)),$I130&lt;=0)," · Cantidad inválida","")&amp;IF($M130="PRECIO PENDIENTE"," · Falta precio de venta","")&amp;IF($P130="COSTO PENDIENTE"," · Falta costo del producto","")&amp;IF(AND(ISNUMBER($Q130),$Q130&lt;0)," · UTILIDAD NEGATIVA","")&amp;IF(AND($F130&lt;&gt;"",ISNUMBER(INDEX(tblInventario[Stock actual],MATCH($F130,tblInventario[SKU],0))),INDEX(tblInventario[Stock actual],MATCH($F130,tblInventario[SKU],0))&lt;0)," · Stock negativo del SKU","")&amp;IF(AND($T130="Cobrado",$U130="")," · Cobro sin fecha","")&amp;IF(AND(ISNUMBER($V130),ISNUMBER($N130),$V130&gt;N($N130)+0.01)," · Cobrado &gt; venta neta","")&amp;IF(AND(ISNUMBER($V130),$V130&gt;0,$U130="")," · Monto cobrado sin fecha","")="","OK",MID(IF($B130=""," · Falta fecha","")&amp;IF($D130=""," · Falta cliente","")&amp;IF($E130=""," · Falta canal","")&amp;IF($F130=""," · Falta SKU","")&amp;IF(AND($F130&lt;&gt;"",COUNTIF(tblProductos[SKU],$F130)=0)," · SKU no existe","")&amp;IF(OR($I130="",NOT(ISNUMBER($I130)),$I130&lt;=0)," · Cantidad inválida","")&amp;IF($M130="PRECIO PENDIENTE"," · Falta precio de venta","")&amp;IF($P130="COSTO PENDIENTE"," · Falta costo del producto","")&amp;IF(AND(ISNUMBER($Q130),$Q130&lt;0)," · UTILIDAD NEGATIVA","")&amp;IF(AND($F130&lt;&gt;"",ISNUMBER(INDEX(tblInventario[Stock actual],MATCH($F130,tblInventario[SKU],0))),INDEX(tblInventario[Stock actual],MATCH($F130,tblInventario[SKU],0))&lt;0)," · Stock negativo del SKU","")&amp;IF(AND($T130="Cobrado",$U130="")," · Cobro sin fecha","")&amp;IF(AND(ISNUMBER($V130),ISNUMBER($N130),$V130&gt;N($N130)+0.01)," · Cobrado &gt; venta neta","")&amp;IF(AND(ISNUMBER($V130),$V130&gt;0,$U130="")," · Monto cobrado sin fecha",""),4,900)))</f>
        <v/>
      </c>
    </row>
    <row r="131">
      <c r="A131" s="51">
        <f>IF(COUNTA($B131,$C131,$D131,$E131,$F131,$I131)=0,"","V-"&amp;TEXT(ROW()-6,"0000"))</f>
        <v/>
      </c>
      <c r="B131" s="41" t="n"/>
      <c r="C131" s="33" t="n"/>
      <c r="D131" s="33" t="n"/>
      <c r="E131" s="33" t="n"/>
      <c r="F131" s="33" t="n"/>
      <c r="G131" s="51">
        <f>IF($F131="","",IFERROR(IF(INDEX(tblProductos[Nombre del producto],MATCH($F131,tblProductos[SKU],0))="","",INDEX(tblProductos[Nombre del producto],MATCH($F131,tblProductos[SKU],0))),""))</f>
        <v/>
      </c>
      <c r="H131" s="51">
        <f>IF($F131="","",IFERROR(IF(INDEX(tblProductos[Categoría],MATCH($F131,tblProductos[SKU],0))="","",INDEX(tblProductos[Categoría],MATCH($F131,tblProductos[SKU],0))),""))</f>
        <v/>
      </c>
      <c r="I131" s="34" t="n"/>
      <c r="J131" s="39">
        <f>IF(OR($B131="",$F131="",$I131=""),"",IF($T131="Anulado",0,$I131))</f>
        <v/>
      </c>
      <c r="K131" s="54">
        <f>IF($F131="","",IFERROR(IF(INDEX(tblProductos[Precio de venta actual],MATCH($F131,tblProductos[SKU],0))="","",INDEX(tblProductos[Precio de venta actual],MATCH($F131,tblProductos[SKU],0))),""))</f>
        <v/>
      </c>
      <c r="L131" s="36" t="n"/>
      <c r="M131" s="37">
        <f>IF($J131="","",IF(NOT(ISNUMBER($K131)),"PRECIO PENDIENTE",$J131*$K131))</f>
        <v/>
      </c>
      <c r="N131" s="37">
        <f>IF($J131="","",IF(NOT(ISNUMBER($M131)),"PRECIO PENDIENTE",$M131-IF(ISNUMBER($L131),$L131,0)))</f>
        <v/>
      </c>
      <c r="O131" s="54">
        <f>IF($F131="","",IFERROR(INDEX(tblInventario[Costo unitario aplicado],MATCH($F131,tblInventario[SKU],0)),""))</f>
        <v/>
      </c>
      <c r="P131" s="37">
        <f>IF($J131="","",IF(NOT(ISNUMBER($O131)),"COSTO PENDIENTE",$J131*$O131))</f>
        <v/>
      </c>
      <c r="Q131" s="37">
        <f>IF($J131="","",IF(OR(NOT(ISNUMBER($N131)),NOT(ISNUMBER($P131))),"PENDIENTE",$N131-$P131))</f>
        <v/>
      </c>
      <c r="R131" s="38">
        <f>IF($J131="","",IF(OR(NOT(ISNUMBER($Q131)),NOT(ISNUMBER($N131)),$N131&lt;=0),"PENDIENTE",$Q131/$N131))</f>
        <v/>
      </c>
      <c r="S131" s="33" t="n"/>
      <c r="T131" s="33" t="n"/>
      <c r="U131" s="41" t="n"/>
      <c r="V131" s="36" t="n"/>
      <c r="W131" s="37">
        <f>IF(NOT(ISNUMBER($N131)),"",$N131-IF(ISNUMBER($V131),$V131,0))</f>
        <v/>
      </c>
      <c r="X131" s="33" t="n"/>
      <c r="Y131" s="51">
        <f>IF(COUNTA($B131,$C131,$D131,$E131,$F131,$I131)=0,"",IF(IF($B131=""," · Falta fecha","")&amp;IF($D131=""," · Falta cliente","")&amp;IF($E131=""," · Falta canal","")&amp;IF($F131=""," · Falta SKU","")&amp;IF(AND($F131&lt;&gt;"",COUNTIF(tblProductos[SKU],$F131)=0)," · SKU no existe","")&amp;IF(OR($I131="",NOT(ISNUMBER($I131)),$I131&lt;=0)," · Cantidad inválida","")&amp;IF($M131="PRECIO PENDIENTE"," · Falta precio de venta","")&amp;IF($P131="COSTO PENDIENTE"," · Falta costo del producto","")&amp;IF(AND(ISNUMBER($Q131),$Q131&lt;0)," · UTILIDAD NEGATIVA","")&amp;IF(AND($F131&lt;&gt;"",ISNUMBER(INDEX(tblInventario[Stock actual],MATCH($F131,tblInventario[SKU],0))),INDEX(tblInventario[Stock actual],MATCH($F131,tblInventario[SKU],0))&lt;0)," · Stock negativo del SKU","")&amp;IF(AND($T131="Cobrado",$U131="")," · Cobro sin fecha","")&amp;IF(AND(ISNUMBER($V131),ISNUMBER($N131),$V131&gt;N($N131)+0.01)," · Cobrado &gt; venta neta","")&amp;IF(AND(ISNUMBER($V131),$V131&gt;0,$U131="")," · Monto cobrado sin fecha","")="","OK",MID(IF($B131=""," · Falta fecha","")&amp;IF($D131=""," · Falta cliente","")&amp;IF($E131=""," · Falta canal","")&amp;IF($F131=""," · Falta SKU","")&amp;IF(AND($F131&lt;&gt;"",COUNTIF(tblProductos[SKU],$F131)=0)," · SKU no existe","")&amp;IF(OR($I131="",NOT(ISNUMBER($I131)),$I131&lt;=0)," · Cantidad inválida","")&amp;IF($M131="PRECIO PENDIENTE"," · Falta precio de venta","")&amp;IF($P131="COSTO PENDIENTE"," · Falta costo del producto","")&amp;IF(AND(ISNUMBER($Q131),$Q131&lt;0)," · UTILIDAD NEGATIVA","")&amp;IF(AND($F131&lt;&gt;"",ISNUMBER(INDEX(tblInventario[Stock actual],MATCH($F131,tblInventario[SKU],0))),INDEX(tblInventario[Stock actual],MATCH($F131,tblInventario[SKU],0))&lt;0)," · Stock negativo del SKU","")&amp;IF(AND($T131="Cobrado",$U131="")," · Cobro sin fecha","")&amp;IF(AND(ISNUMBER($V131),ISNUMBER($N131),$V131&gt;N($N131)+0.01)," · Cobrado &gt; venta neta","")&amp;IF(AND(ISNUMBER($V131),$V131&gt;0,$U131="")," · Monto cobrado sin fecha",""),4,900)))</f>
        <v/>
      </c>
    </row>
    <row r="132">
      <c r="A132" s="51">
        <f>IF(COUNTA($B132,$C132,$D132,$E132,$F132,$I132)=0,"","V-"&amp;TEXT(ROW()-6,"0000"))</f>
        <v/>
      </c>
      <c r="B132" s="41" t="n"/>
      <c r="C132" s="33" t="n"/>
      <c r="D132" s="33" t="n"/>
      <c r="E132" s="33" t="n"/>
      <c r="F132" s="33" t="n"/>
      <c r="G132" s="51">
        <f>IF($F132="","",IFERROR(IF(INDEX(tblProductos[Nombre del producto],MATCH($F132,tblProductos[SKU],0))="","",INDEX(tblProductos[Nombre del producto],MATCH($F132,tblProductos[SKU],0))),""))</f>
        <v/>
      </c>
      <c r="H132" s="51">
        <f>IF($F132="","",IFERROR(IF(INDEX(tblProductos[Categoría],MATCH($F132,tblProductos[SKU],0))="","",INDEX(tblProductos[Categoría],MATCH($F132,tblProductos[SKU],0))),""))</f>
        <v/>
      </c>
      <c r="I132" s="34" t="n"/>
      <c r="J132" s="39">
        <f>IF(OR($B132="",$F132="",$I132=""),"",IF($T132="Anulado",0,$I132))</f>
        <v/>
      </c>
      <c r="K132" s="54">
        <f>IF($F132="","",IFERROR(IF(INDEX(tblProductos[Precio de venta actual],MATCH($F132,tblProductos[SKU],0))="","",INDEX(tblProductos[Precio de venta actual],MATCH($F132,tblProductos[SKU],0))),""))</f>
        <v/>
      </c>
      <c r="L132" s="36" t="n"/>
      <c r="M132" s="37">
        <f>IF($J132="","",IF(NOT(ISNUMBER($K132)),"PRECIO PENDIENTE",$J132*$K132))</f>
        <v/>
      </c>
      <c r="N132" s="37">
        <f>IF($J132="","",IF(NOT(ISNUMBER($M132)),"PRECIO PENDIENTE",$M132-IF(ISNUMBER($L132),$L132,0)))</f>
        <v/>
      </c>
      <c r="O132" s="54">
        <f>IF($F132="","",IFERROR(INDEX(tblInventario[Costo unitario aplicado],MATCH($F132,tblInventario[SKU],0)),""))</f>
        <v/>
      </c>
      <c r="P132" s="37">
        <f>IF($J132="","",IF(NOT(ISNUMBER($O132)),"COSTO PENDIENTE",$J132*$O132))</f>
        <v/>
      </c>
      <c r="Q132" s="37">
        <f>IF($J132="","",IF(OR(NOT(ISNUMBER($N132)),NOT(ISNUMBER($P132))),"PENDIENTE",$N132-$P132))</f>
        <v/>
      </c>
      <c r="R132" s="38">
        <f>IF($J132="","",IF(OR(NOT(ISNUMBER($Q132)),NOT(ISNUMBER($N132)),$N132&lt;=0),"PENDIENTE",$Q132/$N132))</f>
        <v/>
      </c>
      <c r="S132" s="33" t="n"/>
      <c r="T132" s="33" t="n"/>
      <c r="U132" s="41" t="n"/>
      <c r="V132" s="36" t="n"/>
      <c r="W132" s="37">
        <f>IF(NOT(ISNUMBER($N132)),"",$N132-IF(ISNUMBER($V132),$V132,0))</f>
        <v/>
      </c>
      <c r="X132" s="33" t="n"/>
      <c r="Y132" s="51">
        <f>IF(COUNTA($B132,$C132,$D132,$E132,$F132,$I132)=0,"",IF(IF($B132=""," · Falta fecha","")&amp;IF($D132=""," · Falta cliente","")&amp;IF($E132=""," · Falta canal","")&amp;IF($F132=""," · Falta SKU","")&amp;IF(AND($F132&lt;&gt;"",COUNTIF(tblProductos[SKU],$F132)=0)," · SKU no existe","")&amp;IF(OR($I132="",NOT(ISNUMBER($I132)),$I132&lt;=0)," · Cantidad inválida","")&amp;IF($M132="PRECIO PENDIENTE"," · Falta precio de venta","")&amp;IF($P132="COSTO PENDIENTE"," · Falta costo del producto","")&amp;IF(AND(ISNUMBER($Q132),$Q132&lt;0)," · UTILIDAD NEGATIVA","")&amp;IF(AND($F132&lt;&gt;"",ISNUMBER(INDEX(tblInventario[Stock actual],MATCH($F132,tblInventario[SKU],0))),INDEX(tblInventario[Stock actual],MATCH($F132,tblInventario[SKU],0))&lt;0)," · Stock negativo del SKU","")&amp;IF(AND($T132="Cobrado",$U132="")," · Cobro sin fecha","")&amp;IF(AND(ISNUMBER($V132),ISNUMBER($N132),$V132&gt;N($N132)+0.01)," · Cobrado &gt; venta neta","")&amp;IF(AND(ISNUMBER($V132),$V132&gt;0,$U132="")," · Monto cobrado sin fecha","")="","OK",MID(IF($B132=""," · Falta fecha","")&amp;IF($D132=""," · Falta cliente","")&amp;IF($E132=""," · Falta canal","")&amp;IF($F132=""," · Falta SKU","")&amp;IF(AND($F132&lt;&gt;"",COUNTIF(tblProductos[SKU],$F132)=0)," · SKU no existe","")&amp;IF(OR($I132="",NOT(ISNUMBER($I132)),$I132&lt;=0)," · Cantidad inválida","")&amp;IF($M132="PRECIO PENDIENTE"," · Falta precio de venta","")&amp;IF($P132="COSTO PENDIENTE"," · Falta costo del producto","")&amp;IF(AND(ISNUMBER($Q132),$Q132&lt;0)," · UTILIDAD NEGATIVA","")&amp;IF(AND($F132&lt;&gt;"",ISNUMBER(INDEX(tblInventario[Stock actual],MATCH($F132,tblInventario[SKU],0))),INDEX(tblInventario[Stock actual],MATCH($F132,tblInventario[SKU],0))&lt;0)," · Stock negativo del SKU","")&amp;IF(AND($T132="Cobrado",$U132="")," · Cobro sin fecha","")&amp;IF(AND(ISNUMBER($V132),ISNUMBER($N132),$V132&gt;N($N132)+0.01)," · Cobrado &gt; venta neta","")&amp;IF(AND(ISNUMBER($V132),$V132&gt;0,$U132="")," · Monto cobrado sin fecha",""),4,900)))</f>
        <v/>
      </c>
    </row>
    <row r="133">
      <c r="A133" s="51">
        <f>IF(COUNTA($B133,$C133,$D133,$E133,$F133,$I133)=0,"","V-"&amp;TEXT(ROW()-6,"0000"))</f>
        <v/>
      </c>
      <c r="B133" s="41" t="n"/>
      <c r="C133" s="33" t="n"/>
      <c r="D133" s="33" t="n"/>
      <c r="E133" s="33" t="n"/>
      <c r="F133" s="33" t="n"/>
      <c r="G133" s="51">
        <f>IF($F133="","",IFERROR(IF(INDEX(tblProductos[Nombre del producto],MATCH($F133,tblProductos[SKU],0))="","",INDEX(tblProductos[Nombre del producto],MATCH($F133,tblProductos[SKU],0))),""))</f>
        <v/>
      </c>
      <c r="H133" s="51">
        <f>IF($F133="","",IFERROR(IF(INDEX(tblProductos[Categoría],MATCH($F133,tblProductos[SKU],0))="","",INDEX(tblProductos[Categoría],MATCH($F133,tblProductos[SKU],0))),""))</f>
        <v/>
      </c>
      <c r="I133" s="34" t="n"/>
      <c r="J133" s="39">
        <f>IF(OR($B133="",$F133="",$I133=""),"",IF($T133="Anulado",0,$I133))</f>
        <v/>
      </c>
      <c r="K133" s="54">
        <f>IF($F133="","",IFERROR(IF(INDEX(tblProductos[Precio de venta actual],MATCH($F133,tblProductos[SKU],0))="","",INDEX(tblProductos[Precio de venta actual],MATCH($F133,tblProductos[SKU],0))),""))</f>
        <v/>
      </c>
      <c r="L133" s="36" t="n"/>
      <c r="M133" s="37">
        <f>IF($J133="","",IF(NOT(ISNUMBER($K133)),"PRECIO PENDIENTE",$J133*$K133))</f>
        <v/>
      </c>
      <c r="N133" s="37">
        <f>IF($J133="","",IF(NOT(ISNUMBER($M133)),"PRECIO PENDIENTE",$M133-IF(ISNUMBER($L133),$L133,0)))</f>
        <v/>
      </c>
      <c r="O133" s="54">
        <f>IF($F133="","",IFERROR(INDEX(tblInventario[Costo unitario aplicado],MATCH($F133,tblInventario[SKU],0)),""))</f>
        <v/>
      </c>
      <c r="P133" s="37">
        <f>IF($J133="","",IF(NOT(ISNUMBER($O133)),"COSTO PENDIENTE",$J133*$O133))</f>
        <v/>
      </c>
      <c r="Q133" s="37">
        <f>IF($J133="","",IF(OR(NOT(ISNUMBER($N133)),NOT(ISNUMBER($P133))),"PENDIENTE",$N133-$P133))</f>
        <v/>
      </c>
      <c r="R133" s="38">
        <f>IF($J133="","",IF(OR(NOT(ISNUMBER($Q133)),NOT(ISNUMBER($N133)),$N133&lt;=0),"PENDIENTE",$Q133/$N133))</f>
        <v/>
      </c>
      <c r="S133" s="33" t="n"/>
      <c r="T133" s="33" t="n"/>
      <c r="U133" s="41" t="n"/>
      <c r="V133" s="36" t="n"/>
      <c r="W133" s="37">
        <f>IF(NOT(ISNUMBER($N133)),"",$N133-IF(ISNUMBER($V133),$V133,0))</f>
        <v/>
      </c>
      <c r="X133" s="33" t="n"/>
      <c r="Y133" s="51">
        <f>IF(COUNTA($B133,$C133,$D133,$E133,$F133,$I133)=0,"",IF(IF($B133=""," · Falta fecha","")&amp;IF($D133=""," · Falta cliente","")&amp;IF($E133=""," · Falta canal","")&amp;IF($F133=""," · Falta SKU","")&amp;IF(AND($F133&lt;&gt;"",COUNTIF(tblProductos[SKU],$F133)=0)," · SKU no existe","")&amp;IF(OR($I133="",NOT(ISNUMBER($I133)),$I133&lt;=0)," · Cantidad inválida","")&amp;IF($M133="PRECIO PENDIENTE"," · Falta precio de venta","")&amp;IF($P133="COSTO PENDIENTE"," · Falta costo del producto","")&amp;IF(AND(ISNUMBER($Q133),$Q133&lt;0)," · UTILIDAD NEGATIVA","")&amp;IF(AND($F133&lt;&gt;"",ISNUMBER(INDEX(tblInventario[Stock actual],MATCH($F133,tblInventario[SKU],0))),INDEX(tblInventario[Stock actual],MATCH($F133,tblInventario[SKU],0))&lt;0)," · Stock negativo del SKU","")&amp;IF(AND($T133="Cobrado",$U133="")," · Cobro sin fecha","")&amp;IF(AND(ISNUMBER($V133),ISNUMBER($N133),$V133&gt;N($N133)+0.01)," · Cobrado &gt; venta neta","")&amp;IF(AND(ISNUMBER($V133),$V133&gt;0,$U133="")," · Monto cobrado sin fecha","")="","OK",MID(IF($B133=""," · Falta fecha","")&amp;IF($D133=""," · Falta cliente","")&amp;IF($E133=""," · Falta canal","")&amp;IF($F133=""," · Falta SKU","")&amp;IF(AND($F133&lt;&gt;"",COUNTIF(tblProductos[SKU],$F133)=0)," · SKU no existe","")&amp;IF(OR($I133="",NOT(ISNUMBER($I133)),$I133&lt;=0)," · Cantidad inválida","")&amp;IF($M133="PRECIO PENDIENTE"," · Falta precio de venta","")&amp;IF($P133="COSTO PENDIENTE"," · Falta costo del producto","")&amp;IF(AND(ISNUMBER($Q133),$Q133&lt;0)," · UTILIDAD NEGATIVA","")&amp;IF(AND($F133&lt;&gt;"",ISNUMBER(INDEX(tblInventario[Stock actual],MATCH($F133,tblInventario[SKU],0))),INDEX(tblInventario[Stock actual],MATCH($F133,tblInventario[SKU],0))&lt;0)," · Stock negativo del SKU","")&amp;IF(AND($T133="Cobrado",$U133="")," · Cobro sin fecha","")&amp;IF(AND(ISNUMBER($V133),ISNUMBER($N133),$V133&gt;N($N133)+0.01)," · Cobrado &gt; venta neta","")&amp;IF(AND(ISNUMBER($V133),$V133&gt;0,$U133="")," · Monto cobrado sin fecha",""),4,900)))</f>
        <v/>
      </c>
    </row>
    <row r="134">
      <c r="A134" s="51">
        <f>IF(COUNTA($B134,$C134,$D134,$E134,$F134,$I134)=0,"","V-"&amp;TEXT(ROW()-6,"0000"))</f>
        <v/>
      </c>
      <c r="B134" s="41" t="n"/>
      <c r="C134" s="33" t="n"/>
      <c r="D134" s="33" t="n"/>
      <c r="E134" s="33" t="n"/>
      <c r="F134" s="33" t="n"/>
      <c r="G134" s="51">
        <f>IF($F134="","",IFERROR(IF(INDEX(tblProductos[Nombre del producto],MATCH($F134,tblProductos[SKU],0))="","",INDEX(tblProductos[Nombre del producto],MATCH($F134,tblProductos[SKU],0))),""))</f>
        <v/>
      </c>
      <c r="H134" s="51">
        <f>IF($F134="","",IFERROR(IF(INDEX(tblProductos[Categoría],MATCH($F134,tblProductos[SKU],0))="","",INDEX(tblProductos[Categoría],MATCH($F134,tblProductos[SKU],0))),""))</f>
        <v/>
      </c>
      <c r="I134" s="34" t="n"/>
      <c r="J134" s="39">
        <f>IF(OR($B134="",$F134="",$I134=""),"",IF($T134="Anulado",0,$I134))</f>
        <v/>
      </c>
      <c r="K134" s="54">
        <f>IF($F134="","",IFERROR(IF(INDEX(tblProductos[Precio de venta actual],MATCH($F134,tblProductos[SKU],0))="","",INDEX(tblProductos[Precio de venta actual],MATCH($F134,tblProductos[SKU],0))),""))</f>
        <v/>
      </c>
      <c r="L134" s="36" t="n"/>
      <c r="M134" s="37">
        <f>IF($J134="","",IF(NOT(ISNUMBER($K134)),"PRECIO PENDIENTE",$J134*$K134))</f>
        <v/>
      </c>
      <c r="N134" s="37">
        <f>IF($J134="","",IF(NOT(ISNUMBER($M134)),"PRECIO PENDIENTE",$M134-IF(ISNUMBER($L134),$L134,0)))</f>
        <v/>
      </c>
      <c r="O134" s="54">
        <f>IF($F134="","",IFERROR(INDEX(tblInventario[Costo unitario aplicado],MATCH($F134,tblInventario[SKU],0)),""))</f>
        <v/>
      </c>
      <c r="P134" s="37">
        <f>IF($J134="","",IF(NOT(ISNUMBER($O134)),"COSTO PENDIENTE",$J134*$O134))</f>
        <v/>
      </c>
      <c r="Q134" s="37">
        <f>IF($J134="","",IF(OR(NOT(ISNUMBER($N134)),NOT(ISNUMBER($P134))),"PENDIENTE",$N134-$P134))</f>
        <v/>
      </c>
      <c r="R134" s="38">
        <f>IF($J134="","",IF(OR(NOT(ISNUMBER($Q134)),NOT(ISNUMBER($N134)),$N134&lt;=0),"PENDIENTE",$Q134/$N134))</f>
        <v/>
      </c>
      <c r="S134" s="33" t="n"/>
      <c r="T134" s="33" t="n"/>
      <c r="U134" s="41" t="n"/>
      <c r="V134" s="36" t="n"/>
      <c r="W134" s="37">
        <f>IF(NOT(ISNUMBER($N134)),"",$N134-IF(ISNUMBER($V134),$V134,0))</f>
        <v/>
      </c>
      <c r="X134" s="33" t="n"/>
      <c r="Y134" s="51">
        <f>IF(COUNTA($B134,$C134,$D134,$E134,$F134,$I134)=0,"",IF(IF($B134=""," · Falta fecha","")&amp;IF($D134=""," · Falta cliente","")&amp;IF($E134=""," · Falta canal","")&amp;IF($F134=""," · Falta SKU","")&amp;IF(AND($F134&lt;&gt;"",COUNTIF(tblProductos[SKU],$F134)=0)," · SKU no existe","")&amp;IF(OR($I134="",NOT(ISNUMBER($I134)),$I134&lt;=0)," · Cantidad inválida","")&amp;IF($M134="PRECIO PENDIENTE"," · Falta precio de venta","")&amp;IF($P134="COSTO PENDIENTE"," · Falta costo del producto","")&amp;IF(AND(ISNUMBER($Q134),$Q134&lt;0)," · UTILIDAD NEGATIVA","")&amp;IF(AND($F134&lt;&gt;"",ISNUMBER(INDEX(tblInventario[Stock actual],MATCH($F134,tblInventario[SKU],0))),INDEX(tblInventario[Stock actual],MATCH($F134,tblInventario[SKU],0))&lt;0)," · Stock negativo del SKU","")&amp;IF(AND($T134="Cobrado",$U134="")," · Cobro sin fecha","")&amp;IF(AND(ISNUMBER($V134),ISNUMBER($N134),$V134&gt;N($N134)+0.01)," · Cobrado &gt; venta neta","")&amp;IF(AND(ISNUMBER($V134),$V134&gt;0,$U134="")," · Monto cobrado sin fecha","")="","OK",MID(IF($B134=""," · Falta fecha","")&amp;IF($D134=""," · Falta cliente","")&amp;IF($E134=""," · Falta canal","")&amp;IF($F134=""," · Falta SKU","")&amp;IF(AND($F134&lt;&gt;"",COUNTIF(tblProductos[SKU],$F134)=0)," · SKU no existe","")&amp;IF(OR($I134="",NOT(ISNUMBER($I134)),$I134&lt;=0)," · Cantidad inválida","")&amp;IF($M134="PRECIO PENDIENTE"," · Falta precio de venta","")&amp;IF($P134="COSTO PENDIENTE"," · Falta costo del producto","")&amp;IF(AND(ISNUMBER($Q134),$Q134&lt;0)," · UTILIDAD NEGATIVA","")&amp;IF(AND($F134&lt;&gt;"",ISNUMBER(INDEX(tblInventario[Stock actual],MATCH($F134,tblInventario[SKU],0))),INDEX(tblInventario[Stock actual],MATCH($F134,tblInventario[SKU],0))&lt;0)," · Stock negativo del SKU","")&amp;IF(AND($T134="Cobrado",$U134="")," · Cobro sin fecha","")&amp;IF(AND(ISNUMBER($V134),ISNUMBER($N134),$V134&gt;N($N134)+0.01)," · Cobrado &gt; venta neta","")&amp;IF(AND(ISNUMBER($V134),$V134&gt;0,$U134="")," · Monto cobrado sin fecha",""),4,900)))</f>
        <v/>
      </c>
    </row>
    <row r="135">
      <c r="A135" s="51">
        <f>IF(COUNTA($B135,$C135,$D135,$E135,$F135,$I135)=0,"","V-"&amp;TEXT(ROW()-6,"0000"))</f>
        <v/>
      </c>
      <c r="B135" s="41" t="n"/>
      <c r="C135" s="33" t="n"/>
      <c r="D135" s="33" t="n"/>
      <c r="E135" s="33" t="n"/>
      <c r="F135" s="33" t="n"/>
      <c r="G135" s="51">
        <f>IF($F135="","",IFERROR(IF(INDEX(tblProductos[Nombre del producto],MATCH($F135,tblProductos[SKU],0))="","",INDEX(tblProductos[Nombre del producto],MATCH($F135,tblProductos[SKU],0))),""))</f>
        <v/>
      </c>
      <c r="H135" s="51">
        <f>IF($F135="","",IFERROR(IF(INDEX(tblProductos[Categoría],MATCH($F135,tblProductos[SKU],0))="","",INDEX(tblProductos[Categoría],MATCH($F135,tblProductos[SKU],0))),""))</f>
        <v/>
      </c>
      <c r="I135" s="34" t="n"/>
      <c r="J135" s="39">
        <f>IF(OR($B135="",$F135="",$I135=""),"",IF($T135="Anulado",0,$I135))</f>
        <v/>
      </c>
      <c r="K135" s="54">
        <f>IF($F135="","",IFERROR(IF(INDEX(tblProductos[Precio de venta actual],MATCH($F135,tblProductos[SKU],0))="","",INDEX(tblProductos[Precio de venta actual],MATCH($F135,tblProductos[SKU],0))),""))</f>
        <v/>
      </c>
      <c r="L135" s="36" t="n"/>
      <c r="M135" s="37">
        <f>IF($J135="","",IF(NOT(ISNUMBER($K135)),"PRECIO PENDIENTE",$J135*$K135))</f>
        <v/>
      </c>
      <c r="N135" s="37">
        <f>IF($J135="","",IF(NOT(ISNUMBER($M135)),"PRECIO PENDIENTE",$M135-IF(ISNUMBER($L135),$L135,0)))</f>
        <v/>
      </c>
      <c r="O135" s="54">
        <f>IF($F135="","",IFERROR(INDEX(tblInventario[Costo unitario aplicado],MATCH($F135,tblInventario[SKU],0)),""))</f>
        <v/>
      </c>
      <c r="P135" s="37">
        <f>IF($J135="","",IF(NOT(ISNUMBER($O135)),"COSTO PENDIENTE",$J135*$O135))</f>
        <v/>
      </c>
      <c r="Q135" s="37">
        <f>IF($J135="","",IF(OR(NOT(ISNUMBER($N135)),NOT(ISNUMBER($P135))),"PENDIENTE",$N135-$P135))</f>
        <v/>
      </c>
      <c r="R135" s="38">
        <f>IF($J135="","",IF(OR(NOT(ISNUMBER($Q135)),NOT(ISNUMBER($N135)),$N135&lt;=0),"PENDIENTE",$Q135/$N135))</f>
        <v/>
      </c>
      <c r="S135" s="33" t="n"/>
      <c r="T135" s="33" t="n"/>
      <c r="U135" s="41" t="n"/>
      <c r="V135" s="36" t="n"/>
      <c r="W135" s="37">
        <f>IF(NOT(ISNUMBER($N135)),"",$N135-IF(ISNUMBER($V135),$V135,0))</f>
        <v/>
      </c>
      <c r="X135" s="33" t="n"/>
      <c r="Y135" s="51">
        <f>IF(COUNTA($B135,$C135,$D135,$E135,$F135,$I135)=0,"",IF(IF($B135=""," · Falta fecha","")&amp;IF($D135=""," · Falta cliente","")&amp;IF($E135=""," · Falta canal","")&amp;IF($F135=""," · Falta SKU","")&amp;IF(AND($F135&lt;&gt;"",COUNTIF(tblProductos[SKU],$F135)=0)," · SKU no existe","")&amp;IF(OR($I135="",NOT(ISNUMBER($I135)),$I135&lt;=0)," · Cantidad inválida","")&amp;IF($M135="PRECIO PENDIENTE"," · Falta precio de venta","")&amp;IF($P135="COSTO PENDIENTE"," · Falta costo del producto","")&amp;IF(AND(ISNUMBER($Q135),$Q135&lt;0)," · UTILIDAD NEGATIVA","")&amp;IF(AND($F135&lt;&gt;"",ISNUMBER(INDEX(tblInventario[Stock actual],MATCH($F135,tblInventario[SKU],0))),INDEX(tblInventario[Stock actual],MATCH($F135,tblInventario[SKU],0))&lt;0)," · Stock negativo del SKU","")&amp;IF(AND($T135="Cobrado",$U135="")," · Cobro sin fecha","")&amp;IF(AND(ISNUMBER($V135),ISNUMBER($N135),$V135&gt;N($N135)+0.01)," · Cobrado &gt; venta neta","")&amp;IF(AND(ISNUMBER($V135),$V135&gt;0,$U135="")," · Monto cobrado sin fecha","")="","OK",MID(IF($B135=""," · Falta fecha","")&amp;IF($D135=""," · Falta cliente","")&amp;IF($E135=""," · Falta canal","")&amp;IF($F135=""," · Falta SKU","")&amp;IF(AND($F135&lt;&gt;"",COUNTIF(tblProductos[SKU],$F135)=0)," · SKU no existe","")&amp;IF(OR($I135="",NOT(ISNUMBER($I135)),$I135&lt;=0)," · Cantidad inválida","")&amp;IF($M135="PRECIO PENDIENTE"," · Falta precio de venta","")&amp;IF($P135="COSTO PENDIENTE"," · Falta costo del producto","")&amp;IF(AND(ISNUMBER($Q135),$Q135&lt;0)," · UTILIDAD NEGATIVA","")&amp;IF(AND($F135&lt;&gt;"",ISNUMBER(INDEX(tblInventario[Stock actual],MATCH($F135,tblInventario[SKU],0))),INDEX(tblInventario[Stock actual],MATCH($F135,tblInventario[SKU],0))&lt;0)," · Stock negativo del SKU","")&amp;IF(AND($T135="Cobrado",$U135="")," · Cobro sin fecha","")&amp;IF(AND(ISNUMBER($V135),ISNUMBER($N135),$V135&gt;N($N135)+0.01)," · Cobrado &gt; venta neta","")&amp;IF(AND(ISNUMBER($V135),$V135&gt;0,$U135="")," · Monto cobrado sin fecha",""),4,900)))</f>
        <v/>
      </c>
    </row>
    <row r="136">
      <c r="A136" s="51">
        <f>IF(COUNTA($B136,$C136,$D136,$E136,$F136,$I136)=0,"","V-"&amp;TEXT(ROW()-6,"0000"))</f>
        <v/>
      </c>
      <c r="B136" s="41" t="n"/>
      <c r="C136" s="33" t="n"/>
      <c r="D136" s="33" t="n"/>
      <c r="E136" s="33" t="n"/>
      <c r="F136" s="33" t="n"/>
      <c r="G136" s="51">
        <f>IF($F136="","",IFERROR(IF(INDEX(tblProductos[Nombre del producto],MATCH($F136,tblProductos[SKU],0))="","",INDEX(tblProductos[Nombre del producto],MATCH($F136,tblProductos[SKU],0))),""))</f>
        <v/>
      </c>
      <c r="H136" s="51">
        <f>IF($F136="","",IFERROR(IF(INDEX(tblProductos[Categoría],MATCH($F136,tblProductos[SKU],0))="","",INDEX(tblProductos[Categoría],MATCH($F136,tblProductos[SKU],0))),""))</f>
        <v/>
      </c>
      <c r="I136" s="34" t="n"/>
      <c r="J136" s="39">
        <f>IF(OR($B136="",$F136="",$I136=""),"",IF($T136="Anulado",0,$I136))</f>
        <v/>
      </c>
      <c r="K136" s="54">
        <f>IF($F136="","",IFERROR(IF(INDEX(tblProductos[Precio de venta actual],MATCH($F136,tblProductos[SKU],0))="","",INDEX(tblProductos[Precio de venta actual],MATCH($F136,tblProductos[SKU],0))),""))</f>
        <v/>
      </c>
      <c r="L136" s="36" t="n"/>
      <c r="M136" s="37">
        <f>IF($J136="","",IF(NOT(ISNUMBER($K136)),"PRECIO PENDIENTE",$J136*$K136))</f>
        <v/>
      </c>
      <c r="N136" s="37">
        <f>IF($J136="","",IF(NOT(ISNUMBER($M136)),"PRECIO PENDIENTE",$M136-IF(ISNUMBER($L136),$L136,0)))</f>
        <v/>
      </c>
      <c r="O136" s="54">
        <f>IF($F136="","",IFERROR(INDEX(tblInventario[Costo unitario aplicado],MATCH($F136,tblInventario[SKU],0)),""))</f>
        <v/>
      </c>
      <c r="P136" s="37">
        <f>IF($J136="","",IF(NOT(ISNUMBER($O136)),"COSTO PENDIENTE",$J136*$O136))</f>
        <v/>
      </c>
      <c r="Q136" s="37">
        <f>IF($J136="","",IF(OR(NOT(ISNUMBER($N136)),NOT(ISNUMBER($P136))),"PENDIENTE",$N136-$P136))</f>
        <v/>
      </c>
      <c r="R136" s="38">
        <f>IF($J136="","",IF(OR(NOT(ISNUMBER($Q136)),NOT(ISNUMBER($N136)),$N136&lt;=0),"PENDIENTE",$Q136/$N136))</f>
        <v/>
      </c>
      <c r="S136" s="33" t="n"/>
      <c r="T136" s="33" t="n"/>
      <c r="U136" s="41" t="n"/>
      <c r="V136" s="36" t="n"/>
      <c r="W136" s="37">
        <f>IF(NOT(ISNUMBER($N136)),"",$N136-IF(ISNUMBER($V136),$V136,0))</f>
        <v/>
      </c>
      <c r="X136" s="33" t="n"/>
      <c r="Y136" s="51">
        <f>IF(COUNTA($B136,$C136,$D136,$E136,$F136,$I136)=0,"",IF(IF($B136=""," · Falta fecha","")&amp;IF($D136=""," · Falta cliente","")&amp;IF($E136=""," · Falta canal","")&amp;IF($F136=""," · Falta SKU","")&amp;IF(AND($F136&lt;&gt;"",COUNTIF(tblProductos[SKU],$F136)=0)," · SKU no existe","")&amp;IF(OR($I136="",NOT(ISNUMBER($I136)),$I136&lt;=0)," · Cantidad inválida","")&amp;IF($M136="PRECIO PENDIENTE"," · Falta precio de venta","")&amp;IF($P136="COSTO PENDIENTE"," · Falta costo del producto","")&amp;IF(AND(ISNUMBER($Q136),$Q136&lt;0)," · UTILIDAD NEGATIVA","")&amp;IF(AND($F136&lt;&gt;"",ISNUMBER(INDEX(tblInventario[Stock actual],MATCH($F136,tblInventario[SKU],0))),INDEX(tblInventario[Stock actual],MATCH($F136,tblInventario[SKU],0))&lt;0)," · Stock negativo del SKU","")&amp;IF(AND($T136="Cobrado",$U136="")," · Cobro sin fecha","")&amp;IF(AND(ISNUMBER($V136),ISNUMBER($N136),$V136&gt;N($N136)+0.01)," · Cobrado &gt; venta neta","")&amp;IF(AND(ISNUMBER($V136),$V136&gt;0,$U136="")," · Monto cobrado sin fecha","")="","OK",MID(IF($B136=""," · Falta fecha","")&amp;IF($D136=""," · Falta cliente","")&amp;IF($E136=""," · Falta canal","")&amp;IF($F136=""," · Falta SKU","")&amp;IF(AND($F136&lt;&gt;"",COUNTIF(tblProductos[SKU],$F136)=0)," · SKU no existe","")&amp;IF(OR($I136="",NOT(ISNUMBER($I136)),$I136&lt;=0)," · Cantidad inválida","")&amp;IF($M136="PRECIO PENDIENTE"," · Falta precio de venta","")&amp;IF($P136="COSTO PENDIENTE"," · Falta costo del producto","")&amp;IF(AND(ISNUMBER($Q136),$Q136&lt;0)," · UTILIDAD NEGATIVA","")&amp;IF(AND($F136&lt;&gt;"",ISNUMBER(INDEX(tblInventario[Stock actual],MATCH($F136,tblInventario[SKU],0))),INDEX(tblInventario[Stock actual],MATCH($F136,tblInventario[SKU],0))&lt;0)," · Stock negativo del SKU","")&amp;IF(AND($T136="Cobrado",$U136="")," · Cobro sin fecha","")&amp;IF(AND(ISNUMBER($V136),ISNUMBER($N136),$V136&gt;N($N136)+0.01)," · Cobrado &gt; venta neta","")&amp;IF(AND(ISNUMBER($V136),$V136&gt;0,$U136="")," · Monto cobrado sin fecha",""),4,900)))</f>
        <v/>
      </c>
    </row>
    <row r="137">
      <c r="A137" s="51">
        <f>IF(COUNTA($B137,$C137,$D137,$E137,$F137,$I137)=0,"","V-"&amp;TEXT(ROW()-6,"0000"))</f>
        <v/>
      </c>
      <c r="B137" s="41" t="n"/>
      <c r="C137" s="33" t="n"/>
      <c r="D137" s="33" t="n"/>
      <c r="E137" s="33" t="n"/>
      <c r="F137" s="33" t="n"/>
      <c r="G137" s="51">
        <f>IF($F137="","",IFERROR(IF(INDEX(tblProductos[Nombre del producto],MATCH($F137,tblProductos[SKU],0))="","",INDEX(tblProductos[Nombre del producto],MATCH($F137,tblProductos[SKU],0))),""))</f>
        <v/>
      </c>
      <c r="H137" s="51">
        <f>IF($F137="","",IFERROR(IF(INDEX(tblProductos[Categoría],MATCH($F137,tblProductos[SKU],0))="","",INDEX(tblProductos[Categoría],MATCH($F137,tblProductos[SKU],0))),""))</f>
        <v/>
      </c>
      <c r="I137" s="34" t="n"/>
      <c r="J137" s="39">
        <f>IF(OR($B137="",$F137="",$I137=""),"",IF($T137="Anulado",0,$I137))</f>
        <v/>
      </c>
      <c r="K137" s="54">
        <f>IF($F137="","",IFERROR(IF(INDEX(tblProductos[Precio de venta actual],MATCH($F137,tblProductos[SKU],0))="","",INDEX(tblProductos[Precio de venta actual],MATCH($F137,tblProductos[SKU],0))),""))</f>
        <v/>
      </c>
      <c r="L137" s="36" t="n"/>
      <c r="M137" s="37">
        <f>IF($J137="","",IF(NOT(ISNUMBER($K137)),"PRECIO PENDIENTE",$J137*$K137))</f>
        <v/>
      </c>
      <c r="N137" s="37">
        <f>IF($J137="","",IF(NOT(ISNUMBER($M137)),"PRECIO PENDIENTE",$M137-IF(ISNUMBER($L137),$L137,0)))</f>
        <v/>
      </c>
      <c r="O137" s="54">
        <f>IF($F137="","",IFERROR(INDEX(tblInventario[Costo unitario aplicado],MATCH($F137,tblInventario[SKU],0)),""))</f>
        <v/>
      </c>
      <c r="P137" s="37">
        <f>IF($J137="","",IF(NOT(ISNUMBER($O137)),"COSTO PENDIENTE",$J137*$O137))</f>
        <v/>
      </c>
      <c r="Q137" s="37">
        <f>IF($J137="","",IF(OR(NOT(ISNUMBER($N137)),NOT(ISNUMBER($P137))),"PENDIENTE",$N137-$P137))</f>
        <v/>
      </c>
      <c r="R137" s="38">
        <f>IF($J137="","",IF(OR(NOT(ISNUMBER($Q137)),NOT(ISNUMBER($N137)),$N137&lt;=0),"PENDIENTE",$Q137/$N137))</f>
        <v/>
      </c>
      <c r="S137" s="33" t="n"/>
      <c r="T137" s="33" t="n"/>
      <c r="U137" s="41" t="n"/>
      <c r="V137" s="36" t="n"/>
      <c r="W137" s="37">
        <f>IF(NOT(ISNUMBER($N137)),"",$N137-IF(ISNUMBER($V137),$V137,0))</f>
        <v/>
      </c>
      <c r="X137" s="33" t="n"/>
      <c r="Y137" s="51">
        <f>IF(COUNTA($B137,$C137,$D137,$E137,$F137,$I137)=0,"",IF(IF($B137=""," · Falta fecha","")&amp;IF($D137=""," · Falta cliente","")&amp;IF($E137=""," · Falta canal","")&amp;IF($F137=""," · Falta SKU","")&amp;IF(AND($F137&lt;&gt;"",COUNTIF(tblProductos[SKU],$F137)=0)," · SKU no existe","")&amp;IF(OR($I137="",NOT(ISNUMBER($I137)),$I137&lt;=0)," · Cantidad inválida","")&amp;IF($M137="PRECIO PENDIENTE"," · Falta precio de venta","")&amp;IF($P137="COSTO PENDIENTE"," · Falta costo del producto","")&amp;IF(AND(ISNUMBER($Q137),$Q137&lt;0)," · UTILIDAD NEGATIVA","")&amp;IF(AND($F137&lt;&gt;"",ISNUMBER(INDEX(tblInventario[Stock actual],MATCH($F137,tblInventario[SKU],0))),INDEX(tblInventario[Stock actual],MATCH($F137,tblInventario[SKU],0))&lt;0)," · Stock negativo del SKU","")&amp;IF(AND($T137="Cobrado",$U137="")," · Cobro sin fecha","")&amp;IF(AND(ISNUMBER($V137),ISNUMBER($N137),$V137&gt;N($N137)+0.01)," · Cobrado &gt; venta neta","")&amp;IF(AND(ISNUMBER($V137),$V137&gt;0,$U137="")," · Monto cobrado sin fecha","")="","OK",MID(IF($B137=""," · Falta fecha","")&amp;IF($D137=""," · Falta cliente","")&amp;IF($E137=""," · Falta canal","")&amp;IF($F137=""," · Falta SKU","")&amp;IF(AND($F137&lt;&gt;"",COUNTIF(tblProductos[SKU],$F137)=0)," · SKU no existe","")&amp;IF(OR($I137="",NOT(ISNUMBER($I137)),$I137&lt;=0)," · Cantidad inválida","")&amp;IF($M137="PRECIO PENDIENTE"," · Falta precio de venta","")&amp;IF($P137="COSTO PENDIENTE"," · Falta costo del producto","")&amp;IF(AND(ISNUMBER($Q137),$Q137&lt;0)," · UTILIDAD NEGATIVA","")&amp;IF(AND($F137&lt;&gt;"",ISNUMBER(INDEX(tblInventario[Stock actual],MATCH($F137,tblInventario[SKU],0))),INDEX(tblInventario[Stock actual],MATCH($F137,tblInventario[SKU],0))&lt;0)," · Stock negativo del SKU","")&amp;IF(AND($T137="Cobrado",$U137="")," · Cobro sin fecha","")&amp;IF(AND(ISNUMBER($V137),ISNUMBER($N137),$V137&gt;N($N137)+0.01)," · Cobrado &gt; venta neta","")&amp;IF(AND(ISNUMBER($V137),$V137&gt;0,$U137="")," · Monto cobrado sin fecha",""),4,900)))</f>
        <v/>
      </c>
    </row>
    <row r="138">
      <c r="A138" s="51">
        <f>IF(COUNTA($B138,$C138,$D138,$E138,$F138,$I138)=0,"","V-"&amp;TEXT(ROW()-6,"0000"))</f>
        <v/>
      </c>
      <c r="B138" s="41" t="n"/>
      <c r="C138" s="33" t="n"/>
      <c r="D138" s="33" t="n"/>
      <c r="E138" s="33" t="n"/>
      <c r="F138" s="33" t="n"/>
      <c r="G138" s="51">
        <f>IF($F138="","",IFERROR(IF(INDEX(tblProductos[Nombre del producto],MATCH($F138,tblProductos[SKU],0))="","",INDEX(tblProductos[Nombre del producto],MATCH($F138,tblProductos[SKU],0))),""))</f>
        <v/>
      </c>
      <c r="H138" s="51">
        <f>IF($F138="","",IFERROR(IF(INDEX(tblProductos[Categoría],MATCH($F138,tblProductos[SKU],0))="","",INDEX(tblProductos[Categoría],MATCH($F138,tblProductos[SKU],0))),""))</f>
        <v/>
      </c>
      <c r="I138" s="34" t="n"/>
      <c r="J138" s="39">
        <f>IF(OR($B138="",$F138="",$I138=""),"",IF($T138="Anulado",0,$I138))</f>
        <v/>
      </c>
      <c r="K138" s="54">
        <f>IF($F138="","",IFERROR(IF(INDEX(tblProductos[Precio de venta actual],MATCH($F138,tblProductos[SKU],0))="","",INDEX(tblProductos[Precio de venta actual],MATCH($F138,tblProductos[SKU],0))),""))</f>
        <v/>
      </c>
      <c r="L138" s="36" t="n"/>
      <c r="M138" s="37">
        <f>IF($J138="","",IF(NOT(ISNUMBER($K138)),"PRECIO PENDIENTE",$J138*$K138))</f>
        <v/>
      </c>
      <c r="N138" s="37">
        <f>IF($J138="","",IF(NOT(ISNUMBER($M138)),"PRECIO PENDIENTE",$M138-IF(ISNUMBER($L138),$L138,0)))</f>
        <v/>
      </c>
      <c r="O138" s="54">
        <f>IF($F138="","",IFERROR(INDEX(tblInventario[Costo unitario aplicado],MATCH($F138,tblInventario[SKU],0)),""))</f>
        <v/>
      </c>
      <c r="P138" s="37">
        <f>IF($J138="","",IF(NOT(ISNUMBER($O138)),"COSTO PENDIENTE",$J138*$O138))</f>
        <v/>
      </c>
      <c r="Q138" s="37">
        <f>IF($J138="","",IF(OR(NOT(ISNUMBER($N138)),NOT(ISNUMBER($P138))),"PENDIENTE",$N138-$P138))</f>
        <v/>
      </c>
      <c r="R138" s="38">
        <f>IF($J138="","",IF(OR(NOT(ISNUMBER($Q138)),NOT(ISNUMBER($N138)),$N138&lt;=0),"PENDIENTE",$Q138/$N138))</f>
        <v/>
      </c>
      <c r="S138" s="33" t="n"/>
      <c r="T138" s="33" t="n"/>
      <c r="U138" s="41" t="n"/>
      <c r="V138" s="36" t="n"/>
      <c r="W138" s="37">
        <f>IF(NOT(ISNUMBER($N138)),"",$N138-IF(ISNUMBER($V138),$V138,0))</f>
        <v/>
      </c>
      <c r="X138" s="33" t="n"/>
      <c r="Y138" s="51">
        <f>IF(COUNTA($B138,$C138,$D138,$E138,$F138,$I138)=0,"",IF(IF($B138=""," · Falta fecha","")&amp;IF($D138=""," · Falta cliente","")&amp;IF($E138=""," · Falta canal","")&amp;IF($F138=""," · Falta SKU","")&amp;IF(AND($F138&lt;&gt;"",COUNTIF(tblProductos[SKU],$F138)=0)," · SKU no existe","")&amp;IF(OR($I138="",NOT(ISNUMBER($I138)),$I138&lt;=0)," · Cantidad inválida","")&amp;IF($M138="PRECIO PENDIENTE"," · Falta precio de venta","")&amp;IF($P138="COSTO PENDIENTE"," · Falta costo del producto","")&amp;IF(AND(ISNUMBER($Q138),$Q138&lt;0)," · UTILIDAD NEGATIVA","")&amp;IF(AND($F138&lt;&gt;"",ISNUMBER(INDEX(tblInventario[Stock actual],MATCH($F138,tblInventario[SKU],0))),INDEX(tblInventario[Stock actual],MATCH($F138,tblInventario[SKU],0))&lt;0)," · Stock negativo del SKU","")&amp;IF(AND($T138="Cobrado",$U138="")," · Cobro sin fecha","")&amp;IF(AND(ISNUMBER($V138),ISNUMBER($N138),$V138&gt;N($N138)+0.01)," · Cobrado &gt; venta neta","")&amp;IF(AND(ISNUMBER($V138),$V138&gt;0,$U138="")," · Monto cobrado sin fecha","")="","OK",MID(IF($B138=""," · Falta fecha","")&amp;IF($D138=""," · Falta cliente","")&amp;IF($E138=""," · Falta canal","")&amp;IF($F138=""," · Falta SKU","")&amp;IF(AND($F138&lt;&gt;"",COUNTIF(tblProductos[SKU],$F138)=0)," · SKU no existe","")&amp;IF(OR($I138="",NOT(ISNUMBER($I138)),$I138&lt;=0)," · Cantidad inválida","")&amp;IF($M138="PRECIO PENDIENTE"," · Falta precio de venta","")&amp;IF($P138="COSTO PENDIENTE"," · Falta costo del producto","")&amp;IF(AND(ISNUMBER($Q138),$Q138&lt;0)," · UTILIDAD NEGATIVA","")&amp;IF(AND($F138&lt;&gt;"",ISNUMBER(INDEX(tblInventario[Stock actual],MATCH($F138,tblInventario[SKU],0))),INDEX(tblInventario[Stock actual],MATCH($F138,tblInventario[SKU],0))&lt;0)," · Stock negativo del SKU","")&amp;IF(AND($T138="Cobrado",$U138="")," · Cobro sin fecha","")&amp;IF(AND(ISNUMBER($V138),ISNUMBER($N138),$V138&gt;N($N138)+0.01)," · Cobrado &gt; venta neta","")&amp;IF(AND(ISNUMBER($V138),$V138&gt;0,$U138="")," · Monto cobrado sin fecha",""),4,900)))</f>
        <v/>
      </c>
    </row>
    <row r="139">
      <c r="A139" s="51">
        <f>IF(COUNTA($B139,$C139,$D139,$E139,$F139,$I139)=0,"","V-"&amp;TEXT(ROW()-6,"0000"))</f>
        <v/>
      </c>
      <c r="B139" s="41" t="n"/>
      <c r="C139" s="33" t="n"/>
      <c r="D139" s="33" t="n"/>
      <c r="E139" s="33" t="n"/>
      <c r="F139" s="33" t="n"/>
      <c r="G139" s="51">
        <f>IF($F139="","",IFERROR(IF(INDEX(tblProductos[Nombre del producto],MATCH($F139,tblProductos[SKU],0))="","",INDEX(tblProductos[Nombre del producto],MATCH($F139,tblProductos[SKU],0))),""))</f>
        <v/>
      </c>
      <c r="H139" s="51">
        <f>IF($F139="","",IFERROR(IF(INDEX(tblProductos[Categoría],MATCH($F139,tblProductos[SKU],0))="","",INDEX(tblProductos[Categoría],MATCH($F139,tblProductos[SKU],0))),""))</f>
        <v/>
      </c>
      <c r="I139" s="34" t="n"/>
      <c r="J139" s="39">
        <f>IF(OR($B139="",$F139="",$I139=""),"",IF($T139="Anulado",0,$I139))</f>
        <v/>
      </c>
      <c r="K139" s="54">
        <f>IF($F139="","",IFERROR(IF(INDEX(tblProductos[Precio de venta actual],MATCH($F139,tblProductos[SKU],0))="","",INDEX(tblProductos[Precio de venta actual],MATCH($F139,tblProductos[SKU],0))),""))</f>
        <v/>
      </c>
      <c r="L139" s="36" t="n"/>
      <c r="M139" s="37">
        <f>IF($J139="","",IF(NOT(ISNUMBER($K139)),"PRECIO PENDIENTE",$J139*$K139))</f>
        <v/>
      </c>
      <c r="N139" s="37">
        <f>IF($J139="","",IF(NOT(ISNUMBER($M139)),"PRECIO PENDIENTE",$M139-IF(ISNUMBER($L139),$L139,0)))</f>
        <v/>
      </c>
      <c r="O139" s="54">
        <f>IF($F139="","",IFERROR(INDEX(tblInventario[Costo unitario aplicado],MATCH($F139,tblInventario[SKU],0)),""))</f>
        <v/>
      </c>
      <c r="P139" s="37">
        <f>IF($J139="","",IF(NOT(ISNUMBER($O139)),"COSTO PENDIENTE",$J139*$O139))</f>
        <v/>
      </c>
      <c r="Q139" s="37">
        <f>IF($J139="","",IF(OR(NOT(ISNUMBER($N139)),NOT(ISNUMBER($P139))),"PENDIENTE",$N139-$P139))</f>
        <v/>
      </c>
      <c r="R139" s="38">
        <f>IF($J139="","",IF(OR(NOT(ISNUMBER($Q139)),NOT(ISNUMBER($N139)),$N139&lt;=0),"PENDIENTE",$Q139/$N139))</f>
        <v/>
      </c>
      <c r="S139" s="33" t="n"/>
      <c r="T139" s="33" t="n"/>
      <c r="U139" s="41" t="n"/>
      <c r="V139" s="36" t="n"/>
      <c r="W139" s="37">
        <f>IF(NOT(ISNUMBER($N139)),"",$N139-IF(ISNUMBER($V139),$V139,0))</f>
        <v/>
      </c>
      <c r="X139" s="33" t="n"/>
      <c r="Y139" s="51">
        <f>IF(COUNTA($B139,$C139,$D139,$E139,$F139,$I139)=0,"",IF(IF($B139=""," · Falta fecha","")&amp;IF($D139=""," · Falta cliente","")&amp;IF($E139=""," · Falta canal","")&amp;IF($F139=""," · Falta SKU","")&amp;IF(AND($F139&lt;&gt;"",COUNTIF(tblProductos[SKU],$F139)=0)," · SKU no existe","")&amp;IF(OR($I139="",NOT(ISNUMBER($I139)),$I139&lt;=0)," · Cantidad inválida","")&amp;IF($M139="PRECIO PENDIENTE"," · Falta precio de venta","")&amp;IF($P139="COSTO PENDIENTE"," · Falta costo del producto","")&amp;IF(AND(ISNUMBER($Q139),$Q139&lt;0)," · UTILIDAD NEGATIVA","")&amp;IF(AND($F139&lt;&gt;"",ISNUMBER(INDEX(tblInventario[Stock actual],MATCH($F139,tblInventario[SKU],0))),INDEX(tblInventario[Stock actual],MATCH($F139,tblInventario[SKU],0))&lt;0)," · Stock negativo del SKU","")&amp;IF(AND($T139="Cobrado",$U139="")," · Cobro sin fecha","")&amp;IF(AND(ISNUMBER($V139),ISNUMBER($N139),$V139&gt;N($N139)+0.01)," · Cobrado &gt; venta neta","")&amp;IF(AND(ISNUMBER($V139),$V139&gt;0,$U139="")," · Monto cobrado sin fecha","")="","OK",MID(IF($B139=""," · Falta fecha","")&amp;IF($D139=""," · Falta cliente","")&amp;IF($E139=""," · Falta canal","")&amp;IF($F139=""," · Falta SKU","")&amp;IF(AND($F139&lt;&gt;"",COUNTIF(tblProductos[SKU],$F139)=0)," · SKU no existe","")&amp;IF(OR($I139="",NOT(ISNUMBER($I139)),$I139&lt;=0)," · Cantidad inválida","")&amp;IF($M139="PRECIO PENDIENTE"," · Falta precio de venta","")&amp;IF($P139="COSTO PENDIENTE"," · Falta costo del producto","")&amp;IF(AND(ISNUMBER($Q139),$Q139&lt;0)," · UTILIDAD NEGATIVA","")&amp;IF(AND($F139&lt;&gt;"",ISNUMBER(INDEX(tblInventario[Stock actual],MATCH($F139,tblInventario[SKU],0))),INDEX(tblInventario[Stock actual],MATCH($F139,tblInventario[SKU],0))&lt;0)," · Stock negativo del SKU","")&amp;IF(AND($T139="Cobrado",$U139="")," · Cobro sin fecha","")&amp;IF(AND(ISNUMBER($V139),ISNUMBER($N139),$V139&gt;N($N139)+0.01)," · Cobrado &gt; venta neta","")&amp;IF(AND(ISNUMBER($V139),$V139&gt;0,$U139="")," · Monto cobrado sin fecha",""),4,900)))</f>
        <v/>
      </c>
    </row>
    <row r="140">
      <c r="A140" s="51">
        <f>IF(COUNTA($B140,$C140,$D140,$E140,$F140,$I140)=0,"","V-"&amp;TEXT(ROW()-6,"0000"))</f>
        <v/>
      </c>
      <c r="B140" s="41" t="n"/>
      <c r="C140" s="33" t="n"/>
      <c r="D140" s="33" t="n"/>
      <c r="E140" s="33" t="n"/>
      <c r="F140" s="33" t="n"/>
      <c r="G140" s="51">
        <f>IF($F140="","",IFERROR(IF(INDEX(tblProductos[Nombre del producto],MATCH($F140,tblProductos[SKU],0))="","",INDEX(tblProductos[Nombre del producto],MATCH($F140,tblProductos[SKU],0))),""))</f>
        <v/>
      </c>
      <c r="H140" s="51">
        <f>IF($F140="","",IFERROR(IF(INDEX(tblProductos[Categoría],MATCH($F140,tblProductos[SKU],0))="","",INDEX(tblProductos[Categoría],MATCH($F140,tblProductos[SKU],0))),""))</f>
        <v/>
      </c>
      <c r="I140" s="34" t="n"/>
      <c r="J140" s="39">
        <f>IF(OR($B140="",$F140="",$I140=""),"",IF($T140="Anulado",0,$I140))</f>
        <v/>
      </c>
      <c r="K140" s="54">
        <f>IF($F140="","",IFERROR(IF(INDEX(tblProductos[Precio de venta actual],MATCH($F140,tblProductos[SKU],0))="","",INDEX(tblProductos[Precio de venta actual],MATCH($F140,tblProductos[SKU],0))),""))</f>
        <v/>
      </c>
      <c r="L140" s="36" t="n"/>
      <c r="M140" s="37">
        <f>IF($J140="","",IF(NOT(ISNUMBER($K140)),"PRECIO PENDIENTE",$J140*$K140))</f>
        <v/>
      </c>
      <c r="N140" s="37">
        <f>IF($J140="","",IF(NOT(ISNUMBER($M140)),"PRECIO PENDIENTE",$M140-IF(ISNUMBER($L140),$L140,0)))</f>
        <v/>
      </c>
      <c r="O140" s="54">
        <f>IF($F140="","",IFERROR(INDEX(tblInventario[Costo unitario aplicado],MATCH($F140,tblInventario[SKU],0)),""))</f>
        <v/>
      </c>
      <c r="P140" s="37">
        <f>IF($J140="","",IF(NOT(ISNUMBER($O140)),"COSTO PENDIENTE",$J140*$O140))</f>
        <v/>
      </c>
      <c r="Q140" s="37">
        <f>IF($J140="","",IF(OR(NOT(ISNUMBER($N140)),NOT(ISNUMBER($P140))),"PENDIENTE",$N140-$P140))</f>
        <v/>
      </c>
      <c r="R140" s="38">
        <f>IF($J140="","",IF(OR(NOT(ISNUMBER($Q140)),NOT(ISNUMBER($N140)),$N140&lt;=0),"PENDIENTE",$Q140/$N140))</f>
        <v/>
      </c>
      <c r="S140" s="33" t="n"/>
      <c r="T140" s="33" t="n"/>
      <c r="U140" s="41" t="n"/>
      <c r="V140" s="36" t="n"/>
      <c r="W140" s="37">
        <f>IF(NOT(ISNUMBER($N140)),"",$N140-IF(ISNUMBER($V140),$V140,0))</f>
        <v/>
      </c>
      <c r="X140" s="33" t="n"/>
      <c r="Y140" s="51">
        <f>IF(COUNTA($B140,$C140,$D140,$E140,$F140,$I140)=0,"",IF(IF($B140=""," · Falta fecha","")&amp;IF($D140=""," · Falta cliente","")&amp;IF($E140=""," · Falta canal","")&amp;IF($F140=""," · Falta SKU","")&amp;IF(AND($F140&lt;&gt;"",COUNTIF(tblProductos[SKU],$F140)=0)," · SKU no existe","")&amp;IF(OR($I140="",NOT(ISNUMBER($I140)),$I140&lt;=0)," · Cantidad inválida","")&amp;IF($M140="PRECIO PENDIENTE"," · Falta precio de venta","")&amp;IF($P140="COSTO PENDIENTE"," · Falta costo del producto","")&amp;IF(AND(ISNUMBER($Q140),$Q140&lt;0)," · UTILIDAD NEGATIVA","")&amp;IF(AND($F140&lt;&gt;"",ISNUMBER(INDEX(tblInventario[Stock actual],MATCH($F140,tblInventario[SKU],0))),INDEX(tblInventario[Stock actual],MATCH($F140,tblInventario[SKU],0))&lt;0)," · Stock negativo del SKU","")&amp;IF(AND($T140="Cobrado",$U140="")," · Cobro sin fecha","")&amp;IF(AND(ISNUMBER($V140),ISNUMBER($N140),$V140&gt;N($N140)+0.01)," · Cobrado &gt; venta neta","")&amp;IF(AND(ISNUMBER($V140),$V140&gt;0,$U140="")," · Monto cobrado sin fecha","")="","OK",MID(IF($B140=""," · Falta fecha","")&amp;IF($D140=""," · Falta cliente","")&amp;IF($E140=""," · Falta canal","")&amp;IF($F140=""," · Falta SKU","")&amp;IF(AND($F140&lt;&gt;"",COUNTIF(tblProductos[SKU],$F140)=0)," · SKU no existe","")&amp;IF(OR($I140="",NOT(ISNUMBER($I140)),$I140&lt;=0)," · Cantidad inválida","")&amp;IF($M140="PRECIO PENDIENTE"," · Falta precio de venta","")&amp;IF($P140="COSTO PENDIENTE"," · Falta costo del producto","")&amp;IF(AND(ISNUMBER($Q140),$Q140&lt;0)," · UTILIDAD NEGATIVA","")&amp;IF(AND($F140&lt;&gt;"",ISNUMBER(INDEX(tblInventario[Stock actual],MATCH($F140,tblInventario[SKU],0))),INDEX(tblInventario[Stock actual],MATCH($F140,tblInventario[SKU],0))&lt;0)," · Stock negativo del SKU","")&amp;IF(AND($T140="Cobrado",$U140="")," · Cobro sin fecha","")&amp;IF(AND(ISNUMBER($V140),ISNUMBER($N140),$V140&gt;N($N140)+0.01)," · Cobrado &gt; venta neta","")&amp;IF(AND(ISNUMBER($V140),$V140&gt;0,$U140="")," · Monto cobrado sin fecha",""),4,900)))</f>
        <v/>
      </c>
    </row>
    <row r="141">
      <c r="A141" s="51">
        <f>IF(COUNTA($B141,$C141,$D141,$E141,$F141,$I141)=0,"","V-"&amp;TEXT(ROW()-6,"0000"))</f>
        <v/>
      </c>
      <c r="B141" s="41" t="n"/>
      <c r="C141" s="33" t="n"/>
      <c r="D141" s="33" t="n"/>
      <c r="E141" s="33" t="n"/>
      <c r="F141" s="33" t="n"/>
      <c r="G141" s="51">
        <f>IF($F141="","",IFERROR(IF(INDEX(tblProductos[Nombre del producto],MATCH($F141,tblProductos[SKU],0))="","",INDEX(tblProductos[Nombre del producto],MATCH($F141,tblProductos[SKU],0))),""))</f>
        <v/>
      </c>
      <c r="H141" s="51">
        <f>IF($F141="","",IFERROR(IF(INDEX(tblProductos[Categoría],MATCH($F141,tblProductos[SKU],0))="","",INDEX(tblProductos[Categoría],MATCH($F141,tblProductos[SKU],0))),""))</f>
        <v/>
      </c>
      <c r="I141" s="34" t="n"/>
      <c r="J141" s="39">
        <f>IF(OR($B141="",$F141="",$I141=""),"",IF($T141="Anulado",0,$I141))</f>
        <v/>
      </c>
      <c r="K141" s="54">
        <f>IF($F141="","",IFERROR(IF(INDEX(tblProductos[Precio de venta actual],MATCH($F141,tblProductos[SKU],0))="","",INDEX(tblProductos[Precio de venta actual],MATCH($F141,tblProductos[SKU],0))),""))</f>
        <v/>
      </c>
      <c r="L141" s="36" t="n"/>
      <c r="M141" s="37">
        <f>IF($J141="","",IF(NOT(ISNUMBER($K141)),"PRECIO PENDIENTE",$J141*$K141))</f>
        <v/>
      </c>
      <c r="N141" s="37">
        <f>IF($J141="","",IF(NOT(ISNUMBER($M141)),"PRECIO PENDIENTE",$M141-IF(ISNUMBER($L141),$L141,0)))</f>
        <v/>
      </c>
      <c r="O141" s="54">
        <f>IF($F141="","",IFERROR(INDEX(tblInventario[Costo unitario aplicado],MATCH($F141,tblInventario[SKU],0)),""))</f>
        <v/>
      </c>
      <c r="P141" s="37">
        <f>IF($J141="","",IF(NOT(ISNUMBER($O141)),"COSTO PENDIENTE",$J141*$O141))</f>
        <v/>
      </c>
      <c r="Q141" s="37">
        <f>IF($J141="","",IF(OR(NOT(ISNUMBER($N141)),NOT(ISNUMBER($P141))),"PENDIENTE",$N141-$P141))</f>
        <v/>
      </c>
      <c r="R141" s="38">
        <f>IF($J141="","",IF(OR(NOT(ISNUMBER($Q141)),NOT(ISNUMBER($N141)),$N141&lt;=0),"PENDIENTE",$Q141/$N141))</f>
        <v/>
      </c>
      <c r="S141" s="33" t="n"/>
      <c r="T141" s="33" t="n"/>
      <c r="U141" s="41" t="n"/>
      <c r="V141" s="36" t="n"/>
      <c r="W141" s="37">
        <f>IF(NOT(ISNUMBER($N141)),"",$N141-IF(ISNUMBER($V141),$V141,0))</f>
        <v/>
      </c>
      <c r="X141" s="33" t="n"/>
      <c r="Y141" s="51">
        <f>IF(COUNTA($B141,$C141,$D141,$E141,$F141,$I141)=0,"",IF(IF($B141=""," · Falta fecha","")&amp;IF($D141=""," · Falta cliente","")&amp;IF($E141=""," · Falta canal","")&amp;IF($F141=""," · Falta SKU","")&amp;IF(AND($F141&lt;&gt;"",COUNTIF(tblProductos[SKU],$F141)=0)," · SKU no existe","")&amp;IF(OR($I141="",NOT(ISNUMBER($I141)),$I141&lt;=0)," · Cantidad inválida","")&amp;IF($M141="PRECIO PENDIENTE"," · Falta precio de venta","")&amp;IF($P141="COSTO PENDIENTE"," · Falta costo del producto","")&amp;IF(AND(ISNUMBER($Q141),$Q141&lt;0)," · UTILIDAD NEGATIVA","")&amp;IF(AND($F141&lt;&gt;"",ISNUMBER(INDEX(tblInventario[Stock actual],MATCH($F141,tblInventario[SKU],0))),INDEX(tblInventario[Stock actual],MATCH($F141,tblInventario[SKU],0))&lt;0)," · Stock negativo del SKU","")&amp;IF(AND($T141="Cobrado",$U141="")," · Cobro sin fecha","")&amp;IF(AND(ISNUMBER($V141),ISNUMBER($N141),$V141&gt;N($N141)+0.01)," · Cobrado &gt; venta neta","")&amp;IF(AND(ISNUMBER($V141),$V141&gt;0,$U141="")," · Monto cobrado sin fecha","")="","OK",MID(IF($B141=""," · Falta fecha","")&amp;IF($D141=""," · Falta cliente","")&amp;IF($E141=""," · Falta canal","")&amp;IF($F141=""," · Falta SKU","")&amp;IF(AND($F141&lt;&gt;"",COUNTIF(tblProductos[SKU],$F141)=0)," · SKU no existe","")&amp;IF(OR($I141="",NOT(ISNUMBER($I141)),$I141&lt;=0)," · Cantidad inválida","")&amp;IF($M141="PRECIO PENDIENTE"," · Falta precio de venta","")&amp;IF($P141="COSTO PENDIENTE"," · Falta costo del producto","")&amp;IF(AND(ISNUMBER($Q141),$Q141&lt;0)," · UTILIDAD NEGATIVA","")&amp;IF(AND($F141&lt;&gt;"",ISNUMBER(INDEX(tblInventario[Stock actual],MATCH($F141,tblInventario[SKU],0))),INDEX(tblInventario[Stock actual],MATCH($F141,tblInventario[SKU],0))&lt;0)," · Stock negativo del SKU","")&amp;IF(AND($T141="Cobrado",$U141="")," · Cobro sin fecha","")&amp;IF(AND(ISNUMBER($V141),ISNUMBER($N141),$V141&gt;N($N141)+0.01)," · Cobrado &gt; venta neta","")&amp;IF(AND(ISNUMBER($V141),$V141&gt;0,$U141="")," · Monto cobrado sin fecha",""),4,900)))</f>
        <v/>
      </c>
    </row>
    <row r="142">
      <c r="A142" s="51">
        <f>IF(COUNTA($B142,$C142,$D142,$E142,$F142,$I142)=0,"","V-"&amp;TEXT(ROW()-6,"0000"))</f>
        <v/>
      </c>
      <c r="B142" s="41" t="n"/>
      <c r="C142" s="33" t="n"/>
      <c r="D142" s="33" t="n"/>
      <c r="E142" s="33" t="n"/>
      <c r="F142" s="33" t="n"/>
      <c r="G142" s="51">
        <f>IF($F142="","",IFERROR(IF(INDEX(tblProductos[Nombre del producto],MATCH($F142,tblProductos[SKU],0))="","",INDEX(tblProductos[Nombre del producto],MATCH($F142,tblProductos[SKU],0))),""))</f>
        <v/>
      </c>
      <c r="H142" s="51">
        <f>IF($F142="","",IFERROR(IF(INDEX(tblProductos[Categoría],MATCH($F142,tblProductos[SKU],0))="","",INDEX(tblProductos[Categoría],MATCH($F142,tblProductos[SKU],0))),""))</f>
        <v/>
      </c>
      <c r="I142" s="34" t="n"/>
      <c r="J142" s="39">
        <f>IF(OR($B142="",$F142="",$I142=""),"",IF($T142="Anulado",0,$I142))</f>
        <v/>
      </c>
      <c r="K142" s="54">
        <f>IF($F142="","",IFERROR(IF(INDEX(tblProductos[Precio de venta actual],MATCH($F142,tblProductos[SKU],0))="","",INDEX(tblProductos[Precio de venta actual],MATCH($F142,tblProductos[SKU],0))),""))</f>
        <v/>
      </c>
      <c r="L142" s="36" t="n"/>
      <c r="M142" s="37">
        <f>IF($J142="","",IF(NOT(ISNUMBER($K142)),"PRECIO PENDIENTE",$J142*$K142))</f>
        <v/>
      </c>
      <c r="N142" s="37">
        <f>IF($J142="","",IF(NOT(ISNUMBER($M142)),"PRECIO PENDIENTE",$M142-IF(ISNUMBER($L142),$L142,0)))</f>
        <v/>
      </c>
      <c r="O142" s="54">
        <f>IF($F142="","",IFERROR(INDEX(tblInventario[Costo unitario aplicado],MATCH($F142,tblInventario[SKU],0)),""))</f>
        <v/>
      </c>
      <c r="P142" s="37">
        <f>IF($J142="","",IF(NOT(ISNUMBER($O142)),"COSTO PENDIENTE",$J142*$O142))</f>
        <v/>
      </c>
      <c r="Q142" s="37">
        <f>IF($J142="","",IF(OR(NOT(ISNUMBER($N142)),NOT(ISNUMBER($P142))),"PENDIENTE",$N142-$P142))</f>
        <v/>
      </c>
      <c r="R142" s="38">
        <f>IF($J142="","",IF(OR(NOT(ISNUMBER($Q142)),NOT(ISNUMBER($N142)),$N142&lt;=0),"PENDIENTE",$Q142/$N142))</f>
        <v/>
      </c>
      <c r="S142" s="33" t="n"/>
      <c r="T142" s="33" t="n"/>
      <c r="U142" s="41" t="n"/>
      <c r="V142" s="36" t="n"/>
      <c r="W142" s="37">
        <f>IF(NOT(ISNUMBER($N142)),"",$N142-IF(ISNUMBER($V142),$V142,0))</f>
        <v/>
      </c>
      <c r="X142" s="33" t="n"/>
      <c r="Y142" s="51">
        <f>IF(COUNTA($B142,$C142,$D142,$E142,$F142,$I142)=0,"",IF(IF($B142=""," · Falta fecha","")&amp;IF($D142=""," · Falta cliente","")&amp;IF($E142=""," · Falta canal","")&amp;IF($F142=""," · Falta SKU","")&amp;IF(AND($F142&lt;&gt;"",COUNTIF(tblProductos[SKU],$F142)=0)," · SKU no existe","")&amp;IF(OR($I142="",NOT(ISNUMBER($I142)),$I142&lt;=0)," · Cantidad inválida","")&amp;IF($M142="PRECIO PENDIENTE"," · Falta precio de venta","")&amp;IF($P142="COSTO PENDIENTE"," · Falta costo del producto","")&amp;IF(AND(ISNUMBER($Q142),$Q142&lt;0)," · UTILIDAD NEGATIVA","")&amp;IF(AND($F142&lt;&gt;"",ISNUMBER(INDEX(tblInventario[Stock actual],MATCH($F142,tblInventario[SKU],0))),INDEX(tblInventario[Stock actual],MATCH($F142,tblInventario[SKU],0))&lt;0)," · Stock negativo del SKU","")&amp;IF(AND($T142="Cobrado",$U142="")," · Cobro sin fecha","")&amp;IF(AND(ISNUMBER($V142),ISNUMBER($N142),$V142&gt;N($N142)+0.01)," · Cobrado &gt; venta neta","")&amp;IF(AND(ISNUMBER($V142),$V142&gt;0,$U142="")," · Monto cobrado sin fecha","")="","OK",MID(IF($B142=""," · Falta fecha","")&amp;IF($D142=""," · Falta cliente","")&amp;IF($E142=""," · Falta canal","")&amp;IF($F142=""," · Falta SKU","")&amp;IF(AND($F142&lt;&gt;"",COUNTIF(tblProductos[SKU],$F142)=0)," · SKU no existe","")&amp;IF(OR($I142="",NOT(ISNUMBER($I142)),$I142&lt;=0)," · Cantidad inválida","")&amp;IF($M142="PRECIO PENDIENTE"," · Falta precio de venta","")&amp;IF($P142="COSTO PENDIENTE"," · Falta costo del producto","")&amp;IF(AND(ISNUMBER($Q142),$Q142&lt;0)," · UTILIDAD NEGATIVA","")&amp;IF(AND($F142&lt;&gt;"",ISNUMBER(INDEX(tblInventario[Stock actual],MATCH($F142,tblInventario[SKU],0))),INDEX(tblInventario[Stock actual],MATCH($F142,tblInventario[SKU],0))&lt;0)," · Stock negativo del SKU","")&amp;IF(AND($T142="Cobrado",$U142="")," · Cobro sin fecha","")&amp;IF(AND(ISNUMBER($V142),ISNUMBER($N142),$V142&gt;N($N142)+0.01)," · Cobrado &gt; venta neta","")&amp;IF(AND(ISNUMBER($V142),$V142&gt;0,$U142="")," · Monto cobrado sin fecha",""),4,900)))</f>
        <v/>
      </c>
    </row>
    <row r="143">
      <c r="A143" s="51">
        <f>IF(COUNTA($B143,$C143,$D143,$E143,$F143,$I143)=0,"","V-"&amp;TEXT(ROW()-6,"0000"))</f>
        <v/>
      </c>
      <c r="B143" s="41" t="n"/>
      <c r="C143" s="33" t="n"/>
      <c r="D143" s="33" t="n"/>
      <c r="E143" s="33" t="n"/>
      <c r="F143" s="33" t="n"/>
      <c r="G143" s="51">
        <f>IF($F143="","",IFERROR(IF(INDEX(tblProductos[Nombre del producto],MATCH($F143,tblProductos[SKU],0))="","",INDEX(tblProductos[Nombre del producto],MATCH($F143,tblProductos[SKU],0))),""))</f>
        <v/>
      </c>
      <c r="H143" s="51">
        <f>IF($F143="","",IFERROR(IF(INDEX(tblProductos[Categoría],MATCH($F143,tblProductos[SKU],0))="","",INDEX(tblProductos[Categoría],MATCH($F143,tblProductos[SKU],0))),""))</f>
        <v/>
      </c>
      <c r="I143" s="34" t="n"/>
      <c r="J143" s="39">
        <f>IF(OR($B143="",$F143="",$I143=""),"",IF($T143="Anulado",0,$I143))</f>
        <v/>
      </c>
      <c r="K143" s="54">
        <f>IF($F143="","",IFERROR(IF(INDEX(tblProductos[Precio de venta actual],MATCH($F143,tblProductos[SKU],0))="","",INDEX(tblProductos[Precio de venta actual],MATCH($F143,tblProductos[SKU],0))),""))</f>
        <v/>
      </c>
      <c r="L143" s="36" t="n"/>
      <c r="M143" s="37">
        <f>IF($J143="","",IF(NOT(ISNUMBER($K143)),"PRECIO PENDIENTE",$J143*$K143))</f>
        <v/>
      </c>
      <c r="N143" s="37">
        <f>IF($J143="","",IF(NOT(ISNUMBER($M143)),"PRECIO PENDIENTE",$M143-IF(ISNUMBER($L143),$L143,0)))</f>
        <v/>
      </c>
      <c r="O143" s="54">
        <f>IF($F143="","",IFERROR(INDEX(tblInventario[Costo unitario aplicado],MATCH($F143,tblInventario[SKU],0)),""))</f>
        <v/>
      </c>
      <c r="P143" s="37">
        <f>IF($J143="","",IF(NOT(ISNUMBER($O143)),"COSTO PENDIENTE",$J143*$O143))</f>
        <v/>
      </c>
      <c r="Q143" s="37">
        <f>IF($J143="","",IF(OR(NOT(ISNUMBER($N143)),NOT(ISNUMBER($P143))),"PENDIENTE",$N143-$P143))</f>
        <v/>
      </c>
      <c r="R143" s="38">
        <f>IF($J143="","",IF(OR(NOT(ISNUMBER($Q143)),NOT(ISNUMBER($N143)),$N143&lt;=0),"PENDIENTE",$Q143/$N143))</f>
        <v/>
      </c>
      <c r="S143" s="33" t="n"/>
      <c r="T143" s="33" t="n"/>
      <c r="U143" s="41" t="n"/>
      <c r="V143" s="36" t="n"/>
      <c r="W143" s="37">
        <f>IF(NOT(ISNUMBER($N143)),"",$N143-IF(ISNUMBER($V143),$V143,0))</f>
        <v/>
      </c>
      <c r="X143" s="33" t="n"/>
      <c r="Y143" s="51">
        <f>IF(COUNTA($B143,$C143,$D143,$E143,$F143,$I143)=0,"",IF(IF($B143=""," · Falta fecha","")&amp;IF($D143=""," · Falta cliente","")&amp;IF($E143=""," · Falta canal","")&amp;IF($F143=""," · Falta SKU","")&amp;IF(AND($F143&lt;&gt;"",COUNTIF(tblProductos[SKU],$F143)=0)," · SKU no existe","")&amp;IF(OR($I143="",NOT(ISNUMBER($I143)),$I143&lt;=0)," · Cantidad inválida","")&amp;IF($M143="PRECIO PENDIENTE"," · Falta precio de venta","")&amp;IF($P143="COSTO PENDIENTE"," · Falta costo del producto","")&amp;IF(AND(ISNUMBER($Q143),$Q143&lt;0)," · UTILIDAD NEGATIVA","")&amp;IF(AND($F143&lt;&gt;"",ISNUMBER(INDEX(tblInventario[Stock actual],MATCH($F143,tblInventario[SKU],0))),INDEX(tblInventario[Stock actual],MATCH($F143,tblInventario[SKU],0))&lt;0)," · Stock negativo del SKU","")&amp;IF(AND($T143="Cobrado",$U143="")," · Cobro sin fecha","")&amp;IF(AND(ISNUMBER($V143),ISNUMBER($N143),$V143&gt;N($N143)+0.01)," · Cobrado &gt; venta neta","")&amp;IF(AND(ISNUMBER($V143),$V143&gt;0,$U143="")," · Monto cobrado sin fecha","")="","OK",MID(IF($B143=""," · Falta fecha","")&amp;IF($D143=""," · Falta cliente","")&amp;IF($E143=""," · Falta canal","")&amp;IF($F143=""," · Falta SKU","")&amp;IF(AND($F143&lt;&gt;"",COUNTIF(tblProductos[SKU],$F143)=0)," · SKU no existe","")&amp;IF(OR($I143="",NOT(ISNUMBER($I143)),$I143&lt;=0)," · Cantidad inválida","")&amp;IF($M143="PRECIO PENDIENTE"," · Falta precio de venta","")&amp;IF($P143="COSTO PENDIENTE"," · Falta costo del producto","")&amp;IF(AND(ISNUMBER($Q143),$Q143&lt;0)," · UTILIDAD NEGATIVA","")&amp;IF(AND($F143&lt;&gt;"",ISNUMBER(INDEX(tblInventario[Stock actual],MATCH($F143,tblInventario[SKU],0))),INDEX(tblInventario[Stock actual],MATCH($F143,tblInventario[SKU],0))&lt;0)," · Stock negativo del SKU","")&amp;IF(AND($T143="Cobrado",$U143="")," · Cobro sin fecha","")&amp;IF(AND(ISNUMBER($V143),ISNUMBER($N143),$V143&gt;N($N143)+0.01)," · Cobrado &gt; venta neta","")&amp;IF(AND(ISNUMBER($V143),$V143&gt;0,$U143="")," · Monto cobrado sin fecha",""),4,900)))</f>
        <v/>
      </c>
    </row>
    <row r="144">
      <c r="A144" s="51">
        <f>IF(COUNTA($B144,$C144,$D144,$E144,$F144,$I144)=0,"","V-"&amp;TEXT(ROW()-6,"0000"))</f>
        <v/>
      </c>
      <c r="B144" s="41" t="n"/>
      <c r="C144" s="33" t="n"/>
      <c r="D144" s="33" t="n"/>
      <c r="E144" s="33" t="n"/>
      <c r="F144" s="33" t="n"/>
      <c r="G144" s="51">
        <f>IF($F144="","",IFERROR(IF(INDEX(tblProductos[Nombre del producto],MATCH($F144,tblProductos[SKU],0))="","",INDEX(tblProductos[Nombre del producto],MATCH($F144,tblProductos[SKU],0))),""))</f>
        <v/>
      </c>
      <c r="H144" s="51">
        <f>IF($F144="","",IFERROR(IF(INDEX(tblProductos[Categoría],MATCH($F144,tblProductos[SKU],0))="","",INDEX(tblProductos[Categoría],MATCH($F144,tblProductos[SKU],0))),""))</f>
        <v/>
      </c>
      <c r="I144" s="34" t="n"/>
      <c r="J144" s="39">
        <f>IF(OR($B144="",$F144="",$I144=""),"",IF($T144="Anulado",0,$I144))</f>
        <v/>
      </c>
      <c r="K144" s="54">
        <f>IF($F144="","",IFERROR(IF(INDEX(tblProductos[Precio de venta actual],MATCH($F144,tblProductos[SKU],0))="","",INDEX(tblProductos[Precio de venta actual],MATCH($F144,tblProductos[SKU],0))),""))</f>
        <v/>
      </c>
      <c r="L144" s="36" t="n"/>
      <c r="M144" s="37">
        <f>IF($J144="","",IF(NOT(ISNUMBER($K144)),"PRECIO PENDIENTE",$J144*$K144))</f>
        <v/>
      </c>
      <c r="N144" s="37">
        <f>IF($J144="","",IF(NOT(ISNUMBER($M144)),"PRECIO PENDIENTE",$M144-IF(ISNUMBER($L144),$L144,0)))</f>
        <v/>
      </c>
      <c r="O144" s="54">
        <f>IF($F144="","",IFERROR(INDEX(tblInventario[Costo unitario aplicado],MATCH($F144,tblInventario[SKU],0)),""))</f>
        <v/>
      </c>
      <c r="P144" s="37">
        <f>IF($J144="","",IF(NOT(ISNUMBER($O144)),"COSTO PENDIENTE",$J144*$O144))</f>
        <v/>
      </c>
      <c r="Q144" s="37">
        <f>IF($J144="","",IF(OR(NOT(ISNUMBER($N144)),NOT(ISNUMBER($P144))),"PENDIENTE",$N144-$P144))</f>
        <v/>
      </c>
      <c r="R144" s="38">
        <f>IF($J144="","",IF(OR(NOT(ISNUMBER($Q144)),NOT(ISNUMBER($N144)),$N144&lt;=0),"PENDIENTE",$Q144/$N144))</f>
        <v/>
      </c>
      <c r="S144" s="33" t="n"/>
      <c r="T144" s="33" t="n"/>
      <c r="U144" s="41" t="n"/>
      <c r="V144" s="36" t="n"/>
      <c r="W144" s="37">
        <f>IF(NOT(ISNUMBER($N144)),"",$N144-IF(ISNUMBER($V144),$V144,0))</f>
        <v/>
      </c>
      <c r="X144" s="33" t="n"/>
      <c r="Y144" s="51">
        <f>IF(COUNTA($B144,$C144,$D144,$E144,$F144,$I144)=0,"",IF(IF($B144=""," · Falta fecha","")&amp;IF($D144=""," · Falta cliente","")&amp;IF($E144=""," · Falta canal","")&amp;IF($F144=""," · Falta SKU","")&amp;IF(AND($F144&lt;&gt;"",COUNTIF(tblProductos[SKU],$F144)=0)," · SKU no existe","")&amp;IF(OR($I144="",NOT(ISNUMBER($I144)),$I144&lt;=0)," · Cantidad inválida","")&amp;IF($M144="PRECIO PENDIENTE"," · Falta precio de venta","")&amp;IF($P144="COSTO PENDIENTE"," · Falta costo del producto","")&amp;IF(AND(ISNUMBER($Q144),$Q144&lt;0)," · UTILIDAD NEGATIVA","")&amp;IF(AND($F144&lt;&gt;"",ISNUMBER(INDEX(tblInventario[Stock actual],MATCH($F144,tblInventario[SKU],0))),INDEX(tblInventario[Stock actual],MATCH($F144,tblInventario[SKU],0))&lt;0)," · Stock negativo del SKU","")&amp;IF(AND($T144="Cobrado",$U144="")," · Cobro sin fecha","")&amp;IF(AND(ISNUMBER($V144),ISNUMBER($N144),$V144&gt;N($N144)+0.01)," · Cobrado &gt; venta neta","")&amp;IF(AND(ISNUMBER($V144),$V144&gt;0,$U144="")," · Monto cobrado sin fecha","")="","OK",MID(IF($B144=""," · Falta fecha","")&amp;IF($D144=""," · Falta cliente","")&amp;IF($E144=""," · Falta canal","")&amp;IF($F144=""," · Falta SKU","")&amp;IF(AND($F144&lt;&gt;"",COUNTIF(tblProductos[SKU],$F144)=0)," · SKU no existe","")&amp;IF(OR($I144="",NOT(ISNUMBER($I144)),$I144&lt;=0)," · Cantidad inválida","")&amp;IF($M144="PRECIO PENDIENTE"," · Falta precio de venta","")&amp;IF($P144="COSTO PENDIENTE"," · Falta costo del producto","")&amp;IF(AND(ISNUMBER($Q144),$Q144&lt;0)," · UTILIDAD NEGATIVA","")&amp;IF(AND($F144&lt;&gt;"",ISNUMBER(INDEX(tblInventario[Stock actual],MATCH($F144,tblInventario[SKU],0))),INDEX(tblInventario[Stock actual],MATCH($F144,tblInventario[SKU],0))&lt;0)," · Stock negativo del SKU","")&amp;IF(AND($T144="Cobrado",$U144="")," · Cobro sin fecha","")&amp;IF(AND(ISNUMBER($V144),ISNUMBER($N144),$V144&gt;N($N144)+0.01)," · Cobrado &gt; venta neta","")&amp;IF(AND(ISNUMBER($V144),$V144&gt;0,$U144="")," · Monto cobrado sin fecha",""),4,900)))</f>
        <v/>
      </c>
    </row>
    <row r="145">
      <c r="A145" s="51">
        <f>IF(COUNTA($B145,$C145,$D145,$E145,$F145,$I145)=0,"","V-"&amp;TEXT(ROW()-6,"0000"))</f>
        <v/>
      </c>
      <c r="B145" s="41" t="n"/>
      <c r="C145" s="33" t="n"/>
      <c r="D145" s="33" t="n"/>
      <c r="E145" s="33" t="n"/>
      <c r="F145" s="33" t="n"/>
      <c r="G145" s="51">
        <f>IF($F145="","",IFERROR(IF(INDEX(tblProductos[Nombre del producto],MATCH($F145,tblProductos[SKU],0))="","",INDEX(tblProductos[Nombre del producto],MATCH($F145,tblProductos[SKU],0))),""))</f>
        <v/>
      </c>
      <c r="H145" s="51">
        <f>IF($F145="","",IFERROR(IF(INDEX(tblProductos[Categoría],MATCH($F145,tblProductos[SKU],0))="","",INDEX(tblProductos[Categoría],MATCH($F145,tblProductos[SKU],0))),""))</f>
        <v/>
      </c>
      <c r="I145" s="34" t="n"/>
      <c r="J145" s="39">
        <f>IF(OR($B145="",$F145="",$I145=""),"",IF($T145="Anulado",0,$I145))</f>
        <v/>
      </c>
      <c r="K145" s="54">
        <f>IF($F145="","",IFERROR(IF(INDEX(tblProductos[Precio de venta actual],MATCH($F145,tblProductos[SKU],0))="","",INDEX(tblProductos[Precio de venta actual],MATCH($F145,tblProductos[SKU],0))),""))</f>
        <v/>
      </c>
      <c r="L145" s="36" t="n"/>
      <c r="M145" s="37">
        <f>IF($J145="","",IF(NOT(ISNUMBER($K145)),"PRECIO PENDIENTE",$J145*$K145))</f>
        <v/>
      </c>
      <c r="N145" s="37">
        <f>IF($J145="","",IF(NOT(ISNUMBER($M145)),"PRECIO PENDIENTE",$M145-IF(ISNUMBER($L145),$L145,0)))</f>
        <v/>
      </c>
      <c r="O145" s="54">
        <f>IF($F145="","",IFERROR(INDEX(tblInventario[Costo unitario aplicado],MATCH($F145,tblInventario[SKU],0)),""))</f>
        <v/>
      </c>
      <c r="P145" s="37">
        <f>IF($J145="","",IF(NOT(ISNUMBER($O145)),"COSTO PENDIENTE",$J145*$O145))</f>
        <v/>
      </c>
      <c r="Q145" s="37">
        <f>IF($J145="","",IF(OR(NOT(ISNUMBER($N145)),NOT(ISNUMBER($P145))),"PENDIENTE",$N145-$P145))</f>
        <v/>
      </c>
      <c r="R145" s="38">
        <f>IF($J145="","",IF(OR(NOT(ISNUMBER($Q145)),NOT(ISNUMBER($N145)),$N145&lt;=0),"PENDIENTE",$Q145/$N145))</f>
        <v/>
      </c>
      <c r="S145" s="33" t="n"/>
      <c r="T145" s="33" t="n"/>
      <c r="U145" s="41" t="n"/>
      <c r="V145" s="36" t="n"/>
      <c r="W145" s="37">
        <f>IF(NOT(ISNUMBER($N145)),"",$N145-IF(ISNUMBER($V145),$V145,0))</f>
        <v/>
      </c>
      <c r="X145" s="33" t="n"/>
      <c r="Y145" s="51">
        <f>IF(COUNTA($B145,$C145,$D145,$E145,$F145,$I145)=0,"",IF(IF($B145=""," · Falta fecha","")&amp;IF($D145=""," · Falta cliente","")&amp;IF($E145=""," · Falta canal","")&amp;IF($F145=""," · Falta SKU","")&amp;IF(AND($F145&lt;&gt;"",COUNTIF(tblProductos[SKU],$F145)=0)," · SKU no existe","")&amp;IF(OR($I145="",NOT(ISNUMBER($I145)),$I145&lt;=0)," · Cantidad inválida","")&amp;IF($M145="PRECIO PENDIENTE"," · Falta precio de venta","")&amp;IF($P145="COSTO PENDIENTE"," · Falta costo del producto","")&amp;IF(AND(ISNUMBER($Q145),$Q145&lt;0)," · UTILIDAD NEGATIVA","")&amp;IF(AND($F145&lt;&gt;"",ISNUMBER(INDEX(tblInventario[Stock actual],MATCH($F145,tblInventario[SKU],0))),INDEX(tblInventario[Stock actual],MATCH($F145,tblInventario[SKU],0))&lt;0)," · Stock negativo del SKU","")&amp;IF(AND($T145="Cobrado",$U145="")," · Cobro sin fecha","")&amp;IF(AND(ISNUMBER($V145),ISNUMBER($N145),$V145&gt;N($N145)+0.01)," · Cobrado &gt; venta neta","")&amp;IF(AND(ISNUMBER($V145),$V145&gt;0,$U145="")," · Monto cobrado sin fecha","")="","OK",MID(IF($B145=""," · Falta fecha","")&amp;IF($D145=""," · Falta cliente","")&amp;IF($E145=""," · Falta canal","")&amp;IF($F145=""," · Falta SKU","")&amp;IF(AND($F145&lt;&gt;"",COUNTIF(tblProductos[SKU],$F145)=0)," · SKU no existe","")&amp;IF(OR($I145="",NOT(ISNUMBER($I145)),$I145&lt;=0)," · Cantidad inválida","")&amp;IF($M145="PRECIO PENDIENTE"," · Falta precio de venta","")&amp;IF($P145="COSTO PENDIENTE"," · Falta costo del producto","")&amp;IF(AND(ISNUMBER($Q145),$Q145&lt;0)," · UTILIDAD NEGATIVA","")&amp;IF(AND($F145&lt;&gt;"",ISNUMBER(INDEX(tblInventario[Stock actual],MATCH($F145,tblInventario[SKU],0))),INDEX(tblInventario[Stock actual],MATCH($F145,tblInventario[SKU],0))&lt;0)," · Stock negativo del SKU","")&amp;IF(AND($T145="Cobrado",$U145="")," · Cobro sin fecha","")&amp;IF(AND(ISNUMBER($V145),ISNUMBER($N145),$V145&gt;N($N145)+0.01)," · Cobrado &gt; venta neta","")&amp;IF(AND(ISNUMBER($V145),$V145&gt;0,$U145="")," · Monto cobrado sin fecha",""),4,900)))</f>
        <v/>
      </c>
    </row>
    <row r="146">
      <c r="A146" s="51">
        <f>IF(COUNTA($B146,$C146,$D146,$E146,$F146,$I146)=0,"","V-"&amp;TEXT(ROW()-6,"0000"))</f>
        <v/>
      </c>
      <c r="B146" s="41" t="n"/>
      <c r="C146" s="33" t="n"/>
      <c r="D146" s="33" t="n"/>
      <c r="E146" s="33" t="n"/>
      <c r="F146" s="33" t="n"/>
      <c r="G146" s="51">
        <f>IF($F146="","",IFERROR(IF(INDEX(tblProductos[Nombre del producto],MATCH($F146,tblProductos[SKU],0))="","",INDEX(tblProductos[Nombre del producto],MATCH($F146,tblProductos[SKU],0))),""))</f>
        <v/>
      </c>
      <c r="H146" s="51">
        <f>IF($F146="","",IFERROR(IF(INDEX(tblProductos[Categoría],MATCH($F146,tblProductos[SKU],0))="","",INDEX(tblProductos[Categoría],MATCH($F146,tblProductos[SKU],0))),""))</f>
        <v/>
      </c>
      <c r="I146" s="34" t="n"/>
      <c r="J146" s="39">
        <f>IF(OR($B146="",$F146="",$I146=""),"",IF($T146="Anulado",0,$I146))</f>
        <v/>
      </c>
      <c r="K146" s="54">
        <f>IF($F146="","",IFERROR(IF(INDEX(tblProductos[Precio de venta actual],MATCH($F146,tblProductos[SKU],0))="","",INDEX(tblProductos[Precio de venta actual],MATCH($F146,tblProductos[SKU],0))),""))</f>
        <v/>
      </c>
      <c r="L146" s="36" t="n"/>
      <c r="M146" s="37">
        <f>IF($J146="","",IF(NOT(ISNUMBER($K146)),"PRECIO PENDIENTE",$J146*$K146))</f>
        <v/>
      </c>
      <c r="N146" s="37">
        <f>IF($J146="","",IF(NOT(ISNUMBER($M146)),"PRECIO PENDIENTE",$M146-IF(ISNUMBER($L146),$L146,0)))</f>
        <v/>
      </c>
      <c r="O146" s="54">
        <f>IF($F146="","",IFERROR(INDEX(tblInventario[Costo unitario aplicado],MATCH($F146,tblInventario[SKU],0)),""))</f>
        <v/>
      </c>
      <c r="P146" s="37">
        <f>IF($J146="","",IF(NOT(ISNUMBER($O146)),"COSTO PENDIENTE",$J146*$O146))</f>
        <v/>
      </c>
      <c r="Q146" s="37">
        <f>IF($J146="","",IF(OR(NOT(ISNUMBER($N146)),NOT(ISNUMBER($P146))),"PENDIENTE",$N146-$P146))</f>
        <v/>
      </c>
      <c r="R146" s="38">
        <f>IF($J146="","",IF(OR(NOT(ISNUMBER($Q146)),NOT(ISNUMBER($N146)),$N146&lt;=0),"PENDIENTE",$Q146/$N146))</f>
        <v/>
      </c>
      <c r="S146" s="33" t="n"/>
      <c r="T146" s="33" t="n"/>
      <c r="U146" s="41" t="n"/>
      <c r="V146" s="36" t="n"/>
      <c r="W146" s="37">
        <f>IF(NOT(ISNUMBER($N146)),"",$N146-IF(ISNUMBER($V146),$V146,0))</f>
        <v/>
      </c>
      <c r="X146" s="33" t="n"/>
      <c r="Y146" s="51">
        <f>IF(COUNTA($B146,$C146,$D146,$E146,$F146,$I146)=0,"",IF(IF($B146=""," · Falta fecha","")&amp;IF($D146=""," · Falta cliente","")&amp;IF($E146=""," · Falta canal","")&amp;IF($F146=""," · Falta SKU","")&amp;IF(AND($F146&lt;&gt;"",COUNTIF(tblProductos[SKU],$F146)=0)," · SKU no existe","")&amp;IF(OR($I146="",NOT(ISNUMBER($I146)),$I146&lt;=0)," · Cantidad inválida","")&amp;IF($M146="PRECIO PENDIENTE"," · Falta precio de venta","")&amp;IF($P146="COSTO PENDIENTE"," · Falta costo del producto","")&amp;IF(AND(ISNUMBER($Q146),$Q146&lt;0)," · UTILIDAD NEGATIVA","")&amp;IF(AND($F146&lt;&gt;"",ISNUMBER(INDEX(tblInventario[Stock actual],MATCH($F146,tblInventario[SKU],0))),INDEX(tblInventario[Stock actual],MATCH($F146,tblInventario[SKU],0))&lt;0)," · Stock negativo del SKU","")&amp;IF(AND($T146="Cobrado",$U146="")," · Cobro sin fecha","")&amp;IF(AND(ISNUMBER($V146),ISNUMBER($N146),$V146&gt;N($N146)+0.01)," · Cobrado &gt; venta neta","")&amp;IF(AND(ISNUMBER($V146),$V146&gt;0,$U146="")," · Monto cobrado sin fecha","")="","OK",MID(IF($B146=""," · Falta fecha","")&amp;IF($D146=""," · Falta cliente","")&amp;IF($E146=""," · Falta canal","")&amp;IF($F146=""," · Falta SKU","")&amp;IF(AND($F146&lt;&gt;"",COUNTIF(tblProductos[SKU],$F146)=0)," · SKU no existe","")&amp;IF(OR($I146="",NOT(ISNUMBER($I146)),$I146&lt;=0)," · Cantidad inválida","")&amp;IF($M146="PRECIO PENDIENTE"," · Falta precio de venta","")&amp;IF($P146="COSTO PENDIENTE"," · Falta costo del producto","")&amp;IF(AND(ISNUMBER($Q146),$Q146&lt;0)," · UTILIDAD NEGATIVA","")&amp;IF(AND($F146&lt;&gt;"",ISNUMBER(INDEX(tblInventario[Stock actual],MATCH($F146,tblInventario[SKU],0))),INDEX(tblInventario[Stock actual],MATCH($F146,tblInventario[SKU],0))&lt;0)," · Stock negativo del SKU","")&amp;IF(AND($T146="Cobrado",$U146="")," · Cobro sin fecha","")&amp;IF(AND(ISNUMBER($V146),ISNUMBER($N146),$V146&gt;N($N146)+0.01)," · Cobrado &gt; venta neta","")&amp;IF(AND(ISNUMBER($V146),$V146&gt;0,$U146="")," · Monto cobrado sin fecha",""),4,900)))</f>
        <v/>
      </c>
    </row>
    <row r="147">
      <c r="A147" s="51">
        <f>IF(COUNTA($B147,$C147,$D147,$E147,$F147,$I147)=0,"","V-"&amp;TEXT(ROW()-6,"0000"))</f>
        <v/>
      </c>
      <c r="B147" s="41" t="n"/>
      <c r="C147" s="33" t="n"/>
      <c r="D147" s="33" t="n"/>
      <c r="E147" s="33" t="n"/>
      <c r="F147" s="33" t="n"/>
      <c r="G147" s="51">
        <f>IF($F147="","",IFERROR(IF(INDEX(tblProductos[Nombre del producto],MATCH($F147,tblProductos[SKU],0))="","",INDEX(tblProductos[Nombre del producto],MATCH($F147,tblProductos[SKU],0))),""))</f>
        <v/>
      </c>
      <c r="H147" s="51">
        <f>IF($F147="","",IFERROR(IF(INDEX(tblProductos[Categoría],MATCH($F147,tblProductos[SKU],0))="","",INDEX(tblProductos[Categoría],MATCH($F147,tblProductos[SKU],0))),""))</f>
        <v/>
      </c>
      <c r="I147" s="34" t="n"/>
      <c r="J147" s="39">
        <f>IF(OR($B147="",$F147="",$I147=""),"",IF($T147="Anulado",0,$I147))</f>
        <v/>
      </c>
      <c r="K147" s="54">
        <f>IF($F147="","",IFERROR(IF(INDEX(tblProductos[Precio de venta actual],MATCH($F147,tblProductos[SKU],0))="","",INDEX(tblProductos[Precio de venta actual],MATCH($F147,tblProductos[SKU],0))),""))</f>
        <v/>
      </c>
      <c r="L147" s="36" t="n"/>
      <c r="M147" s="37">
        <f>IF($J147="","",IF(NOT(ISNUMBER($K147)),"PRECIO PENDIENTE",$J147*$K147))</f>
        <v/>
      </c>
      <c r="N147" s="37">
        <f>IF($J147="","",IF(NOT(ISNUMBER($M147)),"PRECIO PENDIENTE",$M147-IF(ISNUMBER($L147),$L147,0)))</f>
        <v/>
      </c>
      <c r="O147" s="54">
        <f>IF($F147="","",IFERROR(INDEX(tblInventario[Costo unitario aplicado],MATCH($F147,tblInventario[SKU],0)),""))</f>
        <v/>
      </c>
      <c r="P147" s="37">
        <f>IF($J147="","",IF(NOT(ISNUMBER($O147)),"COSTO PENDIENTE",$J147*$O147))</f>
        <v/>
      </c>
      <c r="Q147" s="37">
        <f>IF($J147="","",IF(OR(NOT(ISNUMBER($N147)),NOT(ISNUMBER($P147))),"PENDIENTE",$N147-$P147))</f>
        <v/>
      </c>
      <c r="R147" s="38">
        <f>IF($J147="","",IF(OR(NOT(ISNUMBER($Q147)),NOT(ISNUMBER($N147)),$N147&lt;=0),"PENDIENTE",$Q147/$N147))</f>
        <v/>
      </c>
      <c r="S147" s="33" t="n"/>
      <c r="T147" s="33" t="n"/>
      <c r="U147" s="41" t="n"/>
      <c r="V147" s="36" t="n"/>
      <c r="W147" s="37">
        <f>IF(NOT(ISNUMBER($N147)),"",$N147-IF(ISNUMBER($V147),$V147,0))</f>
        <v/>
      </c>
      <c r="X147" s="33" t="n"/>
      <c r="Y147" s="51">
        <f>IF(COUNTA($B147,$C147,$D147,$E147,$F147,$I147)=0,"",IF(IF($B147=""," · Falta fecha","")&amp;IF($D147=""," · Falta cliente","")&amp;IF($E147=""," · Falta canal","")&amp;IF($F147=""," · Falta SKU","")&amp;IF(AND($F147&lt;&gt;"",COUNTIF(tblProductos[SKU],$F147)=0)," · SKU no existe","")&amp;IF(OR($I147="",NOT(ISNUMBER($I147)),$I147&lt;=0)," · Cantidad inválida","")&amp;IF($M147="PRECIO PENDIENTE"," · Falta precio de venta","")&amp;IF($P147="COSTO PENDIENTE"," · Falta costo del producto","")&amp;IF(AND(ISNUMBER($Q147),$Q147&lt;0)," · UTILIDAD NEGATIVA","")&amp;IF(AND($F147&lt;&gt;"",ISNUMBER(INDEX(tblInventario[Stock actual],MATCH($F147,tblInventario[SKU],0))),INDEX(tblInventario[Stock actual],MATCH($F147,tblInventario[SKU],0))&lt;0)," · Stock negativo del SKU","")&amp;IF(AND($T147="Cobrado",$U147="")," · Cobro sin fecha","")&amp;IF(AND(ISNUMBER($V147),ISNUMBER($N147),$V147&gt;N($N147)+0.01)," · Cobrado &gt; venta neta","")&amp;IF(AND(ISNUMBER($V147),$V147&gt;0,$U147="")," · Monto cobrado sin fecha","")="","OK",MID(IF($B147=""," · Falta fecha","")&amp;IF($D147=""," · Falta cliente","")&amp;IF($E147=""," · Falta canal","")&amp;IF($F147=""," · Falta SKU","")&amp;IF(AND($F147&lt;&gt;"",COUNTIF(tblProductos[SKU],$F147)=0)," · SKU no existe","")&amp;IF(OR($I147="",NOT(ISNUMBER($I147)),$I147&lt;=0)," · Cantidad inválida","")&amp;IF($M147="PRECIO PENDIENTE"," · Falta precio de venta","")&amp;IF($P147="COSTO PENDIENTE"," · Falta costo del producto","")&amp;IF(AND(ISNUMBER($Q147),$Q147&lt;0)," · UTILIDAD NEGATIVA","")&amp;IF(AND($F147&lt;&gt;"",ISNUMBER(INDEX(tblInventario[Stock actual],MATCH($F147,tblInventario[SKU],0))),INDEX(tblInventario[Stock actual],MATCH($F147,tblInventario[SKU],0))&lt;0)," · Stock negativo del SKU","")&amp;IF(AND($T147="Cobrado",$U147="")," · Cobro sin fecha","")&amp;IF(AND(ISNUMBER($V147),ISNUMBER($N147),$V147&gt;N($N147)+0.01)," · Cobrado &gt; venta neta","")&amp;IF(AND(ISNUMBER($V147),$V147&gt;0,$U147="")," · Monto cobrado sin fecha",""),4,900)))</f>
        <v/>
      </c>
    </row>
    <row r="148">
      <c r="A148" s="51">
        <f>IF(COUNTA($B148,$C148,$D148,$E148,$F148,$I148)=0,"","V-"&amp;TEXT(ROW()-6,"0000"))</f>
        <v/>
      </c>
      <c r="B148" s="41" t="n"/>
      <c r="C148" s="33" t="n"/>
      <c r="D148" s="33" t="n"/>
      <c r="E148" s="33" t="n"/>
      <c r="F148" s="33" t="n"/>
      <c r="G148" s="51">
        <f>IF($F148="","",IFERROR(IF(INDEX(tblProductos[Nombre del producto],MATCH($F148,tblProductos[SKU],0))="","",INDEX(tblProductos[Nombre del producto],MATCH($F148,tblProductos[SKU],0))),""))</f>
        <v/>
      </c>
      <c r="H148" s="51">
        <f>IF($F148="","",IFERROR(IF(INDEX(tblProductos[Categoría],MATCH($F148,tblProductos[SKU],0))="","",INDEX(tblProductos[Categoría],MATCH($F148,tblProductos[SKU],0))),""))</f>
        <v/>
      </c>
      <c r="I148" s="34" t="n"/>
      <c r="J148" s="39">
        <f>IF(OR($B148="",$F148="",$I148=""),"",IF($T148="Anulado",0,$I148))</f>
        <v/>
      </c>
      <c r="K148" s="54">
        <f>IF($F148="","",IFERROR(IF(INDEX(tblProductos[Precio de venta actual],MATCH($F148,tblProductos[SKU],0))="","",INDEX(tblProductos[Precio de venta actual],MATCH($F148,tblProductos[SKU],0))),""))</f>
        <v/>
      </c>
      <c r="L148" s="36" t="n"/>
      <c r="M148" s="37">
        <f>IF($J148="","",IF(NOT(ISNUMBER($K148)),"PRECIO PENDIENTE",$J148*$K148))</f>
        <v/>
      </c>
      <c r="N148" s="37">
        <f>IF($J148="","",IF(NOT(ISNUMBER($M148)),"PRECIO PENDIENTE",$M148-IF(ISNUMBER($L148),$L148,0)))</f>
        <v/>
      </c>
      <c r="O148" s="54">
        <f>IF($F148="","",IFERROR(INDEX(tblInventario[Costo unitario aplicado],MATCH($F148,tblInventario[SKU],0)),""))</f>
        <v/>
      </c>
      <c r="P148" s="37">
        <f>IF($J148="","",IF(NOT(ISNUMBER($O148)),"COSTO PENDIENTE",$J148*$O148))</f>
        <v/>
      </c>
      <c r="Q148" s="37">
        <f>IF($J148="","",IF(OR(NOT(ISNUMBER($N148)),NOT(ISNUMBER($P148))),"PENDIENTE",$N148-$P148))</f>
        <v/>
      </c>
      <c r="R148" s="38">
        <f>IF($J148="","",IF(OR(NOT(ISNUMBER($Q148)),NOT(ISNUMBER($N148)),$N148&lt;=0),"PENDIENTE",$Q148/$N148))</f>
        <v/>
      </c>
      <c r="S148" s="33" t="n"/>
      <c r="T148" s="33" t="n"/>
      <c r="U148" s="41" t="n"/>
      <c r="V148" s="36" t="n"/>
      <c r="W148" s="37">
        <f>IF(NOT(ISNUMBER($N148)),"",$N148-IF(ISNUMBER($V148),$V148,0))</f>
        <v/>
      </c>
      <c r="X148" s="33" t="n"/>
      <c r="Y148" s="51">
        <f>IF(COUNTA($B148,$C148,$D148,$E148,$F148,$I148)=0,"",IF(IF($B148=""," · Falta fecha","")&amp;IF($D148=""," · Falta cliente","")&amp;IF($E148=""," · Falta canal","")&amp;IF($F148=""," · Falta SKU","")&amp;IF(AND($F148&lt;&gt;"",COUNTIF(tblProductos[SKU],$F148)=0)," · SKU no existe","")&amp;IF(OR($I148="",NOT(ISNUMBER($I148)),$I148&lt;=0)," · Cantidad inválida","")&amp;IF($M148="PRECIO PENDIENTE"," · Falta precio de venta","")&amp;IF($P148="COSTO PENDIENTE"," · Falta costo del producto","")&amp;IF(AND(ISNUMBER($Q148),$Q148&lt;0)," · UTILIDAD NEGATIVA","")&amp;IF(AND($F148&lt;&gt;"",ISNUMBER(INDEX(tblInventario[Stock actual],MATCH($F148,tblInventario[SKU],0))),INDEX(tblInventario[Stock actual],MATCH($F148,tblInventario[SKU],0))&lt;0)," · Stock negativo del SKU","")&amp;IF(AND($T148="Cobrado",$U148="")," · Cobro sin fecha","")&amp;IF(AND(ISNUMBER($V148),ISNUMBER($N148),$V148&gt;N($N148)+0.01)," · Cobrado &gt; venta neta","")&amp;IF(AND(ISNUMBER($V148),$V148&gt;0,$U148="")," · Monto cobrado sin fecha","")="","OK",MID(IF($B148=""," · Falta fecha","")&amp;IF($D148=""," · Falta cliente","")&amp;IF($E148=""," · Falta canal","")&amp;IF($F148=""," · Falta SKU","")&amp;IF(AND($F148&lt;&gt;"",COUNTIF(tblProductos[SKU],$F148)=0)," · SKU no existe","")&amp;IF(OR($I148="",NOT(ISNUMBER($I148)),$I148&lt;=0)," · Cantidad inválida","")&amp;IF($M148="PRECIO PENDIENTE"," · Falta precio de venta","")&amp;IF($P148="COSTO PENDIENTE"," · Falta costo del producto","")&amp;IF(AND(ISNUMBER($Q148),$Q148&lt;0)," · UTILIDAD NEGATIVA","")&amp;IF(AND($F148&lt;&gt;"",ISNUMBER(INDEX(tblInventario[Stock actual],MATCH($F148,tblInventario[SKU],0))),INDEX(tblInventario[Stock actual],MATCH($F148,tblInventario[SKU],0))&lt;0)," · Stock negativo del SKU","")&amp;IF(AND($T148="Cobrado",$U148="")," · Cobro sin fecha","")&amp;IF(AND(ISNUMBER($V148),ISNUMBER($N148),$V148&gt;N($N148)+0.01)," · Cobrado &gt; venta neta","")&amp;IF(AND(ISNUMBER($V148),$V148&gt;0,$U148="")," · Monto cobrado sin fecha",""),4,900)))</f>
        <v/>
      </c>
    </row>
    <row r="149">
      <c r="A149" s="51">
        <f>IF(COUNTA($B149,$C149,$D149,$E149,$F149,$I149)=0,"","V-"&amp;TEXT(ROW()-6,"0000"))</f>
        <v/>
      </c>
      <c r="B149" s="41" t="n"/>
      <c r="C149" s="33" t="n"/>
      <c r="D149" s="33" t="n"/>
      <c r="E149" s="33" t="n"/>
      <c r="F149" s="33" t="n"/>
      <c r="G149" s="51">
        <f>IF($F149="","",IFERROR(IF(INDEX(tblProductos[Nombre del producto],MATCH($F149,tblProductos[SKU],0))="","",INDEX(tblProductos[Nombre del producto],MATCH($F149,tblProductos[SKU],0))),""))</f>
        <v/>
      </c>
      <c r="H149" s="51">
        <f>IF($F149="","",IFERROR(IF(INDEX(tblProductos[Categoría],MATCH($F149,tblProductos[SKU],0))="","",INDEX(tblProductos[Categoría],MATCH($F149,tblProductos[SKU],0))),""))</f>
        <v/>
      </c>
      <c r="I149" s="34" t="n"/>
      <c r="J149" s="39">
        <f>IF(OR($B149="",$F149="",$I149=""),"",IF($T149="Anulado",0,$I149))</f>
        <v/>
      </c>
      <c r="K149" s="54">
        <f>IF($F149="","",IFERROR(IF(INDEX(tblProductos[Precio de venta actual],MATCH($F149,tblProductos[SKU],0))="","",INDEX(tblProductos[Precio de venta actual],MATCH($F149,tblProductos[SKU],0))),""))</f>
        <v/>
      </c>
      <c r="L149" s="36" t="n"/>
      <c r="M149" s="37">
        <f>IF($J149="","",IF(NOT(ISNUMBER($K149)),"PRECIO PENDIENTE",$J149*$K149))</f>
        <v/>
      </c>
      <c r="N149" s="37">
        <f>IF($J149="","",IF(NOT(ISNUMBER($M149)),"PRECIO PENDIENTE",$M149-IF(ISNUMBER($L149),$L149,0)))</f>
        <v/>
      </c>
      <c r="O149" s="54">
        <f>IF($F149="","",IFERROR(INDEX(tblInventario[Costo unitario aplicado],MATCH($F149,tblInventario[SKU],0)),""))</f>
        <v/>
      </c>
      <c r="P149" s="37">
        <f>IF($J149="","",IF(NOT(ISNUMBER($O149)),"COSTO PENDIENTE",$J149*$O149))</f>
        <v/>
      </c>
      <c r="Q149" s="37">
        <f>IF($J149="","",IF(OR(NOT(ISNUMBER($N149)),NOT(ISNUMBER($P149))),"PENDIENTE",$N149-$P149))</f>
        <v/>
      </c>
      <c r="R149" s="38">
        <f>IF($J149="","",IF(OR(NOT(ISNUMBER($Q149)),NOT(ISNUMBER($N149)),$N149&lt;=0),"PENDIENTE",$Q149/$N149))</f>
        <v/>
      </c>
      <c r="S149" s="33" t="n"/>
      <c r="T149" s="33" t="n"/>
      <c r="U149" s="41" t="n"/>
      <c r="V149" s="36" t="n"/>
      <c r="W149" s="37">
        <f>IF(NOT(ISNUMBER($N149)),"",$N149-IF(ISNUMBER($V149),$V149,0))</f>
        <v/>
      </c>
      <c r="X149" s="33" t="n"/>
      <c r="Y149" s="51">
        <f>IF(COUNTA($B149,$C149,$D149,$E149,$F149,$I149)=0,"",IF(IF($B149=""," · Falta fecha","")&amp;IF($D149=""," · Falta cliente","")&amp;IF($E149=""," · Falta canal","")&amp;IF($F149=""," · Falta SKU","")&amp;IF(AND($F149&lt;&gt;"",COUNTIF(tblProductos[SKU],$F149)=0)," · SKU no existe","")&amp;IF(OR($I149="",NOT(ISNUMBER($I149)),$I149&lt;=0)," · Cantidad inválida","")&amp;IF($M149="PRECIO PENDIENTE"," · Falta precio de venta","")&amp;IF($P149="COSTO PENDIENTE"," · Falta costo del producto","")&amp;IF(AND(ISNUMBER($Q149),$Q149&lt;0)," · UTILIDAD NEGATIVA","")&amp;IF(AND($F149&lt;&gt;"",ISNUMBER(INDEX(tblInventario[Stock actual],MATCH($F149,tblInventario[SKU],0))),INDEX(tblInventario[Stock actual],MATCH($F149,tblInventario[SKU],0))&lt;0)," · Stock negativo del SKU","")&amp;IF(AND($T149="Cobrado",$U149="")," · Cobro sin fecha","")&amp;IF(AND(ISNUMBER($V149),ISNUMBER($N149),$V149&gt;N($N149)+0.01)," · Cobrado &gt; venta neta","")&amp;IF(AND(ISNUMBER($V149),$V149&gt;0,$U149="")," · Monto cobrado sin fecha","")="","OK",MID(IF($B149=""," · Falta fecha","")&amp;IF($D149=""," · Falta cliente","")&amp;IF($E149=""," · Falta canal","")&amp;IF($F149=""," · Falta SKU","")&amp;IF(AND($F149&lt;&gt;"",COUNTIF(tblProductos[SKU],$F149)=0)," · SKU no existe","")&amp;IF(OR($I149="",NOT(ISNUMBER($I149)),$I149&lt;=0)," · Cantidad inválida","")&amp;IF($M149="PRECIO PENDIENTE"," · Falta precio de venta","")&amp;IF($P149="COSTO PENDIENTE"," · Falta costo del producto","")&amp;IF(AND(ISNUMBER($Q149),$Q149&lt;0)," · UTILIDAD NEGATIVA","")&amp;IF(AND($F149&lt;&gt;"",ISNUMBER(INDEX(tblInventario[Stock actual],MATCH($F149,tblInventario[SKU],0))),INDEX(tblInventario[Stock actual],MATCH($F149,tblInventario[SKU],0))&lt;0)," · Stock negativo del SKU","")&amp;IF(AND($T149="Cobrado",$U149="")," · Cobro sin fecha","")&amp;IF(AND(ISNUMBER($V149),ISNUMBER($N149),$V149&gt;N($N149)+0.01)," · Cobrado &gt; venta neta","")&amp;IF(AND(ISNUMBER($V149),$V149&gt;0,$U149="")," · Monto cobrado sin fecha",""),4,900)))</f>
        <v/>
      </c>
    </row>
    <row r="150">
      <c r="A150" s="51">
        <f>IF(COUNTA($B150,$C150,$D150,$E150,$F150,$I150)=0,"","V-"&amp;TEXT(ROW()-6,"0000"))</f>
        <v/>
      </c>
      <c r="B150" s="41" t="n"/>
      <c r="C150" s="33" t="n"/>
      <c r="D150" s="33" t="n"/>
      <c r="E150" s="33" t="n"/>
      <c r="F150" s="33" t="n"/>
      <c r="G150" s="51">
        <f>IF($F150="","",IFERROR(IF(INDEX(tblProductos[Nombre del producto],MATCH($F150,tblProductos[SKU],0))="","",INDEX(tblProductos[Nombre del producto],MATCH($F150,tblProductos[SKU],0))),""))</f>
        <v/>
      </c>
      <c r="H150" s="51">
        <f>IF($F150="","",IFERROR(IF(INDEX(tblProductos[Categoría],MATCH($F150,tblProductos[SKU],0))="","",INDEX(tblProductos[Categoría],MATCH($F150,tblProductos[SKU],0))),""))</f>
        <v/>
      </c>
      <c r="I150" s="34" t="n"/>
      <c r="J150" s="39">
        <f>IF(OR($B150="",$F150="",$I150=""),"",IF($T150="Anulado",0,$I150))</f>
        <v/>
      </c>
      <c r="K150" s="54">
        <f>IF($F150="","",IFERROR(IF(INDEX(tblProductos[Precio de venta actual],MATCH($F150,tblProductos[SKU],0))="","",INDEX(tblProductos[Precio de venta actual],MATCH($F150,tblProductos[SKU],0))),""))</f>
        <v/>
      </c>
      <c r="L150" s="36" t="n"/>
      <c r="M150" s="37">
        <f>IF($J150="","",IF(NOT(ISNUMBER($K150)),"PRECIO PENDIENTE",$J150*$K150))</f>
        <v/>
      </c>
      <c r="N150" s="37">
        <f>IF($J150="","",IF(NOT(ISNUMBER($M150)),"PRECIO PENDIENTE",$M150-IF(ISNUMBER($L150),$L150,0)))</f>
        <v/>
      </c>
      <c r="O150" s="54">
        <f>IF($F150="","",IFERROR(INDEX(tblInventario[Costo unitario aplicado],MATCH($F150,tblInventario[SKU],0)),""))</f>
        <v/>
      </c>
      <c r="P150" s="37">
        <f>IF($J150="","",IF(NOT(ISNUMBER($O150)),"COSTO PENDIENTE",$J150*$O150))</f>
        <v/>
      </c>
      <c r="Q150" s="37">
        <f>IF($J150="","",IF(OR(NOT(ISNUMBER($N150)),NOT(ISNUMBER($P150))),"PENDIENTE",$N150-$P150))</f>
        <v/>
      </c>
      <c r="R150" s="38">
        <f>IF($J150="","",IF(OR(NOT(ISNUMBER($Q150)),NOT(ISNUMBER($N150)),$N150&lt;=0),"PENDIENTE",$Q150/$N150))</f>
        <v/>
      </c>
      <c r="S150" s="33" t="n"/>
      <c r="T150" s="33" t="n"/>
      <c r="U150" s="41" t="n"/>
      <c r="V150" s="36" t="n"/>
      <c r="W150" s="37">
        <f>IF(NOT(ISNUMBER($N150)),"",$N150-IF(ISNUMBER($V150),$V150,0))</f>
        <v/>
      </c>
      <c r="X150" s="33" t="n"/>
      <c r="Y150" s="51">
        <f>IF(COUNTA($B150,$C150,$D150,$E150,$F150,$I150)=0,"",IF(IF($B150=""," · Falta fecha","")&amp;IF($D150=""," · Falta cliente","")&amp;IF($E150=""," · Falta canal","")&amp;IF($F150=""," · Falta SKU","")&amp;IF(AND($F150&lt;&gt;"",COUNTIF(tblProductos[SKU],$F150)=0)," · SKU no existe","")&amp;IF(OR($I150="",NOT(ISNUMBER($I150)),$I150&lt;=0)," · Cantidad inválida","")&amp;IF($M150="PRECIO PENDIENTE"," · Falta precio de venta","")&amp;IF($P150="COSTO PENDIENTE"," · Falta costo del producto","")&amp;IF(AND(ISNUMBER($Q150),$Q150&lt;0)," · UTILIDAD NEGATIVA","")&amp;IF(AND($F150&lt;&gt;"",ISNUMBER(INDEX(tblInventario[Stock actual],MATCH($F150,tblInventario[SKU],0))),INDEX(tblInventario[Stock actual],MATCH($F150,tblInventario[SKU],0))&lt;0)," · Stock negativo del SKU","")&amp;IF(AND($T150="Cobrado",$U150="")," · Cobro sin fecha","")&amp;IF(AND(ISNUMBER($V150),ISNUMBER($N150),$V150&gt;N($N150)+0.01)," · Cobrado &gt; venta neta","")&amp;IF(AND(ISNUMBER($V150),$V150&gt;0,$U150="")," · Monto cobrado sin fecha","")="","OK",MID(IF($B150=""," · Falta fecha","")&amp;IF($D150=""," · Falta cliente","")&amp;IF($E150=""," · Falta canal","")&amp;IF($F150=""," · Falta SKU","")&amp;IF(AND($F150&lt;&gt;"",COUNTIF(tblProductos[SKU],$F150)=0)," · SKU no existe","")&amp;IF(OR($I150="",NOT(ISNUMBER($I150)),$I150&lt;=0)," · Cantidad inválida","")&amp;IF($M150="PRECIO PENDIENTE"," · Falta precio de venta","")&amp;IF($P150="COSTO PENDIENTE"," · Falta costo del producto","")&amp;IF(AND(ISNUMBER($Q150),$Q150&lt;0)," · UTILIDAD NEGATIVA","")&amp;IF(AND($F150&lt;&gt;"",ISNUMBER(INDEX(tblInventario[Stock actual],MATCH($F150,tblInventario[SKU],0))),INDEX(tblInventario[Stock actual],MATCH($F150,tblInventario[SKU],0))&lt;0)," · Stock negativo del SKU","")&amp;IF(AND($T150="Cobrado",$U150="")," · Cobro sin fecha","")&amp;IF(AND(ISNUMBER($V150),ISNUMBER($N150),$V150&gt;N($N150)+0.01)," · Cobrado &gt; venta neta","")&amp;IF(AND(ISNUMBER($V150),$V150&gt;0,$U150="")," · Monto cobrado sin fecha",""),4,900)))</f>
        <v/>
      </c>
    </row>
    <row r="151">
      <c r="A151" s="51">
        <f>IF(COUNTA($B151,$C151,$D151,$E151,$F151,$I151)=0,"","V-"&amp;TEXT(ROW()-6,"0000"))</f>
        <v/>
      </c>
      <c r="B151" s="41" t="n"/>
      <c r="C151" s="33" t="n"/>
      <c r="D151" s="33" t="n"/>
      <c r="E151" s="33" t="n"/>
      <c r="F151" s="33" t="n"/>
      <c r="G151" s="51">
        <f>IF($F151="","",IFERROR(IF(INDEX(tblProductos[Nombre del producto],MATCH($F151,tblProductos[SKU],0))="","",INDEX(tblProductos[Nombre del producto],MATCH($F151,tblProductos[SKU],0))),""))</f>
        <v/>
      </c>
      <c r="H151" s="51">
        <f>IF($F151="","",IFERROR(IF(INDEX(tblProductos[Categoría],MATCH($F151,tblProductos[SKU],0))="","",INDEX(tblProductos[Categoría],MATCH($F151,tblProductos[SKU],0))),""))</f>
        <v/>
      </c>
      <c r="I151" s="34" t="n"/>
      <c r="J151" s="39">
        <f>IF(OR($B151="",$F151="",$I151=""),"",IF($T151="Anulado",0,$I151))</f>
        <v/>
      </c>
      <c r="K151" s="54">
        <f>IF($F151="","",IFERROR(IF(INDEX(tblProductos[Precio de venta actual],MATCH($F151,tblProductos[SKU],0))="","",INDEX(tblProductos[Precio de venta actual],MATCH($F151,tblProductos[SKU],0))),""))</f>
        <v/>
      </c>
      <c r="L151" s="36" t="n"/>
      <c r="M151" s="37">
        <f>IF($J151="","",IF(NOT(ISNUMBER($K151)),"PRECIO PENDIENTE",$J151*$K151))</f>
        <v/>
      </c>
      <c r="N151" s="37">
        <f>IF($J151="","",IF(NOT(ISNUMBER($M151)),"PRECIO PENDIENTE",$M151-IF(ISNUMBER($L151),$L151,0)))</f>
        <v/>
      </c>
      <c r="O151" s="54">
        <f>IF($F151="","",IFERROR(INDEX(tblInventario[Costo unitario aplicado],MATCH($F151,tblInventario[SKU],0)),""))</f>
        <v/>
      </c>
      <c r="P151" s="37">
        <f>IF($J151="","",IF(NOT(ISNUMBER($O151)),"COSTO PENDIENTE",$J151*$O151))</f>
        <v/>
      </c>
      <c r="Q151" s="37">
        <f>IF($J151="","",IF(OR(NOT(ISNUMBER($N151)),NOT(ISNUMBER($P151))),"PENDIENTE",$N151-$P151))</f>
        <v/>
      </c>
      <c r="R151" s="38">
        <f>IF($J151="","",IF(OR(NOT(ISNUMBER($Q151)),NOT(ISNUMBER($N151)),$N151&lt;=0),"PENDIENTE",$Q151/$N151))</f>
        <v/>
      </c>
      <c r="S151" s="33" t="n"/>
      <c r="T151" s="33" t="n"/>
      <c r="U151" s="41" t="n"/>
      <c r="V151" s="36" t="n"/>
      <c r="W151" s="37">
        <f>IF(NOT(ISNUMBER($N151)),"",$N151-IF(ISNUMBER($V151),$V151,0))</f>
        <v/>
      </c>
      <c r="X151" s="33" t="n"/>
      <c r="Y151" s="51">
        <f>IF(COUNTA($B151,$C151,$D151,$E151,$F151,$I151)=0,"",IF(IF($B151=""," · Falta fecha","")&amp;IF($D151=""," · Falta cliente","")&amp;IF($E151=""," · Falta canal","")&amp;IF($F151=""," · Falta SKU","")&amp;IF(AND($F151&lt;&gt;"",COUNTIF(tblProductos[SKU],$F151)=0)," · SKU no existe","")&amp;IF(OR($I151="",NOT(ISNUMBER($I151)),$I151&lt;=0)," · Cantidad inválida","")&amp;IF($M151="PRECIO PENDIENTE"," · Falta precio de venta","")&amp;IF($P151="COSTO PENDIENTE"," · Falta costo del producto","")&amp;IF(AND(ISNUMBER($Q151),$Q151&lt;0)," · UTILIDAD NEGATIVA","")&amp;IF(AND($F151&lt;&gt;"",ISNUMBER(INDEX(tblInventario[Stock actual],MATCH($F151,tblInventario[SKU],0))),INDEX(tblInventario[Stock actual],MATCH($F151,tblInventario[SKU],0))&lt;0)," · Stock negativo del SKU","")&amp;IF(AND($T151="Cobrado",$U151="")," · Cobro sin fecha","")&amp;IF(AND(ISNUMBER($V151),ISNUMBER($N151),$V151&gt;N($N151)+0.01)," · Cobrado &gt; venta neta","")&amp;IF(AND(ISNUMBER($V151),$V151&gt;0,$U151="")," · Monto cobrado sin fecha","")="","OK",MID(IF($B151=""," · Falta fecha","")&amp;IF($D151=""," · Falta cliente","")&amp;IF($E151=""," · Falta canal","")&amp;IF($F151=""," · Falta SKU","")&amp;IF(AND($F151&lt;&gt;"",COUNTIF(tblProductos[SKU],$F151)=0)," · SKU no existe","")&amp;IF(OR($I151="",NOT(ISNUMBER($I151)),$I151&lt;=0)," · Cantidad inválida","")&amp;IF($M151="PRECIO PENDIENTE"," · Falta precio de venta","")&amp;IF($P151="COSTO PENDIENTE"," · Falta costo del producto","")&amp;IF(AND(ISNUMBER($Q151),$Q151&lt;0)," · UTILIDAD NEGATIVA","")&amp;IF(AND($F151&lt;&gt;"",ISNUMBER(INDEX(tblInventario[Stock actual],MATCH($F151,tblInventario[SKU],0))),INDEX(tblInventario[Stock actual],MATCH($F151,tblInventario[SKU],0))&lt;0)," · Stock negativo del SKU","")&amp;IF(AND($T151="Cobrado",$U151="")," · Cobro sin fecha","")&amp;IF(AND(ISNUMBER($V151),ISNUMBER($N151),$V151&gt;N($N151)+0.01)," · Cobrado &gt; venta neta","")&amp;IF(AND(ISNUMBER($V151),$V151&gt;0,$U151="")," · Monto cobrado sin fecha",""),4,900)))</f>
        <v/>
      </c>
    </row>
    <row r="152">
      <c r="A152" s="51">
        <f>IF(COUNTA($B152,$C152,$D152,$E152,$F152,$I152)=0,"","V-"&amp;TEXT(ROW()-6,"0000"))</f>
        <v/>
      </c>
      <c r="B152" s="41" t="n"/>
      <c r="C152" s="33" t="n"/>
      <c r="D152" s="33" t="n"/>
      <c r="E152" s="33" t="n"/>
      <c r="F152" s="33" t="n"/>
      <c r="G152" s="51">
        <f>IF($F152="","",IFERROR(IF(INDEX(tblProductos[Nombre del producto],MATCH($F152,tblProductos[SKU],0))="","",INDEX(tblProductos[Nombre del producto],MATCH($F152,tblProductos[SKU],0))),""))</f>
        <v/>
      </c>
      <c r="H152" s="51">
        <f>IF($F152="","",IFERROR(IF(INDEX(tblProductos[Categoría],MATCH($F152,tblProductos[SKU],0))="","",INDEX(tblProductos[Categoría],MATCH($F152,tblProductos[SKU],0))),""))</f>
        <v/>
      </c>
      <c r="I152" s="34" t="n"/>
      <c r="J152" s="39">
        <f>IF(OR($B152="",$F152="",$I152=""),"",IF($T152="Anulado",0,$I152))</f>
        <v/>
      </c>
      <c r="K152" s="54">
        <f>IF($F152="","",IFERROR(IF(INDEX(tblProductos[Precio de venta actual],MATCH($F152,tblProductos[SKU],0))="","",INDEX(tblProductos[Precio de venta actual],MATCH($F152,tblProductos[SKU],0))),""))</f>
        <v/>
      </c>
      <c r="L152" s="36" t="n"/>
      <c r="M152" s="37">
        <f>IF($J152="","",IF(NOT(ISNUMBER($K152)),"PRECIO PENDIENTE",$J152*$K152))</f>
        <v/>
      </c>
      <c r="N152" s="37">
        <f>IF($J152="","",IF(NOT(ISNUMBER($M152)),"PRECIO PENDIENTE",$M152-IF(ISNUMBER($L152),$L152,0)))</f>
        <v/>
      </c>
      <c r="O152" s="54">
        <f>IF($F152="","",IFERROR(INDEX(tblInventario[Costo unitario aplicado],MATCH($F152,tblInventario[SKU],0)),""))</f>
        <v/>
      </c>
      <c r="P152" s="37">
        <f>IF($J152="","",IF(NOT(ISNUMBER($O152)),"COSTO PENDIENTE",$J152*$O152))</f>
        <v/>
      </c>
      <c r="Q152" s="37">
        <f>IF($J152="","",IF(OR(NOT(ISNUMBER($N152)),NOT(ISNUMBER($P152))),"PENDIENTE",$N152-$P152))</f>
        <v/>
      </c>
      <c r="R152" s="38">
        <f>IF($J152="","",IF(OR(NOT(ISNUMBER($Q152)),NOT(ISNUMBER($N152)),$N152&lt;=0),"PENDIENTE",$Q152/$N152))</f>
        <v/>
      </c>
      <c r="S152" s="33" t="n"/>
      <c r="T152" s="33" t="n"/>
      <c r="U152" s="41" t="n"/>
      <c r="V152" s="36" t="n"/>
      <c r="W152" s="37">
        <f>IF(NOT(ISNUMBER($N152)),"",$N152-IF(ISNUMBER($V152),$V152,0))</f>
        <v/>
      </c>
      <c r="X152" s="33" t="n"/>
      <c r="Y152" s="51">
        <f>IF(COUNTA($B152,$C152,$D152,$E152,$F152,$I152)=0,"",IF(IF($B152=""," · Falta fecha","")&amp;IF($D152=""," · Falta cliente","")&amp;IF($E152=""," · Falta canal","")&amp;IF($F152=""," · Falta SKU","")&amp;IF(AND($F152&lt;&gt;"",COUNTIF(tblProductos[SKU],$F152)=0)," · SKU no existe","")&amp;IF(OR($I152="",NOT(ISNUMBER($I152)),$I152&lt;=0)," · Cantidad inválida","")&amp;IF($M152="PRECIO PENDIENTE"," · Falta precio de venta","")&amp;IF($P152="COSTO PENDIENTE"," · Falta costo del producto","")&amp;IF(AND(ISNUMBER($Q152),$Q152&lt;0)," · UTILIDAD NEGATIVA","")&amp;IF(AND($F152&lt;&gt;"",ISNUMBER(INDEX(tblInventario[Stock actual],MATCH($F152,tblInventario[SKU],0))),INDEX(tblInventario[Stock actual],MATCH($F152,tblInventario[SKU],0))&lt;0)," · Stock negativo del SKU","")&amp;IF(AND($T152="Cobrado",$U152="")," · Cobro sin fecha","")&amp;IF(AND(ISNUMBER($V152),ISNUMBER($N152),$V152&gt;N($N152)+0.01)," · Cobrado &gt; venta neta","")&amp;IF(AND(ISNUMBER($V152),$V152&gt;0,$U152="")," · Monto cobrado sin fecha","")="","OK",MID(IF($B152=""," · Falta fecha","")&amp;IF($D152=""," · Falta cliente","")&amp;IF($E152=""," · Falta canal","")&amp;IF($F152=""," · Falta SKU","")&amp;IF(AND($F152&lt;&gt;"",COUNTIF(tblProductos[SKU],$F152)=0)," · SKU no existe","")&amp;IF(OR($I152="",NOT(ISNUMBER($I152)),$I152&lt;=0)," · Cantidad inválida","")&amp;IF($M152="PRECIO PENDIENTE"," · Falta precio de venta","")&amp;IF($P152="COSTO PENDIENTE"," · Falta costo del producto","")&amp;IF(AND(ISNUMBER($Q152),$Q152&lt;0)," · UTILIDAD NEGATIVA","")&amp;IF(AND($F152&lt;&gt;"",ISNUMBER(INDEX(tblInventario[Stock actual],MATCH($F152,tblInventario[SKU],0))),INDEX(tblInventario[Stock actual],MATCH($F152,tblInventario[SKU],0))&lt;0)," · Stock negativo del SKU","")&amp;IF(AND($T152="Cobrado",$U152="")," · Cobro sin fecha","")&amp;IF(AND(ISNUMBER($V152),ISNUMBER($N152),$V152&gt;N($N152)+0.01)," · Cobrado &gt; venta neta","")&amp;IF(AND(ISNUMBER($V152),$V152&gt;0,$U152="")," · Monto cobrado sin fecha",""),4,900)))</f>
        <v/>
      </c>
    </row>
    <row r="153">
      <c r="A153" s="51">
        <f>IF(COUNTA($B153,$C153,$D153,$E153,$F153,$I153)=0,"","V-"&amp;TEXT(ROW()-6,"0000"))</f>
        <v/>
      </c>
      <c r="B153" s="41" t="n"/>
      <c r="C153" s="33" t="n"/>
      <c r="D153" s="33" t="n"/>
      <c r="E153" s="33" t="n"/>
      <c r="F153" s="33" t="n"/>
      <c r="G153" s="51">
        <f>IF($F153="","",IFERROR(IF(INDEX(tblProductos[Nombre del producto],MATCH($F153,tblProductos[SKU],0))="","",INDEX(tblProductos[Nombre del producto],MATCH($F153,tblProductos[SKU],0))),""))</f>
        <v/>
      </c>
      <c r="H153" s="51">
        <f>IF($F153="","",IFERROR(IF(INDEX(tblProductos[Categoría],MATCH($F153,tblProductos[SKU],0))="","",INDEX(tblProductos[Categoría],MATCH($F153,tblProductos[SKU],0))),""))</f>
        <v/>
      </c>
      <c r="I153" s="34" t="n"/>
      <c r="J153" s="39">
        <f>IF(OR($B153="",$F153="",$I153=""),"",IF($T153="Anulado",0,$I153))</f>
        <v/>
      </c>
      <c r="K153" s="54">
        <f>IF($F153="","",IFERROR(IF(INDEX(tblProductos[Precio de venta actual],MATCH($F153,tblProductos[SKU],0))="","",INDEX(tblProductos[Precio de venta actual],MATCH($F153,tblProductos[SKU],0))),""))</f>
        <v/>
      </c>
      <c r="L153" s="36" t="n"/>
      <c r="M153" s="37">
        <f>IF($J153="","",IF(NOT(ISNUMBER($K153)),"PRECIO PENDIENTE",$J153*$K153))</f>
        <v/>
      </c>
      <c r="N153" s="37">
        <f>IF($J153="","",IF(NOT(ISNUMBER($M153)),"PRECIO PENDIENTE",$M153-IF(ISNUMBER($L153),$L153,0)))</f>
        <v/>
      </c>
      <c r="O153" s="54">
        <f>IF($F153="","",IFERROR(INDEX(tblInventario[Costo unitario aplicado],MATCH($F153,tblInventario[SKU],0)),""))</f>
        <v/>
      </c>
      <c r="P153" s="37">
        <f>IF($J153="","",IF(NOT(ISNUMBER($O153)),"COSTO PENDIENTE",$J153*$O153))</f>
        <v/>
      </c>
      <c r="Q153" s="37">
        <f>IF($J153="","",IF(OR(NOT(ISNUMBER($N153)),NOT(ISNUMBER($P153))),"PENDIENTE",$N153-$P153))</f>
        <v/>
      </c>
      <c r="R153" s="38">
        <f>IF($J153="","",IF(OR(NOT(ISNUMBER($Q153)),NOT(ISNUMBER($N153)),$N153&lt;=0),"PENDIENTE",$Q153/$N153))</f>
        <v/>
      </c>
      <c r="S153" s="33" t="n"/>
      <c r="T153" s="33" t="n"/>
      <c r="U153" s="41" t="n"/>
      <c r="V153" s="36" t="n"/>
      <c r="W153" s="37">
        <f>IF(NOT(ISNUMBER($N153)),"",$N153-IF(ISNUMBER($V153),$V153,0))</f>
        <v/>
      </c>
      <c r="X153" s="33" t="n"/>
      <c r="Y153" s="51">
        <f>IF(COUNTA($B153,$C153,$D153,$E153,$F153,$I153)=0,"",IF(IF($B153=""," · Falta fecha","")&amp;IF($D153=""," · Falta cliente","")&amp;IF($E153=""," · Falta canal","")&amp;IF($F153=""," · Falta SKU","")&amp;IF(AND($F153&lt;&gt;"",COUNTIF(tblProductos[SKU],$F153)=0)," · SKU no existe","")&amp;IF(OR($I153="",NOT(ISNUMBER($I153)),$I153&lt;=0)," · Cantidad inválida","")&amp;IF($M153="PRECIO PENDIENTE"," · Falta precio de venta","")&amp;IF($P153="COSTO PENDIENTE"," · Falta costo del producto","")&amp;IF(AND(ISNUMBER($Q153),$Q153&lt;0)," · UTILIDAD NEGATIVA","")&amp;IF(AND($F153&lt;&gt;"",ISNUMBER(INDEX(tblInventario[Stock actual],MATCH($F153,tblInventario[SKU],0))),INDEX(tblInventario[Stock actual],MATCH($F153,tblInventario[SKU],0))&lt;0)," · Stock negativo del SKU","")&amp;IF(AND($T153="Cobrado",$U153="")," · Cobro sin fecha","")&amp;IF(AND(ISNUMBER($V153),ISNUMBER($N153),$V153&gt;N($N153)+0.01)," · Cobrado &gt; venta neta","")&amp;IF(AND(ISNUMBER($V153),$V153&gt;0,$U153="")," · Monto cobrado sin fecha","")="","OK",MID(IF($B153=""," · Falta fecha","")&amp;IF($D153=""," · Falta cliente","")&amp;IF($E153=""," · Falta canal","")&amp;IF($F153=""," · Falta SKU","")&amp;IF(AND($F153&lt;&gt;"",COUNTIF(tblProductos[SKU],$F153)=0)," · SKU no existe","")&amp;IF(OR($I153="",NOT(ISNUMBER($I153)),$I153&lt;=0)," · Cantidad inválida","")&amp;IF($M153="PRECIO PENDIENTE"," · Falta precio de venta","")&amp;IF($P153="COSTO PENDIENTE"," · Falta costo del producto","")&amp;IF(AND(ISNUMBER($Q153),$Q153&lt;0)," · UTILIDAD NEGATIVA","")&amp;IF(AND($F153&lt;&gt;"",ISNUMBER(INDEX(tblInventario[Stock actual],MATCH($F153,tblInventario[SKU],0))),INDEX(tblInventario[Stock actual],MATCH($F153,tblInventario[SKU],0))&lt;0)," · Stock negativo del SKU","")&amp;IF(AND($T153="Cobrado",$U153="")," · Cobro sin fecha","")&amp;IF(AND(ISNUMBER($V153),ISNUMBER($N153),$V153&gt;N($N153)+0.01)," · Cobrado &gt; venta neta","")&amp;IF(AND(ISNUMBER($V153),$V153&gt;0,$U153="")," · Monto cobrado sin fecha",""),4,900)))</f>
        <v/>
      </c>
    </row>
    <row r="154">
      <c r="A154" s="51">
        <f>IF(COUNTA($B154,$C154,$D154,$E154,$F154,$I154)=0,"","V-"&amp;TEXT(ROW()-6,"0000"))</f>
        <v/>
      </c>
      <c r="B154" s="41" t="n"/>
      <c r="C154" s="33" t="n"/>
      <c r="D154" s="33" t="n"/>
      <c r="E154" s="33" t="n"/>
      <c r="F154" s="33" t="n"/>
      <c r="G154" s="51">
        <f>IF($F154="","",IFERROR(IF(INDEX(tblProductos[Nombre del producto],MATCH($F154,tblProductos[SKU],0))="","",INDEX(tblProductos[Nombre del producto],MATCH($F154,tblProductos[SKU],0))),""))</f>
        <v/>
      </c>
      <c r="H154" s="51">
        <f>IF($F154="","",IFERROR(IF(INDEX(tblProductos[Categoría],MATCH($F154,tblProductos[SKU],0))="","",INDEX(tblProductos[Categoría],MATCH($F154,tblProductos[SKU],0))),""))</f>
        <v/>
      </c>
      <c r="I154" s="34" t="n"/>
      <c r="J154" s="39">
        <f>IF(OR($B154="",$F154="",$I154=""),"",IF($T154="Anulado",0,$I154))</f>
        <v/>
      </c>
      <c r="K154" s="54">
        <f>IF($F154="","",IFERROR(IF(INDEX(tblProductos[Precio de venta actual],MATCH($F154,tblProductos[SKU],0))="","",INDEX(tblProductos[Precio de venta actual],MATCH($F154,tblProductos[SKU],0))),""))</f>
        <v/>
      </c>
      <c r="L154" s="36" t="n"/>
      <c r="M154" s="37">
        <f>IF($J154="","",IF(NOT(ISNUMBER($K154)),"PRECIO PENDIENTE",$J154*$K154))</f>
        <v/>
      </c>
      <c r="N154" s="37">
        <f>IF($J154="","",IF(NOT(ISNUMBER($M154)),"PRECIO PENDIENTE",$M154-IF(ISNUMBER($L154),$L154,0)))</f>
        <v/>
      </c>
      <c r="O154" s="54">
        <f>IF($F154="","",IFERROR(INDEX(tblInventario[Costo unitario aplicado],MATCH($F154,tblInventario[SKU],0)),""))</f>
        <v/>
      </c>
      <c r="P154" s="37">
        <f>IF($J154="","",IF(NOT(ISNUMBER($O154)),"COSTO PENDIENTE",$J154*$O154))</f>
        <v/>
      </c>
      <c r="Q154" s="37">
        <f>IF($J154="","",IF(OR(NOT(ISNUMBER($N154)),NOT(ISNUMBER($P154))),"PENDIENTE",$N154-$P154))</f>
        <v/>
      </c>
      <c r="R154" s="38">
        <f>IF($J154="","",IF(OR(NOT(ISNUMBER($Q154)),NOT(ISNUMBER($N154)),$N154&lt;=0),"PENDIENTE",$Q154/$N154))</f>
        <v/>
      </c>
      <c r="S154" s="33" t="n"/>
      <c r="T154" s="33" t="n"/>
      <c r="U154" s="41" t="n"/>
      <c r="V154" s="36" t="n"/>
      <c r="W154" s="37">
        <f>IF(NOT(ISNUMBER($N154)),"",$N154-IF(ISNUMBER($V154),$V154,0))</f>
        <v/>
      </c>
      <c r="X154" s="33" t="n"/>
      <c r="Y154" s="51">
        <f>IF(COUNTA($B154,$C154,$D154,$E154,$F154,$I154)=0,"",IF(IF($B154=""," · Falta fecha","")&amp;IF($D154=""," · Falta cliente","")&amp;IF($E154=""," · Falta canal","")&amp;IF($F154=""," · Falta SKU","")&amp;IF(AND($F154&lt;&gt;"",COUNTIF(tblProductos[SKU],$F154)=0)," · SKU no existe","")&amp;IF(OR($I154="",NOT(ISNUMBER($I154)),$I154&lt;=0)," · Cantidad inválida","")&amp;IF($M154="PRECIO PENDIENTE"," · Falta precio de venta","")&amp;IF($P154="COSTO PENDIENTE"," · Falta costo del producto","")&amp;IF(AND(ISNUMBER($Q154),$Q154&lt;0)," · UTILIDAD NEGATIVA","")&amp;IF(AND($F154&lt;&gt;"",ISNUMBER(INDEX(tblInventario[Stock actual],MATCH($F154,tblInventario[SKU],0))),INDEX(tblInventario[Stock actual],MATCH($F154,tblInventario[SKU],0))&lt;0)," · Stock negativo del SKU","")&amp;IF(AND($T154="Cobrado",$U154="")," · Cobro sin fecha","")&amp;IF(AND(ISNUMBER($V154),ISNUMBER($N154),$V154&gt;N($N154)+0.01)," · Cobrado &gt; venta neta","")&amp;IF(AND(ISNUMBER($V154),$V154&gt;0,$U154="")," · Monto cobrado sin fecha","")="","OK",MID(IF($B154=""," · Falta fecha","")&amp;IF($D154=""," · Falta cliente","")&amp;IF($E154=""," · Falta canal","")&amp;IF($F154=""," · Falta SKU","")&amp;IF(AND($F154&lt;&gt;"",COUNTIF(tblProductos[SKU],$F154)=0)," · SKU no existe","")&amp;IF(OR($I154="",NOT(ISNUMBER($I154)),$I154&lt;=0)," · Cantidad inválida","")&amp;IF($M154="PRECIO PENDIENTE"," · Falta precio de venta","")&amp;IF($P154="COSTO PENDIENTE"," · Falta costo del producto","")&amp;IF(AND(ISNUMBER($Q154),$Q154&lt;0)," · UTILIDAD NEGATIVA","")&amp;IF(AND($F154&lt;&gt;"",ISNUMBER(INDEX(tblInventario[Stock actual],MATCH($F154,tblInventario[SKU],0))),INDEX(tblInventario[Stock actual],MATCH($F154,tblInventario[SKU],0))&lt;0)," · Stock negativo del SKU","")&amp;IF(AND($T154="Cobrado",$U154="")," · Cobro sin fecha","")&amp;IF(AND(ISNUMBER($V154),ISNUMBER($N154),$V154&gt;N($N154)+0.01)," · Cobrado &gt; venta neta","")&amp;IF(AND(ISNUMBER($V154),$V154&gt;0,$U154="")," · Monto cobrado sin fecha",""),4,900)))</f>
        <v/>
      </c>
    </row>
    <row r="155">
      <c r="A155" s="51">
        <f>IF(COUNTA($B155,$C155,$D155,$E155,$F155,$I155)=0,"","V-"&amp;TEXT(ROW()-6,"0000"))</f>
        <v/>
      </c>
      <c r="B155" s="41" t="n"/>
      <c r="C155" s="33" t="n"/>
      <c r="D155" s="33" t="n"/>
      <c r="E155" s="33" t="n"/>
      <c r="F155" s="33" t="n"/>
      <c r="G155" s="51">
        <f>IF($F155="","",IFERROR(IF(INDEX(tblProductos[Nombre del producto],MATCH($F155,tblProductos[SKU],0))="","",INDEX(tblProductos[Nombre del producto],MATCH($F155,tblProductos[SKU],0))),""))</f>
        <v/>
      </c>
      <c r="H155" s="51">
        <f>IF($F155="","",IFERROR(IF(INDEX(tblProductos[Categoría],MATCH($F155,tblProductos[SKU],0))="","",INDEX(tblProductos[Categoría],MATCH($F155,tblProductos[SKU],0))),""))</f>
        <v/>
      </c>
      <c r="I155" s="34" t="n"/>
      <c r="J155" s="39">
        <f>IF(OR($B155="",$F155="",$I155=""),"",IF($T155="Anulado",0,$I155))</f>
        <v/>
      </c>
      <c r="K155" s="54">
        <f>IF($F155="","",IFERROR(IF(INDEX(tblProductos[Precio de venta actual],MATCH($F155,tblProductos[SKU],0))="","",INDEX(tblProductos[Precio de venta actual],MATCH($F155,tblProductos[SKU],0))),""))</f>
        <v/>
      </c>
      <c r="L155" s="36" t="n"/>
      <c r="M155" s="37">
        <f>IF($J155="","",IF(NOT(ISNUMBER($K155)),"PRECIO PENDIENTE",$J155*$K155))</f>
        <v/>
      </c>
      <c r="N155" s="37">
        <f>IF($J155="","",IF(NOT(ISNUMBER($M155)),"PRECIO PENDIENTE",$M155-IF(ISNUMBER($L155),$L155,0)))</f>
        <v/>
      </c>
      <c r="O155" s="54">
        <f>IF($F155="","",IFERROR(INDEX(tblInventario[Costo unitario aplicado],MATCH($F155,tblInventario[SKU],0)),""))</f>
        <v/>
      </c>
      <c r="P155" s="37">
        <f>IF($J155="","",IF(NOT(ISNUMBER($O155)),"COSTO PENDIENTE",$J155*$O155))</f>
        <v/>
      </c>
      <c r="Q155" s="37">
        <f>IF($J155="","",IF(OR(NOT(ISNUMBER($N155)),NOT(ISNUMBER($P155))),"PENDIENTE",$N155-$P155))</f>
        <v/>
      </c>
      <c r="R155" s="38">
        <f>IF($J155="","",IF(OR(NOT(ISNUMBER($Q155)),NOT(ISNUMBER($N155)),$N155&lt;=0),"PENDIENTE",$Q155/$N155))</f>
        <v/>
      </c>
      <c r="S155" s="33" t="n"/>
      <c r="T155" s="33" t="n"/>
      <c r="U155" s="41" t="n"/>
      <c r="V155" s="36" t="n"/>
      <c r="W155" s="37">
        <f>IF(NOT(ISNUMBER($N155)),"",$N155-IF(ISNUMBER($V155),$V155,0))</f>
        <v/>
      </c>
      <c r="X155" s="33" t="n"/>
      <c r="Y155" s="51">
        <f>IF(COUNTA($B155,$C155,$D155,$E155,$F155,$I155)=0,"",IF(IF($B155=""," · Falta fecha","")&amp;IF($D155=""," · Falta cliente","")&amp;IF($E155=""," · Falta canal","")&amp;IF($F155=""," · Falta SKU","")&amp;IF(AND($F155&lt;&gt;"",COUNTIF(tblProductos[SKU],$F155)=0)," · SKU no existe","")&amp;IF(OR($I155="",NOT(ISNUMBER($I155)),$I155&lt;=0)," · Cantidad inválida","")&amp;IF($M155="PRECIO PENDIENTE"," · Falta precio de venta","")&amp;IF($P155="COSTO PENDIENTE"," · Falta costo del producto","")&amp;IF(AND(ISNUMBER($Q155),$Q155&lt;0)," · UTILIDAD NEGATIVA","")&amp;IF(AND($F155&lt;&gt;"",ISNUMBER(INDEX(tblInventario[Stock actual],MATCH($F155,tblInventario[SKU],0))),INDEX(tblInventario[Stock actual],MATCH($F155,tblInventario[SKU],0))&lt;0)," · Stock negativo del SKU","")&amp;IF(AND($T155="Cobrado",$U155="")," · Cobro sin fecha","")&amp;IF(AND(ISNUMBER($V155),ISNUMBER($N155),$V155&gt;N($N155)+0.01)," · Cobrado &gt; venta neta","")&amp;IF(AND(ISNUMBER($V155),$V155&gt;0,$U155="")," · Monto cobrado sin fecha","")="","OK",MID(IF($B155=""," · Falta fecha","")&amp;IF($D155=""," · Falta cliente","")&amp;IF($E155=""," · Falta canal","")&amp;IF($F155=""," · Falta SKU","")&amp;IF(AND($F155&lt;&gt;"",COUNTIF(tblProductos[SKU],$F155)=0)," · SKU no existe","")&amp;IF(OR($I155="",NOT(ISNUMBER($I155)),$I155&lt;=0)," · Cantidad inválida","")&amp;IF($M155="PRECIO PENDIENTE"," · Falta precio de venta","")&amp;IF($P155="COSTO PENDIENTE"," · Falta costo del producto","")&amp;IF(AND(ISNUMBER($Q155),$Q155&lt;0)," · UTILIDAD NEGATIVA","")&amp;IF(AND($F155&lt;&gt;"",ISNUMBER(INDEX(tblInventario[Stock actual],MATCH($F155,tblInventario[SKU],0))),INDEX(tblInventario[Stock actual],MATCH($F155,tblInventario[SKU],0))&lt;0)," · Stock negativo del SKU","")&amp;IF(AND($T155="Cobrado",$U155="")," · Cobro sin fecha","")&amp;IF(AND(ISNUMBER($V155),ISNUMBER($N155),$V155&gt;N($N155)+0.01)," · Cobrado &gt; venta neta","")&amp;IF(AND(ISNUMBER($V155),$V155&gt;0,$U155="")," · Monto cobrado sin fecha",""),4,900)))</f>
        <v/>
      </c>
    </row>
    <row r="156">
      <c r="A156" s="51">
        <f>IF(COUNTA($B156,$C156,$D156,$E156,$F156,$I156)=0,"","V-"&amp;TEXT(ROW()-6,"0000"))</f>
        <v/>
      </c>
      <c r="B156" s="41" t="n"/>
      <c r="C156" s="33" t="n"/>
      <c r="D156" s="33" t="n"/>
      <c r="E156" s="33" t="n"/>
      <c r="F156" s="33" t="n"/>
      <c r="G156" s="51">
        <f>IF($F156="","",IFERROR(IF(INDEX(tblProductos[Nombre del producto],MATCH($F156,tblProductos[SKU],0))="","",INDEX(tblProductos[Nombre del producto],MATCH($F156,tblProductos[SKU],0))),""))</f>
        <v/>
      </c>
      <c r="H156" s="51">
        <f>IF($F156="","",IFERROR(IF(INDEX(tblProductos[Categoría],MATCH($F156,tblProductos[SKU],0))="","",INDEX(tblProductos[Categoría],MATCH($F156,tblProductos[SKU],0))),""))</f>
        <v/>
      </c>
      <c r="I156" s="34" t="n"/>
      <c r="J156" s="39">
        <f>IF(OR($B156="",$F156="",$I156=""),"",IF($T156="Anulado",0,$I156))</f>
        <v/>
      </c>
      <c r="K156" s="54">
        <f>IF($F156="","",IFERROR(IF(INDEX(tblProductos[Precio de venta actual],MATCH($F156,tblProductos[SKU],0))="","",INDEX(tblProductos[Precio de venta actual],MATCH($F156,tblProductos[SKU],0))),""))</f>
        <v/>
      </c>
      <c r="L156" s="36" t="n"/>
      <c r="M156" s="37">
        <f>IF($J156="","",IF(NOT(ISNUMBER($K156)),"PRECIO PENDIENTE",$J156*$K156))</f>
        <v/>
      </c>
      <c r="N156" s="37">
        <f>IF($J156="","",IF(NOT(ISNUMBER($M156)),"PRECIO PENDIENTE",$M156-IF(ISNUMBER($L156),$L156,0)))</f>
        <v/>
      </c>
      <c r="O156" s="54">
        <f>IF($F156="","",IFERROR(INDEX(tblInventario[Costo unitario aplicado],MATCH($F156,tblInventario[SKU],0)),""))</f>
        <v/>
      </c>
      <c r="P156" s="37">
        <f>IF($J156="","",IF(NOT(ISNUMBER($O156)),"COSTO PENDIENTE",$J156*$O156))</f>
        <v/>
      </c>
      <c r="Q156" s="37">
        <f>IF($J156="","",IF(OR(NOT(ISNUMBER($N156)),NOT(ISNUMBER($P156))),"PENDIENTE",$N156-$P156))</f>
        <v/>
      </c>
      <c r="R156" s="38">
        <f>IF($J156="","",IF(OR(NOT(ISNUMBER($Q156)),NOT(ISNUMBER($N156)),$N156&lt;=0),"PENDIENTE",$Q156/$N156))</f>
        <v/>
      </c>
      <c r="S156" s="33" t="n"/>
      <c r="T156" s="33" t="n"/>
      <c r="U156" s="41" t="n"/>
      <c r="V156" s="36" t="n"/>
      <c r="W156" s="37">
        <f>IF(NOT(ISNUMBER($N156)),"",$N156-IF(ISNUMBER($V156),$V156,0))</f>
        <v/>
      </c>
      <c r="X156" s="33" t="n"/>
      <c r="Y156" s="51">
        <f>IF(COUNTA($B156,$C156,$D156,$E156,$F156,$I156)=0,"",IF(IF($B156=""," · Falta fecha","")&amp;IF($D156=""," · Falta cliente","")&amp;IF($E156=""," · Falta canal","")&amp;IF($F156=""," · Falta SKU","")&amp;IF(AND($F156&lt;&gt;"",COUNTIF(tblProductos[SKU],$F156)=0)," · SKU no existe","")&amp;IF(OR($I156="",NOT(ISNUMBER($I156)),$I156&lt;=0)," · Cantidad inválida","")&amp;IF($M156="PRECIO PENDIENTE"," · Falta precio de venta","")&amp;IF($P156="COSTO PENDIENTE"," · Falta costo del producto","")&amp;IF(AND(ISNUMBER($Q156),$Q156&lt;0)," · UTILIDAD NEGATIVA","")&amp;IF(AND($F156&lt;&gt;"",ISNUMBER(INDEX(tblInventario[Stock actual],MATCH($F156,tblInventario[SKU],0))),INDEX(tblInventario[Stock actual],MATCH($F156,tblInventario[SKU],0))&lt;0)," · Stock negativo del SKU","")&amp;IF(AND($T156="Cobrado",$U156="")," · Cobro sin fecha","")&amp;IF(AND(ISNUMBER($V156),ISNUMBER($N156),$V156&gt;N($N156)+0.01)," · Cobrado &gt; venta neta","")&amp;IF(AND(ISNUMBER($V156),$V156&gt;0,$U156="")," · Monto cobrado sin fecha","")="","OK",MID(IF($B156=""," · Falta fecha","")&amp;IF($D156=""," · Falta cliente","")&amp;IF($E156=""," · Falta canal","")&amp;IF($F156=""," · Falta SKU","")&amp;IF(AND($F156&lt;&gt;"",COUNTIF(tblProductos[SKU],$F156)=0)," · SKU no existe","")&amp;IF(OR($I156="",NOT(ISNUMBER($I156)),$I156&lt;=0)," · Cantidad inválida","")&amp;IF($M156="PRECIO PENDIENTE"," · Falta precio de venta","")&amp;IF($P156="COSTO PENDIENTE"," · Falta costo del producto","")&amp;IF(AND(ISNUMBER($Q156),$Q156&lt;0)," · UTILIDAD NEGATIVA","")&amp;IF(AND($F156&lt;&gt;"",ISNUMBER(INDEX(tblInventario[Stock actual],MATCH($F156,tblInventario[SKU],0))),INDEX(tblInventario[Stock actual],MATCH($F156,tblInventario[SKU],0))&lt;0)," · Stock negativo del SKU","")&amp;IF(AND($T156="Cobrado",$U156="")," · Cobro sin fecha","")&amp;IF(AND(ISNUMBER($V156),ISNUMBER($N156),$V156&gt;N($N156)+0.01)," · Cobrado &gt; venta neta","")&amp;IF(AND(ISNUMBER($V156),$V156&gt;0,$U156="")," · Monto cobrado sin fecha",""),4,900)))</f>
        <v/>
      </c>
    </row>
    <row r="157">
      <c r="A157" s="51">
        <f>IF(COUNTA($B157,$C157,$D157,$E157,$F157,$I157)=0,"","V-"&amp;TEXT(ROW()-6,"0000"))</f>
        <v/>
      </c>
      <c r="B157" s="41" t="n"/>
      <c r="C157" s="33" t="n"/>
      <c r="D157" s="33" t="n"/>
      <c r="E157" s="33" t="n"/>
      <c r="F157" s="33" t="n"/>
      <c r="G157" s="51">
        <f>IF($F157="","",IFERROR(IF(INDEX(tblProductos[Nombre del producto],MATCH($F157,tblProductos[SKU],0))="","",INDEX(tblProductos[Nombre del producto],MATCH($F157,tblProductos[SKU],0))),""))</f>
        <v/>
      </c>
      <c r="H157" s="51">
        <f>IF($F157="","",IFERROR(IF(INDEX(tblProductos[Categoría],MATCH($F157,tblProductos[SKU],0))="","",INDEX(tblProductos[Categoría],MATCH($F157,tblProductos[SKU],0))),""))</f>
        <v/>
      </c>
      <c r="I157" s="34" t="n"/>
      <c r="J157" s="39">
        <f>IF(OR($B157="",$F157="",$I157=""),"",IF($T157="Anulado",0,$I157))</f>
        <v/>
      </c>
      <c r="K157" s="54">
        <f>IF($F157="","",IFERROR(IF(INDEX(tblProductos[Precio de venta actual],MATCH($F157,tblProductos[SKU],0))="","",INDEX(tblProductos[Precio de venta actual],MATCH($F157,tblProductos[SKU],0))),""))</f>
        <v/>
      </c>
      <c r="L157" s="36" t="n"/>
      <c r="M157" s="37">
        <f>IF($J157="","",IF(NOT(ISNUMBER($K157)),"PRECIO PENDIENTE",$J157*$K157))</f>
        <v/>
      </c>
      <c r="N157" s="37">
        <f>IF($J157="","",IF(NOT(ISNUMBER($M157)),"PRECIO PENDIENTE",$M157-IF(ISNUMBER($L157),$L157,0)))</f>
        <v/>
      </c>
      <c r="O157" s="54">
        <f>IF($F157="","",IFERROR(INDEX(tblInventario[Costo unitario aplicado],MATCH($F157,tblInventario[SKU],0)),""))</f>
        <v/>
      </c>
      <c r="P157" s="37">
        <f>IF($J157="","",IF(NOT(ISNUMBER($O157)),"COSTO PENDIENTE",$J157*$O157))</f>
        <v/>
      </c>
      <c r="Q157" s="37">
        <f>IF($J157="","",IF(OR(NOT(ISNUMBER($N157)),NOT(ISNUMBER($P157))),"PENDIENTE",$N157-$P157))</f>
        <v/>
      </c>
      <c r="R157" s="38">
        <f>IF($J157="","",IF(OR(NOT(ISNUMBER($Q157)),NOT(ISNUMBER($N157)),$N157&lt;=0),"PENDIENTE",$Q157/$N157))</f>
        <v/>
      </c>
      <c r="S157" s="33" t="n"/>
      <c r="T157" s="33" t="n"/>
      <c r="U157" s="41" t="n"/>
      <c r="V157" s="36" t="n"/>
      <c r="W157" s="37">
        <f>IF(NOT(ISNUMBER($N157)),"",$N157-IF(ISNUMBER($V157),$V157,0))</f>
        <v/>
      </c>
      <c r="X157" s="33" t="n"/>
      <c r="Y157" s="51">
        <f>IF(COUNTA($B157,$C157,$D157,$E157,$F157,$I157)=0,"",IF(IF($B157=""," · Falta fecha","")&amp;IF($D157=""," · Falta cliente","")&amp;IF($E157=""," · Falta canal","")&amp;IF($F157=""," · Falta SKU","")&amp;IF(AND($F157&lt;&gt;"",COUNTIF(tblProductos[SKU],$F157)=0)," · SKU no existe","")&amp;IF(OR($I157="",NOT(ISNUMBER($I157)),$I157&lt;=0)," · Cantidad inválida","")&amp;IF($M157="PRECIO PENDIENTE"," · Falta precio de venta","")&amp;IF($P157="COSTO PENDIENTE"," · Falta costo del producto","")&amp;IF(AND(ISNUMBER($Q157),$Q157&lt;0)," · UTILIDAD NEGATIVA","")&amp;IF(AND($F157&lt;&gt;"",ISNUMBER(INDEX(tblInventario[Stock actual],MATCH($F157,tblInventario[SKU],0))),INDEX(tblInventario[Stock actual],MATCH($F157,tblInventario[SKU],0))&lt;0)," · Stock negativo del SKU","")&amp;IF(AND($T157="Cobrado",$U157="")," · Cobro sin fecha","")&amp;IF(AND(ISNUMBER($V157),ISNUMBER($N157),$V157&gt;N($N157)+0.01)," · Cobrado &gt; venta neta","")&amp;IF(AND(ISNUMBER($V157),$V157&gt;0,$U157="")," · Monto cobrado sin fecha","")="","OK",MID(IF($B157=""," · Falta fecha","")&amp;IF($D157=""," · Falta cliente","")&amp;IF($E157=""," · Falta canal","")&amp;IF($F157=""," · Falta SKU","")&amp;IF(AND($F157&lt;&gt;"",COUNTIF(tblProductos[SKU],$F157)=0)," · SKU no existe","")&amp;IF(OR($I157="",NOT(ISNUMBER($I157)),$I157&lt;=0)," · Cantidad inválida","")&amp;IF($M157="PRECIO PENDIENTE"," · Falta precio de venta","")&amp;IF($P157="COSTO PENDIENTE"," · Falta costo del producto","")&amp;IF(AND(ISNUMBER($Q157),$Q157&lt;0)," · UTILIDAD NEGATIVA","")&amp;IF(AND($F157&lt;&gt;"",ISNUMBER(INDEX(tblInventario[Stock actual],MATCH($F157,tblInventario[SKU],0))),INDEX(tblInventario[Stock actual],MATCH($F157,tblInventario[SKU],0))&lt;0)," · Stock negativo del SKU","")&amp;IF(AND($T157="Cobrado",$U157="")," · Cobro sin fecha","")&amp;IF(AND(ISNUMBER($V157),ISNUMBER($N157),$V157&gt;N($N157)+0.01)," · Cobrado &gt; venta neta","")&amp;IF(AND(ISNUMBER($V157),$V157&gt;0,$U157="")," · Monto cobrado sin fecha",""),4,900)))</f>
        <v/>
      </c>
    </row>
    <row r="158">
      <c r="A158" s="51">
        <f>IF(COUNTA($B158,$C158,$D158,$E158,$F158,$I158)=0,"","V-"&amp;TEXT(ROW()-6,"0000"))</f>
        <v/>
      </c>
      <c r="B158" s="41" t="n"/>
      <c r="C158" s="33" t="n"/>
      <c r="D158" s="33" t="n"/>
      <c r="E158" s="33" t="n"/>
      <c r="F158" s="33" t="n"/>
      <c r="G158" s="51">
        <f>IF($F158="","",IFERROR(IF(INDEX(tblProductos[Nombre del producto],MATCH($F158,tblProductos[SKU],0))="","",INDEX(tblProductos[Nombre del producto],MATCH($F158,tblProductos[SKU],0))),""))</f>
        <v/>
      </c>
      <c r="H158" s="51">
        <f>IF($F158="","",IFERROR(IF(INDEX(tblProductos[Categoría],MATCH($F158,tblProductos[SKU],0))="","",INDEX(tblProductos[Categoría],MATCH($F158,tblProductos[SKU],0))),""))</f>
        <v/>
      </c>
      <c r="I158" s="34" t="n"/>
      <c r="J158" s="39">
        <f>IF(OR($B158="",$F158="",$I158=""),"",IF($T158="Anulado",0,$I158))</f>
        <v/>
      </c>
      <c r="K158" s="54">
        <f>IF($F158="","",IFERROR(IF(INDEX(tblProductos[Precio de venta actual],MATCH($F158,tblProductos[SKU],0))="","",INDEX(tblProductos[Precio de venta actual],MATCH($F158,tblProductos[SKU],0))),""))</f>
        <v/>
      </c>
      <c r="L158" s="36" t="n"/>
      <c r="M158" s="37">
        <f>IF($J158="","",IF(NOT(ISNUMBER($K158)),"PRECIO PENDIENTE",$J158*$K158))</f>
        <v/>
      </c>
      <c r="N158" s="37">
        <f>IF($J158="","",IF(NOT(ISNUMBER($M158)),"PRECIO PENDIENTE",$M158-IF(ISNUMBER($L158),$L158,0)))</f>
        <v/>
      </c>
      <c r="O158" s="54">
        <f>IF($F158="","",IFERROR(INDEX(tblInventario[Costo unitario aplicado],MATCH($F158,tblInventario[SKU],0)),""))</f>
        <v/>
      </c>
      <c r="P158" s="37">
        <f>IF($J158="","",IF(NOT(ISNUMBER($O158)),"COSTO PENDIENTE",$J158*$O158))</f>
        <v/>
      </c>
      <c r="Q158" s="37">
        <f>IF($J158="","",IF(OR(NOT(ISNUMBER($N158)),NOT(ISNUMBER($P158))),"PENDIENTE",$N158-$P158))</f>
        <v/>
      </c>
      <c r="R158" s="38">
        <f>IF($J158="","",IF(OR(NOT(ISNUMBER($Q158)),NOT(ISNUMBER($N158)),$N158&lt;=0),"PENDIENTE",$Q158/$N158))</f>
        <v/>
      </c>
      <c r="S158" s="33" t="n"/>
      <c r="T158" s="33" t="n"/>
      <c r="U158" s="41" t="n"/>
      <c r="V158" s="36" t="n"/>
      <c r="W158" s="37">
        <f>IF(NOT(ISNUMBER($N158)),"",$N158-IF(ISNUMBER($V158),$V158,0))</f>
        <v/>
      </c>
      <c r="X158" s="33" t="n"/>
      <c r="Y158" s="51">
        <f>IF(COUNTA($B158,$C158,$D158,$E158,$F158,$I158)=0,"",IF(IF($B158=""," · Falta fecha","")&amp;IF($D158=""," · Falta cliente","")&amp;IF($E158=""," · Falta canal","")&amp;IF($F158=""," · Falta SKU","")&amp;IF(AND($F158&lt;&gt;"",COUNTIF(tblProductos[SKU],$F158)=0)," · SKU no existe","")&amp;IF(OR($I158="",NOT(ISNUMBER($I158)),$I158&lt;=0)," · Cantidad inválida","")&amp;IF($M158="PRECIO PENDIENTE"," · Falta precio de venta","")&amp;IF($P158="COSTO PENDIENTE"," · Falta costo del producto","")&amp;IF(AND(ISNUMBER($Q158),$Q158&lt;0)," · UTILIDAD NEGATIVA","")&amp;IF(AND($F158&lt;&gt;"",ISNUMBER(INDEX(tblInventario[Stock actual],MATCH($F158,tblInventario[SKU],0))),INDEX(tblInventario[Stock actual],MATCH($F158,tblInventario[SKU],0))&lt;0)," · Stock negativo del SKU","")&amp;IF(AND($T158="Cobrado",$U158="")," · Cobro sin fecha","")&amp;IF(AND(ISNUMBER($V158),ISNUMBER($N158),$V158&gt;N($N158)+0.01)," · Cobrado &gt; venta neta","")&amp;IF(AND(ISNUMBER($V158),$V158&gt;0,$U158="")," · Monto cobrado sin fecha","")="","OK",MID(IF($B158=""," · Falta fecha","")&amp;IF($D158=""," · Falta cliente","")&amp;IF($E158=""," · Falta canal","")&amp;IF($F158=""," · Falta SKU","")&amp;IF(AND($F158&lt;&gt;"",COUNTIF(tblProductos[SKU],$F158)=0)," · SKU no existe","")&amp;IF(OR($I158="",NOT(ISNUMBER($I158)),$I158&lt;=0)," · Cantidad inválida","")&amp;IF($M158="PRECIO PENDIENTE"," · Falta precio de venta","")&amp;IF($P158="COSTO PENDIENTE"," · Falta costo del producto","")&amp;IF(AND(ISNUMBER($Q158),$Q158&lt;0)," · UTILIDAD NEGATIVA","")&amp;IF(AND($F158&lt;&gt;"",ISNUMBER(INDEX(tblInventario[Stock actual],MATCH($F158,tblInventario[SKU],0))),INDEX(tblInventario[Stock actual],MATCH($F158,tblInventario[SKU],0))&lt;0)," · Stock negativo del SKU","")&amp;IF(AND($T158="Cobrado",$U158="")," · Cobro sin fecha","")&amp;IF(AND(ISNUMBER($V158),ISNUMBER($N158),$V158&gt;N($N158)+0.01)," · Cobrado &gt; venta neta","")&amp;IF(AND(ISNUMBER($V158),$V158&gt;0,$U158="")," · Monto cobrado sin fecha",""),4,900)))</f>
        <v/>
      </c>
    </row>
    <row r="159">
      <c r="A159" s="51">
        <f>IF(COUNTA($B159,$C159,$D159,$E159,$F159,$I159)=0,"","V-"&amp;TEXT(ROW()-6,"0000"))</f>
        <v/>
      </c>
      <c r="B159" s="41" t="n"/>
      <c r="C159" s="33" t="n"/>
      <c r="D159" s="33" t="n"/>
      <c r="E159" s="33" t="n"/>
      <c r="F159" s="33" t="n"/>
      <c r="G159" s="51">
        <f>IF($F159="","",IFERROR(IF(INDEX(tblProductos[Nombre del producto],MATCH($F159,tblProductos[SKU],0))="","",INDEX(tblProductos[Nombre del producto],MATCH($F159,tblProductos[SKU],0))),""))</f>
        <v/>
      </c>
      <c r="H159" s="51">
        <f>IF($F159="","",IFERROR(IF(INDEX(tblProductos[Categoría],MATCH($F159,tblProductos[SKU],0))="","",INDEX(tblProductos[Categoría],MATCH($F159,tblProductos[SKU],0))),""))</f>
        <v/>
      </c>
      <c r="I159" s="34" t="n"/>
      <c r="J159" s="39">
        <f>IF(OR($B159="",$F159="",$I159=""),"",IF($T159="Anulado",0,$I159))</f>
        <v/>
      </c>
      <c r="K159" s="54">
        <f>IF($F159="","",IFERROR(IF(INDEX(tblProductos[Precio de venta actual],MATCH($F159,tblProductos[SKU],0))="","",INDEX(tblProductos[Precio de venta actual],MATCH($F159,tblProductos[SKU],0))),""))</f>
        <v/>
      </c>
      <c r="L159" s="36" t="n"/>
      <c r="M159" s="37">
        <f>IF($J159="","",IF(NOT(ISNUMBER($K159)),"PRECIO PENDIENTE",$J159*$K159))</f>
        <v/>
      </c>
      <c r="N159" s="37">
        <f>IF($J159="","",IF(NOT(ISNUMBER($M159)),"PRECIO PENDIENTE",$M159-IF(ISNUMBER($L159),$L159,0)))</f>
        <v/>
      </c>
      <c r="O159" s="54">
        <f>IF($F159="","",IFERROR(INDEX(tblInventario[Costo unitario aplicado],MATCH($F159,tblInventario[SKU],0)),""))</f>
        <v/>
      </c>
      <c r="P159" s="37">
        <f>IF($J159="","",IF(NOT(ISNUMBER($O159)),"COSTO PENDIENTE",$J159*$O159))</f>
        <v/>
      </c>
      <c r="Q159" s="37">
        <f>IF($J159="","",IF(OR(NOT(ISNUMBER($N159)),NOT(ISNUMBER($P159))),"PENDIENTE",$N159-$P159))</f>
        <v/>
      </c>
      <c r="R159" s="38">
        <f>IF($J159="","",IF(OR(NOT(ISNUMBER($Q159)),NOT(ISNUMBER($N159)),$N159&lt;=0),"PENDIENTE",$Q159/$N159))</f>
        <v/>
      </c>
      <c r="S159" s="33" t="n"/>
      <c r="T159" s="33" t="n"/>
      <c r="U159" s="41" t="n"/>
      <c r="V159" s="36" t="n"/>
      <c r="W159" s="37">
        <f>IF(NOT(ISNUMBER($N159)),"",$N159-IF(ISNUMBER($V159),$V159,0))</f>
        <v/>
      </c>
      <c r="X159" s="33" t="n"/>
      <c r="Y159" s="51">
        <f>IF(COUNTA($B159,$C159,$D159,$E159,$F159,$I159)=0,"",IF(IF($B159=""," · Falta fecha","")&amp;IF($D159=""," · Falta cliente","")&amp;IF($E159=""," · Falta canal","")&amp;IF($F159=""," · Falta SKU","")&amp;IF(AND($F159&lt;&gt;"",COUNTIF(tblProductos[SKU],$F159)=0)," · SKU no existe","")&amp;IF(OR($I159="",NOT(ISNUMBER($I159)),$I159&lt;=0)," · Cantidad inválida","")&amp;IF($M159="PRECIO PENDIENTE"," · Falta precio de venta","")&amp;IF($P159="COSTO PENDIENTE"," · Falta costo del producto","")&amp;IF(AND(ISNUMBER($Q159),$Q159&lt;0)," · UTILIDAD NEGATIVA","")&amp;IF(AND($F159&lt;&gt;"",ISNUMBER(INDEX(tblInventario[Stock actual],MATCH($F159,tblInventario[SKU],0))),INDEX(tblInventario[Stock actual],MATCH($F159,tblInventario[SKU],0))&lt;0)," · Stock negativo del SKU","")&amp;IF(AND($T159="Cobrado",$U159="")," · Cobro sin fecha","")&amp;IF(AND(ISNUMBER($V159),ISNUMBER($N159),$V159&gt;N($N159)+0.01)," · Cobrado &gt; venta neta","")&amp;IF(AND(ISNUMBER($V159),$V159&gt;0,$U159="")," · Monto cobrado sin fecha","")="","OK",MID(IF($B159=""," · Falta fecha","")&amp;IF($D159=""," · Falta cliente","")&amp;IF($E159=""," · Falta canal","")&amp;IF($F159=""," · Falta SKU","")&amp;IF(AND($F159&lt;&gt;"",COUNTIF(tblProductos[SKU],$F159)=0)," · SKU no existe","")&amp;IF(OR($I159="",NOT(ISNUMBER($I159)),$I159&lt;=0)," · Cantidad inválida","")&amp;IF($M159="PRECIO PENDIENTE"," · Falta precio de venta","")&amp;IF($P159="COSTO PENDIENTE"," · Falta costo del producto","")&amp;IF(AND(ISNUMBER($Q159),$Q159&lt;0)," · UTILIDAD NEGATIVA","")&amp;IF(AND($F159&lt;&gt;"",ISNUMBER(INDEX(tblInventario[Stock actual],MATCH($F159,tblInventario[SKU],0))),INDEX(tblInventario[Stock actual],MATCH($F159,tblInventario[SKU],0))&lt;0)," · Stock negativo del SKU","")&amp;IF(AND($T159="Cobrado",$U159="")," · Cobro sin fecha","")&amp;IF(AND(ISNUMBER($V159),ISNUMBER($N159),$V159&gt;N($N159)+0.01)," · Cobrado &gt; venta neta","")&amp;IF(AND(ISNUMBER($V159),$V159&gt;0,$U159="")," · Monto cobrado sin fecha",""),4,900)))</f>
        <v/>
      </c>
    </row>
    <row r="160">
      <c r="A160" s="51">
        <f>IF(COUNTA($B160,$C160,$D160,$E160,$F160,$I160)=0,"","V-"&amp;TEXT(ROW()-6,"0000"))</f>
        <v/>
      </c>
      <c r="B160" s="41" t="n"/>
      <c r="C160" s="33" t="n"/>
      <c r="D160" s="33" t="n"/>
      <c r="E160" s="33" t="n"/>
      <c r="F160" s="33" t="n"/>
      <c r="G160" s="51">
        <f>IF($F160="","",IFERROR(IF(INDEX(tblProductos[Nombre del producto],MATCH($F160,tblProductos[SKU],0))="","",INDEX(tblProductos[Nombre del producto],MATCH($F160,tblProductos[SKU],0))),""))</f>
        <v/>
      </c>
      <c r="H160" s="51">
        <f>IF($F160="","",IFERROR(IF(INDEX(tblProductos[Categoría],MATCH($F160,tblProductos[SKU],0))="","",INDEX(tblProductos[Categoría],MATCH($F160,tblProductos[SKU],0))),""))</f>
        <v/>
      </c>
      <c r="I160" s="34" t="n"/>
      <c r="J160" s="39">
        <f>IF(OR($B160="",$F160="",$I160=""),"",IF($T160="Anulado",0,$I160))</f>
        <v/>
      </c>
      <c r="K160" s="54">
        <f>IF($F160="","",IFERROR(IF(INDEX(tblProductos[Precio de venta actual],MATCH($F160,tblProductos[SKU],0))="","",INDEX(tblProductos[Precio de venta actual],MATCH($F160,tblProductos[SKU],0))),""))</f>
        <v/>
      </c>
      <c r="L160" s="36" t="n"/>
      <c r="M160" s="37">
        <f>IF($J160="","",IF(NOT(ISNUMBER($K160)),"PRECIO PENDIENTE",$J160*$K160))</f>
        <v/>
      </c>
      <c r="N160" s="37">
        <f>IF($J160="","",IF(NOT(ISNUMBER($M160)),"PRECIO PENDIENTE",$M160-IF(ISNUMBER($L160),$L160,0)))</f>
        <v/>
      </c>
      <c r="O160" s="54">
        <f>IF($F160="","",IFERROR(INDEX(tblInventario[Costo unitario aplicado],MATCH($F160,tblInventario[SKU],0)),""))</f>
        <v/>
      </c>
      <c r="P160" s="37">
        <f>IF($J160="","",IF(NOT(ISNUMBER($O160)),"COSTO PENDIENTE",$J160*$O160))</f>
        <v/>
      </c>
      <c r="Q160" s="37">
        <f>IF($J160="","",IF(OR(NOT(ISNUMBER($N160)),NOT(ISNUMBER($P160))),"PENDIENTE",$N160-$P160))</f>
        <v/>
      </c>
      <c r="R160" s="38">
        <f>IF($J160="","",IF(OR(NOT(ISNUMBER($Q160)),NOT(ISNUMBER($N160)),$N160&lt;=0),"PENDIENTE",$Q160/$N160))</f>
        <v/>
      </c>
      <c r="S160" s="33" t="n"/>
      <c r="T160" s="33" t="n"/>
      <c r="U160" s="41" t="n"/>
      <c r="V160" s="36" t="n"/>
      <c r="W160" s="37">
        <f>IF(NOT(ISNUMBER($N160)),"",$N160-IF(ISNUMBER($V160),$V160,0))</f>
        <v/>
      </c>
      <c r="X160" s="33" t="n"/>
      <c r="Y160" s="51">
        <f>IF(COUNTA($B160,$C160,$D160,$E160,$F160,$I160)=0,"",IF(IF($B160=""," · Falta fecha","")&amp;IF($D160=""," · Falta cliente","")&amp;IF($E160=""," · Falta canal","")&amp;IF($F160=""," · Falta SKU","")&amp;IF(AND($F160&lt;&gt;"",COUNTIF(tblProductos[SKU],$F160)=0)," · SKU no existe","")&amp;IF(OR($I160="",NOT(ISNUMBER($I160)),$I160&lt;=0)," · Cantidad inválida","")&amp;IF($M160="PRECIO PENDIENTE"," · Falta precio de venta","")&amp;IF($P160="COSTO PENDIENTE"," · Falta costo del producto","")&amp;IF(AND(ISNUMBER($Q160),$Q160&lt;0)," · UTILIDAD NEGATIVA","")&amp;IF(AND($F160&lt;&gt;"",ISNUMBER(INDEX(tblInventario[Stock actual],MATCH($F160,tblInventario[SKU],0))),INDEX(tblInventario[Stock actual],MATCH($F160,tblInventario[SKU],0))&lt;0)," · Stock negativo del SKU","")&amp;IF(AND($T160="Cobrado",$U160="")," · Cobro sin fecha","")&amp;IF(AND(ISNUMBER($V160),ISNUMBER($N160),$V160&gt;N($N160)+0.01)," · Cobrado &gt; venta neta","")&amp;IF(AND(ISNUMBER($V160),$V160&gt;0,$U160="")," · Monto cobrado sin fecha","")="","OK",MID(IF($B160=""," · Falta fecha","")&amp;IF($D160=""," · Falta cliente","")&amp;IF($E160=""," · Falta canal","")&amp;IF($F160=""," · Falta SKU","")&amp;IF(AND($F160&lt;&gt;"",COUNTIF(tblProductos[SKU],$F160)=0)," · SKU no existe","")&amp;IF(OR($I160="",NOT(ISNUMBER($I160)),$I160&lt;=0)," · Cantidad inválida","")&amp;IF($M160="PRECIO PENDIENTE"," · Falta precio de venta","")&amp;IF($P160="COSTO PENDIENTE"," · Falta costo del producto","")&amp;IF(AND(ISNUMBER($Q160),$Q160&lt;0)," · UTILIDAD NEGATIVA","")&amp;IF(AND($F160&lt;&gt;"",ISNUMBER(INDEX(tblInventario[Stock actual],MATCH($F160,tblInventario[SKU],0))),INDEX(tblInventario[Stock actual],MATCH($F160,tblInventario[SKU],0))&lt;0)," · Stock negativo del SKU","")&amp;IF(AND($T160="Cobrado",$U160="")," · Cobro sin fecha","")&amp;IF(AND(ISNUMBER($V160),ISNUMBER($N160),$V160&gt;N($N160)+0.01)," · Cobrado &gt; venta neta","")&amp;IF(AND(ISNUMBER($V160),$V160&gt;0,$U160="")," · Monto cobrado sin fecha",""),4,900)))</f>
        <v/>
      </c>
    </row>
    <row r="161">
      <c r="A161" s="51">
        <f>IF(COUNTA($B161,$C161,$D161,$E161,$F161,$I161)=0,"","V-"&amp;TEXT(ROW()-6,"0000"))</f>
        <v/>
      </c>
      <c r="B161" s="41" t="n"/>
      <c r="C161" s="33" t="n"/>
      <c r="D161" s="33" t="n"/>
      <c r="E161" s="33" t="n"/>
      <c r="F161" s="33" t="n"/>
      <c r="G161" s="51">
        <f>IF($F161="","",IFERROR(IF(INDEX(tblProductos[Nombre del producto],MATCH($F161,tblProductos[SKU],0))="","",INDEX(tblProductos[Nombre del producto],MATCH($F161,tblProductos[SKU],0))),""))</f>
        <v/>
      </c>
      <c r="H161" s="51">
        <f>IF($F161="","",IFERROR(IF(INDEX(tblProductos[Categoría],MATCH($F161,tblProductos[SKU],0))="","",INDEX(tblProductos[Categoría],MATCH($F161,tblProductos[SKU],0))),""))</f>
        <v/>
      </c>
      <c r="I161" s="34" t="n"/>
      <c r="J161" s="39">
        <f>IF(OR($B161="",$F161="",$I161=""),"",IF($T161="Anulado",0,$I161))</f>
        <v/>
      </c>
      <c r="K161" s="54">
        <f>IF($F161="","",IFERROR(IF(INDEX(tblProductos[Precio de venta actual],MATCH($F161,tblProductos[SKU],0))="","",INDEX(tblProductos[Precio de venta actual],MATCH($F161,tblProductos[SKU],0))),""))</f>
        <v/>
      </c>
      <c r="L161" s="36" t="n"/>
      <c r="M161" s="37">
        <f>IF($J161="","",IF(NOT(ISNUMBER($K161)),"PRECIO PENDIENTE",$J161*$K161))</f>
        <v/>
      </c>
      <c r="N161" s="37">
        <f>IF($J161="","",IF(NOT(ISNUMBER($M161)),"PRECIO PENDIENTE",$M161-IF(ISNUMBER($L161),$L161,0)))</f>
        <v/>
      </c>
      <c r="O161" s="54">
        <f>IF($F161="","",IFERROR(INDEX(tblInventario[Costo unitario aplicado],MATCH($F161,tblInventario[SKU],0)),""))</f>
        <v/>
      </c>
      <c r="P161" s="37">
        <f>IF($J161="","",IF(NOT(ISNUMBER($O161)),"COSTO PENDIENTE",$J161*$O161))</f>
        <v/>
      </c>
      <c r="Q161" s="37">
        <f>IF($J161="","",IF(OR(NOT(ISNUMBER($N161)),NOT(ISNUMBER($P161))),"PENDIENTE",$N161-$P161))</f>
        <v/>
      </c>
      <c r="R161" s="38">
        <f>IF($J161="","",IF(OR(NOT(ISNUMBER($Q161)),NOT(ISNUMBER($N161)),$N161&lt;=0),"PENDIENTE",$Q161/$N161))</f>
        <v/>
      </c>
      <c r="S161" s="33" t="n"/>
      <c r="T161" s="33" t="n"/>
      <c r="U161" s="41" t="n"/>
      <c r="V161" s="36" t="n"/>
      <c r="W161" s="37">
        <f>IF(NOT(ISNUMBER($N161)),"",$N161-IF(ISNUMBER($V161),$V161,0))</f>
        <v/>
      </c>
      <c r="X161" s="33" t="n"/>
      <c r="Y161" s="51">
        <f>IF(COUNTA($B161,$C161,$D161,$E161,$F161,$I161)=0,"",IF(IF($B161=""," · Falta fecha","")&amp;IF($D161=""," · Falta cliente","")&amp;IF($E161=""," · Falta canal","")&amp;IF($F161=""," · Falta SKU","")&amp;IF(AND($F161&lt;&gt;"",COUNTIF(tblProductos[SKU],$F161)=0)," · SKU no existe","")&amp;IF(OR($I161="",NOT(ISNUMBER($I161)),$I161&lt;=0)," · Cantidad inválida","")&amp;IF($M161="PRECIO PENDIENTE"," · Falta precio de venta","")&amp;IF($P161="COSTO PENDIENTE"," · Falta costo del producto","")&amp;IF(AND(ISNUMBER($Q161),$Q161&lt;0)," · UTILIDAD NEGATIVA","")&amp;IF(AND($F161&lt;&gt;"",ISNUMBER(INDEX(tblInventario[Stock actual],MATCH($F161,tblInventario[SKU],0))),INDEX(tblInventario[Stock actual],MATCH($F161,tblInventario[SKU],0))&lt;0)," · Stock negativo del SKU","")&amp;IF(AND($T161="Cobrado",$U161="")," · Cobro sin fecha","")&amp;IF(AND(ISNUMBER($V161),ISNUMBER($N161),$V161&gt;N($N161)+0.01)," · Cobrado &gt; venta neta","")&amp;IF(AND(ISNUMBER($V161),$V161&gt;0,$U161="")," · Monto cobrado sin fecha","")="","OK",MID(IF($B161=""," · Falta fecha","")&amp;IF($D161=""," · Falta cliente","")&amp;IF($E161=""," · Falta canal","")&amp;IF($F161=""," · Falta SKU","")&amp;IF(AND($F161&lt;&gt;"",COUNTIF(tblProductos[SKU],$F161)=0)," · SKU no existe","")&amp;IF(OR($I161="",NOT(ISNUMBER($I161)),$I161&lt;=0)," · Cantidad inválida","")&amp;IF($M161="PRECIO PENDIENTE"," · Falta precio de venta","")&amp;IF($P161="COSTO PENDIENTE"," · Falta costo del producto","")&amp;IF(AND(ISNUMBER($Q161),$Q161&lt;0)," · UTILIDAD NEGATIVA","")&amp;IF(AND($F161&lt;&gt;"",ISNUMBER(INDEX(tblInventario[Stock actual],MATCH($F161,tblInventario[SKU],0))),INDEX(tblInventario[Stock actual],MATCH($F161,tblInventario[SKU],0))&lt;0)," · Stock negativo del SKU","")&amp;IF(AND($T161="Cobrado",$U161="")," · Cobro sin fecha","")&amp;IF(AND(ISNUMBER($V161),ISNUMBER($N161),$V161&gt;N($N161)+0.01)," · Cobrado &gt; venta neta","")&amp;IF(AND(ISNUMBER($V161),$V161&gt;0,$U161="")," · Monto cobrado sin fecha",""),4,900)))</f>
        <v/>
      </c>
    </row>
    <row r="162">
      <c r="A162" s="51">
        <f>IF(COUNTA($B162,$C162,$D162,$E162,$F162,$I162)=0,"","V-"&amp;TEXT(ROW()-6,"0000"))</f>
        <v/>
      </c>
      <c r="B162" s="41" t="n"/>
      <c r="C162" s="33" t="n"/>
      <c r="D162" s="33" t="n"/>
      <c r="E162" s="33" t="n"/>
      <c r="F162" s="33" t="n"/>
      <c r="G162" s="51">
        <f>IF($F162="","",IFERROR(IF(INDEX(tblProductos[Nombre del producto],MATCH($F162,tblProductos[SKU],0))="","",INDEX(tblProductos[Nombre del producto],MATCH($F162,tblProductos[SKU],0))),""))</f>
        <v/>
      </c>
      <c r="H162" s="51">
        <f>IF($F162="","",IFERROR(IF(INDEX(tblProductos[Categoría],MATCH($F162,tblProductos[SKU],0))="","",INDEX(tblProductos[Categoría],MATCH($F162,tblProductos[SKU],0))),""))</f>
        <v/>
      </c>
      <c r="I162" s="34" t="n"/>
      <c r="J162" s="39">
        <f>IF(OR($B162="",$F162="",$I162=""),"",IF($T162="Anulado",0,$I162))</f>
        <v/>
      </c>
      <c r="K162" s="54">
        <f>IF($F162="","",IFERROR(IF(INDEX(tblProductos[Precio de venta actual],MATCH($F162,tblProductos[SKU],0))="","",INDEX(tblProductos[Precio de venta actual],MATCH($F162,tblProductos[SKU],0))),""))</f>
        <v/>
      </c>
      <c r="L162" s="36" t="n"/>
      <c r="M162" s="37">
        <f>IF($J162="","",IF(NOT(ISNUMBER($K162)),"PRECIO PENDIENTE",$J162*$K162))</f>
        <v/>
      </c>
      <c r="N162" s="37">
        <f>IF($J162="","",IF(NOT(ISNUMBER($M162)),"PRECIO PENDIENTE",$M162-IF(ISNUMBER($L162),$L162,0)))</f>
        <v/>
      </c>
      <c r="O162" s="54">
        <f>IF($F162="","",IFERROR(INDEX(tblInventario[Costo unitario aplicado],MATCH($F162,tblInventario[SKU],0)),""))</f>
        <v/>
      </c>
      <c r="P162" s="37">
        <f>IF($J162="","",IF(NOT(ISNUMBER($O162)),"COSTO PENDIENTE",$J162*$O162))</f>
        <v/>
      </c>
      <c r="Q162" s="37">
        <f>IF($J162="","",IF(OR(NOT(ISNUMBER($N162)),NOT(ISNUMBER($P162))),"PENDIENTE",$N162-$P162))</f>
        <v/>
      </c>
      <c r="R162" s="38">
        <f>IF($J162="","",IF(OR(NOT(ISNUMBER($Q162)),NOT(ISNUMBER($N162)),$N162&lt;=0),"PENDIENTE",$Q162/$N162))</f>
        <v/>
      </c>
      <c r="S162" s="33" t="n"/>
      <c r="T162" s="33" t="n"/>
      <c r="U162" s="41" t="n"/>
      <c r="V162" s="36" t="n"/>
      <c r="W162" s="37">
        <f>IF(NOT(ISNUMBER($N162)),"",$N162-IF(ISNUMBER($V162),$V162,0))</f>
        <v/>
      </c>
      <c r="X162" s="33" t="n"/>
      <c r="Y162" s="51">
        <f>IF(COUNTA($B162,$C162,$D162,$E162,$F162,$I162)=0,"",IF(IF($B162=""," · Falta fecha","")&amp;IF($D162=""," · Falta cliente","")&amp;IF($E162=""," · Falta canal","")&amp;IF($F162=""," · Falta SKU","")&amp;IF(AND($F162&lt;&gt;"",COUNTIF(tblProductos[SKU],$F162)=0)," · SKU no existe","")&amp;IF(OR($I162="",NOT(ISNUMBER($I162)),$I162&lt;=0)," · Cantidad inválida","")&amp;IF($M162="PRECIO PENDIENTE"," · Falta precio de venta","")&amp;IF($P162="COSTO PENDIENTE"," · Falta costo del producto","")&amp;IF(AND(ISNUMBER($Q162),$Q162&lt;0)," · UTILIDAD NEGATIVA","")&amp;IF(AND($F162&lt;&gt;"",ISNUMBER(INDEX(tblInventario[Stock actual],MATCH($F162,tblInventario[SKU],0))),INDEX(tblInventario[Stock actual],MATCH($F162,tblInventario[SKU],0))&lt;0)," · Stock negativo del SKU","")&amp;IF(AND($T162="Cobrado",$U162="")," · Cobro sin fecha","")&amp;IF(AND(ISNUMBER($V162),ISNUMBER($N162),$V162&gt;N($N162)+0.01)," · Cobrado &gt; venta neta","")&amp;IF(AND(ISNUMBER($V162),$V162&gt;0,$U162="")," · Monto cobrado sin fecha","")="","OK",MID(IF($B162=""," · Falta fecha","")&amp;IF($D162=""," · Falta cliente","")&amp;IF($E162=""," · Falta canal","")&amp;IF($F162=""," · Falta SKU","")&amp;IF(AND($F162&lt;&gt;"",COUNTIF(tblProductos[SKU],$F162)=0)," · SKU no existe","")&amp;IF(OR($I162="",NOT(ISNUMBER($I162)),$I162&lt;=0)," · Cantidad inválida","")&amp;IF($M162="PRECIO PENDIENTE"," · Falta precio de venta","")&amp;IF($P162="COSTO PENDIENTE"," · Falta costo del producto","")&amp;IF(AND(ISNUMBER($Q162),$Q162&lt;0)," · UTILIDAD NEGATIVA","")&amp;IF(AND($F162&lt;&gt;"",ISNUMBER(INDEX(tblInventario[Stock actual],MATCH($F162,tblInventario[SKU],0))),INDEX(tblInventario[Stock actual],MATCH($F162,tblInventario[SKU],0))&lt;0)," · Stock negativo del SKU","")&amp;IF(AND($T162="Cobrado",$U162="")," · Cobro sin fecha","")&amp;IF(AND(ISNUMBER($V162),ISNUMBER($N162),$V162&gt;N($N162)+0.01)," · Cobrado &gt; venta neta","")&amp;IF(AND(ISNUMBER($V162),$V162&gt;0,$U162="")," · Monto cobrado sin fecha",""),4,900)))</f>
        <v/>
      </c>
    </row>
    <row r="163">
      <c r="A163" s="51">
        <f>IF(COUNTA($B163,$C163,$D163,$E163,$F163,$I163)=0,"","V-"&amp;TEXT(ROW()-6,"0000"))</f>
        <v/>
      </c>
      <c r="B163" s="41" t="n"/>
      <c r="C163" s="33" t="n"/>
      <c r="D163" s="33" t="n"/>
      <c r="E163" s="33" t="n"/>
      <c r="F163" s="33" t="n"/>
      <c r="G163" s="51">
        <f>IF($F163="","",IFERROR(IF(INDEX(tblProductos[Nombre del producto],MATCH($F163,tblProductos[SKU],0))="","",INDEX(tblProductos[Nombre del producto],MATCH($F163,tblProductos[SKU],0))),""))</f>
        <v/>
      </c>
      <c r="H163" s="51">
        <f>IF($F163="","",IFERROR(IF(INDEX(tblProductos[Categoría],MATCH($F163,tblProductos[SKU],0))="","",INDEX(tblProductos[Categoría],MATCH($F163,tblProductos[SKU],0))),""))</f>
        <v/>
      </c>
      <c r="I163" s="34" t="n"/>
      <c r="J163" s="39">
        <f>IF(OR($B163="",$F163="",$I163=""),"",IF($T163="Anulado",0,$I163))</f>
        <v/>
      </c>
      <c r="K163" s="54">
        <f>IF($F163="","",IFERROR(IF(INDEX(tblProductos[Precio de venta actual],MATCH($F163,tblProductos[SKU],0))="","",INDEX(tblProductos[Precio de venta actual],MATCH($F163,tblProductos[SKU],0))),""))</f>
        <v/>
      </c>
      <c r="L163" s="36" t="n"/>
      <c r="M163" s="37">
        <f>IF($J163="","",IF(NOT(ISNUMBER($K163)),"PRECIO PENDIENTE",$J163*$K163))</f>
        <v/>
      </c>
      <c r="N163" s="37">
        <f>IF($J163="","",IF(NOT(ISNUMBER($M163)),"PRECIO PENDIENTE",$M163-IF(ISNUMBER($L163),$L163,0)))</f>
        <v/>
      </c>
      <c r="O163" s="54">
        <f>IF($F163="","",IFERROR(INDEX(tblInventario[Costo unitario aplicado],MATCH($F163,tblInventario[SKU],0)),""))</f>
        <v/>
      </c>
      <c r="P163" s="37">
        <f>IF($J163="","",IF(NOT(ISNUMBER($O163)),"COSTO PENDIENTE",$J163*$O163))</f>
        <v/>
      </c>
      <c r="Q163" s="37">
        <f>IF($J163="","",IF(OR(NOT(ISNUMBER($N163)),NOT(ISNUMBER($P163))),"PENDIENTE",$N163-$P163))</f>
        <v/>
      </c>
      <c r="R163" s="38">
        <f>IF($J163="","",IF(OR(NOT(ISNUMBER($Q163)),NOT(ISNUMBER($N163)),$N163&lt;=0),"PENDIENTE",$Q163/$N163))</f>
        <v/>
      </c>
      <c r="S163" s="33" t="n"/>
      <c r="T163" s="33" t="n"/>
      <c r="U163" s="41" t="n"/>
      <c r="V163" s="36" t="n"/>
      <c r="W163" s="37">
        <f>IF(NOT(ISNUMBER($N163)),"",$N163-IF(ISNUMBER($V163),$V163,0))</f>
        <v/>
      </c>
      <c r="X163" s="33" t="n"/>
      <c r="Y163" s="51">
        <f>IF(COUNTA($B163,$C163,$D163,$E163,$F163,$I163)=0,"",IF(IF($B163=""," · Falta fecha","")&amp;IF($D163=""," · Falta cliente","")&amp;IF($E163=""," · Falta canal","")&amp;IF($F163=""," · Falta SKU","")&amp;IF(AND($F163&lt;&gt;"",COUNTIF(tblProductos[SKU],$F163)=0)," · SKU no existe","")&amp;IF(OR($I163="",NOT(ISNUMBER($I163)),$I163&lt;=0)," · Cantidad inválida","")&amp;IF($M163="PRECIO PENDIENTE"," · Falta precio de venta","")&amp;IF($P163="COSTO PENDIENTE"," · Falta costo del producto","")&amp;IF(AND(ISNUMBER($Q163),$Q163&lt;0)," · UTILIDAD NEGATIVA","")&amp;IF(AND($F163&lt;&gt;"",ISNUMBER(INDEX(tblInventario[Stock actual],MATCH($F163,tblInventario[SKU],0))),INDEX(tblInventario[Stock actual],MATCH($F163,tblInventario[SKU],0))&lt;0)," · Stock negativo del SKU","")&amp;IF(AND($T163="Cobrado",$U163="")," · Cobro sin fecha","")&amp;IF(AND(ISNUMBER($V163),ISNUMBER($N163),$V163&gt;N($N163)+0.01)," · Cobrado &gt; venta neta","")&amp;IF(AND(ISNUMBER($V163),$V163&gt;0,$U163="")," · Monto cobrado sin fecha","")="","OK",MID(IF($B163=""," · Falta fecha","")&amp;IF($D163=""," · Falta cliente","")&amp;IF($E163=""," · Falta canal","")&amp;IF($F163=""," · Falta SKU","")&amp;IF(AND($F163&lt;&gt;"",COUNTIF(tblProductos[SKU],$F163)=0)," · SKU no existe","")&amp;IF(OR($I163="",NOT(ISNUMBER($I163)),$I163&lt;=0)," · Cantidad inválida","")&amp;IF($M163="PRECIO PENDIENTE"," · Falta precio de venta","")&amp;IF($P163="COSTO PENDIENTE"," · Falta costo del producto","")&amp;IF(AND(ISNUMBER($Q163),$Q163&lt;0)," · UTILIDAD NEGATIVA","")&amp;IF(AND($F163&lt;&gt;"",ISNUMBER(INDEX(tblInventario[Stock actual],MATCH($F163,tblInventario[SKU],0))),INDEX(tblInventario[Stock actual],MATCH($F163,tblInventario[SKU],0))&lt;0)," · Stock negativo del SKU","")&amp;IF(AND($T163="Cobrado",$U163="")," · Cobro sin fecha","")&amp;IF(AND(ISNUMBER($V163),ISNUMBER($N163),$V163&gt;N($N163)+0.01)," · Cobrado &gt; venta neta","")&amp;IF(AND(ISNUMBER($V163),$V163&gt;0,$U163="")," · Monto cobrado sin fecha",""),4,900)))</f>
        <v/>
      </c>
    </row>
    <row r="164">
      <c r="A164" s="51">
        <f>IF(COUNTA($B164,$C164,$D164,$E164,$F164,$I164)=0,"","V-"&amp;TEXT(ROW()-6,"0000"))</f>
        <v/>
      </c>
      <c r="B164" s="41" t="n"/>
      <c r="C164" s="33" t="n"/>
      <c r="D164" s="33" t="n"/>
      <c r="E164" s="33" t="n"/>
      <c r="F164" s="33" t="n"/>
      <c r="G164" s="51">
        <f>IF($F164="","",IFERROR(IF(INDEX(tblProductos[Nombre del producto],MATCH($F164,tblProductos[SKU],0))="","",INDEX(tblProductos[Nombre del producto],MATCH($F164,tblProductos[SKU],0))),""))</f>
        <v/>
      </c>
      <c r="H164" s="51">
        <f>IF($F164="","",IFERROR(IF(INDEX(tblProductos[Categoría],MATCH($F164,tblProductos[SKU],0))="","",INDEX(tblProductos[Categoría],MATCH($F164,tblProductos[SKU],0))),""))</f>
        <v/>
      </c>
      <c r="I164" s="34" t="n"/>
      <c r="J164" s="39">
        <f>IF(OR($B164="",$F164="",$I164=""),"",IF($T164="Anulado",0,$I164))</f>
        <v/>
      </c>
      <c r="K164" s="54">
        <f>IF($F164="","",IFERROR(IF(INDEX(tblProductos[Precio de venta actual],MATCH($F164,tblProductos[SKU],0))="","",INDEX(tblProductos[Precio de venta actual],MATCH($F164,tblProductos[SKU],0))),""))</f>
        <v/>
      </c>
      <c r="L164" s="36" t="n"/>
      <c r="M164" s="37">
        <f>IF($J164="","",IF(NOT(ISNUMBER($K164)),"PRECIO PENDIENTE",$J164*$K164))</f>
        <v/>
      </c>
      <c r="N164" s="37">
        <f>IF($J164="","",IF(NOT(ISNUMBER($M164)),"PRECIO PENDIENTE",$M164-IF(ISNUMBER($L164),$L164,0)))</f>
        <v/>
      </c>
      <c r="O164" s="54">
        <f>IF($F164="","",IFERROR(INDEX(tblInventario[Costo unitario aplicado],MATCH($F164,tblInventario[SKU],0)),""))</f>
        <v/>
      </c>
      <c r="P164" s="37">
        <f>IF($J164="","",IF(NOT(ISNUMBER($O164)),"COSTO PENDIENTE",$J164*$O164))</f>
        <v/>
      </c>
      <c r="Q164" s="37">
        <f>IF($J164="","",IF(OR(NOT(ISNUMBER($N164)),NOT(ISNUMBER($P164))),"PENDIENTE",$N164-$P164))</f>
        <v/>
      </c>
      <c r="R164" s="38">
        <f>IF($J164="","",IF(OR(NOT(ISNUMBER($Q164)),NOT(ISNUMBER($N164)),$N164&lt;=0),"PENDIENTE",$Q164/$N164))</f>
        <v/>
      </c>
      <c r="S164" s="33" t="n"/>
      <c r="T164" s="33" t="n"/>
      <c r="U164" s="41" t="n"/>
      <c r="V164" s="36" t="n"/>
      <c r="W164" s="37">
        <f>IF(NOT(ISNUMBER($N164)),"",$N164-IF(ISNUMBER($V164),$V164,0))</f>
        <v/>
      </c>
      <c r="X164" s="33" t="n"/>
      <c r="Y164" s="51">
        <f>IF(COUNTA($B164,$C164,$D164,$E164,$F164,$I164)=0,"",IF(IF($B164=""," · Falta fecha","")&amp;IF($D164=""," · Falta cliente","")&amp;IF($E164=""," · Falta canal","")&amp;IF($F164=""," · Falta SKU","")&amp;IF(AND($F164&lt;&gt;"",COUNTIF(tblProductos[SKU],$F164)=0)," · SKU no existe","")&amp;IF(OR($I164="",NOT(ISNUMBER($I164)),$I164&lt;=0)," · Cantidad inválida","")&amp;IF($M164="PRECIO PENDIENTE"," · Falta precio de venta","")&amp;IF($P164="COSTO PENDIENTE"," · Falta costo del producto","")&amp;IF(AND(ISNUMBER($Q164),$Q164&lt;0)," · UTILIDAD NEGATIVA","")&amp;IF(AND($F164&lt;&gt;"",ISNUMBER(INDEX(tblInventario[Stock actual],MATCH($F164,tblInventario[SKU],0))),INDEX(tblInventario[Stock actual],MATCH($F164,tblInventario[SKU],0))&lt;0)," · Stock negativo del SKU","")&amp;IF(AND($T164="Cobrado",$U164="")," · Cobro sin fecha","")&amp;IF(AND(ISNUMBER($V164),ISNUMBER($N164),$V164&gt;N($N164)+0.01)," · Cobrado &gt; venta neta","")&amp;IF(AND(ISNUMBER($V164),$V164&gt;0,$U164="")," · Monto cobrado sin fecha","")="","OK",MID(IF($B164=""," · Falta fecha","")&amp;IF($D164=""," · Falta cliente","")&amp;IF($E164=""," · Falta canal","")&amp;IF($F164=""," · Falta SKU","")&amp;IF(AND($F164&lt;&gt;"",COUNTIF(tblProductos[SKU],$F164)=0)," · SKU no existe","")&amp;IF(OR($I164="",NOT(ISNUMBER($I164)),$I164&lt;=0)," · Cantidad inválida","")&amp;IF($M164="PRECIO PENDIENTE"," · Falta precio de venta","")&amp;IF($P164="COSTO PENDIENTE"," · Falta costo del producto","")&amp;IF(AND(ISNUMBER($Q164),$Q164&lt;0)," · UTILIDAD NEGATIVA","")&amp;IF(AND($F164&lt;&gt;"",ISNUMBER(INDEX(tblInventario[Stock actual],MATCH($F164,tblInventario[SKU],0))),INDEX(tblInventario[Stock actual],MATCH($F164,tblInventario[SKU],0))&lt;0)," · Stock negativo del SKU","")&amp;IF(AND($T164="Cobrado",$U164="")," · Cobro sin fecha","")&amp;IF(AND(ISNUMBER($V164),ISNUMBER($N164),$V164&gt;N($N164)+0.01)," · Cobrado &gt; venta neta","")&amp;IF(AND(ISNUMBER($V164),$V164&gt;0,$U164="")," · Monto cobrado sin fecha",""),4,900)))</f>
        <v/>
      </c>
    </row>
    <row r="165">
      <c r="A165" s="51">
        <f>IF(COUNTA($B165,$C165,$D165,$E165,$F165,$I165)=0,"","V-"&amp;TEXT(ROW()-6,"0000"))</f>
        <v/>
      </c>
      <c r="B165" s="41" t="n"/>
      <c r="C165" s="33" t="n"/>
      <c r="D165" s="33" t="n"/>
      <c r="E165" s="33" t="n"/>
      <c r="F165" s="33" t="n"/>
      <c r="G165" s="51">
        <f>IF($F165="","",IFERROR(IF(INDEX(tblProductos[Nombre del producto],MATCH($F165,tblProductos[SKU],0))="","",INDEX(tblProductos[Nombre del producto],MATCH($F165,tblProductos[SKU],0))),""))</f>
        <v/>
      </c>
      <c r="H165" s="51">
        <f>IF($F165="","",IFERROR(IF(INDEX(tblProductos[Categoría],MATCH($F165,tblProductos[SKU],0))="","",INDEX(tblProductos[Categoría],MATCH($F165,tblProductos[SKU],0))),""))</f>
        <v/>
      </c>
      <c r="I165" s="34" t="n"/>
      <c r="J165" s="39">
        <f>IF(OR($B165="",$F165="",$I165=""),"",IF($T165="Anulado",0,$I165))</f>
        <v/>
      </c>
      <c r="K165" s="54">
        <f>IF($F165="","",IFERROR(IF(INDEX(tblProductos[Precio de venta actual],MATCH($F165,tblProductos[SKU],0))="","",INDEX(tblProductos[Precio de venta actual],MATCH($F165,tblProductos[SKU],0))),""))</f>
        <v/>
      </c>
      <c r="L165" s="36" t="n"/>
      <c r="M165" s="37">
        <f>IF($J165="","",IF(NOT(ISNUMBER($K165)),"PRECIO PENDIENTE",$J165*$K165))</f>
        <v/>
      </c>
      <c r="N165" s="37">
        <f>IF($J165="","",IF(NOT(ISNUMBER($M165)),"PRECIO PENDIENTE",$M165-IF(ISNUMBER($L165),$L165,0)))</f>
        <v/>
      </c>
      <c r="O165" s="54">
        <f>IF($F165="","",IFERROR(INDEX(tblInventario[Costo unitario aplicado],MATCH($F165,tblInventario[SKU],0)),""))</f>
        <v/>
      </c>
      <c r="P165" s="37">
        <f>IF($J165="","",IF(NOT(ISNUMBER($O165)),"COSTO PENDIENTE",$J165*$O165))</f>
        <v/>
      </c>
      <c r="Q165" s="37">
        <f>IF($J165="","",IF(OR(NOT(ISNUMBER($N165)),NOT(ISNUMBER($P165))),"PENDIENTE",$N165-$P165))</f>
        <v/>
      </c>
      <c r="R165" s="38">
        <f>IF($J165="","",IF(OR(NOT(ISNUMBER($Q165)),NOT(ISNUMBER($N165)),$N165&lt;=0),"PENDIENTE",$Q165/$N165))</f>
        <v/>
      </c>
      <c r="S165" s="33" t="n"/>
      <c r="T165" s="33" t="n"/>
      <c r="U165" s="41" t="n"/>
      <c r="V165" s="36" t="n"/>
      <c r="W165" s="37">
        <f>IF(NOT(ISNUMBER($N165)),"",$N165-IF(ISNUMBER($V165),$V165,0))</f>
        <v/>
      </c>
      <c r="X165" s="33" t="n"/>
      <c r="Y165" s="51">
        <f>IF(COUNTA($B165,$C165,$D165,$E165,$F165,$I165)=0,"",IF(IF($B165=""," · Falta fecha","")&amp;IF($D165=""," · Falta cliente","")&amp;IF($E165=""," · Falta canal","")&amp;IF($F165=""," · Falta SKU","")&amp;IF(AND($F165&lt;&gt;"",COUNTIF(tblProductos[SKU],$F165)=0)," · SKU no existe","")&amp;IF(OR($I165="",NOT(ISNUMBER($I165)),$I165&lt;=0)," · Cantidad inválida","")&amp;IF($M165="PRECIO PENDIENTE"," · Falta precio de venta","")&amp;IF($P165="COSTO PENDIENTE"," · Falta costo del producto","")&amp;IF(AND(ISNUMBER($Q165),$Q165&lt;0)," · UTILIDAD NEGATIVA","")&amp;IF(AND($F165&lt;&gt;"",ISNUMBER(INDEX(tblInventario[Stock actual],MATCH($F165,tblInventario[SKU],0))),INDEX(tblInventario[Stock actual],MATCH($F165,tblInventario[SKU],0))&lt;0)," · Stock negativo del SKU","")&amp;IF(AND($T165="Cobrado",$U165="")," · Cobro sin fecha","")&amp;IF(AND(ISNUMBER($V165),ISNUMBER($N165),$V165&gt;N($N165)+0.01)," · Cobrado &gt; venta neta","")&amp;IF(AND(ISNUMBER($V165),$V165&gt;0,$U165="")," · Monto cobrado sin fecha","")="","OK",MID(IF($B165=""," · Falta fecha","")&amp;IF($D165=""," · Falta cliente","")&amp;IF($E165=""," · Falta canal","")&amp;IF($F165=""," · Falta SKU","")&amp;IF(AND($F165&lt;&gt;"",COUNTIF(tblProductos[SKU],$F165)=0)," · SKU no existe","")&amp;IF(OR($I165="",NOT(ISNUMBER($I165)),$I165&lt;=0)," · Cantidad inválida","")&amp;IF($M165="PRECIO PENDIENTE"," · Falta precio de venta","")&amp;IF($P165="COSTO PENDIENTE"," · Falta costo del producto","")&amp;IF(AND(ISNUMBER($Q165),$Q165&lt;0)," · UTILIDAD NEGATIVA","")&amp;IF(AND($F165&lt;&gt;"",ISNUMBER(INDEX(tblInventario[Stock actual],MATCH($F165,tblInventario[SKU],0))),INDEX(tblInventario[Stock actual],MATCH($F165,tblInventario[SKU],0))&lt;0)," · Stock negativo del SKU","")&amp;IF(AND($T165="Cobrado",$U165="")," · Cobro sin fecha","")&amp;IF(AND(ISNUMBER($V165),ISNUMBER($N165),$V165&gt;N($N165)+0.01)," · Cobrado &gt; venta neta","")&amp;IF(AND(ISNUMBER($V165),$V165&gt;0,$U165="")," · Monto cobrado sin fecha",""),4,900)))</f>
        <v/>
      </c>
    </row>
    <row r="166">
      <c r="A166" s="51">
        <f>IF(COUNTA($B166,$C166,$D166,$E166,$F166,$I166)=0,"","V-"&amp;TEXT(ROW()-6,"0000"))</f>
        <v/>
      </c>
      <c r="B166" s="41" t="n"/>
      <c r="C166" s="33" t="n"/>
      <c r="D166" s="33" t="n"/>
      <c r="E166" s="33" t="n"/>
      <c r="F166" s="33" t="n"/>
      <c r="G166" s="51">
        <f>IF($F166="","",IFERROR(IF(INDEX(tblProductos[Nombre del producto],MATCH($F166,tblProductos[SKU],0))="","",INDEX(tblProductos[Nombre del producto],MATCH($F166,tblProductos[SKU],0))),""))</f>
        <v/>
      </c>
      <c r="H166" s="51">
        <f>IF($F166="","",IFERROR(IF(INDEX(tblProductos[Categoría],MATCH($F166,tblProductos[SKU],0))="","",INDEX(tblProductos[Categoría],MATCH($F166,tblProductos[SKU],0))),""))</f>
        <v/>
      </c>
      <c r="I166" s="34" t="n"/>
      <c r="J166" s="39">
        <f>IF(OR($B166="",$F166="",$I166=""),"",IF($T166="Anulado",0,$I166))</f>
        <v/>
      </c>
      <c r="K166" s="54">
        <f>IF($F166="","",IFERROR(IF(INDEX(tblProductos[Precio de venta actual],MATCH($F166,tblProductos[SKU],0))="","",INDEX(tblProductos[Precio de venta actual],MATCH($F166,tblProductos[SKU],0))),""))</f>
        <v/>
      </c>
      <c r="L166" s="36" t="n"/>
      <c r="M166" s="37">
        <f>IF($J166="","",IF(NOT(ISNUMBER($K166)),"PRECIO PENDIENTE",$J166*$K166))</f>
        <v/>
      </c>
      <c r="N166" s="37">
        <f>IF($J166="","",IF(NOT(ISNUMBER($M166)),"PRECIO PENDIENTE",$M166-IF(ISNUMBER($L166),$L166,0)))</f>
        <v/>
      </c>
      <c r="O166" s="54">
        <f>IF($F166="","",IFERROR(INDEX(tblInventario[Costo unitario aplicado],MATCH($F166,tblInventario[SKU],0)),""))</f>
        <v/>
      </c>
      <c r="P166" s="37">
        <f>IF($J166="","",IF(NOT(ISNUMBER($O166)),"COSTO PENDIENTE",$J166*$O166))</f>
        <v/>
      </c>
      <c r="Q166" s="37">
        <f>IF($J166="","",IF(OR(NOT(ISNUMBER($N166)),NOT(ISNUMBER($P166))),"PENDIENTE",$N166-$P166))</f>
        <v/>
      </c>
      <c r="R166" s="38">
        <f>IF($J166="","",IF(OR(NOT(ISNUMBER($Q166)),NOT(ISNUMBER($N166)),$N166&lt;=0),"PENDIENTE",$Q166/$N166))</f>
        <v/>
      </c>
      <c r="S166" s="33" t="n"/>
      <c r="T166" s="33" t="n"/>
      <c r="U166" s="41" t="n"/>
      <c r="V166" s="36" t="n"/>
      <c r="W166" s="37">
        <f>IF(NOT(ISNUMBER($N166)),"",$N166-IF(ISNUMBER($V166),$V166,0))</f>
        <v/>
      </c>
      <c r="X166" s="33" t="n"/>
      <c r="Y166" s="51">
        <f>IF(COUNTA($B166,$C166,$D166,$E166,$F166,$I166)=0,"",IF(IF($B166=""," · Falta fecha","")&amp;IF($D166=""," · Falta cliente","")&amp;IF($E166=""," · Falta canal","")&amp;IF($F166=""," · Falta SKU","")&amp;IF(AND($F166&lt;&gt;"",COUNTIF(tblProductos[SKU],$F166)=0)," · SKU no existe","")&amp;IF(OR($I166="",NOT(ISNUMBER($I166)),$I166&lt;=0)," · Cantidad inválida","")&amp;IF($M166="PRECIO PENDIENTE"," · Falta precio de venta","")&amp;IF($P166="COSTO PENDIENTE"," · Falta costo del producto","")&amp;IF(AND(ISNUMBER($Q166),$Q166&lt;0)," · UTILIDAD NEGATIVA","")&amp;IF(AND($F166&lt;&gt;"",ISNUMBER(INDEX(tblInventario[Stock actual],MATCH($F166,tblInventario[SKU],0))),INDEX(tblInventario[Stock actual],MATCH($F166,tblInventario[SKU],0))&lt;0)," · Stock negativo del SKU","")&amp;IF(AND($T166="Cobrado",$U166="")," · Cobro sin fecha","")&amp;IF(AND(ISNUMBER($V166),ISNUMBER($N166),$V166&gt;N($N166)+0.01)," · Cobrado &gt; venta neta","")&amp;IF(AND(ISNUMBER($V166),$V166&gt;0,$U166="")," · Monto cobrado sin fecha","")="","OK",MID(IF($B166=""," · Falta fecha","")&amp;IF($D166=""," · Falta cliente","")&amp;IF($E166=""," · Falta canal","")&amp;IF($F166=""," · Falta SKU","")&amp;IF(AND($F166&lt;&gt;"",COUNTIF(tblProductos[SKU],$F166)=0)," · SKU no existe","")&amp;IF(OR($I166="",NOT(ISNUMBER($I166)),$I166&lt;=0)," · Cantidad inválida","")&amp;IF($M166="PRECIO PENDIENTE"," · Falta precio de venta","")&amp;IF($P166="COSTO PENDIENTE"," · Falta costo del producto","")&amp;IF(AND(ISNUMBER($Q166),$Q166&lt;0)," · UTILIDAD NEGATIVA","")&amp;IF(AND($F166&lt;&gt;"",ISNUMBER(INDEX(tblInventario[Stock actual],MATCH($F166,tblInventario[SKU],0))),INDEX(tblInventario[Stock actual],MATCH($F166,tblInventario[SKU],0))&lt;0)," · Stock negativo del SKU","")&amp;IF(AND($T166="Cobrado",$U166="")," · Cobro sin fecha","")&amp;IF(AND(ISNUMBER($V166),ISNUMBER($N166),$V166&gt;N($N166)+0.01)," · Cobrado &gt; venta neta","")&amp;IF(AND(ISNUMBER($V166),$V166&gt;0,$U166="")," · Monto cobrado sin fecha",""),4,900)))</f>
        <v/>
      </c>
    </row>
    <row r="167">
      <c r="A167" s="51">
        <f>IF(COUNTA($B167,$C167,$D167,$E167,$F167,$I167)=0,"","V-"&amp;TEXT(ROW()-6,"0000"))</f>
        <v/>
      </c>
      <c r="B167" s="41" t="n"/>
      <c r="C167" s="33" t="n"/>
      <c r="D167" s="33" t="n"/>
      <c r="E167" s="33" t="n"/>
      <c r="F167" s="33" t="n"/>
      <c r="G167" s="51">
        <f>IF($F167="","",IFERROR(IF(INDEX(tblProductos[Nombre del producto],MATCH($F167,tblProductos[SKU],0))="","",INDEX(tblProductos[Nombre del producto],MATCH($F167,tblProductos[SKU],0))),""))</f>
        <v/>
      </c>
      <c r="H167" s="51">
        <f>IF($F167="","",IFERROR(IF(INDEX(tblProductos[Categoría],MATCH($F167,tblProductos[SKU],0))="","",INDEX(tblProductos[Categoría],MATCH($F167,tblProductos[SKU],0))),""))</f>
        <v/>
      </c>
      <c r="I167" s="34" t="n"/>
      <c r="J167" s="39">
        <f>IF(OR($B167="",$F167="",$I167=""),"",IF($T167="Anulado",0,$I167))</f>
        <v/>
      </c>
      <c r="K167" s="54">
        <f>IF($F167="","",IFERROR(IF(INDEX(tblProductos[Precio de venta actual],MATCH($F167,tblProductos[SKU],0))="","",INDEX(tblProductos[Precio de venta actual],MATCH($F167,tblProductos[SKU],0))),""))</f>
        <v/>
      </c>
      <c r="L167" s="36" t="n"/>
      <c r="M167" s="37">
        <f>IF($J167="","",IF(NOT(ISNUMBER($K167)),"PRECIO PENDIENTE",$J167*$K167))</f>
        <v/>
      </c>
      <c r="N167" s="37">
        <f>IF($J167="","",IF(NOT(ISNUMBER($M167)),"PRECIO PENDIENTE",$M167-IF(ISNUMBER($L167),$L167,0)))</f>
        <v/>
      </c>
      <c r="O167" s="54">
        <f>IF($F167="","",IFERROR(INDEX(tblInventario[Costo unitario aplicado],MATCH($F167,tblInventario[SKU],0)),""))</f>
        <v/>
      </c>
      <c r="P167" s="37">
        <f>IF($J167="","",IF(NOT(ISNUMBER($O167)),"COSTO PENDIENTE",$J167*$O167))</f>
        <v/>
      </c>
      <c r="Q167" s="37">
        <f>IF($J167="","",IF(OR(NOT(ISNUMBER($N167)),NOT(ISNUMBER($P167))),"PENDIENTE",$N167-$P167))</f>
        <v/>
      </c>
      <c r="R167" s="38">
        <f>IF($J167="","",IF(OR(NOT(ISNUMBER($Q167)),NOT(ISNUMBER($N167)),$N167&lt;=0),"PENDIENTE",$Q167/$N167))</f>
        <v/>
      </c>
      <c r="S167" s="33" t="n"/>
      <c r="T167" s="33" t="n"/>
      <c r="U167" s="41" t="n"/>
      <c r="V167" s="36" t="n"/>
      <c r="W167" s="37">
        <f>IF(NOT(ISNUMBER($N167)),"",$N167-IF(ISNUMBER($V167),$V167,0))</f>
        <v/>
      </c>
      <c r="X167" s="33" t="n"/>
      <c r="Y167" s="51">
        <f>IF(COUNTA($B167,$C167,$D167,$E167,$F167,$I167)=0,"",IF(IF($B167=""," · Falta fecha","")&amp;IF($D167=""," · Falta cliente","")&amp;IF($E167=""," · Falta canal","")&amp;IF($F167=""," · Falta SKU","")&amp;IF(AND($F167&lt;&gt;"",COUNTIF(tblProductos[SKU],$F167)=0)," · SKU no existe","")&amp;IF(OR($I167="",NOT(ISNUMBER($I167)),$I167&lt;=0)," · Cantidad inválida","")&amp;IF($M167="PRECIO PENDIENTE"," · Falta precio de venta","")&amp;IF($P167="COSTO PENDIENTE"," · Falta costo del producto","")&amp;IF(AND(ISNUMBER($Q167),$Q167&lt;0)," · UTILIDAD NEGATIVA","")&amp;IF(AND($F167&lt;&gt;"",ISNUMBER(INDEX(tblInventario[Stock actual],MATCH($F167,tblInventario[SKU],0))),INDEX(tblInventario[Stock actual],MATCH($F167,tblInventario[SKU],0))&lt;0)," · Stock negativo del SKU","")&amp;IF(AND($T167="Cobrado",$U167="")," · Cobro sin fecha","")&amp;IF(AND(ISNUMBER($V167),ISNUMBER($N167),$V167&gt;N($N167)+0.01)," · Cobrado &gt; venta neta","")&amp;IF(AND(ISNUMBER($V167),$V167&gt;0,$U167="")," · Monto cobrado sin fecha","")="","OK",MID(IF($B167=""," · Falta fecha","")&amp;IF($D167=""," · Falta cliente","")&amp;IF($E167=""," · Falta canal","")&amp;IF($F167=""," · Falta SKU","")&amp;IF(AND($F167&lt;&gt;"",COUNTIF(tblProductos[SKU],$F167)=0)," · SKU no existe","")&amp;IF(OR($I167="",NOT(ISNUMBER($I167)),$I167&lt;=0)," · Cantidad inválida","")&amp;IF($M167="PRECIO PENDIENTE"," · Falta precio de venta","")&amp;IF($P167="COSTO PENDIENTE"," · Falta costo del producto","")&amp;IF(AND(ISNUMBER($Q167),$Q167&lt;0)," · UTILIDAD NEGATIVA","")&amp;IF(AND($F167&lt;&gt;"",ISNUMBER(INDEX(tblInventario[Stock actual],MATCH($F167,tblInventario[SKU],0))),INDEX(tblInventario[Stock actual],MATCH($F167,tblInventario[SKU],0))&lt;0)," · Stock negativo del SKU","")&amp;IF(AND($T167="Cobrado",$U167="")," · Cobro sin fecha","")&amp;IF(AND(ISNUMBER($V167),ISNUMBER($N167),$V167&gt;N($N167)+0.01)," · Cobrado &gt; venta neta","")&amp;IF(AND(ISNUMBER($V167),$V167&gt;0,$U167="")," · Monto cobrado sin fecha",""),4,900)))</f>
        <v/>
      </c>
    </row>
    <row r="168">
      <c r="A168" s="51">
        <f>IF(COUNTA($B168,$C168,$D168,$E168,$F168,$I168)=0,"","V-"&amp;TEXT(ROW()-6,"0000"))</f>
        <v/>
      </c>
      <c r="B168" s="41" t="n"/>
      <c r="C168" s="33" t="n"/>
      <c r="D168" s="33" t="n"/>
      <c r="E168" s="33" t="n"/>
      <c r="F168" s="33" t="n"/>
      <c r="G168" s="51">
        <f>IF($F168="","",IFERROR(IF(INDEX(tblProductos[Nombre del producto],MATCH($F168,tblProductos[SKU],0))="","",INDEX(tblProductos[Nombre del producto],MATCH($F168,tblProductos[SKU],0))),""))</f>
        <v/>
      </c>
      <c r="H168" s="51">
        <f>IF($F168="","",IFERROR(IF(INDEX(tblProductos[Categoría],MATCH($F168,tblProductos[SKU],0))="","",INDEX(tblProductos[Categoría],MATCH($F168,tblProductos[SKU],0))),""))</f>
        <v/>
      </c>
      <c r="I168" s="34" t="n"/>
      <c r="J168" s="39">
        <f>IF(OR($B168="",$F168="",$I168=""),"",IF($T168="Anulado",0,$I168))</f>
        <v/>
      </c>
      <c r="K168" s="54">
        <f>IF($F168="","",IFERROR(IF(INDEX(tblProductos[Precio de venta actual],MATCH($F168,tblProductos[SKU],0))="","",INDEX(tblProductos[Precio de venta actual],MATCH($F168,tblProductos[SKU],0))),""))</f>
        <v/>
      </c>
      <c r="L168" s="36" t="n"/>
      <c r="M168" s="37">
        <f>IF($J168="","",IF(NOT(ISNUMBER($K168)),"PRECIO PENDIENTE",$J168*$K168))</f>
        <v/>
      </c>
      <c r="N168" s="37">
        <f>IF($J168="","",IF(NOT(ISNUMBER($M168)),"PRECIO PENDIENTE",$M168-IF(ISNUMBER($L168),$L168,0)))</f>
        <v/>
      </c>
      <c r="O168" s="54">
        <f>IF($F168="","",IFERROR(INDEX(tblInventario[Costo unitario aplicado],MATCH($F168,tblInventario[SKU],0)),""))</f>
        <v/>
      </c>
      <c r="P168" s="37">
        <f>IF($J168="","",IF(NOT(ISNUMBER($O168)),"COSTO PENDIENTE",$J168*$O168))</f>
        <v/>
      </c>
      <c r="Q168" s="37">
        <f>IF($J168="","",IF(OR(NOT(ISNUMBER($N168)),NOT(ISNUMBER($P168))),"PENDIENTE",$N168-$P168))</f>
        <v/>
      </c>
      <c r="R168" s="38">
        <f>IF($J168="","",IF(OR(NOT(ISNUMBER($Q168)),NOT(ISNUMBER($N168)),$N168&lt;=0),"PENDIENTE",$Q168/$N168))</f>
        <v/>
      </c>
      <c r="S168" s="33" t="n"/>
      <c r="T168" s="33" t="n"/>
      <c r="U168" s="41" t="n"/>
      <c r="V168" s="36" t="n"/>
      <c r="W168" s="37">
        <f>IF(NOT(ISNUMBER($N168)),"",$N168-IF(ISNUMBER($V168),$V168,0))</f>
        <v/>
      </c>
      <c r="X168" s="33" t="n"/>
      <c r="Y168" s="51">
        <f>IF(COUNTA($B168,$C168,$D168,$E168,$F168,$I168)=0,"",IF(IF($B168=""," · Falta fecha","")&amp;IF($D168=""," · Falta cliente","")&amp;IF($E168=""," · Falta canal","")&amp;IF($F168=""," · Falta SKU","")&amp;IF(AND($F168&lt;&gt;"",COUNTIF(tblProductos[SKU],$F168)=0)," · SKU no existe","")&amp;IF(OR($I168="",NOT(ISNUMBER($I168)),$I168&lt;=0)," · Cantidad inválida","")&amp;IF($M168="PRECIO PENDIENTE"," · Falta precio de venta","")&amp;IF($P168="COSTO PENDIENTE"," · Falta costo del producto","")&amp;IF(AND(ISNUMBER($Q168),$Q168&lt;0)," · UTILIDAD NEGATIVA","")&amp;IF(AND($F168&lt;&gt;"",ISNUMBER(INDEX(tblInventario[Stock actual],MATCH($F168,tblInventario[SKU],0))),INDEX(tblInventario[Stock actual],MATCH($F168,tblInventario[SKU],0))&lt;0)," · Stock negativo del SKU","")&amp;IF(AND($T168="Cobrado",$U168="")," · Cobro sin fecha","")&amp;IF(AND(ISNUMBER($V168),ISNUMBER($N168),$V168&gt;N($N168)+0.01)," · Cobrado &gt; venta neta","")&amp;IF(AND(ISNUMBER($V168),$V168&gt;0,$U168="")," · Monto cobrado sin fecha","")="","OK",MID(IF($B168=""," · Falta fecha","")&amp;IF($D168=""," · Falta cliente","")&amp;IF($E168=""," · Falta canal","")&amp;IF($F168=""," · Falta SKU","")&amp;IF(AND($F168&lt;&gt;"",COUNTIF(tblProductos[SKU],$F168)=0)," · SKU no existe","")&amp;IF(OR($I168="",NOT(ISNUMBER($I168)),$I168&lt;=0)," · Cantidad inválida","")&amp;IF($M168="PRECIO PENDIENTE"," · Falta precio de venta","")&amp;IF($P168="COSTO PENDIENTE"," · Falta costo del producto","")&amp;IF(AND(ISNUMBER($Q168),$Q168&lt;0)," · UTILIDAD NEGATIVA","")&amp;IF(AND($F168&lt;&gt;"",ISNUMBER(INDEX(tblInventario[Stock actual],MATCH($F168,tblInventario[SKU],0))),INDEX(tblInventario[Stock actual],MATCH($F168,tblInventario[SKU],0))&lt;0)," · Stock negativo del SKU","")&amp;IF(AND($T168="Cobrado",$U168="")," · Cobro sin fecha","")&amp;IF(AND(ISNUMBER($V168),ISNUMBER($N168),$V168&gt;N($N168)+0.01)," · Cobrado &gt; venta neta","")&amp;IF(AND(ISNUMBER($V168),$V168&gt;0,$U168="")," · Monto cobrado sin fecha",""),4,900)))</f>
        <v/>
      </c>
    </row>
    <row r="169">
      <c r="A169" s="51">
        <f>IF(COUNTA($B169,$C169,$D169,$E169,$F169,$I169)=0,"","V-"&amp;TEXT(ROW()-6,"0000"))</f>
        <v/>
      </c>
      <c r="B169" s="41" t="n"/>
      <c r="C169" s="33" t="n"/>
      <c r="D169" s="33" t="n"/>
      <c r="E169" s="33" t="n"/>
      <c r="F169" s="33" t="n"/>
      <c r="G169" s="51">
        <f>IF($F169="","",IFERROR(IF(INDEX(tblProductos[Nombre del producto],MATCH($F169,tblProductos[SKU],0))="","",INDEX(tblProductos[Nombre del producto],MATCH($F169,tblProductos[SKU],0))),""))</f>
        <v/>
      </c>
      <c r="H169" s="51">
        <f>IF($F169="","",IFERROR(IF(INDEX(tblProductos[Categoría],MATCH($F169,tblProductos[SKU],0))="","",INDEX(tblProductos[Categoría],MATCH($F169,tblProductos[SKU],0))),""))</f>
        <v/>
      </c>
      <c r="I169" s="34" t="n"/>
      <c r="J169" s="39">
        <f>IF(OR($B169="",$F169="",$I169=""),"",IF($T169="Anulado",0,$I169))</f>
        <v/>
      </c>
      <c r="K169" s="54">
        <f>IF($F169="","",IFERROR(IF(INDEX(tblProductos[Precio de venta actual],MATCH($F169,tblProductos[SKU],0))="","",INDEX(tblProductos[Precio de venta actual],MATCH($F169,tblProductos[SKU],0))),""))</f>
        <v/>
      </c>
      <c r="L169" s="36" t="n"/>
      <c r="M169" s="37">
        <f>IF($J169="","",IF(NOT(ISNUMBER($K169)),"PRECIO PENDIENTE",$J169*$K169))</f>
        <v/>
      </c>
      <c r="N169" s="37">
        <f>IF($J169="","",IF(NOT(ISNUMBER($M169)),"PRECIO PENDIENTE",$M169-IF(ISNUMBER($L169),$L169,0)))</f>
        <v/>
      </c>
      <c r="O169" s="54">
        <f>IF($F169="","",IFERROR(INDEX(tblInventario[Costo unitario aplicado],MATCH($F169,tblInventario[SKU],0)),""))</f>
        <v/>
      </c>
      <c r="P169" s="37">
        <f>IF($J169="","",IF(NOT(ISNUMBER($O169)),"COSTO PENDIENTE",$J169*$O169))</f>
        <v/>
      </c>
      <c r="Q169" s="37">
        <f>IF($J169="","",IF(OR(NOT(ISNUMBER($N169)),NOT(ISNUMBER($P169))),"PENDIENTE",$N169-$P169))</f>
        <v/>
      </c>
      <c r="R169" s="38">
        <f>IF($J169="","",IF(OR(NOT(ISNUMBER($Q169)),NOT(ISNUMBER($N169)),$N169&lt;=0),"PENDIENTE",$Q169/$N169))</f>
        <v/>
      </c>
      <c r="S169" s="33" t="n"/>
      <c r="T169" s="33" t="n"/>
      <c r="U169" s="41" t="n"/>
      <c r="V169" s="36" t="n"/>
      <c r="W169" s="37">
        <f>IF(NOT(ISNUMBER($N169)),"",$N169-IF(ISNUMBER($V169),$V169,0))</f>
        <v/>
      </c>
      <c r="X169" s="33" t="n"/>
      <c r="Y169" s="51">
        <f>IF(COUNTA($B169,$C169,$D169,$E169,$F169,$I169)=0,"",IF(IF($B169=""," · Falta fecha","")&amp;IF($D169=""," · Falta cliente","")&amp;IF($E169=""," · Falta canal","")&amp;IF($F169=""," · Falta SKU","")&amp;IF(AND($F169&lt;&gt;"",COUNTIF(tblProductos[SKU],$F169)=0)," · SKU no existe","")&amp;IF(OR($I169="",NOT(ISNUMBER($I169)),$I169&lt;=0)," · Cantidad inválida","")&amp;IF($M169="PRECIO PENDIENTE"," · Falta precio de venta","")&amp;IF($P169="COSTO PENDIENTE"," · Falta costo del producto","")&amp;IF(AND(ISNUMBER($Q169),$Q169&lt;0)," · UTILIDAD NEGATIVA","")&amp;IF(AND($F169&lt;&gt;"",ISNUMBER(INDEX(tblInventario[Stock actual],MATCH($F169,tblInventario[SKU],0))),INDEX(tblInventario[Stock actual],MATCH($F169,tblInventario[SKU],0))&lt;0)," · Stock negativo del SKU","")&amp;IF(AND($T169="Cobrado",$U169="")," · Cobro sin fecha","")&amp;IF(AND(ISNUMBER($V169),ISNUMBER($N169),$V169&gt;N($N169)+0.01)," · Cobrado &gt; venta neta","")&amp;IF(AND(ISNUMBER($V169),$V169&gt;0,$U169="")," · Monto cobrado sin fecha","")="","OK",MID(IF($B169=""," · Falta fecha","")&amp;IF($D169=""," · Falta cliente","")&amp;IF($E169=""," · Falta canal","")&amp;IF($F169=""," · Falta SKU","")&amp;IF(AND($F169&lt;&gt;"",COUNTIF(tblProductos[SKU],$F169)=0)," · SKU no existe","")&amp;IF(OR($I169="",NOT(ISNUMBER($I169)),$I169&lt;=0)," · Cantidad inválida","")&amp;IF($M169="PRECIO PENDIENTE"," · Falta precio de venta","")&amp;IF($P169="COSTO PENDIENTE"," · Falta costo del producto","")&amp;IF(AND(ISNUMBER($Q169),$Q169&lt;0)," · UTILIDAD NEGATIVA","")&amp;IF(AND($F169&lt;&gt;"",ISNUMBER(INDEX(tblInventario[Stock actual],MATCH($F169,tblInventario[SKU],0))),INDEX(tblInventario[Stock actual],MATCH($F169,tblInventario[SKU],0))&lt;0)," · Stock negativo del SKU","")&amp;IF(AND($T169="Cobrado",$U169="")," · Cobro sin fecha","")&amp;IF(AND(ISNUMBER($V169),ISNUMBER($N169),$V169&gt;N($N169)+0.01)," · Cobrado &gt; venta neta","")&amp;IF(AND(ISNUMBER($V169),$V169&gt;0,$U169="")," · Monto cobrado sin fecha",""),4,900)))</f>
        <v/>
      </c>
    </row>
    <row r="170">
      <c r="A170" s="51">
        <f>IF(COUNTA($B170,$C170,$D170,$E170,$F170,$I170)=0,"","V-"&amp;TEXT(ROW()-6,"0000"))</f>
        <v/>
      </c>
      <c r="B170" s="41" t="n"/>
      <c r="C170" s="33" t="n"/>
      <c r="D170" s="33" t="n"/>
      <c r="E170" s="33" t="n"/>
      <c r="F170" s="33" t="n"/>
      <c r="G170" s="51">
        <f>IF($F170="","",IFERROR(IF(INDEX(tblProductos[Nombre del producto],MATCH($F170,tblProductos[SKU],0))="","",INDEX(tblProductos[Nombre del producto],MATCH($F170,tblProductos[SKU],0))),""))</f>
        <v/>
      </c>
      <c r="H170" s="51">
        <f>IF($F170="","",IFERROR(IF(INDEX(tblProductos[Categoría],MATCH($F170,tblProductos[SKU],0))="","",INDEX(tblProductos[Categoría],MATCH($F170,tblProductos[SKU],0))),""))</f>
        <v/>
      </c>
      <c r="I170" s="34" t="n"/>
      <c r="J170" s="39">
        <f>IF(OR($B170="",$F170="",$I170=""),"",IF($T170="Anulado",0,$I170))</f>
        <v/>
      </c>
      <c r="K170" s="54">
        <f>IF($F170="","",IFERROR(IF(INDEX(tblProductos[Precio de venta actual],MATCH($F170,tblProductos[SKU],0))="","",INDEX(tblProductos[Precio de venta actual],MATCH($F170,tblProductos[SKU],0))),""))</f>
        <v/>
      </c>
      <c r="L170" s="36" t="n"/>
      <c r="M170" s="37">
        <f>IF($J170="","",IF(NOT(ISNUMBER($K170)),"PRECIO PENDIENTE",$J170*$K170))</f>
        <v/>
      </c>
      <c r="N170" s="37">
        <f>IF($J170="","",IF(NOT(ISNUMBER($M170)),"PRECIO PENDIENTE",$M170-IF(ISNUMBER($L170),$L170,0)))</f>
        <v/>
      </c>
      <c r="O170" s="54">
        <f>IF($F170="","",IFERROR(INDEX(tblInventario[Costo unitario aplicado],MATCH($F170,tblInventario[SKU],0)),""))</f>
        <v/>
      </c>
      <c r="P170" s="37">
        <f>IF($J170="","",IF(NOT(ISNUMBER($O170)),"COSTO PENDIENTE",$J170*$O170))</f>
        <v/>
      </c>
      <c r="Q170" s="37">
        <f>IF($J170="","",IF(OR(NOT(ISNUMBER($N170)),NOT(ISNUMBER($P170))),"PENDIENTE",$N170-$P170))</f>
        <v/>
      </c>
      <c r="R170" s="38">
        <f>IF($J170="","",IF(OR(NOT(ISNUMBER($Q170)),NOT(ISNUMBER($N170)),$N170&lt;=0),"PENDIENTE",$Q170/$N170))</f>
        <v/>
      </c>
      <c r="S170" s="33" t="n"/>
      <c r="T170" s="33" t="n"/>
      <c r="U170" s="41" t="n"/>
      <c r="V170" s="36" t="n"/>
      <c r="W170" s="37">
        <f>IF(NOT(ISNUMBER($N170)),"",$N170-IF(ISNUMBER($V170),$V170,0))</f>
        <v/>
      </c>
      <c r="X170" s="33" t="n"/>
      <c r="Y170" s="51">
        <f>IF(COUNTA($B170,$C170,$D170,$E170,$F170,$I170)=0,"",IF(IF($B170=""," · Falta fecha","")&amp;IF($D170=""," · Falta cliente","")&amp;IF($E170=""," · Falta canal","")&amp;IF($F170=""," · Falta SKU","")&amp;IF(AND($F170&lt;&gt;"",COUNTIF(tblProductos[SKU],$F170)=0)," · SKU no existe","")&amp;IF(OR($I170="",NOT(ISNUMBER($I170)),$I170&lt;=0)," · Cantidad inválida","")&amp;IF($M170="PRECIO PENDIENTE"," · Falta precio de venta","")&amp;IF($P170="COSTO PENDIENTE"," · Falta costo del producto","")&amp;IF(AND(ISNUMBER($Q170),$Q170&lt;0)," · UTILIDAD NEGATIVA","")&amp;IF(AND($F170&lt;&gt;"",ISNUMBER(INDEX(tblInventario[Stock actual],MATCH($F170,tblInventario[SKU],0))),INDEX(tblInventario[Stock actual],MATCH($F170,tblInventario[SKU],0))&lt;0)," · Stock negativo del SKU","")&amp;IF(AND($T170="Cobrado",$U170="")," · Cobro sin fecha","")&amp;IF(AND(ISNUMBER($V170),ISNUMBER($N170),$V170&gt;N($N170)+0.01)," · Cobrado &gt; venta neta","")&amp;IF(AND(ISNUMBER($V170),$V170&gt;0,$U170="")," · Monto cobrado sin fecha","")="","OK",MID(IF($B170=""," · Falta fecha","")&amp;IF($D170=""," · Falta cliente","")&amp;IF($E170=""," · Falta canal","")&amp;IF($F170=""," · Falta SKU","")&amp;IF(AND($F170&lt;&gt;"",COUNTIF(tblProductos[SKU],$F170)=0)," · SKU no existe","")&amp;IF(OR($I170="",NOT(ISNUMBER($I170)),$I170&lt;=0)," · Cantidad inválida","")&amp;IF($M170="PRECIO PENDIENTE"," · Falta precio de venta","")&amp;IF($P170="COSTO PENDIENTE"," · Falta costo del producto","")&amp;IF(AND(ISNUMBER($Q170),$Q170&lt;0)," · UTILIDAD NEGATIVA","")&amp;IF(AND($F170&lt;&gt;"",ISNUMBER(INDEX(tblInventario[Stock actual],MATCH($F170,tblInventario[SKU],0))),INDEX(tblInventario[Stock actual],MATCH($F170,tblInventario[SKU],0))&lt;0)," · Stock negativo del SKU","")&amp;IF(AND($T170="Cobrado",$U170="")," · Cobro sin fecha","")&amp;IF(AND(ISNUMBER($V170),ISNUMBER($N170),$V170&gt;N($N170)+0.01)," · Cobrado &gt; venta neta","")&amp;IF(AND(ISNUMBER($V170),$V170&gt;0,$U170="")," · Monto cobrado sin fecha",""),4,900)))</f>
        <v/>
      </c>
    </row>
    <row r="171">
      <c r="A171" s="51">
        <f>IF(COUNTA($B171,$C171,$D171,$E171,$F171,$I171)=0,"","V-"&amp;TEXT(ROW()-6,"0000"))</f>
        <v/>
      </c>
      <c r="B171" s="41" t="n"/>
      <c r="C171" s="33" t="n"/>
      <c r="D171" s="33" t="n"/>
      <c r="E171" s="33" t="n"/>
      <c r="F171" s="33" t="n"/>
      <c r="G171" s="51">
        <f>IF($F171="","",IFERROR(IF(INDEX(tblProductos[Nombre del producto],MATCH($F171,tblProductos[SKU],0))="","",INDEX(tblProductos[Nombre del producto],MATCH($F171,tblProductos[SKU],0))),""))</f>
        <v/>
      </c>
      <c r="H171" s="51">
        <f>IF($F171="","",IFERROR(IF(INDEX(tblProductos[Categoría],MATCH($F171,tblProductos[SKU],0))="","",INDEX(tblProductos[Categoría],MATCH($F171,tblProductos[SKU],0))),""))</f>
        <v/>
      </c>
      <c r="I171" s="34" t="n"/>
      <c r="J171" s="39">
        <f>IF(OR($B171="",$F171="",$I171=""),"",IF($T171="Anulado",0,$I171))</f>
        <v/>
      </c>
      <c r="K171" s="54">
        <f>IF($F171="","",IFERROR(IF(INDEX(tblProductos[Precio de venta actual],MATCH($F171,tblProductos[SKU],0))="","",INDEX(tblProductos[Precio de venta actual],MATCH($F171,tblProductos[SKU],0))),""))</f>
        <v/>
      </c>
      <c r="L171" s="36" t="n"/>
      <c r="M171" s="37">
        <f>IF($J171="","",IF(NOT(ISNUMBER($K171)),"PRECIO PENDIENTE",$J171*$K171))</f>
        <v/>
      </c>
      <c r="N171" s="37">
        <f>IF($J171="","",IF(NOT(ISNUMBER($M171)),"PRECIO PENDIENTE",$M171-IF(ISNUMBER($L171),$L171,0)))</f>
        <v/>
      </c>
      <c r="O171" s="54">
        <f>IF($F171="","",IFERROR(INDEX(tblInventario[Costo unitario aplicado],MATCH($F171,tblInventario[SKU],0)),""))</f>
        <v/>
      </c>
      <c r="P171" s="37">
        <f>IF($J171="","",IF(NOT(ISNUMBER($O171)),"COSTO PENDIENTE",$J171*$O171))</f>
        <v/>
      </c>
      <c r="Q171" s="37">
        <f>IF($J171="","",IF(OR(NOT(ISNUMBER($N171)),NOT(ISNUMBER($P171))),"PENDIENTE",$N171-$P171))</f>
        <v/>
      </c>
      <c r="R171" s="38">
        <f>IF($J171="","",IF(OR(NOT(ISNUMBER($Q171)),NOT(ISNUMBER($N171)),$N171&lt;=0),"PENDIENTE",$Q171/$N171))</f>
        <v/>
      </c>
      <c r="S171" s="33" t="n"/>
      <c r="T171" s="33" t="n"/>
      <c r="U171" s="41" t="n"/>
      <c r="V171" s="36" t="n"/>
      <c r="W171" s="37">
        <f>IF(NOT(ISNUMBER($N171)),"",$N171-IF(ISNUMBER($V171),$V171,0))</f>
        <v/>
      </c>
      <c r="X171" s="33" t="n"/>
      <c r="Y171" s="51">
        <f>IF(COUNTA($B171,$C171,$D171,$E171,$F171,$I171)=0,"",IF(IF($B171=""," · Falta fecha","")&amp;IF($D171=""," · Falta cliente","")&amp;IF($E171=""," · Falta canal","")&amp;IF($F171=""," · Falta SKU","")&amp;IF(AND($F171&lt;&gt;"",COUNTIF(tblProductos[SKU],$F171)=0)," · SKU no existe","")&amp;IF(OR($I171="",NOT(ISNUMBER($I171)),$I171&lt;=0)," · Cantidad inválida","")&amp;IF($M171="PRECIO PENDIENTE"," · Falta precio de venta","")&amp;IF($P171="COSTO PENDIENTE"," · Falta costo del producto","")&amp;IF(AND(ISNUMBER($Q171),$Q171&lt;0)," · UTILIDAD NEGATIVA","")&amp;IF(AND($F171&lt;&gt;"",ISNUMBER(INDEX(tblInventario[Stock actual],MATCH($F171,tblInventario[SKU],0))),INDEX(tblInventario[Stock actual],MATCH($F171,tblInventario[SKU],0))&lt;0)," · Stock negativo del SKU","")&amp;IF(AND($T171="Cobrado",$U171="")," · Cobro sin fecha","")&amp;IF(AND(ISNUMBER($V171),ISNUMBER($N171),$V171&gt;N($N171)+0.01)," · Cobrado &gt; venta neta","")&amp;IF(AND(ISNUMBER($V171),$V171&gt;0,$U171="")," · Monto cobrado sin fecha","")="","OK",MID(IF($B171=""," · Falta fecha","")&amp;IF($D171=""," · Falta cliente","")&amp;IF($E171=""," · Falta canal","")&amp;IF($F171=""," · Falta SKU","")&amp;IF(AND($F171&lt;&gt;"",COUNTIF(tblProductos[SKU],$F171)=0)," · SKU no existe","")&amp;IF(OR($I171="",NOT(ISNUMBER($I171)),$I171&lt;=0)," · Cantidad inválida","")&amp;IF($M171="PRECIO PENDIENTE"," · Falta precio de venta","")&amp;IF($P171="COSTO PENDIENTE"," · Falta costo del producto","")&amp;IF(AND(ISNUMBER($Q171),$Q171&lt;0)," · UTILIDAD NEGATIVA","")&amp;IF(AND($F171&lt;&gt;"",ISNUMBER(INDEX(tblInventario[Stock actual],MATCH($F171,tblInventario[SKU],0))),INDEX(tblInventario[Stock actual],MATCH($F171,tblInventario[SKU],0))&lt;0)," · Stock negativo del SKU","")&amp;IF(AND($T171="Cobrado",$U171="")," · Cobro sin fecha","")&amp;IF(AND(ISNUMBER($V171),ISNUMBER($N171),$V171&gt;N($N171)+0.01)," · Cobrado &gt; venta neta","")&amp;IF(AND(ISNUMBER($V171),$V171&gt;0,$U171="")," · Monto cobrado sin fecha",""),4,900)))</f>
        <v/>
      </c>
    </row>
    <row r="172">
      <c r="A172" s="51">
        <f>IF(COUNTA($B172,$C172,$D172,$E172,$F172,$I172)=0,"","V-"&amp;TEXT(ROW()-6,"0000"))</f>
        <v/>
      </c>
      <c r="B172" s="41" t="n"/>
      <c r="C172" s="33" t="n"/>
      <c r="D172" s="33" t="n"/>
      <c r="E172" s="33" t="n"/>
      <c r="F172" s="33" t="n"/>
      <c r="G172" s="51">
        <f>IF($F172="","",IFERROR(IF(INDEX(tblProductos[Nombre del producto],MATCH($F172,tblProductos[SKU],0))="","",INDEX(tblProductos[Nombre del producto],MATCH($F172,tblProductos[SKU],0))),""))</f>
        <v/>
      </c>
      <c r="H172" s="51">
        <f>IF($F172="","",IFERROR(IF(INDEX(tblProductos[Categoría],MATCH($F172,tblProductos[SKU],0))="","",INDEX(tblProductos[Categoría],MATCH($F172,tblProductos[SKU],0))),""))</f>
        <v/>
      </c>
      <c r="I172" s="34" t="n"/>
      <c r="J172" s="39">
        <f>IF(OR($B172="",$F172="",$I172=""),"",IF($T172="Anulado",0,$I172))</f>
        <v/>
      </c>
      <c r="K172" s="54">
        <f>IF($F172="","",IFERROR(IF(INDEX(tblProductos[Precio de venta actual],MATCH($F172,tblProductos[SKU],0))="","",INDEX(tblProductos[Precio de venta actual],MATCH($F172,tblProductos[SKU],0))),""))</f>
        <v/>
      </c>
      <c r="L172" s="36" t="n"/>
      <c r="M172" s="37">
        <f>IF($J172="","",IF(NOT(ISNUMBER($K172)),"PRECIO PENDIENTE",$J172*$K172))</f>
        <v/>
      </c>
      <c r="N172" s="37">
        <f>IF($J172="","",IF(NOT(ISNUMBER($M172)),"PRECIO PENDIENTE",$M172-IF(ISNUMBER($L172),$L172,0)))</f>
        <v/>
      </c>
      <c r="O172" s="54">
        <f>IF($F172="","",IFERROR(INDEX(tblInventario[Costo unitario aplicado],MATCH($F172,tblInventario[SKU],0)),""))</f>
        <v/>
      </c>
      <c r="P172" s="37">
        <f>IF($J172="","",IF(NOT(ISNUMBER($O172)),"COSTO PENDIENTE",$J172*$O172))</f>
        <v/>
      </c>
      <c r="Q172" s="37">
        <f>IF($J172="","",IF(OR(NOT(ISNUMBER($N172)),NOT(ISNUMBER($P172))),"PENDIENTE",$N172-$P172))</f>
        <v/>
      </c>
      <c r="R172" s="38">
        <f>IF($J172="","",IF(OR(NOT(ISNUMBER($Q172)),NOT(ISNUMBER($N172)),$N172&lt;=0),"PENDIENTE",$Q172/$N172))</f>
        <v/>
      </c>
      <c r="S172" s="33" t="n"/>
      <c r="T172" s="33" t="n"/>
      <c r="U172" s="41" t="n"/>
      <c r="V172" s="36" t="n"/>
      <c r="W172" s="37">
        <f>IF(NOT(ISNUMBER($N172)),"",$N172-IF(ISNUMBER($V172),$V172,0))</f>
        <v/>
      </c>
      <c r="X172" s="33" t="n"/>
      <c r="Y172" s="51">
        <f>IF(COUNTA($B172,$C172,$D172,$E172,$F172,$I172)=0,"",IF(IF($B172=""," · Falta fecha","")&amp;IF($D172=""," · Falta cliente","")&amp;IF($E172=""," · Falta canal","")&amp;IF($F172=""," · Falta SKU","")&amp;IF(AND($F172&lt;&gt;"",COUNTIF(tblProductos[SKU],$F172)=0)," · SKU no existe","")&amp;IF(OR($I172="",NOT(ISNUMBER($I172)),$I172&lt;=0)," · Cantidad inválida","")&amp;IF($M172="PRECIO PENDIENTE"," · Falta precio de venta","")&amp;IF($P172="COSTO PENDIENTE"," · Falta costo del producto","")&amp;IF(AND(ISNUMBER($Q172),$Q172&lt;0)," · UTILIDAD NEGATIVA","")&amp;IF(AND($F172&lt;&gt;"",ISNUMBER(INDEX(tblInventario[Stock actual],MATCH($F172,tblInventario[SKU],0))),INDEX(tblInventario[Stock actual],MATCH($F172,tblInventario[SKU],0))&lt;0)," · Stock negativo del SKU","")&amp;IF(AND($T172="Cobrado",$U172="")," · Cobro sin fecha","")&amp;IF(AND(ISNUMBER($V172),ISNUMBER($N172),$V172&gt;N($N172)+0.01)," · Cobrado &gt; venta neta","")&amp;IF(AND(ISNUMBER($V172),$V172&gt;0,$U172="")," · Monto cobrado sin fecha","")="","OK",MID(IF($B172=""," · Falta fecha","")&amp;IF($D172=""," · Falta cliente","")&amp;IF($E172=""," · Falta canal","")&amp;IF($F172=""," · Falta SKU","")&amp;IF(AND($F172&lt;&gt;"",COUNTIF(tblProductos[SKU],$F172)=0)," · SKU no existe","")&amp;IF(OR($I172="",NOT(ISNUMBER($I172)),$I172&lt;=0)," · Cantidad inválida","")&amp;IF($M172="PRECIO PENDIENTE"," · Falta precio de venta","")&amp;IF($P172="COSTO PENDIENTE"," · Falta costo del producto","")&amp;IF(AND(ISNUMBER($Q172),$Q172&lt;0)," · UTILIDAD NEGATIVA","")&amp;IF(AND($F172&lt;&gt;"",ISNUMBER(INDEX(tblInventario[Stock actual],MATCH($F172,tblInventario[SKU],0))),INDEX(tblInventario[Stock actual],MATCH($F172,tblInventario[SKU],0))&lt;0)," · Stock negativo del SKU","")&amp;IF(AND($T172="Cobrado",$U172="")," · Cobro sin fecha","")&amp;IF(AND(ISNUMBER($V172),ISNUMBER($N172),$V172&gt;N($N172)+0.01)," · Cobrado &gt; venta neta","")&amp;IF(AND(ISNUMBER($V172),$V172&gt;0,$U172="")," · Monto cobrado sin fecha",""),4,900)))</f>
        <v/>
      </c>
    </row>
    <row r="173">
      <c r="A173" s="51">
        <f>IF(COUNTA($B173,$C173,$D173,$E173,$F173,$I173)=0,"","V-"&amp;TEXT(ROW()-6,"0000"))</f>
        <v/>
      </c>
      <c r="B173" s="41" t="n"/>
      <c r="C173" s="33" t="n"/>
      <c r="D173" s="33" t="n"/>
      <c r="E173" s="33" t="n"/>
      <c r="F173" s="33" t="n"/>
      <c r="G173" s="51">
        <f>IF($F173="","",IFERROR(IF(INDEX(tblProductos[Nombre del producto],MATCH($F173,tblProductos[SKU],0))="","",INDEX(tblProductos[Nombre del producto],MATCH($F173,tblProductos[SKU],0))),""))</f>
        <v/>
      </c>
      <c r="H173" s="51">
        <f>IF($F173="","",IFERROR(IF(INDEX(tblProductos[Categoría],MATCH($F173,tblProductos[SKU],0))="","",INDEX(tblProductos[Categoría],MATCH($F173,tblProductos[SKU],0))),""))</f>
        <v/>
      </c>
      <c r="I173" s="34" t="n"/>
      <c r="J173" s="39">
        <f>IF(OR($B173="",$F173="",$I173=""),"",IF($T173="Anulado",0,$I173))</f>
        <v/>
      </c>
      <c r="K173" s="54">
        <f>IF($F173="","",IFERROR(IF(INDEX(tblProductos[Precio de venta actual],MATCH($F173,tblProductos[SKU],0))="","",INDEX(tblProductos[Precio de venta actual],MATCH($F173,tblProductos[SKU],0))),""))</f>
        <v/>
      </c>
      <c r="L173" s="36" t="n"/>
      <c r="M173" s="37">
        <f>IF($J173="","",IF(NOT(ISNUMBER($K173)),"PRECIO PENDIENTE",$J173*$K173))</f>
        <v/>
      </c>
      <c r="N173" s="37">
        <f>IF($J173="","",IF(NOT(ISNUMBER($M173)),"PRECIO PENDIENTE",$M173-IF(ISNUMBER($L173),$L173,0)))</f>
        <v/>
      </c>
      <c r="O173" s="54">
        <f>IF($F173="","",IFERROR(INDEX(tblInventario[Costo unitario aplicado],MATCH($F173,tblInventario[SKU],0)),""))</f>
        <v/>
      </c>
      <c r="P173" s="37">
        <f>IF($J173="","",IF(NOT(ISNUMBER($O173)),"COSTO PENDIENTE",$J173*$O173))</f>
        <v/>
      </c>
      <c r="Q173" s="37">
        <f>IF($J173="","",IF(OR(NOT(ISNUMBER($N173)),NOT(ISNUMBER($P173))),"PENDIENTE",$N173-$P173))</f>
        <v/>
      </c>
      <c r="R173" s="38">
        <f>IF($J173="","",IF(OR(NOT(ISNUMBER($Q173)),NOT(ISNUMBER($N173)),$N173&lt;=0),"PENDIENTE",$Q173/$N173))</f>
        <v/>
      </c>
      <c r="S173" s="33" t="n"/>
      <c r="T173" s="33" t="n"/>
      <c r="U173" s="41" t="n"/>
      <c r="V173" s="36" t="n"/>
      <c r="W173" s="37">
        <f>IF(NOT(ISNUMBER($N173)),"",$N173-IF(ISNUMBER($V173),$V173,0))</f>
        <v/>
      </c>
      <c r="X173" s="33" t="n"/>
      <c r="Y173" s="51">
        <f>IF(COUNTA($B173,$C173,$D173,$E173,$F173,$I173)=0,"",IF(IF($B173=""," · Falta fecha","")&amp;IF($D173=""," · Falta cliente","")&amp;IF($E173=""," · Falta canal","")&amp;IF($F173=""," · Falta SKU","")&amp;IF(AND($F173&lt;&gt;"",COUNTIF(tblProductos[SKU],$F173)=0)," · SKU no existe","")&amp;IF(OR($I173="",NOT(ISNUMBER($I173)),$I173&lt;=0)," · Cantidad inválida","")&amp;IF($M173="PRECIO PENDIENTE"," · Falta precio de venta","")&amp;IF($P173="COSTO PENDIENTE"," · Falta costo del producto","")&amp;IF(AND(ISNUMBER($Q173),$Q173&lt;0)," · UTILIDAD NEGATIVA","")&amp;IF(AND($F173&lt;&gt;"",ISNUMBER(INDEX(tblInventario[Stock actual],MATCH($F173,tblInventario[SKU],0))),INDEX(tblInventario[Stock actual],MATCH($F173,tblInventario[SKU],0))&lt;0)," · Stock negativo del SKU","")&amp;IF(AND($T173="Cobrado",$U173="")," · Cobro sin fecha","")&amp;IF(AND(ISNUMBER($V173),ISNUMBER($N173),$V173&gt;N($N173)+0.01)," · Cobrado &gt; venta neta","")&amp;IF(AND(ISNUMBER($V173),$V173&gt;0,$U173="")," · Monto cobrado sin fecha","")="","OK",MID(IF($B173=""," · Falta fecha","")&amp;IF($D173=""," · Falta cliente","")&amp;IF($E173=""," · Falta canal","")&amp;IF($F173=""," · Falta SKU","")&amp;IF(AND($F173&lt;&gt;"",COUNTIF(tblProductos[SKU],$F173)=0)," · SKU no existe","")&amp;IF(OR($I173="",NOT(ISNUMBER($I173)),$I173&lt;=0)," · Cantidad inválida","")&amp;IF($M173="PRECIO PENDIENTE"," · Falta precio de venta","")&amp;IF($P173="COSTO PENDIENTE"," · Falta costo del producto","")&amp;IF(AND(ISNUMBER($Q173),$Q173&lt;0)," · UTILIDAD NEGATIVA","")&amp;IF(AND($F173&lt;&gt;"",ISNUMBER(INDEX(tblInventario[Stock actual],MATCH($F173,tblInventario[SKU],0))),INDEX(tblInventario[Stock actual],MATCH($F173,tblInventario[SKU],0))&lt;0)," · Stock negativo del SKU","")&amp;IF(AND($T173="Cobrado",$U173="")," · Cobro sin fecha","")&amp;IF(AND(ISNUMBER($V173),ISNUMBER($N173),$V173&gt;N($N173)+0.01)," · Cobrado &gt; venta neta","")&amp;IF(AND(ISNUMBER($V173),$V173&gt;0,$U173="")," · Monto cobrado sin fecha",""),4,900)))</f>
        <v/>
      </c>
    </row>
    <row r="174">
      <c r="A174" s="51">
        <f>IF(COUNTA($B174,$C174,$D174,$E174,$F174,$I174)=0,"","V-"&amp;TEXT(ROW()-6,"0000"))</f>
        <v/>
      </c>
      <c r="B174" s="41" t="n"/>
      <c r="C174" s="33" t="n"/>
      <c r="D174" s="33" t="n"/>
      <c r="E174" s="33" t="n"/>
      <c r="F174" s="33" t="n"/>
      <c r="G174" s="51">
        <f>IF($F174="","",IFERROR(IF(INDEX(tblProductos[Nombre del producto],MATCH($F174,tblProductos[SKU],0))="","",INDEX(tblProductos[Nombre del producto],MATCH($F174,tblProductos[SKU],0))),""))</f>
        <v/>
      </c>
      <c r="H174" s="51">
        <f>IF($F174="","",IFERROR(IF(INDEX(tblProductos[Categoría],MATCH($F174,tblProductos[SKU],0))="","",INDEX(tblProductos[Categoría],MATCH($F174,tblProductos[SKU],0))),""))</f>
        <v/>
      </c>
      <c r="I174" s="34" t="n"/>
      <c r="J174" s="39">
        <f>IF(OR($B174="",$F174="",$I174=""),"",IF($T174="Anulado",0,$I174))</f>
        <v/>
      </c>
      <c r="K174" s="54">
        <f>IF($F174="","",IFERROR(IF(INDEX(tblProductos[Precio de venta actual],MATCH($F174,tblProductos[SKU],0))="","",INDEX(tblProductos[Precio de venta actual],MATCH($F174,tblProductos[SKU],0))),""))</f>
        <v/>
      </c>
      <c r="L174" s="36" t="n"/>
      <c r="M174" s="37">
        <f>IF($J174="","",IF(NOT(ISNUMBER($K174)),"PRECIO PENDIENTE",$J174*$K174))</f>
        <v/>
      </c>
      <c r="N174" s="37">
        <f>IF($J174="","",IF(NOT(ISNUMBER($M174)),"PRECIO PENDIENTE",$M174-IF(ISNUMBER($L174),$L174,0)))</f>
        <v/>
      </c>
      <c r="O174" s="54">
        <f>IF($F174="","",IFERROR(INDEX(tblInventario[Costo unitario aplicado],MATCH($F174,tblInventario[SKU],0)),""))</f>
        <v/>
      </c>
      <c r="P174" s="37">
        <f>IF($J174="","",IF(NOT(ISNUMBER($O174)),"COSTO PENDIENTE",$J174*$O174))</f>
        <v/>
      </c>
      <c r="Q174" s="37">
        <f>IF($J174="","",IF(OR(NOT(ISNUMBER($N174)),NOT(ISNUMBER($P174))),"PENDIENTE",$N174-$P174))</f>
        <v/>
      </c>
      <c r="R174" s="38">
        <f>IF($J174="","",IF(OR(NOT(ISNUMBER($Q174)),NOT(ISNUMBER($N174)),$N174&lt;=0),"PENDIENTE",$Q174/$N174))</f>
        <v/>
      </c>
      <c r="S174" s="33" t="n"/>
      <c r="T174" s="33" t="n"/>
      <c r="U174" s="41" t="n"/>
      <c r="V174" s="36" t="n"/>
      <c r="W174" s="37">
        <f>IF(NOT(ISNUMBER($N174)),"",$N174-IF(ISNUMBER($V174),$V174,0))</f>
        <v/>
      </c>
      <c r="X174" s="33" t="n"/>
      <c r="Y174" s="51">
        <f>IF(COUNTA($B174,$C174,$D174,$E174,$F174,$I174)=0,"",IF(IF($B174=""," · Falta fecha","")&amp;IF($D174=""," · Falta cliente","")&amp;IF($E174=""," · Falta canal","")&amp;IF($F174=""," · Falta SKU","")&amp;IF(AND($F174&lt;&gt;"",COUNTIF(tblProductos[SKU],$F174)=0)," · SKU no existe","")&amp;IF(OR($I174="",NOT(ISNUMBER($I174)),$I174&lt;=0)," · Cantidad inválida","")&amp;IF($M174="PRECIO PENDIENTE"," · Falta precio de venta","")&amp;IF($P174="COSTO PENDIENTE"," · Falta costo del producto","")&amp;IF(AND(ISNUMBER($Q174),$Q174&lt;0)," · UTILIDAD NEGATIVA","")&amp;IF(AND($F174&lt;&gt;"",ISNUMBER(INDEX(tblInventario[Stock actual],MATCH($F174,tblInventario[SKU],0))),INDEX(tblInventario[Stock actual],MATCH($F174,tblInventario[SKU],0))&lt;0)," · Stock negativo del SKU","")&amp;IF(AND($T174="Cobrado",$U174="")," · Cobro sin fecha","")&amp;IF(AND(ISNUMBER($V174),ISNUMBER($N174),$V174&gt;N($N174)+0.01)," · Cobrado &gt; venta neta","")&amp;IF(AND(ISNUMBER($V174),$V174&gt;0,$U174="")," · Monto cobrado sin fecha","")="","OK",MID(IF($B174=""," · Falta fecha","")&amp;IF($D174=""," · Falta cliente","")&amp;IF($E174=""," · Falta canal","")&amp;IF($F174=""," · Falta SKU","")&amp;IF(AND($F174&lt;&gt;"",COUNTIF(tblProductos[SKU],$F174)=0)," · SKU no existe","")&amp;IF(OR($I174="",NOT(ISNUMBER($I174)),$I174&lt;=0)," · Cantidad inválida","")&amp;IF($M174="PRECIO PENDIENTE"," · Falta precio de venta","")&amp;IF($P174="COSTO PENDIENTE"," · Falta costo del producto","")&amp;IF(AND(ISNUMBER($Q174),$Q174&lt;0)," · UTILIDAD NEGATIVA","")&amp;IF(AND($F174&lt;&gt;"",ISNUMBER(INDEX(tblInventario[Stock actual],MATCH($F174,tblInventario[SKU],0))),INDEX(tblInventario[Stock actual],MATCH($F174,tblInventario[SKU],0))&lt;0)," · Stock negativo del SKU","")&amp;IF(AND($T174="Cobrado",$U174="")," · Cobro sin fecha","")&amp;IF(AND(ISNUMBER($V174),ISNUMBER($N174),$V174&gt;N($N174)+0.01)," · Cobrado &gt; venta neta","")&amp;IF(AND(ISNUMBER($V174),$V174&gt;0,$U174="")," · Monto cobrado sin fecha",""),4,900)))</f>
        <v/>
      </c>
    </row>
    <row r="175">
      <c r="A175" s="51">
        <f>IF(COUNTA($B175,$C175,$D175,$E175,$F175,$I175)=0,"","V-"&amp;TEXT(ROW()-6,"0000"))</f>
        <v/>
      </c>
      <c r="B175" s="41" t="n"/>
      <c r="C175" s="33" t="n"/>
      <c r="D175" s="33" t="n"/>
      <c r="E175" s="33" t="n"/>
      <c r="F175" s="33" t="n"/>
      <c r="G175" s="51">
        <f>IF($F175="","",IFERROR(IF(INDEX(tblProductos[Nombre del producto],MATCH($F175,tblProductos[SKU],0))="","",INDEX(tblProductos[Nombre del producto],MATCH($F175,tblProductos[SKU],0))),""))</f>
        <v/>
      </c>
      <c r="H175" s="51">
        <f>IF($F175="","",IFERROR(IF(INDEX(tblProductos[Categoría],MATCH($F175,tblProductos[SKU],0))="","",INDEX(tblProductos[Categoría],MATCH($F175,tblProductos[SKU],0))),""))</f>
        <v/>
      </c>
      <c r="I175" s="34" t="n"/>
      <c r="J175" s="39">
        <f>IF(OR($B175="",$F175="",$I175=""),"",IF($T175="Anulado",0,$I175))</f>
        <v/>
      </c>
      <c r="K175" s="54">
        <f>IF($F175="","",IFERROR(IF(INDEX(tblProductos[Precio de venta actual],MATCH($F175,tblProductos[SKU],0))="","",INDEX(tblProductos[Precio de venta actual],MATCH($F175,tblProductos[SKU],0))),""))</f>
        <v/>
      </c>
      <c r="L175" s="36" t="n"/>
      <c r="M175" s="37">
        <f>IF($J175="","",IF(NOT(ISNUMBER($K175)),"PRECIO PENDIENTE",$J175*$K175))</f>
        <v/>
      </c>
      <c r="N175" s="37">
        <f>IF($J175="","",IF(NOT(ISNUMBER($M175)),"PRECIO PENDIENTE",$M175-IF(ISNUMBER($L175),$L175,0)))</f>
        <v/>
      </c>
      <c r="O175" s="54">
        <f>IF($F175="","",IFERROR(INDEX(tblInventario[Costo unitario aplicado],MATCH($F175,tblInventario[SKU],0)),""))</f>
        <v/>
      </c>
      <c r="P175" s="37">
        <f>IF($J175="","",IF(NOT(ISNUMBER($O175)),"COSTO PENDIENTE",$J175*$O175))</f>
        <v/>
      </c>
      <c r="Q175" s="37">
        <f>IF($J175="","",IF(OR(NOT(ISNUMBER($N175)),NOT(ISNUMBER($P175))),"PENDIENTE",$N175-$P175))</f>
        <v/>
      </c>
      <c r="R175" s="38">
        <f>IF($J175="","",IF(OR(NOT(ISNUMBER($Q175)),NOT(ISNUMBER($N175)),$N175&lt;=0),"PENDIENTE",$Q175/$N175))</f>
        <v/>
      </c>
      <c r="S175" s="33" t="n"/>
      <c r="T175" s="33" t="n"/>
      <c r="U175" s="41" t="n"/>
      <c r="V175" s="36" t="n"/>
      <c r="W175" s="37">
        <f>IF(NOT(ISNUMBER($N175)),"",$N175-IF(ISNUMBER($V175),$V175,0))</f>
        <v/>
      </c>
      <c r="X175" s="33" t="n"/>
      <c r="Y175" s="51">
        <f>IF(COUNTA($B175,$C175,$D175,$E175,$F175,$I175)=0,"",IF(IF($B175=""," · Falta fecha","")&amp;IF($D175=""," · Falta cliente","")&amp;IF($E175=""," · Falta canal","")&amp;IF($F175=""," · Falta SKU","")&amp;IF(AND($F175&lt;&gt;"",COUNTIF(tblProductos[SKU],$F175)=0)," · SKU no existe","")&amp;IF(OR($I175="",NOT(ISNUMBER($I175)),$I175&lt;=0)," · Cantidad inválida","")&amp;IF($M175="PRECIO PENDIENTE"," · Falta precio de venta","")&amp;IF($P175="COSTO PENDIENTE"," · Falta costo del producto","")&amp;IF(AND(ISNUMBER($Q175),$Q175&lt;0)," · UTILIDAD NEGATIVA","")&amp;IF(AND($F175&lt;&gt;"",ISNUMBER(INDEX(tblInventario[Stock actual],MATCH($F175,tblInventario[SKU],0))),INDEX(tblInventario[Stock actual],MATCH($F175,tblInventario[SKU],0))&lt;0)," · Stock negativo del SKU","")&amp;IF(AND($T175="Cobrado",$U175="")," · Cobro sin fecha","")&amp;IF(AND(ISNUMBER($V175),ISNUMBER($N175),$V175&gt;N($N175)+0.01)," · Cobrado &gt; venta neta","")&amp;IF(AND(ISNUMBER($V175),$V175&gt;0,$U175="")," · Monto cobrado sin fecha","")="","OK",MID(IF($B175=""," · Falta fecha","")&amp;IF($D175=""," · Falta cliente","")&amp;IF($E175=""," · Falta canal","")&amp;IF($F175=""," · Falta SKU","")&amp;IF(AND($F175&lt;&gt;"",COUNTIF(tblProductos[SKU],$F175)=0)," · SKU no existe","")&amp;IF(OR($I175="",NOT(ISNUMBER($I175)),$I175&lt;=0)," · Cantidad inválida","")&amp;IF($M175="PRECIO PENDIENTE"," · Falta precio de venta","")&amp;IF($P175="COSTO PENDIENTE"," · Falta costo del producto","")&amp;IF(AND(ISNUMBER($Q175),$Q175&lt;0)," · UTILIDAD NEGATIVA","")&amp;IF(AND($F175&lt;&gt;"",ISNUMBER(INDEX(tblInventario[Stock actual],MATCH($F175,tblInventario[SKU],0))),INDEX(tblInventario[Stock actual],MATCH($F175,tblInventario[SKU],0))&lt;0)," · Stock negativo del SKU","")&amp;IF(AND($T175="Cobrado",$U175="")," · Cobro sin fecha","")&amp;IF(AND(ISNUMBER($V175),ISNUMBER($N175),$V175&gt;N($N175)+0.01)," · Cobrado &gt; venta neta","")&amp;IF(AND(ISNUMBER($V175),$V175&gt;0,$U175="")," · Monto cobrado sin fecha",""),4,900)))</f>
        <v/>
      </c>
    </row>
    <row r="176">
      <c r="A176" s="51">
        <f>IF(COUNTA($B176,$C176,$D176,$E176,$F176,$I176)=0,"","V-"&amp;TEXT(ROW()-6,"0000"))</f>
        <v/>
      </c>
      <c r="B176" s="41" t="n"/>
      <c r="C176" s="33" t="n"/>
      <c r="D176" s="33" t="n"/>
      <c r="E176" s="33" t="n"/>
      <c r="F176" s="33" t="n"/>
      <c r="G176" s="51">
        <f>IF($F176="","",IFERROR(IF(INDEX(tblProductos[Nombre del producto],MATCH($F176,tblProductos[SKU],0))="","",INDEX(tblProductos[Nombre del producto],MATCH($F176,tblProductos[SKU],0))),""))</f>
        <v/>
      </c>
      <c r="H176" s="51">
        <f>IF($F176="","",IFERROR(IF(INDEX(tblProductos[Categoría],MATCH($F176,tblProductos[SKU],0))="","",INDEX(tblProductos[Categoría],MATCH($F176,tblProductos[SKU],0))),""))</f>
        <v/>
      </c>
      <c r="I176" s="34" t="n"/>
      <c r="J176" s="39">
        <f>IF(OR($B176="",$F176="",$I176=""),"",IF($T176="Anulado",0,$I176))</f>
        <v/>
      </c>
      <c r="K176" s="54">
        <f>IF($F176="","",IFERROR(IF(INDEX(tblProductos[Precio de venta actual],MATCH($F176,tblProductos[SKU],0))="","",INDEX(tblProductos[Precio de venta actual],MATCH($F176,tblProductos[SKU],0))),""))</f>
        <v/>
      </c>
      <c r="L176" s="36" t="n"/>
      <c r="M176" s="37">
        <f>IF($J176="","",IF(NOT(ISNUMBER($K176)),"PRECIO PENDIENTE",$J176*$K176))</f>
        <v/>
      </c>
      <c r="N176" s="37">
        <f>IF($J176="","",IF(NOT(ISNUMBER($M176)),"PRECIO PENDIENTE",$M176-IF(ISNUMBER($L176),$L176,0)))</f>
        <v/>
      </c>
      <c r="O176" s="54">
        <f>IF($F176="","",IFERROR(INDEX(tblInventario[Costo unitario aplicado],MATCH($F176,tblInventario[SKU],0)),""))</f>
        <v/>
      </c>
      <c r="P176" s="37">
        <f>IF($J176="","",IF(NOT(ISNUMBER($O176)),"COSTO PENDIENTE",$J176*$O176))</f>
        <v/>
      </c>
      <c r="Q176" s="37">
        <f>IF($J176="","",IF(OR(NOT(ISNUMBER($N176)),NOT(ISNUMBER($P176))),"PENDIENTE",$N176-$P176))</f>
        <v/>
      </c>
      <c r="R176" s="38">
        <f>IF($J176="","",IF(OR(NOT(ISNUMBER($Q176)),NOT(ISNUMBER($N176)),$N176&lt;=0),"PENDIENTE",$Q176/$N176))</f>
        <v/>
      </c>
      <c r="S176" s="33" t="n"/>
      <c r="T176" s="33" t="n"/>
      <c r="U176" s="41" t="n"/>
      <c r="V176" s="36" t="n"/>
      <c r="W176" s="37">
        <f>IF(NOT(ISNUMBER($N176)),"",$N176-IF(ISNUMBER($V176),$V176,0))</f>
        <v/>
      </c>
      <c r="X176" s="33" t="n"/>
      <c r="Y176" s="51">
        <f>IF(COUNTA($B176,$C176,$D176,$E176,$F176,$I176)=0,"",IF(IF($B176=""," · Falta fecha","")&amp;IF($D176=""," · Falta cliente","")&amp;IF($E176=""," · Falta canal","")&amp;IF($F176=""," · Falta SKU","")&amp;IF(AND($F176&lt;&gt;"",COUNTIF(tblProductos[SKU],$F176)=0)," · SKU no existe","")&amp;IF(OR($I176="",NOT(ISNUMBER($I176)),$I176&lt;=0)," · Cantidad inválida","")&amp;IF($M176="PRECIO PENDIENTE"," · Falta precio de venta","")&amp;IF($P176="COSTO PENDIENTE"," · Falta costo del producto","")&amp;IF(AND(ISNUMBER($Q176),$Q176&lt;0)," · UTILIDAD NEGATIVA","")&amp;IF(AND($F176&lt;&gt;"",ISNUMBER(INDEX(tblInventario[Stock actual],MATCH($F176,tblInventario[SKU],0))),INDEX(tblInventario[Stock actual],MATCH($F176,tblInventario[SKU],0))&lt;0)," · Stock negativo del SKU","")&amp;IF(AND($T176="Cobrado",$U176="")," · Cobro sin fecha","")&amp;IF(AND(ISNUMBER($V176),ISNUMBER($N176),$V176&gt;N($N176)+0.01)," · Cobrado &gt; venta neta","")&amp;IF(AND(ISNUMBER($V176),$V176&gt;0,$U176="")," · Monto cobrado sin fecha","")="","OK",MID(IF($B176=""," · Falta fecha","")&amp;IF($D176=""," · Falta cliente","")&amp;IF($E176=""," · Falta canal","")&amp;IF($F176=""," · Falta SKU","")&amp;IF(AND($F176&lt;&gt;"",COUNTIF(tblProductos[SKU],$F176)=0)," · SKU no existe","")&amp;IF(OR($I176="",NOT(ISNUMBER($I176)),$I176&lt;=0)," · Cantidad inválida","")&amp;IF($M176="PRECIO PENDIENTE"," · Falta precio de venta","")&amp;IF($P176="COSTO PENDIENTE"," · Falta costo del producto","")&amp;IF(AND(ISNUMBER($Q176),$Q176&lt;0)," · UTILIDAD NEGATIVA","")&amp;IF(AND($F176&lt;&gt;"",ISNUMBER(INDEX(tblInventario[Stock actual],MATCH($F176,tblInventario[SKU],0))),INDEX(tblInventario[Stock actual],MATCH($F176,tblInventario[SKU],0))&lt;0)," · Stock negativo del SKU","")&amp;IF(AND($T176="Cobrado",$U176="")," · Cobro sin fecha","")&amp;IF(AND(ISNUMBER($V176),ISNUMBER($N176),$V176&gt;N($N176)+0.01)," · Cobrado &gt; venta neta","")&amp;IF(AND(ISNUMBER($V176),$V176&gt;0,$U176="")," · Monto cobrado sin fecha",""),4,900)))</f>
        <v/>
      </c>
    </row>
    <row r="177">
      <c r="A177" s="51">
        <f>IF(COUNTA($B177,$C177,$D177,$E177,$F177,$I177)=0,"","V-"&amp;TEXT(ROW()-6,"0000"))</f>
        <v/>
      </c>
      <c r="B177" s="41" t="n"/>
      <c r="C177" s="33" t="n"/>
      <c r="D177" s="33" t="n"/>
      <c r="E177" s="33" t="n"/>
      <c r="F177" s="33" t="n"/>
      <c r="G177" s="51">
        <f>IF($F177="","",IFERROR(IF(INDEX(tblProductos[Nombre del producto],MATCH($F177,tblProductos[SKU],0))="","",INDEX(tblProductos[Nombre del producto],MATCH($F177,tblProductos[SKU],0))),""))</f>
        <v/>
      </c>
      <c r="H177" s="51">
        <f>IF($F177="","",IFERROR(IF(INDEX(tblProductos[Categoría],MATCH($F177,tblProductos[SKU],0))="","",INDEX(tblProductos[Categoría],MATCH($F177,tblProductos[SKU],0))),""))</f>
        <v/>
      </c>
      <c r="I177" s="34" t="n"/>
      <c r="J177" s="39">
        <f>IF(OR($B177="",$F177="",$I177=""),"",IF($T177="Anulado",0,$I177))</f>
        <v/>
      </c>
      <c r="K177" s="54">
        <f>IF($F177="","",IFERROR(IF(INDEX(tblProductos[Precio de venta actual],MATCH($F177,tblProductos[SKU],0))="","",INDEX(tblProductos[Precio de venta actual],MATCH($F177,tblProductos[SKU],0))),""))</f>
        <v/>
      </c>
      <c r="L177" s="36" t="n"/>
      <c r="M177" s="37">
        <f>IF($J177="","",IF(NOT(ISNUMBER($K177)),"PRECIO PENDIENTE",$J177*$K177))</f>
        <v/>
      </c>
      <c r="N177" s="37">
        <f>IF($J177="","",IF(NOT(ISNUMBER($M177)),"PRECIO PENDIENTE",$M177-IF(ISNUMBER($L177),$L177,0)))</f>
        <v/>
      </c>
      <c r="O177" s="54">
        <f>IF($F177="","",IFERROR(INDEX(tblInventario[Costo unitario aplicado],MATCH($F177,tblInventario[SKU],0)),""))</f>
        <v/>
      </c>
      <c r="P177" s="37">
        <f>IF($J177="","",IF(NOT(ISNUMBER($O177)),"COSTO PENDIENTE",$J177*$O177))</f>
        <v/>
      </c>
      <c r="Q177" s="37">
        <f>IF($J177="","",IF(OR(NOT(ISNUMBER($N177)),NOT(ISNUMBER($P177))),"PENDIENTE",$N177-$P177))</f>
        <v/>
      </c>
      <c r="R177" s="38">
        <f>IF($J177="","",IF(OR(NOT(ISNUMBER($Q177)),NOT(ISNUMBER($N177)),$N177&lt;=0),"PENDIENTE",$Q177/$N177))</f>
        <v/>
      </c>
      <c r="S177" s="33" t="n"/>
      <c r="T177" s="33" t="n"/>
      <c r="U177" s="41" t="n"/>
      <c r="V177" s="36" t="n"/>
      <c r="W177" s="37">
        <f>IF(NOT(ISNUMBER($N177)),"",$N177-IF(ISNUMBER($V177),$V177,0))</f>
        <v/>
      </c>
      <c r="X177" s="33" t="n"/>
      <c r="Y177" s="51">
        <f>IF(COUNTA($B177,$C177,$D177,$E177,$F177,$I177)=0,"",IF(IF($B177=""," · Falta fecha","")&amp;IF($D177=""," · Falta cliente","")&amp;IF($E177=""," · Falta canal","")&amp;IF($F177=""," · Falta SKU","")&amp;IF(AND($F177&lt;&gt;"",COUNTIF(tblProductos[SKU],$F177)=0)," · SKU no existe","")&amp;IF(OR($I177="",NOT(ISNUMBER($I177)),$I177&lt;=0)," · Cantidad inválida","")&amp;IF($M177="PRECIO PENDIENTE"," · Falta precio de venta","")&amp;IF($P177="COSTO PENDIENTE"," · Falta costo del producto","")&amp;IF(AND(ISNUMBER($Q177),$Q177&lt;0)," · UTILIDAD NEGATIVA","")&amp;IF(AND($F177&lt;&gt;"",ISNUMBER(INDEX(tblInventario[Stock actual],MATCH($F177,tblInventario[SKU],0))),INDEX(tblInventario[Stock actual],MATCH($F177,tblInventario[SKU],0))&lt;0)," · Stock negativo del SKU","")&amp;IF(AND($T177="Cobrado",$U177="")," · Cobro sin fecha","")&amp;IF(AND(ISNUMBER($V177),ISNUMBER($N177),$V177&gt;N($N177)+0.01)," · Cobrado &gt; venta neta","")&amp;IF(AND(ISNUMBER($V177),$V177&gt;0,$U177="")," · Monto cobrado sin fecha","")="","OK",MID(IF($B177=""," · Falta fecha","")&amp;IF($D177=""," · Falta cliente","")&amp;IF($E177=""," · Falta canal","")&amp;IF($F177=""," · Falta SKU","")&amp;IF(AND($F177&lt;&gt;"",COUNTIF(tblProductos[SKU],$F177)=0)," · SKU no existe","")&amp;IF(OR($I177="",NOT(ISNUMBER($I177)),$I177&lt;=0)," · Cantidad inválida","")&amp;IF($M177="PRECIO PENDIENTE"," · Falta precio de venta","")&amp;IF($P177="COSTO PENDIENTE"," · Falta costo del producto","")&amp;IF(AND(ISNUMBER($Q177),$Q177&lt;0)," · UTILIDAD NEGATIVA","")&amp;IF(AND($F177&lt;&gt;"",ISNUMBER(INDEX(tblInventario[Stock actual],MATCH($F177,tblInventario[SKU],0))),INDEX(tblInventario[Stock actual],MATCH($F177,tblInventario[SKU],0))&lt;0)," · Stock negativo del SKU","")&amp;IF(AND($T177="Cobrado",$U177="")," · Cobro sin fecha","")&amp;IF(AND(ISNUMBER($V177),ISNUMBER($N177),$V177&gt;N($N177)+0.01)," · Cobrado &gt; venta neta","")&amp;IF(AND(ISNUMBER($V177),$V177&gt;0,$U177="")," · Monto cobrado sin fecha",""),4,900)))</f>
        <v/>
      </c>
    </row>
    <row r="178">
      <c r="A178" s="51">
        <f>IF(COUNTA($B178,$C178,$D178,$E178,$F178,$I178)=0,"","V-"&amp;TEXT(ROW()-6,"0000"))</f>
        <v/>
      </c>
      <c r="B178" s="41" t="n"/>
      <c r="C178" s="33" t="n"/>
      <c r="D178" s="33" t="n"/>
      <c r="E178" s="33" t="n"/>
      <c r="F178" s="33" t="n"/>
      <c r="G178" s="51">
        <f>IF($F178="","",IFERROR(IF(INDEX(tblProductos[Nombre del producto],MATCH($F178,tblProductos[SKU],0))="","",INDEX(tblProductos[Nombre del producto],MATCH($F178,tblProductos[SKU],0))),""))</f>
        <v/>
      </c>
      <c r="H178" s="51">
        <f>IF($F178="","",IFERROR(IF(INDEX(tblProductos[Categoría],MATCH($F178,tblProductos[SKU],0))="","",INDEX(tblProductos[Categoría],MATCH($F178,tblProductos[SKU],0))),""))</f>
        <v/>
      </c>
      <c r="I178" s="34" t="n"/>
      <c r="J178" s="39">
        <f>IF(OR($B178="",$F178="",$I178=""),"",IF($T178="Anulado",0,$I178))</f>
        <v/>
      </c>
      <c r="K178" s="54">
        <f>IF($F178="","",IFERROR(IF(INDEX(tblProductos[Precio de venta actual],MATCH($F178,tblProductos[SKU],0))="","",INDEX(tblProductos[Precio de venta actual],MATCH($F178,tblProductos[SKU],0))),""))</f>
        <v/>
      </c>
      <c r="L178" s="36" t="n"/>
      <c r="M178" s="37">
        <f>IF($J178="","",IF(NOT(ISNUMBER($K178)),"PRECIO PENDIENTE",$J178*$K178))</f>
        <v/>
      </c>
      <c r="N178" s="37">
        <f>IF($J178="","",IF(NOT(ISNUMBER($M178)),"PRECIO PENDIENTE",$M178-IF(ISNUMBER($L178),$L178,0)))</f>
        <v/>
      </c>
      <c r="O178" s="54">
        <f>IF($F178="","",IFERROR(INDEX(tblInventario[Costo unitario aplicado],MATCH($F178,tblInventario[SKU],0)),""))</f>
        <v/>
      </c>
      <c r="P178" s="37">
        <f>IF($J178="","",IF(NOT(ISNUMBER($O178)),"COSTO PENDIENTE",$J178*$O178))</f>
        <v/>
      </c>
      <c r="Q178" s="37">
        <f>IF($J178="","",IF(OR(NOT(ISNUMBER($N178)),NOT(ISNUMBER($P178))),"PENDIENTE",$N178-$P178))</f>
        <v/>
      </c>
      <c r="R178" s="38">
        <f>IF($J178="","",IF(OR(NOT(ISNUMBER($Q178)),NOT(ISNUMBER($N178)),$N178&lt;=0),"PENDIENTE",$Q178/$N178))</f>
        <v/>
      </c>
      <c r="S178" s="33" t="n"/>
      <c r="T178" s="33" t="n"/>
      <c r="U178" s="41" t="n"/>
      <c r="V178" s="36" t="n"/>
      <c r="W178" s="37">
        <f>IF(NOT(ISNUMBER($N178)),"",$N178-IF(ISNUMBER($V178),$V178,0))</f>
        <v/>
      </c>
      <c r="X178" s="33" t="n"/>
      <c r="Y178" s="51">
        <f>IF(COUNTA($B178,$C178,$D178,$E178,$F178,$I178)=0,"",IF(IF($B178=""," · Falta fecha","")&amp;IF($D178=""," · Falta cliente","")&amp;IF($E178=""," · Falta canal","")&amp;IF($F178=""," · Falta SKU","")&amp;IF(AND($F178&lt;&gt;"",COUNTIF(tblProductos[SKU],$F178)=0)," · SKU no existe","")&amp;IF(OR($I178="",NOT(ISNUMBER($I178)),$I178&lt;=0)," · Cantidad inválida","")&amp;IF($M178="PRECIO PENDIENTE"," · Falta precio de venta","")&amp;IF($P178="COSTO PENDIENTE"," · Falta costo del producto","")&amp;IF(AND(ISNUMBER($Q178),$Q178&lt;0)," · UTILIDAD NEGATIVA","")&amp;IF(AND($F178&lt;&gt;"",ISNUMBER(INDEX(tblInventario[Stock actual],MATCH($F178,tblInventario[SKU],0))),INDEX(tblInventario[Stock actual],MATCH($F178,tblInventario[SKU],0))&lt;0)," · Stock negativo del SKU","")&amp;IF(AND($T178="Cobrado",$U178="")," · Cobro sin fecha","")&amp;IF(AND(ISNUMBER($V178),ISNUMBER($N178),$V178&gt;N($N178)+0.01)," · Cobrado &gt; venta neta","")&amp;IF(AND(ISNUMBER($V178),$V178&gt;0,$U178="")," · Monto cobrado sin fecha","")="","OK",MID(IF($B178=""," · Falta fecha","")&amp;IF($D178=""," · Falta cliente","")&amp;IF($E178=""," · Falta canal","")&amp;IF($F178=""," · Falta SKU","")&amp;IF(AND($F178&lt;&gt;"",COUNTIF(tblProductos[SKU],$F178)=0)," · SKU no existe","")&amp;IF(OR($I178="",NOT(ISNUMBER($I178)),$I178&lt;=0)," · Cantidad inválida","")&amp;IF($M178="PRECIO PENDIENTE"," · Falta precio de venta","")&amp;IF($P178="COSTO PENDIENTE"," · Falta costo del producto","")&amp;IF(AND(ISNUMBER($Q178),$Q178&lt;0)," · UTILIDAD NEGATIVA","")&amp;IF(AND($F178&lt;&gt;"",ISNUMBER(INDEX(tblInventario[Stock actual],MATCH($F178,tblInventario[SKU],0))),INDEX(tblInventario[Stock actual],MATCH($F178,tblInventario[SKU],0))&lt;0)," · Stock negativo del SKU","")&amp;IF(AND($T178="Cobrado",$U178="")," · Cobro sin fecha","")&amp;IF(AND(ISNUMBER($V178),ISNUMBER($N178),$V178&gt;N($N178)+0.01)," · Cobrado &gt; venta neta","")&amp;IF(AND(ISNUMBER($V178),$V178&gt;0,$U178="")," · Monto cobrado sin fecha",""),4,900)))</f>
        <v/>
      </c>
    </row>
    <row r="179">
      <c r="A179" s="51">
        <f>IF(COUNTA($B179,$C179,$D179,$E179,$F179,$I179)=0,"","V-"&amp;TEXT(ROW()-6,"0000"))</f>
        <v/>
      </c>
      <c r="B179" s="41" t="n"/>
      <c r="C179" s="33" t="n"/>
      <c r="D179" s="33" t="n"/>
      <c r="E179" s="33" t="n"/>
      <c r="F179" s="33" t="n"/>
      <c r="G179" s="51">
        <f>IF($F179="","",IFERROR(IF(INDEX(tblProductos[Nombre del producto],MATCH($F179,tblProductos[SKU],0))="","",INDEX(tblProductos[Nombre del producto],MATCH($F179,tblProductos[SKU],0))),""))</f>
        <v/>
      </c>
      <c r="H179" s="51">
        <f>IF($F179="","",IFERROR(IF(INDEX(tblProductos[Categoría],MATCH($F179,tblProductos[SKU],0))="","",INDEX(tblProductos[Categoría],MATCH($F179,tblProductos[SKU],0))),""))</f>
        <v/>
      </c>
      <c r="I179" s="34" t="n"/>
      <c r="J179" s="39">
        <f>IF(OR($B179="",$F179="",$I179=""),"",IF($T179="Anulado",0,$I179))</f>
        <v/>
      </c>
      <c r="K179" s="54">
        <f>IF($F179="","",IFERROR(IF(INDEX(tblProductos[Precio de venta actual],MATCH($F179,tblProductos[SKU],0))="","",INDEX(tblProductos[Precio de venta actual],MATCH($F179,tblProductos[SKU],0))),""))</f>
        <v/>
      </c>
      <c r="L179" s="36" t="n"/>
      <c r="M179" s="37">
        <f>IF($J179="","",IF(NOT(ISNUMBER($K179)),"PRECIO PENDIENTE",$J179*$K179))</f>
        <v/>
      </c>
      <c r="N179" s="37">
        <f>IF($J179="","",IF(NOT(ISNUMBER($M179)),"PRECIO PENDIENTE",$M179-IF(ISNUMBER($L179),$L179,0)))</f>
        <v/>
      </c>
      <c r="O179" s="54">
        <f>IF($F179="","",IFERROR(INDEX(tblInventario[Costo unitario aplicado],MATCH($F179,tblInventario[SKU],0)),""))</f>
        <v/>
      </c>
      <c r="P179" s="37">
        <f>IF($J179="","",IF(NOT(ISNUMBER($O179)),"COSTO PENDIENTE",$J179*$O179))</f>
        <v/>
      </c>
      <c r="Q179" s="37">
        <f>IF($J179="","",IF(OR(NOT(ISNUMBER($N179)),NOT(ISNUMBER($P179))),"PENDIENTE",$N179-$P179))</f>
        <v/>
      </c>
      <c r="R179" s="38">
        <f>IF($J179="","",IF(OR(NOT(ISNUMBER($Q179)),NOT(ISNUMBER($N179)),$N179&lt;=0),"PENDIENTE",$Q179/$N179))</f>
        <v/>
      </c>
      <c r="S179" s="33" t="n"/>
      <c r="T179" s="33" t="n"/>
      <c r="U179" s="41" t="n"/>
      <c r="V179" s="36" t="n"/>
      <c r="W179" s="37">
        <f>IF(NOT(ISNUMBER($N179)),"",$N179-IF(ISNUMBER($V179),$V179,0))</f>
        <v/>
      </c>
      <c r="X179" s="33" t="n"/>
      <c r="Y179" s="51">
        <f>IF(COUNTA($B179,$C179,$D179,$E179,$F179,$I179)=0,"",IF(IF($B179=""," · Falta fecha","")&amp;IF($D179=""," · Falta cliente","")&amp;IF($E179=""," · Falta canal","")&amp;IF($F179=""," · Falta SKU","")&amp;IF(AND($F179&lt;&gt;"",COUNTIF(tblProductos[SKU],$F179)=0)," · SKU no existe","")&amp;IF(OR($I179="",NOT(ISNUMBER($I179)),$I179&lt;=0)," · Cantidad inválida","")&amp;IF($M179="PRECIO PENDIENTE"," · Falta precio de venta","")&amp;IF($P179="COSTO PENDIENTE"," · Falta costo del producto","")&amp;IF(AND(ISNUMBER($Q179),$Q179&lt;0)," · UTILIDAD NEGATIVA","")&amp;IF(AND($F179&lt;&gt;"",ISNUMBER(INDEX(tblInventario[Stock actual],MATCH($F179,tblInventario[SKU],0))),INDEX(tblInventario[Stock actual],MATCH($F179,tblInventario[SKU],0))&lt;0)," · Stock negativo del SKU","")&amp;IF(AND($T179="Cobrado",$U179="")," · Cobro sin fecha","")&amp;IF(AND(ISNUMBER($V179),ISNUMBER($N179),$V179&gt;N($N179)+0.01)," · Cobrado &gt; venta neta","")&amp;IF(AND(ISNUMBER($V179),$V179&gt;0,$U179="")," · Monto cobrado sin fecha","")="","OK",MID(IF($B179=""," · Falta fecha","")&amp;IF($D179=""," · Falta cliente","")&amp;IF($E179=""," · Falta canal","")&amp;IF($F179=""," · Falta SKU","")&amp;IF(AND($F179&lt;&gt;"",COUNTIF(tblProductos[SKU],$F179)=0)," · SKU no existe","")&amp;IF(OR($I179="",NOT(ISNUMBER($I179)),$I179&lt;=0)," · Cantidad inválida","")&amp;IF($M179="PRECIO PENDIENTE"," · Falta precio de venta","")&amp;IF($P179="COSTO PENDIENTE"," · Falta costo del producto","")&amp;IF(AND(ISNUMBER($Q179),$Q179&lt;0)," · UTILIDAD NEGATIVA","")&amp;IF(AND($F179&lt;&gt;"",ISNUMBER(INDEX(tblInventario[Stock actual],MATCH($F179,tblInventario[SKU],0))),INDEX(tblInventario[Stock actual],MATCH($F179,tblInventario[SKU],0))&lt;0)," · Stock negativo del SKU","")&amp;IF(AND($T179="Cobrado",$U179="")," · Cobro sin fecha","")&amp;IF(AND(ISNUMBER($V179),ISNUMBER($N179),$V179&gt;N($N179)+0.01)," · Cobrado &gt; venta neta","")&amp;IF(AND(ISNUMBER($V179),$V179&gt;0,$U179="")," · Monto cobrado sin fecha",""),4,900)))</f>
        <v/>
      </c>
    </row>
    <row r="180">
      <c r="A180" s="51">
        <f>IF(COUNTA($B180,$C180,$D180,$E180,$F180,$I180)=0,"","V-"&amp;TEXT(ROW()-6,"0000"))</f>
        <v/>
      </c>
      <c r="B180" s="41" t="n"/>
      <c r="C180" s="33" t="n"/>
      <c r="D180" s="33" t="n"/>
      <c r="E180" s="33" t="n"/>
      <c r="F180" s="33" t="n"/>
      <c r="G180" s="51">
        <f>IF($F180="","",IFERROR(IF(INDEX(tblProductos[Nombre del producto],MATCH($F180,tblProductos[SKU],0))="","",INDEX(tblProductos[Nombre del producto],MATCH($F180,tblProductos[SKU],0))),""))</f>
        <v/>
      </c>
      <c r="H180" s="51">
        <f>IF($F180="","",IFERROR(IF(INDEX(tblProductos[Categoría],MATCH($F180,tblProductos[SKU],0))="","",INDEX(tblProductos[Categoría],MATCH($F180,tblProductos[SKU],0))),""))</f>
        <v/>
      </c>
      <c r="I180" s="34" t="n"/>
      <c r="J180" s="39">
        <f>IF(OR($B180="",$F180="",$I180=""),"",IF($T180="Anulado",0,$I180))</f>
        <v/>
      </c>
      <c r="K180" s="54">
        <f>IF($F180="","",IFERROR(IF(INDEX(tblProductos[Precio de venta actual],MATCH($F180,tblProductos[SKU],0))="","",INDEX(tblProductos[Precio de venta actual],MATCH($F180,tblProductos[SKU],0))),""))</f>
        <v/>
      </c>
      <c r="L180" s="36" t="n"/>
      <c r="M180" s="37">
        <f>IF($J180="","",IF(NOT(ISNUMBER($K180)),"PRECIO PENDIENTE",$J180*$K180))</f>
        <v/>
      </c>
      <c r="N180" s="37">
        <f>IF($J180="","",IF(NOT(ISNUMBER($M180)),"PRECIO PENDIENTE",$M180-IF(ISNUMBER($L180),$L180,0)))</f>
        <v/>
      </c>
      <c r="O180" s="54">
        <f>IF($F180="","",IFERROR(INDEX(tblInventario[Costo unitario aplicado],MATCH($F180,tblInventario[SKU],0)),""))</f>
        <v/>
      </c>
      <c r="P180" s="37">
        <f>IF($J180="","",IF(NOT(ISNUMBER($O180)),"COSTO PENDIENTE",$J180*$O180))</f>
        <v/>
      </c>
      <c r="Q180" s="37">
        <f>IF($J180="","",IF(OR(NOT(ISNUMBER($N180)),NOT(ISNUMBER($P180))),"PENDIENTE",$N180-$P180))</f>
        <v/>
      </c>
      <c r="R180" s="38">
        <f>IF($J180="","",IF(OR(NOT(ISNUMBER($Q180)),NOT(ISNUMBER($N180)),$N180&lt;=0),"PENDIENTE",$Q180/$N180))</f>
        <v/>
      </c>
      <c r="S180" s="33" t="n"/>
      <c r="T180" s="33" t="n"/>
      <c r="U180" s="41" t="n"/>
      <c r="V180" s="36" t="n"/>
      <c r="W180" s="37">
        <f>IF(NOT(ISNUMBER($N180)),"",$N180-IF(ISNUMBER($V180),$V180,0))</f>
        <v/>
      </c>
      <c r="X180" s="33" t="n"/>
      <c r="Y180" s="51">
        <f>IF(COUNTA($B180,$C180,$D180,$E180,$F180,$I180)=0,"",IF(IF($B180=""," · Falta fecha","")&amp;IF($D180=""," · Falta cliente","")&amp;IF($E180=""," · Falta canal","")&amp;IF($F180=""," · Falta SKU","")&amp;IF(AND($F180&lt;&gt;"",COUNTIF(tblProductos[SKU],$F180)=0)," · SKU no existe","")&amp;IF(OR($I180="",NOT(ISNUMBER($I180)),$I180&lt;=0)," · Cantidad inválida","")&amp;IF($M180="PRECIO PENDIENTE"," · Falta precio de venta","")&amp;IF($P180="COSTO PENDIENTE"," · Falta costo del producto","")&amp;IF(AND(ISNUMBER($Q180),$Q180&lt;0)," · UTILIDAD NEGATIVA","")&amp;IF(AND($F180&lt;&gt;"",ISNUMBER(INDEX(tblInventario[Stock actual],MATCH($F180,tblInventario[SKU],0))),INDEX(tblInventario[Stock actual],MATCH($F180,tblInventario[SKU],0))&lt;0)," · Stock negativo del SKU","")&amp;IF(AND($T180="Cobrado",$U180="")," · Cobro sin fecha","")&amp;IF(AND(ISNUMBER($V180),ISNUMBER($N180),$V180&gt;N($N180)+0.01)," · Cobrado &gt; venta neta","")&amp;IF(AND(ISNUMBER($V180),$V180&gt;0,$U180="")," · Monto cobrado sin fecha","")="","OK",MID(IF($B180=""," · Falta fecha","")&amp;IF($D180=""," · Falta cliente","")&amp;IF($E180=""," · Falta canal","")&amp;IF($F180=""," · Falta SKU","")&amp;IF(AND($F180&lt;&gt;"",COUNTIF(tblProductos[SKU],$F180)=0)," · SKU no existe","")&amp;IF(OR($I180="",NOT(ISNUMBER($I180)),$I180&lt;=0)," · Cantidad inválida","")&amp;IF($M180="PRECIO PENDIENTE"," · Falta precio de venta","")&amp;IF($P180="COSTO PENDIENTE"," · Falta costo del producto","")&amp;IF(AND(ISNUMBER($Q180),$Q180&lt;0)," · UTILIDAD NEGATIVA","")&amp;IF(AND($F180&lt;&gt;"",ISNUMBER(INDEX(tblInventario[Stock actual],MATCH($F180,tblInventario[SKU],0))),INDEX(tblInventario[Stock actual],MATCH($F180,tblInventario[SKU],0))&lt;0)," · Stock negativo del SKU","")&amp;IF(AND($T180="Cobrado",$U180="")," · Cobro sin fecha","")&amp;IF(AND(ISNUMBER($V180),ISNUMBER($N180),$V180&gt;N($N180)+0.01)," · Cobrado &gt; venta neta","")&amp;IF(AND(ISNUMBER($V180),$V180&gt;0,$U180="")," · Monto cobrado sin fecha",""),4,900)))</f>
        <v/>
      </c>
    </row>
    <row r="181">
      <c r="A181" s="51">
        <f>IF(COUNTA($B181,$C181,$D181,$E181,$F181,$I181)=0,"","V-"&amp;TEXT(ROW()-6,"0000"))</f>
        <v/>
      </c>
      <c r="B181" s="41" t="n"/>
      <c r="C181" s="33" t="n"/>
      <c r="D181" s="33" t="n"/>
      <c r="E181" s="33" t="n"/>
      <c r="F181" s="33" t="n"/>
      <c r="G181" s="51">
        <f>IF($F181="","",IFERROR(IF(INDEX(tblProductos[Nombre del producto],MATCH($F181,tblProductos[SKU],0))="","",INDEX(tblProductos[Nombre del producto],MATCH($F181,tblProductos[SKU],0))),""))</f>
        <v/>
      </c>
      <c r="H181" s="51">
        <f>IF($F181="","",IFERROR(IF(INDEX(tblProductos[Categoría],MATCH($F181,tblProductos[SKU],0))="","",INDEX(tblProductos[Categoría],MATCH($F181,tblProductos[SKU],0))),""))</f>
        <v/>
      </c>
      <c r="I181" s="34" t="n"/>
      <c r="J181" s="39">
        <f>IF(OR($B181="",$F181="",$I181=""),"",IF($T181="Anulado",0,$I181))</f>
        <v/>
      </c>
      <c r="K181" s="54">
        <f>IF($F181="","",IFERROR(IF(INDEX(tblProductos[Precio de venta actual],MATCH($F181,tblProductos[SKU],0))="","",INDEX(tblProductos[Precio de venta actual],MATCH($F181,tblProductos[SKU],0))),""))</f>
        <v/>
      </c>
      <c r="L181" s="36" t="n"/>
      <c r="M181" s="37">
        <f>IF($J181="","",IF(NOT(ISNUMBER($K181)),"PRECIO PENDIENTE",$J181*$K181))</f>
        <v/>
      </c>
      <c r="N181" s="37">
        <f>IF($J181="","",IF(NOT(ISNUMBER($M181)),"PRECIO PENDIENTE",$M181-IF(ISNUMBER($L181),$L181,0)))</f>
        <v/>
      </c>
      <c r="O181" s="54">
        <f>IF($F181="","",IFERROR(INDEX(tblInventario[Costo unitario aplicado],MATCH($F181,tblInventario[SKU],0)),""))</f>
        <v/>
      </c>
      <c r="P181" s="37">
        <f>IF($J181="","",IF(NOT(ISNUMBER($O181)),"COSTO PENDIENTE",$J181*$O181))</f>
        <v/>
      </c>
      <c r="Q181" s="37">
        <f>IF($J181="","",IF(OR(NOT(ISNUMBER($N181)),NOT(ISNUMBER($P181))),"PENDIENTE",$N181-$P181))</f>
        <v/>
      </c>
      <c r="R181" s="38">
        <f>IF($J181="","",IF(OR(NOT(ISNUMBER($Q181)),NOT(ISNUMBER($N181)),$N181&lt;=0),"PENDIENTE",$Q181/$N181))</f>
        <v/>
      </c>
      <c r="S181" s="33" t="n"/>
      <c r="T181" s="33" t="n"/>
      <c r="U181" s="41" t="n"/>
      <c r="V181" s="36" t="n"/>
      <c r="W181" s="37">
        <f>IF(NOT(ISNUMBER($N181)),"",$N181-IF(ISNUMBER($V181),$V181,0))</f>
        <v/>
      </c>
      <c r="X181" s="33" t="n"/>
      <c r="Y181" s="51">
        <f>IF(COUNTA($B181,$C181,$D181,$E181,$F181,$I181)=0,"",IF(IF($B181=""," · Falta fecha","")&amp;IF($D181=""," · Falta cliente","")&amp;IF($E181=""," · Falta canal","")&amp;IF($F181=""," · Falta SKU","")&amp;IF(AND($F181&lt;&gt;"",COUNTIF(tblProductos[SKU],$F181)=0)," · SKU no existe","")&amp;IF(OR($I181="",NOT(ISNUMBER($I181)),$I181&lt;=0)," · Cantidad inválida","")&amp;IF($M181="PRECIO PENDIENTE"," · Falta precio de venta","")&amp;IF($P181="COSTO PENDIENTE"," · Falta costo del producto","")&amp;IF(AND(ISNUMBER($Q181),$Q181&lt;0)," · UTILIDAD NEGATIVA","")&amp;IF(AND($F181&lt;&gt;"",ISNUMBER(INDEX(tblInventario[Stock actual],MATCH($F181,tblInventario[SKU],0))),INDEX(tblInventario[Stock actual],MATCH($F181,tblInventario[SKU],0))&lt;0)," · Stock negativo del SKU","")&amp;IF(AND($T181="Cobrado",$U181="")," · Cobro sin fecha","")&amp;IF(AND(ISNUMBER($V181),ISNUMBER($N181),$V181&gt;N($N181)+0.01)," · Cobrado &gt; venta neta","")&amp;IF(AND(ISNUMBER($V181),$V181&gt;0,$U181="")," · Monto cobrado sin fecha","")="","OK",MID(IF($B181=""," · Falta fecha","")&amp;IF($D181=""," · Falta cliente","")&amp;IF($E181=""," · Falta canal","")&amp;IF($F181=""," · Falta SKU","")&amp;IF(AND($F181&lt;&gt;"",COUNTIF(tblProductos[SKU],$F181)=0)," · SKU no existe","")&amp;IF(OR($I181="",NOT(ISNUMBER($I181)),$I181&lt;=0)," · Cantidad inválida","")&amp;IF($M181="PRECIO PENDIENTE"," · Falta precio de venta","")&amp;IF($P181="COSTO PENDIENTE"," · Falta costo del producto","")&amp;IF(AND(ISNUMBER($Q181),$Q181&lt;0)," · UTILIDAD NEGATIVA","")&amp;IF(AND($F181&lt;&gt;"",ISNUMBER(INDEX(tblInventario[Stock actual],MATCH($F181,tblInventario[SKU],0))),INDEX(tblInventario[Stock actual],MATCH($F181,tblInventario[SKU],0))&lt;0)," · Stock negativo del SKU","")&amp;IF(AND($T181="Cobrado",$U181="")," · Cobro sin fecha","")&amp;IF(AND(ISNUMBER($V181),ISNUMBER($N181),$V181&gt;N($N181)+0.01)," · Cobrado &gt; venta neta","")&amp;IF(AND(ISNUMBER($V181),$V181&gt;0,$U181="")," · Monto cobrado sin fecha",""),4,900)))</f>
        <v/>
      </c>
    </row>
    <row r="182">
      <c r="A182" s="51">
        <f>IF(COUNTA($B182,$C182,$D182,$E182,$F182,$I182)=0,"","V-"&amp;TEXT(ROW()-6,"0000"))</f>
        <v/>
      </c>
      <c r="B182" s="41" t="n"/>
      <c r="C182" s="33" t="n"/>
      <c r="D182" s="33" t="n"/>
      <c r="E182" s="33" t="n"/>
      <c r="F182" s="33" t="n"/>
      <c r="G182" s="51">
        <f>IF($F182="","",IFERROR(IF(INDEX(tblProductos[Nombre del producto],MATCH($F182,tblProductos[SKU],0))="","",INDEX(tblProductos[Nombre del producto],MATCH($F182,tblProductos[SKU],0))),""))</f>
        <v/>
      </c>
      <c r="H182" s="51">
        <f>IF($F182="","",IFERROR(IF(INDEX(tblProductos[Categoría],MATCH($F182,tblProductos[SKU],0))="","",INDEX(tblProductos[Categoría],MATCH($F182,tblProductos[SKU],0))),""))</f>
        <v/>
      </c>
      <c r="I182" s="34" t="n"/>
      <c r="J182" s="39">
        <f>IF(OR($B182="",$F182="",$I182=""),"",IF($T182="Anulado",0,$I182))</f>
        <v/>
      </c>
      <c r="K182" s="54">
        <f>IF($F182="","",IFERROR(IF(INDEX(tblProductos[Precio de venta actual],MATCH($F182,tblProductos[SKU],0))="","",INDEX(tblProductos[Precio de venta actual],MATCH($F182,tblProductos[SKU],0))),""))</f>
        <v/>
      </c>
      <c r="L182" s="36" t="n"/>
      <c r="M182" s="37">
        <f>IF($J182="","",IF(NOT(ISNUMBER($K182)),"PRECIO PENDIENTE",$J182*$K182))</f>
        <v/>
      </c>
      <c r="N182" s="37">
        <f>IF($J182="","",IF(NOT(ISNUMBER($M182)),"PRECIO PENDIENTE",$M182-IF(ISNUMBER($L182),$L182,0)))</f>
        <v/>
      </c>
      <c r="O182" s="54">
        <f>IF($F182="","",IFERROR(INDEX(tblInventario[Costo unitario aplicado],MATCH($F182,tblInventario[SKU],0)),""))</f>
        <v/>
      </c>
      <c r="P182" s="37">
        <f>IF($J182="","",IF(NOT(ISNUMBER($O182)),"COSTO PENDIENTE",$J182*$O182))</f>
        <v/>
      </c>
      <c r="Q182" s="37">
        <f>IF($J182="","",IF(OR(NOT(ISNUMBER($N182)),NOT(ISNUMBER($P182))),"PENDIENTE",$N182-$P182))</f>
        <v/>
      </c>
      <c r="R182" s="38">
        <f>IF($J182="","",IF(OR(NOT(ISNUMBER($Q182)),NOT(ISNUMBER($N182)),$N182&lt;=0),"PENDIENTE",$Q182/$N182))</f>
        <v/>
      </c>
      <c r="S182" s="33" t="n"/>
      <c r="T182" s="33" t="n"/>
      <c r="U182" s="41" t="n"/>
      <c r="V182" s="36" t="n"/>
      <c r="W182" s="37">
        <f>IF(NOT(ISNUMBER($N182)),"",$N182-IF(ISNUMBER($V182),$V182,0))</f>
        <v/>
      </c>
      <c r="X182" s="33" t="n"/>
      <c r="Y182" s="51">
        <f>IF(COUNTA($B182,$C182,$D182,$E182,$F182,$I182)=0,"",IF(IF($B182=""," · Falta fecha","")&amp;IF($D182=""," · Falta cliente","")&amp;IF($E182=""," · Falta canal","")&amp;IF($F182=""," · Falta SKU","")&amp;IF(AND($F182&lt;&gt;"",COUNTIF(tblProductos[SKU],$F182)=0)," · SKU no existe","")&amp;IF(OR($I182="",NOT(ISNUMBER($I182)),$I182&lt;=0)," · Cantidad inválida","")&amp;IF($M182="PRECIO PENDIENTE"," · Falta precio de venta","")&amp;IF($P182="COSTO PENDIENTE"," · Falta costo del producto","")&amp;IF(AND(ISNUMBER($Q182),$Q182&lt;0)," · UTILIDAD NEGATIVA","")&amp;IF(AND($F182&lt;&gt;"",ISNUMBER(INDEX(tblInventario[Stock actual],MATCH($F182,tblInventario[SKU],0))),INDEX(tblInventario[Stock actual],MATCH($F182,tblInventario[SKU],0))&lt;0)," · Stock negativo del SKU","")&amp;IF(AND($T182="Cobrado",$U182="")," · Cobro sin fecha","")&amp;IF(AND(ISNUMBER($V182),ISNUMBER($N182),$V182&gt;N($N182)+0.01)," · Cobrado &gt; venta neta","")&amp;IF(AND(ISNUMBER($V182),$V182&gt;0,$U182="")," · Monto cobrado sin fecha","")="","OK",MID(IF($B182=""," · Falta fecha","")&amp;IF($D182=""," · Falta cliente","")&amp;IF($E182=""," · Falta canal","")&amp;IF($F182=""," · Falta SKU","")&amp;IF(AND($F182&lt;&gt;"",COUNTIF(tblProductos[SKU],$F182)=0)," · SKU no existe","")&amp;IF(OR($I182="",NOT(ISNUMBER($I182)),$I182&lt;=0)," · Cantidad inválida","")&amp;IF($M182="PRECIO PENDIENTE"," · Falta precio de venta","")&amp;IF($P182="COSTO PENDIENTE"," · Falta costo del producto","")&amp;IF(AND(ISNUMBER($Q182),$Q182&lt;0)," · UTILIDAD NEGATIVA","")&amp;IF(AND($F182&lt;&gt;"",ISNUMBER(INDEX(tblInventario[Stock actual],MATCH($F182,tblInventario[SKU],0))),INDEX(tblInventario[Stock actual],MATCH($F182,tblInventario[SKU],0))&lt;0)," · Stock negativo del SKU","")&amp;IF(AND($T182="Cobrado",$U182="")," · Cobro sin fecha","")&amp;IF(AND(ISNUMBER($V182),ISNUMBER($N182),$V182&gt;N($N182)+0.01)," · Cobrado &gt; venta neta","")&amp;IF(AND(ISNUMBER($V182),$V182&gt;0,$U182="")," · Monto cobrado sin fecha",""),4,900)))</f>
        <v/>
      </c>
    </row>
    <row r="183">
      <c r="A183" s="51">
        <f>IF(COUNTA($B183,$C183,$D183,$E183,$F183,$I183)=0,"","V-"&amp;TEXT(ROW()-6,"0000"))</f>
        <v/>
      </c>
      <c r="B183" s="41" t="n"/>
      <c r="C183" s="33" t="n"/>
      <c r="D183" s="33" t="n"/>
      <c r="E183" s="33" t="n"/>
      <c r="F183" s="33" t="n"/>
      <c r="G183" s="51">
        <f>IF($F183="","",IFERROR(IF(INDEX(tblProductos[Nombre del producto],MATCH($F183,tblProductos[SKU],0))="","",INDEX(tblProductos[Nombre del producto],MATCH($F183,tblProductos[SKU],0))),""))</f>
        <v/>
      </c>
      <c r="H183" s="51">
        <f>IF($F183="","",IFERROR(IF(INDEX(tblProductos[Categoría],MATCH($F183,tblProductos[SKU],0))="","",INDEX(tblProductos[Categoría],MATCH($F183,tblProductos[SKU],0))),""))</f>
        <v/>
      </c>
      <c r="I183" s="34" t="n"/>
      <c r="J183" s="39">
        <f>IF(OR($B183="",$F183="",$I183=""),"",IF($T183="Anulado",0,$I183))</f>
        <v/>
      </c>
      <c r="K183" s="54">
        <f>IF($F183="","",IFERROR(IF(INDEX(tblProductos[Precio de venta actual],MATCH($F183,tblProductos[SKU],0))="","",INDEX(tblProductos[Precio de venta actual],MATCH($F183,tblProductos[SKU],0))),""))</f>
        <v/>
      </c>
      <c r="L183" s="36" t="n"/>
      <c r="M183" s="37">
        <f>IF($J183="","",IF(NOT(ISNUMBER($K183)),"PRECIO PENDIENTE",$J183*$K183))</f>
        <v/>
      </c>
      <c r="N183" s="37">
        <f>IF($J183="","",IF(NOT(ISNUMBER($M183)),"PRECIO PENDIENTE",$M183-IF(ISNUMBER($L183),$L183,0)))</f>
        <v/>
      </c>
      <c r="O183" s="54">
        <f>IF($F183="","",IFERROR(INDEX(tblInventario[Costo unitario aplicado],MATCH($F183,tblInventario[SKU],0)),""))</f>
        <v/>
      </c>
      <c r="P183" s="37">
        <f>IF($J183="","",IF(NOT(ISNUMBER($O183)),"COSTO PENDIENTE",$J183*$O183))</f>
        <v/>
      </c>
      <c r="Q183" s="37">
        <f>IF($J183="","",IF(OR(NOT(ISNUMBER($N183)),NOT(ISNUMBER($P183))),"PENDIENTE",$N183-$P183))</f>
        <v/>
      </c>
      <c r="R183" s="38">
        <f>IF($J183="","",IF(OR(NOT(ISNUMBER($Q183)),NOT(ISNUMBER($N183)),$N183&lt;=0),"PENDIENTE",$Q183/$N183))</f>
        <v/>
      </c>
      <c r="S183" s="33" t="n"/>
      <c r="T183" s="33" t="n"/>
      <c r="U183" s="41" t="n"/>
      <c r="V183" s="36" t="n"/>
      <c r="W183" s="37">
        <f>IF(NOT(ISNUMBER($N183)),"",$N183-IF(ISNUMBER($V183),$V183,0))</f>
        <v/>
      </c>
      <c r="X183" s="33" t="n"/>
      <c r="Y183" s="51">
        <f>IF(COUNTA($B183,$C183,$D183,$E183,$F183,$I183)=0,"",IF(IF($B183=""," · Falta fecha","")&amp;IF($D183=""," · Falta cliente","")&amp;IF($E183=""," · Falta canal","")&amp;IF($F183=""," · Falta SKU","")&amp;IF(AND($F183&lt;&gt;"",COUNTIF(tblProductos[SKU],$F183)=0)," · SKU no existe","")&amp;IF(OR($I183="",NOT(ISNUMBER($I183)),$I183&lt;=0)," · Cantidad inválida","")&amp;IF($M183="PRECIO PENDIENTE"," · Falta precio de venta","")&amp;IF($P183="COSTO PENDIENTE"," · Falta costo del producto","")&amp;IF(AND(ISNUMBER($Q183),$Q183&lt;0)," · UTILIDAD NEGATIVA","")&amp;IF(AND($F183&lt;&gt;"",ISNUMBER(INDEX(tblInventario[Stock actual],MATCH($F183,tblInventario[SKU],0))),INDEX(tblInventario[Stock actual],MATCH($F183,tblInventario[SKU],0))&lt;0)," · Stock negativo del SKU","")&amp;IF(AND($T183="Cobrado",$U183="")," · Cobro sin fecha","")&amp;IF(AND(ISNUMBER($V183),ISNUMBER($N183),$V183&gt;N($N183)+0.01)," · Cobrado &gt; venta neta","")&amp;IF(AND(ISNUMBER($V183),$V183&gt;0,$U183="")," · Monto cobrado sin fecha","")="","OK",MID(IF($B183=""," · Falta fecha","")&amp;IF($D183=""," · Falta cliente","")&amp;IF($E183=""," · Falta canal","")&amp;IF($F183=""," · Falta SKU","")&amp;IF(AND($F183&lt;&gt;"",COUNTIF(tblProductos[SKU],$F183)=0)," · SKU no existe","")&amp;IF(OR($I183="",NOT(ISNUMBER($I183)),$I183&lt;=0)," · Cantidad inválida","")&amp;IF($M183="PRECIO PENDIENTE"," · Falta precio de venta","")&amp;IF($P183="COSTO PENDIENTE"," · Falta costo del producto","")&amp;IF(AND(ISNUMBER($Q183),$Q183&lt;0)," · UTILIDAD NEGATIVA","")&amp;IF(AND($F183&lt;&gt;"",ISNUMBER(INDEX(tblInventario[Stock actual],MATCH($F183,tblInventario[SKU],0))),INDEX(tblInventario[Stock actual],MATCH($F183,tblInventario[SKU],0))&lt;0)," · Stock negativo del SKU","")&amp;IF(AND($T183="Cobrado",$U183="")," · Cobro sin fecha","")&amp;IF(AND(ISNUMBER($V183),ISNUMBER($N183),$V183&gt;N($N183)+0.01)," · Cobrado &gt; venta neta","")&amp;IF(AND(ISNUMBER($V183),$V183&gt;0,$U183="")," · Monto cobrado sin fecha",""),4,900)))</f>
        <v/>
      </c>
    </row>
    <row r="184">
      <c r="A184" s="51">
        <f>IF(COUNTA($B184,$C184,$D184,$E184,$F184,$I184)=0,"","V-"&amp;TEXT(ROW()-6,"0000"))</f>
        <v/>
      </c>
      <c r="B184" s="41" t="n"/>
      <c r="C184" s="33" t="n"/>
      <c r="D184" s="33" t="n"/>
      <c r="E184" s="33" t="n"/>
      <c r="F184" s="33" t="n"/>
      <c r="G184" s="51">
        <f>IF($F184="","",IFERROR(IF(INDEX(tblProductos[Nombre del producto],MATCH($F184,tblProductos[SKU],0))="","",INDEX(tblProductos[Nombre del producto],MATCH($F184,tblProductos[SKU],0))),""))</f>
        <v/>
      </c>
      <c r="H184" s="51">
        <f>IF($F184="","",IFERROR(IF(INDEX(tblProductos[Categoría],MATCH($F184,tblProductos[SKU],0))="","",INDEX(tblProductos[Categoría],MATCH($F184,tblProductos[SKU],0))),""))</f>
        <v/>
      </c>
      <c r="I184" s="34" t="n"/>
      <c r="J184" s="39">
        <f>IF(OR($B184="",$F184="",$I184=""),"",IF($T184="Anulado",0,$I184))</f>
        <v/>
      </c>
      <c r="K184" s="54">
        <f>IF($F184="","",IFERROR(IF(INDEX(tblProductos[Precio de venta actual],MATCH($F184,tblProductos[SKU],0))="","",INDEX(tblProductos[Precio de venta actual],MATCH($F184,tblProductos[SKU],0))),""))</f>
        <v/>
      </c>
      <c r="L184" s="36" t="n"/>
      <c r="M184" s="37">
        <f>IF($J184="","",IF(NOT(ISNUMBER($K184)),"PRECIO PENDIENTE",$J184*$K184))</f>
        <v/>
      </c>
      <c r="N184" s="37">
        <f>IF($J184="","",IF(NOT(ISNUMBER($M184)),"PRECIO PENDIENTE",$M184-IF(ISNUMBER($L184),$L184,0)))</f>
        <v/>
      </c>
      <c r="O184" s="54">
        <f>IF($F184="","",IFERROR(INDEX(tblInventario[Costo unitario aplicado],MATCH($F184,tblInventario[SKU],0)),""))</f>
        <v/>
      </c>
      <c r="P184" s="37">
        <f>IF($J184="","",IF(NOT(ISNUMBER($O184)),"COSTO PENDIENTE",$J184*$O184))</f>
        <v/>
      </c>
      <c r="Q184" s="37">
        <f>IF($J184="","",IF(OR(NOT(ISNUMBER($N184)),NOT(ISNUMBER($P184))),"PENDIENTE",$N184-$P184))</f>
        <v/>
      </c>
      <c r="R184" s="38">
        <f>IF($J184="","",IF(OR(NOT(ISNUMBER($Q184)),NOT(ISNUMBER($N184)),$N184&lt;=0),"PENDIENTE",$Q184/$N184))</f>
        <v/>
      </c>
      <c r="S184" s="33" t="n"/>
      <c r="T184" s="33" t="n"/>
      <c r="U184" s="41" t="n"/>
      <c r="V184" s="36" t="n"/>
      <c r="W184" s="37">
        <f>IF(NOT(ISNUMBER($N184)),"",$N184-IF(ISNUMBER($V184),$V184,0))</f>
        <v/>
      </c>
      <c r="X184" s="33" t="n"/>
      <c r="Y184" s="51">
        <f>IF(COUNTA($B184,$C184,$D184,$E184,$F184,$I184)=0,"",IF(IF($B184=""," · Falta fecha","")&amp;IF($D184=""," · Falta cliente","")&amp;IF($E184=""," · Falta canal","")&amp;IF($F184=""," · Falta SKU","")&amp;IF(AND($F184&lt;&gt;"",COUNTIF(tblProductos[SKU],$F184)=0)," · SKU no existe","")&amp;IF(OR($I184="",NOT(ISNUMBER($I184)),$I184&lt;=0)," · Cantidad inválida","")&amp;IF($M184="PRECIO PENDIENTE"," · Falta precio de venta","")&amp;IF($P184="COSTO PENDIENTE"," · Falta costo del producto","")&amp;IF(AND(ISNUMBER($Q184),$Q184&lt;0)," · UTILIDAD NEGATIVA","")&amp;IF(AND($F184&lt;&gt;"",ISNUMBER(INDEX(tblInventario[Stock actual],MATCH($F184,tblInventario[SKU],0))),INDEX(tblInventario[Stock actual],MATCH($F184,tblInventario[SKU],0))&lt;0)," · Stock negativo del SKU","")&amp;IF(AND($T184="Cobrado",$U184="")," · Cobro sin fecha","")&amp;IF(AND(ISNUMBER($V184),ISNUMBER($N184),$V184&gt;N($N184)+0.01)," · Cobrado &gt; venta neta","")&amp;IF(AND(ISNUMBER($V184),$V184&gt;0,$U184="")," · Monto cobrado sin fecha","")="","OK",MID(IF($B184=""," · Falta fecha","")&amp;IF($D184=""," · Falta cliente","")&amp;IF($E184=""," · Falta canal","")&amp;IF($F184=""," · Falta SKU","")&amp;IF(AND($F184&lt;&gt;"",COUNTIF(tblProductos[SKU],$F184)=0)," · SKU no existe","")&amp;IF(OR($I184="",NOT(ISNUMBER($I184)),$I184&lt;=0)," · Cantidad inválida","")&amp;IF($M184="PRECIO PENDIENTE"," · Falta precio de venta","")&amp;IF($P184="COSTO PENDIENTE"," · Falta costo del producto","")&amp;IF(AND(ISNUMBER($Q184),$Q184&lt;0)," · UTILIDAD NEGATIVA","")&amp;IF(AND($F184&lt;&gt;"",ISNUMBER(INDEX(tblInventario[Stock actual],MATCH($F184,tblInventario[SKU],0))),INDEX(tblInventario[Stock actual],MATCH($F184,tblInventario[SKU],0))&lt;0)," · Stock negativo del SKU","")&amp;IF(AND($T184="Cobrado",$U184="")," · Cobro sin fecha","")&amp;IF(AND(ISNUMBER($V184),ISNUMBER($N184),$V184&gt;N($N184)+0.01)," · Cobrado &gt; venta neta","")&amp;IF(AND(ISNUMBER($V184),$V184&gt;0,$U184="")," · Monto cobrado sin fecha",""),4,900)))</f>
        <v/>
      </c>
    </row>
    <row r="185">
      <c r="A185" s="51">
        <f>IF(COUNTA($B185,$C185,$D185,$E185,$F185,$I185)=0,"","V-"&amp;TEXT(ROW()-6,"0000"))</f>
        <v/>
      </c>
      <c r="B185" s="41" t="n"/>
      <c r="C185" s="33" t="n"/>
      <c r="D185" s="33" t="n"/>
      <c r="E185" s="33" t="n"/>
      <c r="F185" s="33" t="n"/>
      <c r="G185" s="51">
        <f>IF($F185="","",IFERROR(IF(INDEX(tblProductos[Nombre del producto],MATCH($F185,tblProductos[SKU],0))="","",INDEX(tblProductos[Nombre del producto],MATCH($F185,tblProductos[SKU],0))),""))</f>
        <v/>
      </c>
      <c r="H185" s="51">
        <f>IF($F185="","",IFERROR(IF(INDEX(tblProductos[Categoría],MATCH($F185,tblProductos[SKU],0))="","",INDEX(tblProductos[Categoría],MATCH($F185,tblProductos[SKU],0))),""))</f>
        <v/>
      </c>
      <c r="I185" s="34" t="n"/>
      <c r="J185" s="39">
        <f>IF(OR($B185="",$F185="",$I185=""),"",IF($T185="Anulado",0,$I185))</f>
        <v/>
      </c>
      <c r="K185" s="54">
        <f>IF($F185="","",IFERROR(IF(INDEX(tblProductos[Precio de venta actual],MATCH($F185,tblProductos[SKU],0))="","",INDEX(tblProductos[Precio de venta actual],MATCH($F185,tblProductos[SKU],0))),""))</f>
        <v/>
      </c>
      <c r="L185" s="36" t="n"/>
      <c r="M185" s="37">
        <f>IF($J185="","",IF(NOT(ISNUMBER($K185)),"PRECIO PENDIENTE",$J185*$K185))</f>
        <v/>
      </c>
      <c r="N185" s="37">
        <f>IF($J185="","",IF(NOT(ISNUMBER($M185)),"PRECIO PENDIENTE",$M185-IF(ISNUMBER($L185),$L185,0)))</f>
        <v/>
      </c>
      <c r="O185" s="54">
        <f>IF($F185="","",IFERROR(INDEX(tblInventario[Costo unitario aplicado],MATCH($F185,tblInventario[SKU],0)),""))</f>
        <v/>
      </c>
      <c r="P185" s="37">
        <f>IF($J185="","",IF(NOT(ISNUMBER($O185)),"COSTO PENDIENTE",$J185*$O185))</f>
        <v/>
      </c>
      <c r="Q185" s="37">
        <f>IF($J185="","",IF(OR(NOT(ISNUMBER($N185)),NOT(ISNUMBER($P185))),"PENDIENTE",$N185-$P185))</f>
        <v/>
      </c>
      <c r="R185" s="38">
        <f>IF($J185="","",IF(OR(NOT(ISNUMBER($Q185)),NOT(ISNUMBER($N185)),$N185&lt;=0),"PENDIENTE",$Q185/$N185))</f>
        <v/>
      </c>
      <c r="S185" s="33" t="n"/>
      <c r="T185" s="33" t="n"/>
      <c r="U185" s="41" t="n"/>
      <c r="V185" s="36" t="n"/>
      <c r="W185" s="37">
        <f>IF(NOT(ISNUMBER($N185)),"",$N185-IF(ISNUMBER($V185),$V185,0))</f>
        <v/>
      </c>
      <c r="X185" s="33" t="n"/>
      <c r="Y185" s="51">
        <f>IF(COUNTA($B185,$C185,$D185,$E185,$F185,$I185)=0,"",IF(IF($B185=""," · Falta fecha","")&amp;IF($D185=""," · Falta cliente","")&amp;IF($E185=""," · Falta canal","")&amp;IF($F185=""," · Falta SKU","")&amp;IF(AND($F185&lt;&gt;"",COUNTIF(tblProductos[SKU],$F185)=0)," · SKU no existe","")&amp;IF(OR($I185="",NOT(ISNUMBER($I185)),$I185&lt;=0)," · Cantidad inválida","")&amp;IF($M185="PRECIO PENDIENTE"," · Falta precio de venta","")&amp;IF($P185="COSTO PENDIENTE"," · Falta costo del producto","")&amp;IF(AND(ISNUMBER($Q185),$Q185&lt;0)," · UTILIDAD NEGATIVA","")&amp;IF(AND($F185&lt;&gt;"",ISNUMBER(INDEX(tblInventario[Stock actual],MATCH($F185,tblInventario[SKU],0))),INDEX(tblInventario[Stock actual],MATCH($F185,tblInventario[SKU],0))&lt;0)," · Stock negativo del SKU","")&amp;IF(AND($T185="Cobrado",$U185="")," · Cobro sin fecha","")&amp;IF(AND(ISNUMBER($V185),ISNUMBER($N185),$V185&gt;N($N185)+0.01)," · Cobrado &gt; venta neta","")&amp;IF(AND(ISNUMBER($V185),$V185&gt;0,$U185="")," · Monto cobrado sin fecha","")="","OK",MID(IF($B185=""," · Falta fecha","")&amp;IF($D185=""," · Falta cliente","")&amp;IF($E185=""," · Falta canal","")&amp;IF($F185=""," · Falta SKU","")&amp;IF(AND($F185&lt;&gt;"",COUNTIF(tblProductos[SKU],$F185)=0)," · SKU no existe","")&amp;IF(OR($I185="",NOT(ISNUMBER($I185)),$I185&lt;=0)," · Cantidad inválida","")&amp;IF($M185="PRECIO PENDIENTE"," · Falta precio de venta","")&amp;IF($P185="COSTO PENDIENTE"," · Falta costo del producto","")&amp;IF(AND(ISNUMBER($Q185),$Q185&lt;0)," · UTILIDAD NEGATIVA","")&amp;IF(AND($F185&lt;&gt;"",ISNUMBER(INDEX(tblInventario[Stock actual],MATCH($F185,tblInventario[SKU],0))),INDEX(tblInventario[Stock actual],MATCH($F185,tblInventario[SKU],0))&lt;0)," · Stock negativo del SKU","")&amp;IF(AND($T185="Cobrado",$U185="")," · Cobro sin fecha","")&amp;IF(AND(ISNUMBER($V185),ISNUMBER($N185),$V185&gt;N($N185)+0.01)," · Cobrado &gt; venta neta","")&amp;IF(AND(ISNUMBER($V185),$V185&gt;0,$U185="")," · Monto cobrado sin fecha",""),4,900)))</f>
        <v/>
      </c>
    </row>
    <row r="186">
      <c r="A186" s="51">
        <f>IF(COUNTA($B186,$C186,$D186,$E186,$F186,$I186)=0,"","V-"&amp;TEXT(ROW()-6,"0000"))</f>
        <v/>
      </c>
      <c r="B186" s="41" t="n"/>
      <c r="C186" s="33" t="n"/>
      <c r="D186" s="33" t="n"/>
      <c r="E186" s="33" t="n"/>
      <c r="F186" s="33" t="n"/>
      <c r="G186" s="51">
        <f>IF($F186="","",IFERROR(IF(INDEX(tblProductos[Nombre del producto],MATCH($F186,tblProductos[SKU],0))="","",INDEX(tblProductos[Nombre del producto],MATCH($F186,tblProductos[SKU],0))),""))</f>
        <v/>
      </c>
      <c r="H186" s="51">
        <f>IF($F186="","",IFERROR(IF(INDEX(tblProductos[Categoría],MATCH($F186,tblProductos[SKU],0))="","",INDEX(tblProductos[Categoría],MATCH($F186,tblProductos[SKU],0))),""))</f>
        <v/>
      </c>
      <c r="I186" s="34" t="n"/>
      <c r="J186" s="39">
        <f>IF(OR($B186="",$F186="",$I186=""),"",IF($T186="Anulado",0,$I186))</f>
        <v/>
      </c>
      <c r="K186" s="54">
        <f>IF($F186="","",IFERROR(IF(INDEX(tblProductos[Precio de venta actual],MATCH($F186,tblProductos[SKU],0))="","",INDEX(tblProductos[Precio de venta actual],MATCH($F186,tblProductos[SKU],0))),""))</f>
        <v/>
      </c>
      <c r="L186" s="36" t="n"/>
      <c r="M186" s="37">
        <f>IF($J186="","",IF(NOT(ISNUMBER($K186)),"PRECIO PENDIENTE",$J186*$K186))</f>
        <v/>
      </c>
      <c r="N186" s="37">
        <f>IF($J186="","",IF(NOT(ISNUMBER($M186)),"PRECIO PENDIENTE",$M186-IF(ISNUMBER($L186),$L186,0)))</f>
        <v/>
      </c>
      <c r="O186" s="54">
        <f>IF($F186="","",IFERROR(INDEX(tblInventario[Costo unitario aplicado],MATCH($F186,tblInventario[SKU],0)),""))</f>
        <v/>
      </c>
      <c r="P186" s="37">
        <f>IF($J186="","",IF(NOT(ISNUMBER($O186)),"COSTO PENDIENTE",$J186*$O186))</f>
        <v/>
      </c>
      <c r="Q186" s="37">
        <f>IF($J186="","",IF(OR(NOT(ISNUMBER($N186)),NOT(ISNUMBER($P186))),"PENDIENTE",$N186-$P186))</f>
        <v/>
      </c>
      <c r="R186" s="38">
        <f>IF($J186="","",IF(OR(NOT(ISNUMBER($Q186)),NOT(ISNUMBER($N186)),$N186&lt;=0),"PENDIENTE",$Q186/$N186))</f>
        <v/>
      </c>
      <c r="S186" s="33" t="n"/>
      <c r="T186" s="33" t="n"/>
      <c r="U186" s="41" t="n"/>
      <c r="V186" s="36" t="n"/>
      <c r="W186" s="37">
        <f>IF(NOT(ISNUMBER($N186)),"",$N186-IF(ISNUMBER($V186),$V186,0))</f>
        <v/>
      </c>
      <c r="X186" s="33" t="n"/>
      <c r="Y186" s="51">
        <f>IF(COUNTA($B186,$C186,$D186,$E186,$F186,$I186)=0,"",IF(IF($B186=""," · Falta fecha","")&amp;IF($D186=""," · Falta cliente","")&amp;IF($E186=""," · Falta canal","")&amp;IF($F186=""," · Falta SKU","")&amp;IF(AND($F186&lt;&gt;"",COUNTIF(tblProductos[SKU],$F186)=0)," · SKU no existe","")&amp;IF(OR($I186="",NOT(ISNUMBER($I186)),$I186&lt;=0)," · Cantidad inválida","")&amp;IF($M186="PRECIO PENDIENTE"," · Falta precio de venta","")&amp;IF($P186="COSTO PENDIENTE"," · Falta costo del producto","")&amp;IF(AND(ISNUMBER($Q186),$Q186&lt;0)," · UTILIDAD NEGATIVA","")&amp;IF(AND($F186&lt;&gt;"",ISNUMBER(INDEX(tblInventario[Stock actual],MATCH($F186,tblInventario[SKU],0))),INDEX(tblInventario[Stock actual],MATCH($F186,tblInventario[SKU],0))&lt;0)," · Stock negativo del SKU","")&amp;IF(AND($T186="Cobrado",$U186="")," · Cobro sin fecha","")&amp;IF(AND(ISNUMBER($V186),ISNUMBER($N186),$V186&gt;N($N186)+0.01)," · Cobrado &gt; venta neta","")&amp;IF(AND(ISNUMBER($V186),$V186&gt;0,$U186="")," · Monto cobrado sin fecha","")="","OK",MID(IF($B186=""," · Falta fecha","")&amp;IF($D186=""," · Falta cliente","")&amp;IF($E186=""," · Falta canal","")&amp;IF($F186=""," · Falta SKU","")&amp;IF(AND($F186&lt;&gt;"",COUNTIF(tblProductos[SKU],$F186)=0)," · SKU no existe","")&amp;IF(OR($I186="",NOT(ISNUMBER($I186)),$I186&lt;=0)," · Cantidad inválida","")&amp;IF($M186="PRECIO PENDIENTE"," · Falta precio de venta","")&amp;IF($P186="COSTO PENDIENTE"," · Falta costo del producto","")&amp;IF(AND(ISNUMBER($Q186),$Q186&lt;0)," · UTILIDAD NEGATIVA","")&amp;IF(AND($F186&lt;&gt;"",ISNUMBER(INDEX(tblInventario[Stock actual],MATCH($F186,tblInventario[SKU],0))),INDEX(tblInventario[Stock actual],MATCH($F186,tblInventario[SKU],0))&lt;0)," · Stock negativo del SKU","")&amp;IF(AND($T186="Cobrado",$U186="")," · Cobro sin fecha","")&amp;IF(AND(ISNUMBER($V186),ISNUMBER($N186),$V186&gt;N($N186)+0.01)," · Cobrado &gt; venta neta","")&amp;IF(AND(ISNUMBER($V186),$V186&gt;0,$U186="")," · Monto cobrado sin fecha",""),4,900)))</f>
        <v/>
      </c>
    </row>
    <row r="187">
      <c r="A187" s="51">
        <f>IF(COUNTA($B187,$C187,$D187,$E187,$F187,$I187)=0,"","V-"&amp;TEXT(ROW()-6,"0000"))</f>
        <v/>
      </c>
      <c r="B187" s="41" t="n"/>
      <c r="C187" s="33" t="n"/>
      <c r="D187" s="33" t="n"/>
      <c r="E187" s="33" t="n"/>
      <c r="F187" s="33" t="n"/>
      <c r="G187" s="51">
        <f>IF($F187="","",IFERROR(IF(INDEX(tblProductos[Nombre del producto],MATCH($F187,tblProductos[SKU],0))="","",INDEX(tblProductos[Nombre del producto],MATCH($F187,tblProductos[SKU],0))),""))</f>
        <v/>
      </c>
      <c r="H187" s="51">
        <f>IF($F187="","",IFERROR(IF(INDEX(tblProductos[Categoría],MATCH($F187,tblProductos[SKU],0))="","",INDEX(tblProductos[Categoría],MATCH($F187,tblProductos[SKU],0))),""))</f>
        <v/>
      </c>
      <c r="I187" s="34" t="n"/>
      <c r="J187" s="39">
        <f>IF(OR($B187="",$F187="",$I187=""),"",IF($T187="Anulado",0,$I187))</f>
        <v/>
      </c>
      <c r="K187" s="54">
        <f>IF($F187="","",IFERROR(IF(INDEX(tblProductos[Precio de venta actual],MATCH($F187,tblProductos[SKU],0))="","",INDEX(tblProductos[Precio de venta actual],MATCH($F187,tblProductos[SKU],0))),""))</f>
        <v/>
      </c>
      <c r="L187" s="36" t="n"/>
      <c r="M187" s="37">
        <f>IF($J187="","",IF(NOT(ISNUMBER($K187)),"PRECIO PENDIENTE",$J187*$K187))</f>
        <v/>
      </c>
      <c r="N187" s="37">
        <f>IF($J187="","",IF(NOT(ISNUMBER($M187)),"PRECIO PENDIENTE",$M187-IF(ISNUMBER($L187),$L187,0)))</f>
        <v/>
      </c>
      <c r="O187" s="54">
        <f>IF($F187="","",IFERROR(INDEX(tblInventario[Costo unitario aplicado],MATCH($F187,tblInventario[SKU],0)),""))</f>
        <v/>
      </c>
      <c r="P187" s="37">
        <f>IF($J187="","",IF(NOT(ISNUMBER($O187)),"COSTO PENDIENTE",$J187*$O187))</f>
        <v/>
      </c>
      <c r="Q187" s="37">
        <f>IF($J187="","",IF(OR(NOT(ISNUMBER($N187)),NOT(ISNUMBER($P187))),"PENDIENTE",$N187-$P187))</f>
        <v/>
      </c>
      <c r="R187" s="38">
        <f>IF($J187="","",IF(OR(NOT(ISNUMBER($Q187)),NOT(ISNUMBER($N187)),$N187&lt;=0),"PENDIENTE",$Q187/$N187))</f>
        <v/>
      </c>
      <c r="S187" s="33" t="n"/>
      <c r="T187" s="33" t="n"/>
      <c r="U187" s="41" t="n"/>
      <c r="V187" s="36" t="n"/>
      <c r="W187" s="37">
        <f>IF(NOT(ISNUMBER($N187)),"",$N187-IF(ISNUMBER($V187),$V187,0))</f>
        <v/>
      </c>
      <c r="X187" s="33" t="n"/>
      <c r="Y187" s="51">
        <f>IF(COUNTA($B187,$C187,$D187,$E187,$F187,$I187)=0,"",IF(IF($B187=""," · Falta fecha","")&amp;IF($D187=""," · Falta cliente","")&amp;IF($E187=""," · Falta canal","")&amp;IF($F187=""," · Falta SKU","")&amp;IF(AND($F187&lt;&gt;"",COUNTIF(tblProductos[SKU],$F187)=0)," · SKU no existe","")&amp;IF(OR($I187="",NOT(ISNUMBER($I187)),$I187&lt;=0)," · Cantidad inválida","")&amp;IF($M187="PRECIO PENDIENTE"," · Falta precio de venta","")&amp;IF($P187="COSTO PENDIENTE"," · Falta costo del producto","")&amp;IF(AND(ISNUMBER($Q187),$Q187&lt;0)," · UTILIDAD NEGATIVA","")&amp;IF(AND($F187&lt;&gt;"",ISNUMBER(INDEX(tblInventario[Stock actual],MATCH($F187,tblInventario[SKU],0))),INDEX(tblInventario[Stock actual],MATCH($F187,tblInventario[SKU],0))&lt;0)," · Stock negativo del SKU","")&amp;IF(AND($T187="Cobrado",$U187="")," · Cobro sin fecha","")&amp;IF(AND(ISNUMBER($V187),ISNUMBER($N187),$V187&gt;N($N187)+0.01)," · Cobrado &gt; venta neta","")&amp;IF(AND(ISNUMBER($V187),$V187&gt;0,$U187="")," · Monto cobrado sin fecha","")="","OK",MID(IF($B187=""," · Falta fecha","")&amp;IF($D187=""," · Falta cliente","")&amp;IF($E187=""," · Falta canal","")&amp;IF($F187=""," · Falta SKU","")&amp;IF(AND($F187&lt;&gt;"",COUNTIF(tblProductos[SKU],$F187)=0)," · SKU no existe","")&amp;IF(OR($I187="",NOT(ISNUMBER($I187)),$I187&lt;=0)," · Cantidad inválida","")&amp;IF($M187="PRECIO PENDIENTE"," · Falta precio de venta","")&amp;IF($P187="COSTO PENDIENTE"," · Falta costo del producto","")&amp;IF(AND(ISNUMBER($Q187),$Q187&lt;0)," · UTILIDAD NEGATIVA","")&amp;IF(AND($F187&lt;&gt;"",ISNUMBER(INDEX(tblInventario[Stock actual],MATCH($F187,tblInventario[SKU],0))),INDEX(tblInventario[Stock actual],MATCH($F187,tblInventario[SKU],0))&lt;0)," · Stock negativo del SKU","")&amp;IF(AND($T187="Cobrado",$U187="")," · Cobro sin fecha","")&amp;IF(AND(ISNUMBER($V187),ISNUMBER($N187),$V187&gt;N($N187)+0.01)," · Cobrado &gt; venta neta","")&amp;IF(AND(ISNUMBER($V187),$V187&gt;0,$U187="")," · Monto cobrado sin fecha",""),4,900)))</f>
        <v/>
      </c>
    </row>
    <row r="188">
      <c r="A188" s="51">
        <f>IF(COUNTA($B188,$C188,$D188,$E188,$F188,$I188)=0,"","V-"&amp;TEXT(ROW()-6,"0000"))</f>
        <v/>
      </c>
      <c r="B188" s="41" t="n"/>
      <c r="C188" s="33" t="n"/>
      <c r="D188" s="33" t="n"/>
      <c r="E188" s="33" t="n"/>
      <c r="F188" s="33" t="n"/>
      <c r="G188" s="51">
        <f>IF($F188="","",IFERROR(IF(INDEX(tblProductos[Nombre del producto],MATCH($F188,tblProductos[SKU],0))="","",INDEX(tblProductos[Nombre del producto],MATCH($F188,tblProductos[SKU],0))),""))</f>
        <v/>
      </c>
      <c r="H188" s="51">
        <f>IF($F188="","",IFERROR(IF(INDEX(tblProductos[Categoría],MATCH($F188,tblProductos[SKU],0))="","",INDEX(tblProductos[Categoría],MATCH($F188,tblProductos[SKU],0))),""))</f>
        <v/>
      </c>
      <c r="I188" s="34" t="n"/>
      <c r="J188" s="39">
        <f>IF(OR($B188="",$F188="",$I188=""),"",IF($T188="Anulado",0,$I188))</f>
        <v/>
      </c>
      <c r="K188" s="54">
        <f>IF($F188="","",IFERROR(IF(INDEX(tblProductos[Precio de venta actual],MATCH($F188,tblProductos[SKU],0))="","",INDEX(tblProductos[Precio de venta actual],MATCH($F188,tblProductos[SKU],0))),""))</f>
        <v/>
      </c>
      <c r="L188" s="36" t="n"/>
      <c r="M188" s="37">
        <f>IF($J188="","",IF(NOT(ISNUMBER($K188)),"PRECIO PENDIENTE",$J188*$K188))</f>
        <v/>
      </c>
      <c r="N188" s="37">
        <f>IF($J188="","",IF(NOT(ISNUMBER($M188)),"PRECIO PENDIENTE",$M188-IF(ISNUMBER($L188),$L188,0)))</f>
        <v/>
      </c>
      <c r="O188" s="54">
        <f>IF($F188="","",IFERROR(INDEX(tblInventario[Costo unitario aplicado],MATCH($F188,tblInventario[SKU],0)),""))</f>
        <v/>
      </c>
      <c r="P188" s="37">
        <f>IF($J188="","",IF(NOT(ISNUMBER($O188)),"COSTO PENDIENTE",$J188*$O188))</f>
        <v/>
      </c>
      <c r="Q188" s="37">
        <f>IF($J188="","",IF(OR(NOT(ISNUMBER($N188)),NOT(ISNUMBER($P188))),"PENDIENTE",$N188-$P188))</f>
        <v/>
      </c>
      <c r="R188" s="38">
        <f>IF($J188="","",IF(OR(NOT(ISNUMBER($Q188)),NOT(ISNUMBER($N188)),$N188&lt;=0),"PENDIENTE",$Q188/$N188))</f>
        <v/>
      </c>
      <c r="S188" s="33" t="n"/>
      <c r="T188" s="33" t="n"/>
      <c r="U188" s="41" t="n"/>
      <c r="V188" s="36" t="n"/>
      <c r="W188" s="37">
        <f>IF(NOT(ISNUMBER($N188)),"",$N188-IF(ISNUMBER($V188),$V188,0))</f>
        <v/>
      </c>
      <c r="X188" s="33" t="n"/>
      <c r="Y188" s="51">
        <f>IF(COUNTA($B188,$C188,$D188,$E188,$F188,$I188)=0,"",IF(IF($B188=""," · Falta fecha","")&amp;IF($D188=""," · Falta cliente","")&amp;IF($E188=""," · Falta canal","")&amp;IF($F188=""," · Falta SKU","")&amp;IF(AND($F188&lt;&gt;"",COUNTIF(tblProductos[SKU],$F188)=0)," · SKU no existe","")&amp;IF(OR($I188="",NOT(ISNUMBER($I188)),$I188&lt;=0)," · Cantidad inválida","")&amp;IF($M188="PRECIO PENDIENTE"," · Falta precio de venta","")&amp;IF($P188="COSTO PENDIENTE"," · Falta costo del producto","")&amp;IF(AND(ISNUMBER($Q188),$Q188&lt;0)," · UTILIDAD NEGATIVA","")&amp;IF(AND($F188&lt;&gt;"",ISNUMBER(INDEX(tblInventario[Stock actual],MATCH($F188,tblInventario[SKU],0))),INDEX(tblInventario[Stock actual],MATCH($F188,tblInventario[SKU],0))&lt;0)," · Stock negativo del SKU","")&amp;IF(AND($T188="Cobrado",$U188="")," · Cobro sin fecha","")&amp;IF(AND(ISNUMBER($V188),ISNUMBER($N188),$V188&gt;N($N188)+0.01)," · Cobrado &gt; venta neta","")&amp;IF(AND(ISNUMBER($V188),$V188&gt;0,$U188="")," · Monto cobrado sin fecha","")="","OK",MID(IF($B188=""," · Falta fecha","")&amp;IF($D188=""," · Falta cliente","")&amp;IF($E188=""," · Falta canal","")&amp;IF($F188=""," · Falta SKU","")&amp;IF(AND($F188&lt;&gt;"",COUNTIF(tblProductos[SKU],$F188)=0)," · SKU no existe","")&amp;IF(OR($I188="",NOT(ISNUMBER($I188)),$I188&lt;=0)," · Cantidad inválida","")&amp;IF($M188="PRECIO PENDIENTE"," · Falta precio de venta","")&amp;IF($P188="COSTO PENDIENTE"," · Falta costo del producto","")&amp;IF(AND(ISNUMBER($Q188),$Q188&lt;0)," · UTILIDAD NEGATIVA","")&amp;IF(AND($F188&lt;&gt;"",ISNUMBER(INDEX(tblInventario[Stock actual],MATCH($F188,tblInventario[SKU],0))),INDEX(tblInventario[Stock actual],MATCH($F188,tblInventario[SKU],0))&lt;0)," · Stock negativo del SKU","")&amp;IF(AND($T188="Cobrado",$U188="")," · Cobro sin fecha","")&amp;IF(AND(ISNUMBER($V188),ISNUMBER($N188),$V188&gt;N($N188)+0.01)," · Cobrado &gt; venta neta","")&amp;IF(AND(ISNUMBER($V188),$V188&gt;0,$U188="")," · Monto cobrado sin fecha",""),4,900)))</f>
        <v/>
      </c>
    </row>
    <row r="189">
      <c r="A189" s="51">
        <f>IF(COUNTA($B189,$C189,$D189,$E189,$F189,$I189)=0,"","V-"&amp;TEXT(ROW()-6,"0000"))</f>
        <v/>
      </c>
      <c r="B189" s="41" t="n"/>
      <c r="C189" s="33" t="n"/>
      <c r="D189" s="33" t="n"/>
      <c r="E189" s="33" t="n"/>
      <c r="F189" s="33" t="n"/>
      <c r="G189" s="51">
        <f>IF($F189="","",IFERROR(IF(INDEX(tblProductos[Nombre del producto],MATCH($F189,tblProductos[SKU],0))="","",INDEX(tblProductos[Nombre del producto],MATCH($F189,tblProductos[SKU],0))),""))</f>
        <v/>
      </c>
      <c r="H189" s="51">
        <f>IF($F189="","",IFERROR(IF(INDEX(tblProductos[Categoría],MATCH($F189,tblProductos[SKU],0))="","",INDEX(tblProductos[Categoría],MATCH($F189,tblProductos[SKU],0))),""))</f>
        <v/>
      </c>
      <c r="I189" s="34" t="n"/>
      <c r="J189" s="39">
        <f>IF(OR($B189="",$F189="",$I189=""),"",IF($T189="Anulado",0,$I189))</f>
        <v/>
      </c>
      <c r="K189" s="54">
        <f>IF($F189="","",IFERROR(IF(INDEX(tblProductos[Precio de venta actual],MATCH($F189,tblProductos[SKU],0))="","",INDEX(tblProductos[Precio de venta actual],MATCH($F189,tblProductos[SKU],0))),""))</f>
        <v/>
      </c>
      <c r="L189" s="36" t="n"/>
      <c r="M189" s="37">
        <f>IF($J189="","",IF(NOT(ISNUMBER($K189)),"PRECIO PENDIENTE",$J189*$K189))</f>
        <v/>
      </c>
      <c r="N189" s="37">
        <f>IF($J189="","",IF(NOT(ISNUMBER($M189)),"PRECIO PENDIENTE",$M189-IF(ISNUMBER($L189),$L189,0)))</f>
        <v/>
      </c>
      <c r="O189" s="54">
        <f>IF($F189="","",IFERROR(INDEX(tblInventario[Costo unitario aplicado],MATCH($F189,tblInventario[SKU],0)),""))</f>
        <v/>
      </c>
      <c r="P189" s="37">
        <f>IF($J189="","",IF(NOT(ISNUMBER($O189)),"COSTO PENDIENTE",$J189*$O189))</f>
        <v/>
      </c>
      <c r="Q189" s="37">
        <f>IF($J189="","",IF(OR(NOT(ISNUMBER($N189)),NOT(ISNUMBER($P189))),"PENDIENTE",$N189-$P189))</f>
        <v/>
      </c>
      <c r="R189" s="38">
        <f>IF($J189="","",IF(OR(NOT(ISNUMBER($Q189)),NOT(ISNUMBER($N189)),$N189&lt;=0),"PENDIENTE",$Q189/$N189))</f>
        <v/>
      </c>
      <c r="S189" s="33" t="n"/>
      <c r="T189" s="33" t="n"/>
      <c r="U189" s="41" t="n"/>
      <c r="V189" s="36" t="n"/>
      <c r="W189" s="37">
        <f>IF(NOT(ISNUMBER($N189)),"",$N189-IF(ISNUMBER($V189),$V189,0))</f>
        <v/>
      </c>
      <c r="X189" s="33" t="n"/>
      <c r="Y189" s="51">
        <f>IF(COUNTA($B189,$C189,$D189,$E189,$F189,$I189)=0,"",IF(IF($B189=""," · Falta fecha","")&amp;IF($D189=""," · Falta cliente","")&amp;IF($E189=""," · Falta canal","")&amp;IF($F189=""," · Falta SKU","")&amp;IF(AND($F189&lt;&gt;"",COUNTIF(tblProductos[SKU],$F189)=0)," · SKU no existe","")&amp;IF(OR($I189="",NOT(ISNUMBER($I189)),$I189&lt;=0)," · Cantidad inválida","")&amp;IF($M189="PRECIO PENDIENTE"," · Falta precio de venta","")&amp;IF($P189="COSTO PENDIENTE"," · Falta costo del producto","")&amp;IF(AND(ISNUMBER($Q189),$Q189&lt;0)," · UTILIDAD NEGATIVA","")&amp;IF(AND($F189&lt;&gt;"",ISNUMBER(INDEX(tblInventario[Stock actual],MATCH($F189,tblInventario[SKU],0))),INDEX(tblInventario[Stock actual],MATCH($F189,tblInventario[SKU],0))&lt;0)," · Stock negativo del SKU","")&amp;IF(AND($T189="Cobrado",$U189="")," · Cobro sin fecha","")&amp;IF(AND(ISNUMBER($V189),ISNUMBER($N189),$V189&gt;N($N189)+0.01)," · Cobrado &gt; venta neta","")&amp;IF(AND(ISNUMBER($V189),$V189&gt;0,$U189="")," · Monto cobrado sin fecha","")="","OK",MID(IF($B189=""," · Falta fecha","")&amp;IF($D189=""," · Falta cliente","")&amp;IF($E189=""," · Falta canal","")&amp;IF($F189=""," · Falta SKU","")&amp;IF(AND($F189&lt;&gt;"",COUNTIF(tblProductos[SKU],$F189)=0)," · SKU no existe","")&amp;IF(OR($I189="",NOT(ISNUMBER($I189)),$I189&lt;=0)," · Cantidad inválida","")&amp;IF($M189="PRECIO PENDIENTE"," · Falta precio de venta","")&amp;IF($P189="COSTO PENDIENTE"," · Falta costo del producto","")&amp;IF(AND(ISNUMBER($Q189),$Q189&lt;0)," · UTILIDAD NEGATIVA","")&amp;IF(AND($F189&lt;&gt;"",ISNUMBER(INDEX(tblInventario[Stock actual],MATCH($F189,tblInventario[SKU],0))),INDEX(tblInventario[Stock actual],MATCH($F189,tblInventario[SKU],0))&lt;0)," · Stock negativo del SKU","")&amp;IF(AND($T189="Cobrado",$U189="")," · Cobro sin fecha","")&amp;IF(AND(ISNUMBER($V189),ISNUMBER($N189),$V189&gt;N($N189)+0.01)," · Cobrado &gt; venta neta","")&amp;IF(AND(ISNUMBER($V189),$V189&gt;0,$U189="")," · Monto cobrado sin fecha",""),4,900)))</f>
        <v/>
      </c>
    </row>
    <row r="190">
      <c r="A190" s="51">
        <f>IF(COUNTA($B190,$C190,$D190,$E190,$F190,$I190)=0,"","V-"&amp;TEXT(ROW()-6,"0000"))</f>
        <v/>
      </c>
      <c r="B190" s="41" t="n"/>
      <c r="C190" s="33" t="n"/>
      <c r="D190" s="33" t="n"/>
      <c r="E190" s="33" t="n"/>
      <c r="F190" s="33" t="n"/>
      <c r="G190" s="51">
        <f>IF($F190="","",IFERROR(IF(INDEX(tblProductos[Nombre del producto],MATCH($F190,tblProductos[SKU],0))="","",INDEX(tblProductos[Nombre del producto],MATCH($F190,tblProductos[SKU],0))),""))</f>
        <v/>
      </c>
      <c r="H190" s="51">
        <f>IF($F190="","",IFERROR(IF(INDEX(tblProductos[Categoría],MATCH($F190,tblProductos[SKU],0))="","",INDEX(tblProductos[Categoría],MATCH($F190,tblProductos[SKU],0))),""))</f>
        <v/>
      </c>
      <c r="I190" s="34" t="n"/>
      <c r="J190" s="39">
        <f>IF(OR($B190="",$F190="",$I190=""),"",IF($T190="Anulado",0,$I190))</f>
        <v/>
      </c>
      <c r="K190" s="54">
        <f>IF($F190="","",IFERROR(IF(INDEX(tblProductos[Precio de venta actual],MATCH($F190,tblProductos[SKU],0))="","",INDEX(tblProductos[Precio de venta actual],MATCH($F190,tblProductos[SKU],0))),""))</f>
        <v/>
      </c>
      <c r="L190" s="36" t="n"/>
      <c r="M190" s="37">
        <f>IF($J190="","",IF(NOT(ISNUMBER($K190)),"PRECIO PENDIENTE",$J190*$K190))</f>
        <v/>
      </c>
      <c r="N190" s="37">
        <f>IF($J190="","",IF(NOT(ISNUMBER($M190)),"PRECIO PENDIENTE",$M190-IF(ISNUMBER($L190),$L190,0)))</f>
        <v/>
      </c>
      <c r="O190" s="54">
        <f>IF($F190="","",IFERROR(INDEX(tblInventario[Costo unitario aplicado],MATCH($F190,tblInventario[SKU],0)),""))</f>
        <v/>
      </c>
      <c r="P190" s="37">
        <f>IF($J190="","",IF(NOT(ISNUMBER($O190)),"COSTO PENDIENTE",$J190*$O190))</f>
        <v/>
      </c>
      <c r="Q190" s="37">
        <f>IF($J190="","",IF(OR(NOT(ISNUMBER($N190)),NOT(ISNUMBER($P190))),"PENDIENTE",$N190-$P190))</f>
        <v/>
      </c>
      <c r="R190" s="38">
        <f>IF($J190="","",IF(OR(NOT(ISNUMBER($Q190)),NOT(ISNUMBER($N190)),$N190&lt;=0),"PENDIENTE",$Q190/$N190))</f>
        <v/>
      </c>
      <c r="S190" s="33" t="n"/>
      <c r="T190" s="33" t="n"/>
      <c r="U190" s="41" t="n"/>
      <c r="V190" s="36" t="n"/>
      <c r="W190" s="37">
        <f>IF(NOT(ISNUMBER($N190)),"",$N190-IF(ISNUMBER($V190),$V190,0))</f>
        <v/>
      </c>
      <c r="X190" s="33" t="n"/>
      <c r="Y190" s="51">
        <f>IF(COUNTA($B190,$C190,$D190,$E190,$F190,$I190)=0,"",IF(IF($B190=""," · Falta fecha","")&amp;IF($D190=""," · Falta cliente","")&amp;IF($E190=""," · Falta canal","")&amp;IF($F190=""," · Falta SKU","")&amp;IF(AND($F190&lt;&gt;"",COUNTIF(tblProductos[SKU],$F190)=0)," · SKU no existe","")&amp;IF(OR($I190="",NOT(ISNUMBER($I190)),$I190&lt;=0)," · Cantidad inválida","")&amp;IF($M190="PRECIO PENDIENTE"," · Falta precio de venta","")&amp;IF($P190="COSTO PENDIENTE"," · Falta costo del producto","")&amp;IF(AND(ISNUMBER($Q190),$Q190&lt;0)," · UTILIDAD NEGATIVA","")&amp;IF(AND($F190&lt;&gt;"",ISNUMBER(INDEX(tblInventario[Stock actual],MATCH($F190,tblInventario[SKU],0))),INDEX(tblInventario[Stock actual],MATCH($F190,tblInventario[SKU],0))&lt;0)," · Stock negativo del SKU","")&amp;IF(AND($T190="Cobrado",$U190="")," · Cobro sin fecha","")&amp;IF(AND(ISNUMBER($V190),ISNUMBER($N190),$V190&gt;N($N190)+0.01)," · Cobrado &gt; venta neta","")&amp;IF(AND(ISNUMBER($V190),$V190&gt;0,$U190="")," · Monto cobrado sin fecha","")="","OK",MID(IF($B190=""," · Falta fecha","")&amp;IF($D190=""," · Falta cliente","")&amp;IF($E190=""," · Falta canal","")&amp;IF($F190=""," · Falta SKU","")&amp;IF(AND($F190&lt;&gt;"",COUNTIF(tblProductos[SKU],$F190)=0)," · SKU no existe","")&amp;IF(OR($I190="",NOT(ISNUMBER($I190)),$I190&lt;=0)," · Cantidad inválida","")&amp;IF($M190="PRECIO PENDIENTE"," · Falta precio de venta","")&amp;IF($P190="COSTO PENDIENTE"," · Falta costo del producto","")&amp;IF(AND(ISNUMBER($Q190),$Q190&lt;0)," · UTILIDAD NEGATIVA","")&amp;IF(AND($F190&lt;&gt;"",ISNUMBER(INDEX(tblInventario[Stock actual],MATCH($F190,tblInventario[SKU],0))),INDEX(tblInventario[Stock actual],MATCH($F190,tblInventario[SKU],0))&lt;0)," · Stock negativo del SKU","")&amp;IF(AND($T190="Cobrado",$U190="")," · Cobro sin fecha","")&amp;IF(AND(ISNUMBER($V190),ISNUMBER($N190),$V190&gt;N($N190)+0.01)," · Cobrado &gt; venta neta","")&amp;IF(AND(ISNUMBER($V190),$V190&gt;0,$U190="")," · Monto cobrado sin fecha",""),4,900)))</f>
        <v/>
      </c>
    </row>
    <row r="191">
      <c r="A191" s="51">
        <f>IF(COUNTA($B191,$C191,$D191,$E191,$F191,$I191)=0,"","V-"&amp;TEXT(ROW()-6,"0000"))</f>
        <v/>
      </c>
      <c r="B191" s="41" t="n"/>
      <c r="C191" s="33" t="n"/>
      <c r="D191" s="33" t="n"/>
      <c r="E191" s="33" t="n"/>
      <c r="F191" s="33" t="n"/>
      <c r="G191" s="51">
        <f>IF($F191="","",IFERROR(IF(INDEX(tblProductos[Nombre del producto],MATCH($F191,tblProductos[SKU],0))="","",INDEX(tblProductos[Nombre del producto],MATCH($F191,tblProductos[SKU],0))),""))</f>
        <v/>
      </c>
      <c r="H191" s="51">
        <f>IF($F191="","",IFERROR(IF(INDEX(tblProductos[Categoría],MATCH($F191,tblProductos[SKU],0))="","",INDEX(tblProductos[Categoría],MATCH($F191,tblProductos[SKU],0))),""))</f>
        <v/>
      </c>
      <c r="I191" s="34" t="n"/>
      <c r="J191" s="39">
        <f>IF(OR($B191="",$F191="",$I191=""),"",IF($T191="Anulado",0,$I191))</f>
        <v/>
      </c>
      <c r="K191" s="54">
        <f>IF($F191="","",IFERROR(IF(INDEX(tblProductos[Precio de venta actual],MATCH($F191,tblProductos[SKU],0))="","",INDEX(tblProductos[Precio de venta actual],MATCH($F191,tblProductos[SKU],0))),""))</f>
        <v/>
      </c>
      <c r="L191" s="36" t="n"/>
      <c r="M191" s="37">
        <f>IF($J191="","",IF(NOT(ISNUMBER($K191)),"PRECIO PENDIENTE",$J191*$K191))</f>
        <v/>
      </c>
      <c r="N191" s="37">
        <f>IF($J191="","",IF(NOT(ISNUMBER($M191)),"PRECIO PENDIENTE",$M191-IF(ISNUMBER($L191),$L191,0)))</f>
        <v/>
      </c>
      <c r="O191" s="54">
        <f>IF($F191="","",IFERROR(INDEX(tblInventario[Costo unitario aplicado],MATCH($F191,tblInventario[SKU],0)),""))</f>
        <v/>
      </c>
      <c r="P191" s="37">
        <f>IF($J191="","",IF(NOT(ISNUMBER($O191)),"COSTO PENDIENTE",$J191*$O191))</f>
        <v/>
      </c>
      <c r="Q191" s="37">
        <f>IF($J191="","",IF(OR(NOT(ISNUMBER($N191)),NOT(ISNUMBER($P191))),"PENDIENTE",$N191-$P191))</f>
        <v/>
      </c>
      <c r="R191" s="38">
        <f>IF($J191="","",IF(OR(NOT(ISNUMBER($Q191)),NOT(ISNUMBER($N191)),$N191&lt;=0),"PENDIENTE",$Q191/$N191))</f>
        <v/>
      </c>
      <c r="S191" s="33" t="n"/>
      <c r="T191" s="33" t="n"/>
      <c r="U191" s="41" t="n"/>
      <c r="V191" s="36" t="n"/>
      <c r="W191" s="37">
        <f>IF(NOT(ISNUMBER($N191)),"",$N191-IF(ISNUMBER($V191),$V191,0))</f>
        <v/>
      </c>
      <c r="X191" s="33" t="n"/>
      <c r="Y191" s="51">
        <f>IF(COUNTA($B191,$C191,$D191,$E191,$F191,$I191)=0,"",IF(IF($B191=""," · Falta fecha","")&amp;IF($D191=""," · Falta cliente","")&amp;IF($E191=""," · Falta canal","")&amp;IF($F191=""," · Falta SKU","")&amp;IF(AND($F191&lt;&gt;"",COUNTIF(tblProductos[SKU],$F191)=0)," · SKU no existe","")&amp;IF(OR($I191="",NOT(ISNUMBER($I191)),$I191&lt;=0)," · Cantidad inválida","")&amp;IF($M191="PRECIO PENDIENTE"," · Falta precio de venta","")&amp;IF($P191="COSTO PENDIENTE"," · Falta costo del producto","")&amp;IF(AND(ISNUMBER($Q191),$Q191&lt;0)," · UTILIDAD NEGATIVA","")&amp;IF(AND($F191&lt;&gt;"",ISNUMBER(INDEX(tblInventario[Stock actual],MATCH($F191,tblInventario[SKU],0))),INDEX(tblInventario[Stock actual],MATCH($F191,tblInventario[SKU],0))&lt;0)," · Stock negativo del SKU","")&amp;IF(AND($T191="Cobrado",$U191="")," · Cobro sin fecha","")&amp;IF(AND(ISNUMBER($V191),ISNUMBER($N191),$V191&gt;N($N191)+0.01)," · Cobrado &gt; venta neta","")&amp;IF(AND(ISNUMBER($V191),$V191&gt;0,$U191="")," · Monto cobrado sin fecha","")="","OK",MID(IF($B191=""," · Falta fecha","")&amp;IF($D191=""," · Falta cliente","")&amp;IF($E191=""," · Falta canal","")&amp;IF($F191=""," · Falta SKU","")&amp;IF(AND($F191&lt;&gt;"",COUNTIF(tblProductos[SKU],$F191)=0)," · SKU no existe","")&amp;IF(OR($I191="",NOT(ISNUMBER($I191)),$I191&lt;=0)," · Cantidad inválida","")&amp;IF($M191="PRECIO PENDIENTE"," · Falta precio de venta","")&amp;IF($P191="COSTO PENDIENTE"," · Falta costo del producto","")&amp;IF(AND(ISNUMBER($Q191),$Q191&lt;0)," · UTILIDAD NEGATIVA","")&amp;IF(AND($F191&lt;&gt;"",ISNUMBER(INDEX(tblInventario[Stock actual],MATCH($F191,tblInventario[SKU],0))),INDEX(tblInventario[Stock actual],MATCH($F191,tblInventario[SKU],0))&lt;0)," · Stock negativo del SKU","")&amp;IF(AND($T191="Cobrado",$U191="")," · Cobro sin fecha","")&amp;IF(AND(ISNUMBER($V191),ISNUMBER($N191),$V191&gt;N($N191)+0.01)," · Cobrado &gt; venta neta","")&amp;IF(AND(ISNUMBER($V191),$V191&gt;0,$U191="")," · Monto cobrado sin fecha",""),4,900)))</f>
        <v/>
      </c>
    </row>
    <row r="192">
      <c r="A192" s="51">
        <f>IF(COUNTA($B192,$C192,$D192,$E192,$F192,$I192)=0,"","V-"&amp;TEXT(ROW()-6,"0000"))</f>
        <v/>
      </c>
      <c r="B192" s="41" t="n"/>
      <c r="C192" s="33" t="n"/>
      <c r="D192" s="33" t="n"/>
      <c r="E192" s="33" t="n"/>
      <c r="F192" s="33" t="n"/>
      <c r="G192" s="51">
        <f>IF($F192="","",IFERROR(IF(INDEX(tblProductos[Nombre del producto],MATCH($F192,tblProductos[SKU],0))="","",INDEX(tblProductos[Nombre del producto],MATCH($F192,tblProductos[SKU],0))),""))</f>
        <v/>
      </c>
      <c r="H192" s="51">
        <f>IF($F192="","",IFERROR(IF(INDEX(tblProductos[Categoría],MATCH($F192,tblProductos[SKU],0))="","",INDEX(tblProductos[Categoría],MATCH($F192,tblProductos[SKU],0))),""))</f>
        <v/>
      </c>
      <c r="I192" s="34" t="n"/>
      <c r="J192" s="39">
        <f>IF(OR($B192="",$F192="",$I192=""),"",IF($T192="Anulado",0,$I192))</f>
        <v/>
      </c>
      <c r="K192" s="54">
        <f>IF($F192="","",IFERROR(IF(INDEX(tblProductos[Precio de venta actual],MATCH($F192,tblProductos[SKU],0))="","",INDEX(tblProductos[Precio de venta actual],MATCH($F192,tblProductos[SKU],0))),""))</f>
        <v/>
      </c>
      <c r="L192" s="36" t="n"/>
      <c r="M192" s="37">
        <f>IF($J192="","",IF(NOT(ISNUMBER($K192)),"PRECIO PENDIENTE",$J192*$K192))</f>
        <v/>
      </c>
      <c r="N192" s="37">
        <f>IF($J192="","",IF(NOT(ISNUMBER($M192)),"PRECIO PENDIENTE",$M192-IF(ISNUMBER($L192),$L192,0)))</f>
        <v/>
      </c>
      <c r="O192" s="54">
        <f>IF($F192="","",IFERROR(INDEX(tblInventario[Costo unitario aplicado],MATCH($F192,tblInventario[SKU],0)),""))</f>
        <v/>
      </c>
      <c r="P192" s="37">
        <f>IF($J192="","",IF(NOT(ISNUMBER($O192)),"COSTO PENDIENTE",$J192*$O192))</f>
        <v/>
      </c>
      <c r="Q192" s="37">
        <f>IF($J192="","",IF(OR(NOT(ISNUMBER($N192)),NOT(ISNUMBER($P192))),"PENDIENTE",$N192-$P192))</f>
        <v/>
      </c>
      <c r="R192" s="38">
        <f>IF($J192="","",IF(OR(NOT(ISNUMBER($Q192)),NOT(ISNUMBER($N192)),$N192&lt;=0),"PENDIENTE",$Q192/$N192))</f>
        <v/>
      </c>
      <c r="S192" s="33" t="n"/>
      <c r="T192" s="33" t="n"/>
      <c r="U192" s="41" t="n"/>
      <c r="V192" s="36" t="n"/>
      <c r="W192" s="37">
        <f>IF(NOT(ISNUMBER($N192)),"",$N192-IF(ISNUMBER($V192),$V192,0))</f>
        <v/>
      </c>
      <c r="X192" s="33" t="n"/>
      <c r="Y192" s="51">
        <f>IF(COUNTA($B192,$C192,$D192,$E192,$F192,$I192)=0,"",IF(IF($B192=""," · Falta fecha","")&amp;IF($D192=""," · Falta cliente","")&amp;IF($E192=""," · Falta canal","")&amp;IF($F192=""," · Falta SKU","")&amp;IF(AND($F192&lt;&gt;"",COUNTIF(tblProductos[SKU],$F192)=0)," · SKU no existe","")&amp;IF(OR($I192="",NOT(ISNUMBER($I192)),$I192&lt;=0)," · Cantidad inválida","")&amp;IF($M192="PRECIO PENDIENTE"," · Falta precio de venta","")&amp;IF($P192="COSTO PENDIENTE"," · Falta costo del producto","")&amp;IF(AND(ISNUMBER($Q192),$Q192&lt;0)," · UTILIDAD NEGATIVA","")&amp;IF(AND($F192&lt;&gt;"",ISNUMBER(INDEX(tblInventario[Stock actual],MATCH($F192,tblInventario[SKU],0))),INDEX(tblInventario[Stock actual],MATCH($F192,tblInventario[SKU],0))&lt;0)," · Stock negativo del SKU","")&amp;IF(AND($T192="Cobrado",$U192="")," · Cobro sin fecha","")&amp;IF(AND(ISNUMBER($V192),ISNUMBER($N192),$V192&gt;N($N192)+0.01)," · Cobrado &gt; venta neta","")&amp;IF(AND(ISNUMBER($V192),$V192&gt;0,$U192="")," · Monto cobrado sin fecha","")="","OK",MID(IF($B192=""," · Falta fecha","")&amp;IF($D192=""," · Falta cliente","")&amp;IF($E192=""," · Falta canal","")&amp;IF($F192=""," · Falta SKU","")&amp;IF(AND($F192&lt;&gt;"",COUNTIF(tblProductos[SKU],$F192)=0)," · SKU no existe","")&amp;IF(OR($I192="",NOT(ISNUMBER($I192)),$I192&lt;=0)," · Cantidad inválida","")&amp;IF($M192="PRECIO PENDIENTE"," · Falta precio de venta","")&amp;IF($P192="COSTO PENDIENTE"," · Falta costo del producto","")&amp;IF(AND(ISNUMBER($Q192),$Q192&lt;0)," · UTILIDAD NEGATIVA","")&amp;IF(AND($F192&lt;&gt;"",ISNUMBER(INDEX(tblInventario[Stock actual],MATCH($F192,tblInventario[SKU],0))),INDEX(tblInventario[Stock actual],MATCH($F192,tblInventario[SKU],0))&lt;0)," · Stock negativo del SKU","")&amp;IF(AND($T192="Cobrado",$U192="")," · Cobro sin fecha","")&amp;IF(AND(ISNUMBER($V192),ISNUMBER($N192),$V192&gt;N($N192)+0.01)," · Cobrado &gt; venta neta","")&amp;IF(AND(ISNUMBER($V192),$V192&gt;0,$U192="")," · Monto cobrado sin fecha",""),4,900)))</f>
        <v/>
      </c>
    </row>
    <row r="193">
      <c r="A193" s="51">
        <f>IF(COUNTA($B193,$C193,$D193,$E193,$F193,$I193)=0,"","V-"&amp;TEXT(ROW()-6,"0000"))</f>
        <v/>
      </c>
      <c r="B193" s="41" t="n"/>
      <c r="C193" s="33" t="n"/>
      <c r="D193" s="33" t="n"/>
      <c r="E193" s="33" t="n"/>
      <c r="F193" s="33" t="n"/>
      <c r="G193" s="51">
        <f>IF($F193="","",IFERROR(IF(INDEX(tblProductos[Nombre del producto],MATCH($F193,tblProductos[SKU],0))="","",INDEX(tblProductos[Nombre del producto],MATCH($F193,tblProductos[SKU],0))),""))</f>
        <v/>
      </c>
      <c r="H193" s="51">
        <f>IF($F193="","",IFERROR(IF(INDEX(tblProductos[Categoría],MATCH($F193,tblProductos[SKU],0))="","",INDEX(tblProductos[Categoría],MATCH($F193,tblProductos[SKU],0))),""))</f>
        <v/>
      </c>
      <c r="I193" s="34" t="n"/>
      <c r="J193" s="39">
        <f>IF(OR($B193="",$F193="",$I193=""),"",IF($T193="Anulado",0,$I193))</f>
        <v/>
      </c>
      <c r="K193" s="54">
        <f>IF($F193="","",IFERROR(IF(INDEX(tblProductos[Precio de venta actual],MATCH($F193,tblProductos[SKU],0))="","",INDEX(tblProductos[Precio de venta actual],MATCH($F193,tblProductos[SKU],0))),""))</f>
        <v/>
      </c>
      <c r="L193" s="36" t="n"/>
      <c r="M193" s="37">
        <f>IF($J193="","",IF(NOT(ISNUMBER($K193)),"PRECIO PENDIENTE",$J193*$K193))</f>
        <v/>
      </c>
      <c r="N193" s="37">
        <f>IF($J193="","",IF(NOT(ISNUMBER($M193)),"PRECIO PENDIENTE",$M193-IF(ISNUMBER($L193),$L193,0)))</f>
        <v/>
      </c>
      <c r="O193" s="54">
        <f>IF($F193="","",IFERROR(INDEX(tblInventario[Costo unitario aplicado],MATCH($F193,tblInventario[SKU],0)),""))</f>
        <v/>
      </c>
      <c r="P193" s="37">
        <f>IF($J193="","",IF(NOT(ISNUMBER($O193)),"COSTO PENDIENTE",$J193*$O193))</f>
        <v/>
      </c>
      <c r="Q193" s="37">
        <f>IF($J193="","",IF(OR(NOT(ISNUMBER($N193)),NOT(ISNUMBER($P193))),"PENDIENTE",$N193-$P193))</f>
        <v/>
      </c>
      <c r="R193" s="38">
        <f>IF($J193="","",IF(OR(NOT(ISNUMBER($Q193)),NOT(ISNUMBER($N193)),$N193&lt;=0),"PENDIENTE",$Q193/$N193))</f>
        <v/>
      </c>
      <c r="S193" s="33" t="n"/>
      <c r="T193" s="33" t="n"/>
      <c r="U193" s="41" t="n"/>
      <c r="V193" s="36" t="n"/>
      <c r="W193" s="37">
        <f>IF(NOT(ISNUMBER($N193)),"",$N193-IF(ISNUMBER($V193),$V193,0))</f>
        <v/>
      </c>
      <c r="X193" s="33" t="n"/>
      <c r="Y193" s="51">
        <f>IF(COUNTA($B193,$C193,$D193,$E193,$F193,$I193)=0,"",IF(IF($B193=""," · Falta fecha","")&amp;IF($D193=""," · Falta cliente","")&amp;IF($E193=""," · Falta canal","")&amp;IF($F193=""," · Falta SKU","")&amp;IF(AND($F193&lt;&gt;"",COUNTIF(tblProductos[SKU],$F193)=0)," · SKU no existe","")&amp;IF(OR($I193="",NOT(ISNUMBER($I193)),$I193&lt;=0)," · Cantidad inválida","")&amp;IF($M193="PRECIO PENDIENTE"," · Falta precio de venta","")&amp;IF($P193="COSTO PENDIENTE"," · Falta costo del producto","")&amp;IF(AND(ISNUMBER($Q193),$Q193&lt;0)," · UTILIDAD NEGATIVA","")&amp;IF(AND($F193&lt;&gt;"",ISNUMBER(INDEX(tblInventario[Stock actual],MATCH($F193,tblInventario[SKU],0))),INDEX(tblInventario[Stock actual],MATCH($F193,tblInventario[SKU],0))&lt;0)," · Stock negativo del SKU","")&amp;IF(AND($T193="Cobrado",$U193="")," · Cobro sin fecha","")&amp;IF(AND(ISNUMBER($V193),ISNUMBER($N193),$V193&gt;N($N193)+0.01)," · Cobrado &gt; venta neta","")&amp;IF(AND(ISNUMBER($V193),$V193&gt;0,$U193="")," · Monto cobrado sin fecha","")="","OK",MID(IF($B193=""," · Falta fecha","")&amp;IF($D193=""," · Falta cliente","")&amp;IF($E193=""," · Falta canal","")&amp;IF($F193=""," · Falta SKU","")&amp;IF(AND($F193&lt;&gt;"",COUNTIF(tblProductos[SKU],$F193)=0)," · SKU no existe","")&amp;IF(OR($I193="",NOT(ISNUMBER($I193)),$I193&lt;=0)," · Cantidad inválida","")&amp;IF($M193="PRECIO PENDIENTE"," · Falta precio de venta","")&amp;IF($P193="COSTO PENDIENTE"," · Falta costo del producto","")&amp;IF(AND(ISNUMBER($Q193),$Q193&lt;0)," · UTILIDAD NEGATIVA","")&amp;IF(AND($F193&lt;&gt;"",ISNUMBER(INDEX(tblInventario[Stock actual],MATCH($F193,tblInventario[SKU],0))),INDEX(tblInventario[Stock actual],MATCH($F193,tblInventario[SKU],0))&lt;0)," · Stock negativo del SKU","")&amp;IF(AND($T193="Cobrado",$U193="")," · Cobro sin fecha","")&amp;IF(AND(ISNUMBER($V193),ISNUMBER($N193),$V193&gt;N($N193)+0.01)," · Cobrado &gt; venta neta","")&amp;IF(AND(ISNUMBER($V193),$V193&gt;0,$U193="")," · Monto cobrado sin fecha",""),4,900)))</f>
        <v/>
      </c>
    </row>
    <row r="194">
      <c r="A194" s="51">
        <f>IF(COUNTA($B194,$C194,$D194,$E194,$F194,$I194)=0,"","V-"&amp;TEXT(ROW()-6,"0000"))</f>
        <v/>
      </c>
      <c r="B194" s="41" t="n"/>
      <c r="C194" s="33" t="n"/>
      <c r="D194" s="33" t="n"/>
      <c r="E194" s="33" t="n"/>
      <c r="F194" s="33" t="n"/>
      <c r="G194" s="51">
        <f>IF($F194="","",IFERROR(IF(INDEX(tblProductos[Nombre del producto],MATCH($F194,tblProductos[SKU],0))="","",INDEX(tblProductos[Nombre del producto],MATCH($F194,tblProductos[SKU],0))),""))</f>
        <v/>
      </c>
      <c r="H194" s="51">
        <f>IF($F194="","",IFERROR(IF(INDEX(tblProductos[Categoría],MATCH($F194,tblProductos[SKU],0))="","",INDEX(tblProductos[Categoría],MATCH($F194,tblProductos[SKU],0))),""))</f>
        <v/>
      </c>
      <c r="I194" s="34" t="n"/>
      <c r="J194" s="39">
        <f>IF(OR($B194="",$F194="",$I194=""),"",IF($T194="Anulado",0,$I194))</f>
        <v/>
      </c>
      <c r="K194" s="54">
        <f>IF($F194="","",IFERROR(IF(INDEX(tblProductos[Precio de venta actual],MATCH($F194,tblProductos[SKU],0))="","",INDEX(tblProductos[Precio de venta actual],MATCH($F194,tblProductos[SKU],0))),""))</f>
        <v/>
      </c>
      <c r="L194" s="36" t="n"/>
      <c r="M194" s="37">
        <f>IF($J194="","",IF(NOT(ISNUMBER($K194)),"PRECIO PENDIENTE",$J194*$K194))</f>
        <v/>
      </c>
      <c r="N194" s="37">
        <f>IF($J194="","",IF(NOT(ISNUMBER($M194)),"PRECIO PENDIENTE",$M194-IF(ISNUMBER($L194),$L194,0)))</f>
        <v/>
      </c>
      <c r="O194" s="54">
        <f>IF($F194="","",IFERROR(INDEX(tblInventario[Costo unitario aplicado],MATCH($F194,tblInventario[SKU],0)),""))</f>
        <v/>
      </c>
      <c r="P194" s="37">
        <f>IF($J194="","",IF(NOT(ISNUMBER($O194)),"COSTO PENDIENTE",$J194*$O194))</f>
        <v/>
      </c>
      <c r="Q194" s="37">
        <f>IF($J194="","",IF(OR(NOT(ISNUMBER($N194)),NOT(ISNUMBER($P194))),"PENDIENTE",$N194-$P194))</f>
        <v/>
      </c>
      <c r="R194" s="38">
        <f>IF($J194="","",IF(OR(NOT(ISNUMBER($Q194)),NOT(ISNUMBER($N194)),$N194&lt;=0),"PENDIENTE",$Q194/$N194))</f>
        <v/>
      </c>
      <c r="S194" s="33" t="n"/>
      <c r="T194" s="33" t="n"/>
      <c r="U194" s="41" t="n"/>
      <c r="V194" s="36" t="n"/>
      <c r="W194" s="37">
        <f>IF(NOT(ISNUMBER($N194)),"",$N194-IF(ISNUMBER($V194),$V194,0))</f>
        <v/>
      </c>
      <c r="X194" s="33" t="n"/>
      <c r="Y194" s="51">
        <f>IF(COUNTA($B194,$C194,$D194,$E194,$F194,$I194)=0,"",IF(IF($B194=""," · Falta fecha","")&amp;IF($D194=""," · Falta cliente","")&amp;IF($E194=""," · Falta canal","")&amp;IF($F194=""," · Falta SKU","")&amp;IF(AND($F194&lt;&gt;"",COUNTIF(tblProductos[SKU],$F194)=0)," · SKU no existe","")&amp;IF(OR($I194="",NOT(ISNUMBER($I194)),$I194&lt;=0)," · Cantidad inválida","")&amp;IF($M194="PRECIO PENDIENTE"," · Falta precio de venta","")&amp;IF($P194="COSTO PENDIENTE"," · Falta costo del producto","")&amp;IF(AND(ISNUMBER($Q194),$Q194&lt;0)," · UTILIDAD NEGATIVA","")&amp;IF(AND($F194&lt;&gt;"",ISNUMBER(INDEX(tblInventario[Stock actual],MATCH($F194,tblInventario[SKU],0))),INDEX(tblInventario[Stock actual],MATCH($F194,tblInventario[SKU],0))&lt;0)," · Stock negativo del SKU","")&amp;IF(AND($T194="Cobrado",$U194="")," · Cobro sin fecha","")&amp;IF(AND(ISNUMBER($V194),ISNUMBER($N194),$V194&gt;N($N194)+0.01)," · Cobrado &gt; venta neta","")&amp;IF(AND(ISNUMBER($V194),$V194&gt;0,$U194="")," · Monto cobrado sin fecha","")="","OK",MID(IF($B194=""," · Falta fecha","")&amp;IF($D194=""," · Falta cliente","")&amp;IF($E194=""," · Falta canal","")&amp;IF($F194=""," · Falta SKU","")&amp;IF(AND($F194&lt;&gt;"",COUNTIF(tblProductos[SKU],$F194)=0)," · SKU no existe","")&amp;IF(OR($I194="",NOT(ISNUMBER($I194)),$I194&lt;=0)," · Cantidad inválida","")&amp;IF($M194="PRECIO PENDIENTE"," · Falta precio de venta","")&amp;IF($P194="COSTO PENDIENTE"," · Falta costo del producto","")&amp;IF(AND(ISNUMBER($Q194),$Q194&lt;0)," · UTILIDAD NEGATIVA","")&amp;IF(AND($F194&lt;&gt;"",ISNUMBER(INDEX(tblInventario[Stock actual],MATCH($F194,tblInventario[SKU],0))),INDEX(tblInventario[Stock actual],MATCH($F194,tblInventario[SKU],0))&lt;0)," · Stock negativo del SKU","")&amp;IF(AND($T194="Cobrado",$U194="")," · Cobro sin fecha","")&amp;IF(AND(ISNUMBER($V194),ISNUMBER($N194),$V194&gt;N($N194)+0.01)," · Cobrado &gt; venta neta","")&amp;IF(AND(ISNUMBER($V194),$V194&gt;0,$U194="")," · Monto cobrado sin fecha",""),4,900)))</f>
        <v/>
      </c>
    </row>
    <row r="195">
      <c r="A195" s="51">
        <f>IF(COUNTA($B195,$C195,$D195,$E195,$F195,$I195)=0,"","V-"&amp;TEXT(ROW()-6,"0000"))</f>
        <v/>
      </c>
      <c r="B195" s="41" t="n"/>
      <c r="C195" s="33" t="n"/>
      <c r="D195" s="33" t="n"/>
      <c r="E195" s="33" t="n"/>
      <c r="F195" s="33" t="n"/>
      <c r="G195" s="51">
        <f>IF($F195="","",IFERROR(IF(INDEX(tblProductos[Nombre del producto],MATCH($F195,tblProductos[SKU],0))="","",INDEX(tblProductos[Nombre del producto],MATCH($F195,tblProductos[SKU],0))),""))</f>
        <v/>
      </c>
      <c r="H195" s="51">
        <f>IF($F195="","",IFERROR(IF(INDEX(tblProductos[Categoría],MATCH($F195,tblProductos[SKU],0))="","",INDEX(tblProductos[Categoría],MATCH($F195,tblProductos[SKU],0))),""))</f>
        <v/>
      </c>
      <c r="I195" s="34" t="n"/>
      <c r="J195" s="39">
        <f>IF(OR($B195="",$F195="",$I195=""),"",IF($T195="Anulado",0,$I195))</f>
        <v/>
      </c>
      <c r="K195" s="54">
        <f>IF($F195="","",IFERROR(IF(INDEX(tblProductos[Precio de venta actual],MATCH($F195,tblProductos[SKU],0))="","",INDEX(tblProductos[Precio de venta actual],MATCH($F195,tblProductos[SKU],0))),""))</f>
        <v/>
      </c>
      <c r="L195" s="36" t="n"/>
      <c r="M195" s="37">
        <f>IF($J195="","",IF(NOT(ISNUMBER($K195)),"PRECIO PENDIENTE",$J195*$K195))</f>
        <v/>
      </c>
      <c r="N195" s="37">
        <f>IF($J195="","",IF(NOT(ISNUMBER($M195)),"PRECIO PENDIENTE",$M195-IF(ISNUMBER($L195),$L195,0)))</f>
        <v/>
      </c>
      <c r="O195" s="54">
        <f>IF($F195="","",IFERROR(INDEX(tblInventario[Costo unitario aplicado],MATCH($F195,tblInventario[SKU],0)),""))</f>
        <v/>
      </c>
      <c r="P195" s="37">
        <f>IF($J195="","",IF(NOT(ISNUMBER($O195)),"COSTO PENDIENTE",$J195*$O195))</f>
        <v/>
      </c>
      <c r="Q195" s="37">
        <f>IF($J195="","",IF(OR(NOT(ISNUMBER($N195)),NOT(ISNUMBER($P195))),"PENDIENTE",$N195-$P195))</f>
        <v/>
      </c>
      <c r="R195" s="38">
        <f>IF($J195="","",IF(OR(NOT(ISNUMBER($Q195)),NOT(ISNUMBER($N195)),$N195&lt;=0),"PENDIENTE",$Q195/$N195))</f>
        <v/>
      </c>
      <c r="S195" s="33" t="n"/>
      <c r="T195" s="33" t="n"/>
      <c r="U195" s="41" t="n"/>
      <c r="V195" s="36" t="n"/>
      <c r="W195" s="37">
        <f>IF(NOT(ISNUMBER($N195)),"",$N195-IF(ISNUMBER($V195),$V195,0))</f>
        <v/>
      </c>
      <c r="X195" s="33" t="n"/>
      <c r="Y195" s="51">
        <f>IF(COUNTA($B195,$C195,$D195,$E195,$F195,$I195)=0,"",IF(IF($B195=""," · Falta fecha","")&amp;IF($D195=""," · Falta cliente","")&amp;IF($E195=""," · Falta canal","")&amp;IF($F195=""," · Falta SKU","")&amp;IF(AND($F195&lt;&gt;"",COUNTIF(tblProductos[SKU],$F195)=0)," · SKU no existe","")&amp;IF(OR($I195="",NOT(ISNUMBER($I195)),$I195&lt;=0)," · Cantidad inválida","")&amp;IF($M195="PRECIO PENDIENTE"," · Falta precio de venta","")&amp;IF($P195="COSTO PENDIENTE"," · Falta costo del producto","")&amp;IF(AND(ISNUMBER($Q195),$Q195&lt;0)," · UTILIDAD NEGATIVA","")&amp;IF(AND($F195&lt;&gt;"",ISNUMBER(INDEX(tblInventario[Stock actual],MATCH($F195,tblInventario[SKU],0))),INDEX(tblInventario[Stock actual],MATCH($F195,tblInventario[SKU],0))&lt;0)," · Stock negativo del SKU","")&amp;IF(AND($T195="Cobrado",$U195="")," · Cobro sin fecha","")&amp;IF(AND(ISNUMBER($V195),ISNUMBER($N195),$V195&gt;N($N195)+0.01)," · Cobrado &gt; venta neta","")&amp;IF(AND(ISNUMBER($V195),$V195&gt;0,$U195="")," · Monto cobrado sin fecha","")="","OK",MID(IF($B195=""," · Falta fecha","")&amp;IF($D195=""," · Falta cliente","")&amp;IF($E195=""," · Falta canal","")&amp;IF($F195=""," · Falta SKU","")&amp;IF(AND($F195&lt;&gt;"",COUNTIF(tblProductos[SKU],$F195)=0)," · SKU no existe","")&amp;IF(OR($I195="",NOT(ISNUMBER($I195)),$I195&lt;=0)," · Cantidad inválida","")&amp;IF($M195="PRECIO PENDIENTE"," · Falta precio de venta","")&amp;IF($P195="COSTO PENDIENTE"," · Falta costo del producto","")&amp;IF(AND(ISNUMBER($Q195),$Q195&lt;0)," · UTILIDAD NEGATIVA","")&amp;IF(AND($F195&lt;&gt;"",ISNUMBER(INDEX(tblInventario[Stock actual],MATCH($F195,tblInventario[SKU],0))),INDEX(tblInventario[Stock actual],MATCH($F195,tblInventario[SKU],0))&lt;0)," · Stock negativo del SKU","")&amp;IF(AND($T195="Cobrado",$U195="")," · Cobro sin fecha","")&amp;IF(AND(ISNUMBER($V195),ISNUMBER($N195),$V195&gt;N($N195)+0.01)," · Cobrado &gt; venta neta","")&amp;IF(AND(ISNUMBER($V195),$V195&gt;0,$U195="")," · Monto cobrado sin fecha",""),4,900)))</f>
        <v/>
      </c>
    </row>
    <row r="196">
      <c r="A196" s="51">
        <f>IF(COUNTA($B196,$C196,$D196,$E196,$F196,$I196)=0,"","V-"&amp;TEXT(ROW()-6,"0000"))</f>
        <v/>
      </c>
      <c r="B196" s="41" t="n"/>
      <c r="C196" s="33" t="n"/>
      <c r="D196" s="33" t="n"/>
      <c r="E196" s="33" t="n"/>
      <c r="F196" s="33" t="n"/>
      <c r="G196" s="51">
        <f>IF($F196="","",IFERROR(IF(INDEX(tblProductos[Nombre del producto],MATCH($F196,tblProductos[SKU],0))="","",INDEX(tblProductos[Nombre del producto],MATCH($F196,tblProductos[SKU],0))),""))</f>
        <v/>
      </c>
      <c r="H196" s="51">
        <f>IF($F196="","",IFERROR(IF(INDEX(tblProductos[Categoría],MATCH($F196,tblProductos[SKU],0))="","",INDEX(tblProductos[Categoría],MATCH($F196,tblProductos[SKU],0))),""))</f>
        <v/>
      </c>
      <c r="I196" s="34" t="n"/>
      <c r="J196" s="39">
        <f>IF(OR($B196="",$F196="",$I196=""),"",IF($T196="Anulado",0,$I196))</f>
        <v/>
      </c>
      <c r="K196" s="54">
        <f>IF($F196="","",IFERROR(IF(INDEX(tblProductos[Precio de venta actual],MATCH($F196,tblProductos[SKU],0))="","",INDEX(tblProductos[Precio de venta actual],MATCH($F196,tblProductos[SKU],0))),""))</f>
        <v/>
      </c>
      <c r="L196" s="36" t="n"/>
      <c r="M196" s="37">
        <f>IF($J196="","",IF(NOT(ISNUMBER($K196)),"PRECIO PENDIENTE",$J196*$K196))</f>
        <v/>
      </c>
      <c r="N196" s="37">
        <f>IF($J196="","",IF(NOT(ISNUMBER($M196)),"PRECIO PENDIENTE",$M196-IF(ISNUMBER($L196),$L196,0)))</f>
        <v/>
      </c>
      <c r="O196" s="54">
        <f>IF($F196="","",IFERROR(INDEX(tblInventario[Costo unitario aplicado],MATCH($F196,tblInventario[SKU],0)),""))</f>
        <v/>
      </c>
      <c r="P196" s="37">
        <f>IF($J196="","",IF(NOT(ISNUMBER($O196)),"COSTO PENDIENTE",$J196*$O196))</f>
        <v/>
      </c>
      <c r="Q196" s="37">
        <f>IF($J196="","",IF(OR(NOT(ISNUMBER($N196)),NOT(ISNUMBER($P196))),"PENDIENTE",$N196-$P196))</f>
        <v/>
      </c>
      <c r="R196" s="38">
        <f>IF($J196="","",IF(OR(NOT(ISNUMBER($Q196)),NOT(ISNUMBER($N196)),$N196&lt;=0),"PENDIENTE",$Q196/$N196))</f>
        <v/>
      </c>
      <c r="S196" s="33" t="n"/>
      <c r="T196" s="33" t="n"/>
      <c r="U196" s="41" t="n"/>
      <c r="V196" s="36" t="n"/>
      <c r="W196" s="37">
        <f>IF(NOT(ISNUMBER($N196)),"",$N196-IF(ISNUMBER($V196),$V196,0))</f>
        <v/>
      </c>
      <c r="X196" s="33" t="n"/>
      <c r="Y196" s="51">
        <f>IF(COUNTA($B196,$C196,$D196,$E196,$F196,$I196)=0,"",IF(IF($B196=""," · Falta fecha","")&amp;IF($D196=""," · Falta cliente","")&amp;IF($E196=""," · Falta canal","")&amp;IF($F196=""," · Falta SKU","")&amp;IF(AND($F196&lt;&gt;"",COUNTIF(tblProductos[SKU],$F196)=0)," · SKU no existe","")&amp;IF(OR($I196="",NOT(ISNUMBER($I196)),$I196&lt;=0)," · Cantidad inválida","")&amp;IF($M196="PRECIO PENDIENTE"," · Falta precio de venta","")&amp;IF($P196="COSTO PENDIENTE"," · Falta costo del producto","")&amp;IF(AND(ISNUMBER($Q196),$Q196&lt;0)," · UTILIDAD NEGATIVA","")&amp;IF(AND($F196&lt;&gt;"",ISNUMBER(INDEX(tblInventario[Stock actual],MATCH($F196,tblInventario[SKU],0))),INDEX(tblInventario[Stock actual],MATCH($F196,tblInventario[SKU],0))&lt;0)," · Stock negativo del SKU","")&amp;IF(AND($T196="Cobrado",$U196="")," · Cobro sin fecha","")&amp;IF(AND(ISNUMBER($V196),ISNUMBER($N196),$V196&gt;N($N196)+0.01)," · Cobrado &gt; venta neta","")&amp;IF(AND(ISNUMBER($V196),$V196&gt;0,$U196="")," · Monto cobrado sin fecha","")="","OK",MID(IF($B196=""," · Falta fecha","")&amp;IF($D196=""," · Falta cliente","")&amp;IF($E196=""," · Falta canal","")&amp;IF($F196=""," · Falta SKU","")&amp;IF(AND($F196&lt;&gt;"",COUNTIF(tblProductos[SKU],$F196)=0)," · SKU no existe","")&amp;IF(OR($I196="",NOT(ISNUMBER($I196)),$I196&lt;=0)," · Cantidad inválida","")&amp;IF($M196="PRECIO PENDIENTE"," · Falta precio de venta","")&amp;IF($P196="COSTO PENDIENTE"," · Falta costo del producto","")&amp;IF(AND(ISNUMBER($Q196),$Q196&lt;0)," · UTILIDAD NEGATIVA","")&amp;IF(AND($F196&lt;&gt;"",ISNUMBER(INDEX(tblInventario[Stock actual],MATCH($F196,tblInventario[SKU],0))),INDEX(tblInventario[Stock actual],MATCH($F196,tblInventario[SKU],0))&lt;0)," · Stock negativo del SKU","")&amp;IF(AND($T196="Cobrado",$U196="")," · Cobro sin fecha","")&amp;IF(AND(ISNUMBER($V196),ISNUMBER($N196),$V196&gt;N($N196)+0.01)," · Cobrado &gt; venta neta","")&amp;IF(AND(ISNUMBER($V196),$V196&gt;0,$U196="")," · Monto cobrado sin fecha",""),4,900)))</f>
        <v/>
      </c>
    </row>
    <row r="197">
      <c r="A197" s="51">
        <f>IF(COUNTA($B197,$C197,$D197,$E197,$F197,$I197)=0,"","V-"&amp;TEXT(ROW()-6,"0000"))</f>
        <v/>
      </c>
      <c r="B197" s="41" t="n"/>
      <c r="C197" s="33" t="n"/>
      <c r="D197" s="33" t="n"/>
      <c r="E197" s="33" t="n"/>
      <c r="F197" s="33" t="n"/>
      <c r="G197" s="51">
        <f>IF($F197="","",IFERROR(IF(INDEX(tblProductos[Nombre del producto],MATCH($F197,tblProductos[SKU],0))="","",INDEX(tblProductos[Nombre del producto],MATCH($F197,tblProductos[SKU],0))),""))</f>
        <v/>
      </c>
      <c r="H197" s="51">
        <f>IF($F197="","",IFERROR(IF(INDEX(tblProductos[Categoría],MATCH($F197,tblProductos[SKU],0))="","",INDEX(tblProductos[Categoría],MATCH($F197,tblProductos[SKU],0))),""))</f>
        <v/>
      </c>
      <c r="I197" s="34" t="n"/>
      <c r="J197" s="39">
        <f>IF(OR($B197="",$F197="",$I197=""),"",IF($T197="Anulado",0,$I197))</f>
        <v/>
      </c>
      <c r="K197" s="54">
        <f>IF($F197="","",IFERROR(IF(INDEX(tblProductos[Precio de venta actual],MATCH($F197,tblProductos[SKU],0))="","",INDEX(tblProductos[Precio de venta actual],MATCH($F197,tblProductos[SKU],0))),""))</f>
        <v/>
      </c>
      <c r="L197" s="36" t="n"/>
      <c r="M197" s="37">
        <f>IF($J197="","",IF(NOT(ISNUMBER($K197)),"PRECIO PENDIENTE",$J197*$K197))</f>
        <v/>
      </c>
      <c r="N197" s="37">
        <f>IF($J197="","",IF(NOT(ISNUMBER($M197)),"PRECIO PENDIENTE",$M197-IF(ISNUMBER($L197),$L197,0)))</f>
        <v/>
      </c>
      <c r="O197" s="54">
        <f>IF($F197="","",IFERROR(INDEX(tblInventario[Costo unitario aplicado],MATCH($F197,tblInventario[SKU],0)),""))</f>
        <v/>
      </c>
      <c r="P197" s="37">
        <f>IF($J197="","",IF(NOT(ISNUMBER($O197)),"COSTO PENDIENTE",$J197*$O197))</f>
        <v/>
      </c>
      <c r="Q197" s="37">
        <f>IF($J197="","",IF(OR(NOT(ISNUMBER($N197)),NOT(ISNUMBER($P197))),"PENDIENTE",$N197-$P197))</f>
        <v/>
      </c>
      <c r="R197" s="38">
        <f>IF($J197="","",IF(OR(NOT(ISNUMBER($Q197)),NOT(ISNUMBER($N197)),$N197&lt;=0),"PENDIENTE",$Q197/$N197))</f>
        <v/>
      </c>
      <c r="S197" s="33" t="n"/>
      <c r="T197" s="33" t="n"/>
      <c r="U197" s="41" t="n"/>
      <c r="V197" s="36" t="n"/>
      <c r="W197" s="37">
        <f>IF(NOT(ISNUMBER($N197)),"",$N197-IF(ISNUMBER($V197),$V197,0))</f>
        <v/>
      </c>
      <c r="X197" s="33" t="n"/>
      <c r="Y197" s="51">
        <f>IF(COUNTA($B197,$C197,$D197,$E197,$F197,$I197)=0,"",IF(IF($B197=""," · Falta fecha","")&amp;IF($D197=""," · Falta cliente","")&amp;IF($E197=""," · Falta canal","")&amp;IF($F197=""," · Falta SKU","")&amp;IF(AND($F197&lt;&gt;"",COUNTIF(tblProductos[SKU],$F197)=0)," · SKU no existe","")&amp;IF(OR($I197="",NOT(ISNUMBER($I197)),$I197&lt;=0)," · Cantidad inválida","")&amp;IF($M197="PRECIO PENDIENTE"," · Falta precio de venta","")&amp;IF($P197="COSTO PENDIENTE"," · Falta costo del producto","")&amp;IF(AND(ISNUMBER($Q197),$Q197&lt;0)," · UTILIDAD NEGATIVA","")&amp;IF(AND($F197&lt;&gt;"",ISNUMBER(INDEX(tblInventario[Stock actual],MATCH($F197,tblInventario[SKU],0))),INDEX(tblInventario[Stock actual],MATCH($F197,tblInventario[SKU],0))&lt;0)," · Stock negativo del SKU","")&amp;IF(AND($T197="Cobrado",$U197="")," · Cobro sin fecha","")&amp;IF(AND(ISNUMBER($V197),ISNUMBER($N197),$V197&gt;N($N197)+0.01)," · Cobrado &gt; venta neta","")&amp;IF(AND(ISNUMBER($V197),$V197&gt;0,$U197="")," · Monto cobrado sin fecha","")="","OK",MID(IF($B197=""," · Falta fecha","")&amp;IF($D197=""," · Falta cliente","")&amp;IF($E197=""," · Falta canal","")&amp;IF($F197=""," · Falta SKU","")&amp;IF(AND($F197&lt;&gt;"",COUNTIF(tblProductos[SKU],$F197)=0)," · SKU no existe","")&amp;IF(OR($I197="",NOT(ISNUMBER($I197)),$I197&lt;=0)," · Cantidad inválida","")&amp;IF($M197="PRECIO PENDIENTE"," · Falta precio de venta","")&amp;IF($P197="COSTO PENDIENTE"," · Falta costo del producto","")&amp;IF(AND(ISNUMBER($Q197),$Q197&lt;0)," · UTILIDAD NEGATIVA","")&amp;IF(AND($F197&lt;&gt;"",ISNUMBER(INDEX(tblInventario[Stock actual],MATCH($F197,tblInventario[SKU],0))),INDEX(tblInventario[Stock actual],MATCH($F197,tblInventario[SKU],0))&lt;0)," · Stock negativo del SKU","")&amp;IF(AND($T197="Cobrado",$U197="")," · Cobro sin fecha","")&amp;IF(AND(ISNUMBER($V197),ISNUMBER($N197),$V197&gt;N($N197)+0.01)," · Cobrado &gt; venta neta","")&amp;IF(AND(ISNUMBER($V197),$V197&gt;0,$U197="")," · Monto cobrado sin fecha",""),4,900)))</f>
        <v/>
      </c>
    </row>
    <row r="198">
      <c r="A198" s="51">
        <f>IF(COUNTA($B198,$C198,$D198,$E198,$F198,$I198)=0,"","V-"&amp;TEXT(ROW()-6,"0000"))</f>
        <v/>
      </c>
      <c r="B198" s="41" t="n"/>
      <c r="C198" s="33" t="n"/>
      <c r="D198" s="33" t="n"/>
      <c r="E198" s="33" t="n"/>
      <c r="F198" s="33" t="n"/>
      <c r="G198" s="51">
        <f>IF($F198="","",IFERROR(IF(INDEX(tblProductos[Nombre del producto],MATCH($F198,tblProductos[SKU],0))="","",INDEX(tblProductos[Nombre del producto],MATCH($F198,tblProductos[SKU],0))),""))</f>
        <v/>
      </c>
      <c r="H198" s="51">
        <f>IF($F198="","",IFERROR(IF(INDEX(tblProductos[Categoría],MATCH($F198,tblProductos[SKU],0))="","",INDEX(tblProductos[Categoría],MATCH($F198,tblProductos[SKU],0))),""))</f>
        <v/>
      </c>
      <c r="I198" s="34" t="n"/>
      <c r="J198" s="39">
        <f>IF(OR($B198="",$F198="",$I198=""),"",IF($T198="Anulado",0,$I198))</f>
        <v/>
      </c>
      <c r="K198" s="54">
        <f>IF($F198="","",IFERROR(IF(INDEX(tblProductos[Precio de venta actual],MATCH($F198,tblProductos[SKU],0))="","",INDEX(tblProductos[Precio de venta actual],MATCH($F198,tblProductos[SKU],0))),""))</f>
        <v/>
      </c>
      <c r="L198" s="36" t="n"/>
      <c r="M198" s="37">
        <f>IF($J198="","",IF(NOT(ISNUMBER($K198)),"PRECIO PENDIENTE",$J198*$K198))</f>
        <v/>
      </c>
      <c r="N198" s="37">
        <f>IF($J198="","",IF(NOT(ISNUMBER($M198)),"PRECIO PENDIENTE",$M198-IF(ISNUMBER($L198),$L198,0)))</f>
        <v/>
      </c>
      <c r="O198" s="54">
        <f>IF($F198="","",IFERROR(INDEX(tblInventario[Costo unitario aplicado],MATCH($F198,tblInventario[SKU],0)),""))</f>
        <v/>
      </c>
      <c r="P198" s="37">
        <f>IF($J198="","",IF(NOT(ISNUMBER($O198)),"COSTO PENDIENTE",$J198*$O198))</f>
        <v/>
      </c>
      <c r="Q198" s="37">
        <f>IF($J198="","",IF(OR(NOT(ISNUMBER($N198)),NOT(ISNUMBER($P198))),"PENDIENTE",$N198-$P198))</f>
        <v/>
      </c>
      <c r="R198" s="38">
        <f>IF($J198="","",IF(OR(NOT(ISNUMBER($Q198)),NOT(ISNUMBER($N198)),$N198&lt;=0),"PENDIENTE",$Q198/$N198))</f>
        <v/>
      </c>
      <c r="S198" s="33" t="n"/>
      <c r="T198" s="33" t="n"/>
      <c r="U198" s="41" t="n"/>
      <c r="V198" s="36" t="n"/>
      <c r="W198" s="37">
        <f>IF(NOT(ISNUMBER($N198)),"",$N198-IF(ISNUMBER($V198),$V198,0))</f>
        <v/>
      </c>
      <c r="X198" s="33" t="n"/>
      <c r="Y198" s="51">
        <f>IF(COUNTA($B198,$C198,$D198,$E198,$F198,$I198)=0,"",IF(IF($B198=""," · Falta fecha","")&amp;IF($D198=""," · Falta cliente","")&amp;IF($E198=""," · Falta canal","")&amp;IF($F198=""," · Falta SKU","")&amp;IF(AND($F198&lt;&gt;"",COUNTIF(tblProductos[SKU],$F198)=0)," · SKU no existe","")&amp;IF(OR($I198="",NOT(ISNUMBER($I198)),$I198&lt;=0)," · Cantidad inválida","")&amp;IF($M198="PRECIO PENDIENTE"," · Falta precio de venta","")&amp;IF($P198="COSTO PENDIENTE"," · Falta costo del producto","")&amp;IF(AND(ISNUMBER($Q198),$Q198&lt;0)," · UTILIDAD NEGATIVA","")&amp;IF(AND($F198&lt;&gt;"",ISNUMBER(INDEX(tblInventario[Stock actual],MATCH($F198,tblInventario[SKU],0))),INDEX(tblInventario[Stock actual],MATCH($F198,tblInventario[SKU],0))&lt;0)," · Stock negativo del SKU","")&amp;IF(AND($T198="Cobrado",$U198="")," · Cobro sin fecha","")&amp;IF(AND(ISNUMBER($V198),ISNUMBER($N198),$V198&gt;N($N198)+0.01)," · Cobrado &gt; venta neta","")&amp;IF(AND(ISNUMBER($V198),$V198&gt;0,$U198="")," · Monto cobrado sin fecha","")="","OK",MID(IF($B198=""," · Falta fecha","")&amp;IF($D198=""," · Falta cliente","")&amp;IF($E198=""," · Falta canal","")&amp;IF($F198=""," · Falta SKU","")&amp;IF(AND($F198&lt;&gt;"",COUNTIF(tblProductos[SKU],$F198)=0)," · SKU no existe","")&amp;IF(OR($I198="",NOT(ISNUMBER($I198)),$I198&lt;=0)," · Cantidad inválida","")&amp;IF($M198="PRECIO PENDIENTE"," · Falta precio de venta","")&amp;IF($P198="COSTO PENDIENTE"," · Falta costo del producto","")&amp;IF(AND(ISNUMBER($Q198),$Q198&lt;0)," · UTILIDAD NEGATIVA","")&amp;IF(AND($F198&lt;&gt;"",ISNUMBER(INDEX(tblInventario[Stock actual],MATCH($F198,tblInventario[SKU],0))),INDEX(tblInventario[Stock actual],MATCH($F198,tblInventario[SKU],0))&lt;0)," · Stock negativo del SKU","")&amp;IF(AND($T198="Cobrado",$U198="")," · Cobro sin fecha","")&amp;IF(AND(ISNUMBER($V198),ISNUMBER($N198),$V198&gt;N($N198)+0.01)," · Cobrado &gt; venta neta","")&amp;IF(AND(ISNUMBER($V198),$V198&gt;0,$U198="")," · Monto cobrado sin fecha",""),4,900)))</f>
        <v/>
      </c>
    </row>
    <row r="199">
      <c r="A199" s="51">
        <f>IF(COUNTA($B199,$C199,$D199,$E199,$F199,$I199)=0,"","V-"&amp;TEXT(ROW()-6,"0000"))</f>
        <v/>
      </c>
      <c r="B199" s="41" t="n"/>
      <c r="C199" s="33" t="n"/>
      <c r="D199" s="33" t="n"/>
      <c r="E199" s="33" t="n"/>
      <c r="F199" s="33" t="n"/>
      <c r="G199" s="51">
        <f>IF($F199="","",IFERROR(IF(INDEX(tblProductos[Nombre del producto],MATCH($F199,tblProductos[SKU],0))="","",INDEX(tblProductos[Nombre del producto],MATCH($F199,tblProductos[SKU],0))),""))</f>
        <v/>
      </c>
      <c r="H199" s="51">
        <f>IF($F199="","",IFERROR(IF(INDEX(tblProductos[Categoría],MATCH($F199,tblProductos[SKU],0))="","",INDEX(tblProductos[Categoría],MATCH($F199,tblProductos[SKU],0))),""))</f>
        <v/>
      </c>
      <c r="I199" s="34" t="n"/>
      <c r="J199" s="39">
        <f>IF(OR($B199="",$F199="",$I199=""),"",IF($T199="Anulado",0,$I199))</f>
        <v/>
      </c>
      <c r="K199" s="54">
        <f>IF($F199="","",IFERROR(IF(INDEX(tblProductos[Precio de venta actual],MATCH($F199,tblProductos[SKU],0))="","",INDEX(tblProductos[Precio de venta actual],MATCH($F199,tblProductos[SKU],0))),""))</f>
        <v/>
      </c>
      <c r="L199" s="36" t="n"/>
      <c r="M199" s="37">
        <f>IF($J199="","",IF(NOT(ISNUMBER($K199)),"PRECIO PENDIENTE",$J199*$K199))</f>
        <v/>
      </c>
      <c r="N199" s="37">
        <f>IF($J199="","",IF(NOT(ISNUMBER($M199)),"PRECIO PENDIENTE",$M199-IF(ISNUMBER($L199),$L199,0)))</f>
        <v/>
      </c>
      <c r="O199" s="54">
        <f>IF($F199="","",IFERROR(INDEX(tblInventario[Costo unitario aplicado],MATCH($F199,tblInventario[SKU],0)),""))</f>
        <v/>
      </c>
      <c r="P199" s="37">
        <f>IF($J199="","",IF(NOT(ISNUMBER($O199)),"COSTO PENDIENTE",$J199*$O199))</f>
        <v/>
      </c>
      <c r="Q199" s="37">
        <f>IF($J199="","",IF(OR(NOT(ISNUMBER($N199)),NOT(ISNUMBER($P199))),"PENDIENTE",$N199-$P199))</f>
        <v/>
      </c>
      <c r="R199" s="38">
        <f>IF($J199="","",IF(OR(NOT(ISNUMBER($Q199)),NOT(ISNUMBER($N199)),$N199&lt;=0),"PENDIENTE",$Q199/$N199))</f>
        <v/>
      </c>
      <c r="S199" s="33" t="n"/>
      <c r="T199" s="33" t="n"/>
      <c r="U199" s="41" t="n"/>
      <c r="V199" s="36" t="n"/>
      <c r="W199" s="37">
        <f>IF(NOT(ISNUMBER($N199)),"",$N199-IF(ISNUMBER($V199),$V199,0))</f>
        <v/>
      </c>
      <c r="X199" s="33" t="n"/>
      <c r="Y199" s="51">
        <f>IF(COUNTA($B199,$C199,$D199,$E199,$F199,$I199)=0,"",IF(IF($B199=""," · Falta fecha","")&amp;IF($D199=""," · Falta cliente","")&amp;IF($E199=""," · Falta canal","")&amp;IF($F199=""," · Falta SKU","")&amp;IF(AND($F199&lt;&gt;"",COUNTIF(tblProductos[SKU],$F199)=0)," · SKU no existe","")&amp;IF(OR($I199="",NOT(ISNUMBER($I199)),$I199&lt;=0)," · Cantidad inválida","")&amp;IF($M199="PRECIO PENDIENTE"," · Falta precio de venta","")&amp;IF($P199="COSTO PENDIENTE"," · Falta costo del producto","")&amp;IF(AND(ISNUMBER($Q199),$Q199&lt;0)," · UTILIDAD NEGATIVA","")&amp;IF(AND($F199&lt;&gt;"",ISNUMBER(INDEX(tblInventario[Stock actual],MATCH($F199,tblInventario[SKU],0))),INDEX(tblInventario[Stock actual],MATCH($F199,tblInventario[SKU],0))&lt;0)," · Stock negativo del SKU","")&amp;IF(AND($T199="Cobrado",$U199="")," · Cobro sin fecha","")&amp;IF(AND(ISNUMBER($V199),ISNUMBER($N199),$V199&gt;N($N199)+0.01)," · Cobrado &gt; venta neta","")&amp;IF(AND(ISNUMBER($V199),$V199&gt;0,$U199="")," · Monto cobrado sin fecha","")="","OK",MID(IF($B199=""," · Falta fecha","")&amp;IF($D199=""," · Falta cliente","")&amp;IF($E199=""," · Falta canal","")&amp;IF($F199=""," · Falta SKU","")&amp;IF(AND($F199&lt;&gt;"",COUNTIF(tblProductos[SKU],$F199)=0)," · SKU no existe","")&amp;IF(OR($I199="",NOT(ISNUMBER($I199)),$I199&lt;=0)," · Cantidad inválida","")&amp;IF($M199="PRECIO PENDIENTE"," · Falta precio de venta","")&amp;IF($P199="COSTO PENDIENTE"," · Falta costo del producto","")&amp;IF(AND(ISNUMBER($Q199),$Q199&lt;0)," · UTILIDAD NEGATIVA","")&amp;IF(AND($F199&lt;&gt;"",ISNUMBER(INDEX(tblInventario[Stock actual],MATCH($F199,tblInventario[SKU],0))),INDEX(tblInventario[Stock actual],MATCH($F199,tblInventario[SKU],0))&lt;0)," · Stock negativo del SKU","")&amp;IF(AND($T199="Cobrado",$U199="")," · Cobro sin fecha","")&amp;IF(AND(ISNUMBER($V199),ISNUMBER($N199),$V199&gt;N($N199)+0.01)," · Cobrado &gt; venta neta","")&amp;IF(AND(ISNUMBER($V199),$V199&gt;0,$U199="")," · Monto cobrado sin fecha",""),4,900)))</f>
        <v/>
      </c>
    </row>
    <row r="200">
      <c r="A200" s="51">
        <f>IF(COUNTA($B200,$C200,$D200,$E200,$F200,$I200)=0,"","V-"&amp;TEXT(ROW()-6,"0000"))</f>
        <v/>
      </c>
      <c r="B200" s="41" t="n"/>
      <c r="C200" s="33" t="n"/>
      <c r="D200" s="33" t="n"/>
      <c r="E200" s="33" t="n"/>
      <c r="F200" s="33" t="n"/>
      <c r="G200" s="51">
        <f>IF($F200="","",IFERROR(IF(INDEX(tblProductos[Nombre del producto],MATCH($F200,tblProductos[SKU],0))="","",INDEX(tblProductos[Nombre del producto],MATCH($F200,tblProductos[SKU],0))),""))</f>
        <v/>
      </c>
      <c r="H200" s="51">
        <f>IF($F200="","",IFERROR(IF(INDEX(tblProductos[Categoría],MATCH($F200,tblProductos[SKU],0))="","",INDEX(tblProductos[Categoría],MATCH($F200,tblProductos[SKU],0))),""))</f>
        <v/>
      </c>
      <c r="I200" s="34" t="n"/>
      <c r="J200" s="39">
        <f>IF(OR($B200="",$F200="",$I200=""),"",IF($T200="Anulado",0,$I200))</f>
        <v/>
      </c>
      <c r="K200" s="54">
        <f>IF($F200="","",IFERROR(IF(INDEX(tblProductos[Precio de venta actual],MATCH($F200,tblProductos[SKU],0))="","",INDEX(tblProductos[Precio de venta actual],MATCH($F200,tblProductos[SKU],0))),""))</f>
        <v/>
      </c>
      <c r="L200" s="36" t="n"/>
      <c r="M200" s="37">
        <f>IF($J200="","",IF(NOT(ISNUMBER($K200)),"PRECIO PENDIENTE",$J200*$K200))</f>
        <v/>
      </c>
      <c r="N200" s="37">
        <f>IF($J200="","",IF(NOT(ISNUMBER($M200)),"PRECIO PENDIENTE",$M200-IF(ISNUMBER($L200),$L200,0)))</f>
        <v/>
      </c>
      <c r="O200" s="54">
        <f>IF($F200="","",IFERROR(INDEX(tblInventario[Costo unitario aplicado],MATCH($F200,tblInventario[SKU],0)),""))</f>
        <v/>
      </c>
      <c r="P200" s="37">
        <f>IF($J200="","",IF(NOT(ISNUMBER($O200)),"COSTO PENDIENTE",$J200*$O200))</f>
        <v/>
      </c>
      <c r="Q200" s="37">
        <f>IF($J200="","",IF(OR(NOT(ISNUMBER($N200)),NOT(ISNUMBER($P200))),"PENDIENTE",$N200-$P200))</f>
        <v/>
      </c>
      <c r="R200" s="38">
        <f>IF($J200="","",IF(OR(NOT(ISNUMBER($Q200)),NOT(ISNUMBER($N200)),$N200&lt;=0),"PENDIENTE",$Q200/$N200))</f>
        <v/>
      </c>
      <c r="S200" s="33" t="n"/>
      <c r="T200" s="33" t="n"/>
      <c r="U200" s="41" t="n"/>
      <c r="V200" s="36" t="n"/>
      <c r="W200" s="37">
        <f>IF(NOT(ISNUMBER($N200)),"",$N200-IF(ISNUMBER($V200),$V200,0))</f>
        <v/>
      </c>
      <c r="X200" s="33" t="n"/>
      <c r="Y200" s="51">
        <f>IF(COUNTA($B200,$C200,$D200,$E200,$F200,$I200)=0,"",IF(IF($B200=""," · Falta fecha","")&amp;IF($D200=""," · Falta cliente","")&amp;IF($E200=""," · Falta canal","")&amp;IF($F200=""," · Falta SKU","")&amp;IF(AND($F200&lt;&gt;"",COUNTIF(tblProductos[SKU],$F200)=0)," · SKU no existe","")&amp;IF(OR($I200="",NOT(ISNUMBER($I200)),$I200&lt;=0)," · Cantidad inválida","")&amp;IF($M200="PRECIO PENDIENTE"," · Falta precio de venta","")&amp;IF($P200="COSTO PENDIENTE"," · Falta costo del producto","")&amp;IF(AND(ISNUMBER($Q200),$Q200&lt;0)," · UTILIDAD NEGATIVA","")&amp;IF(AND($F200&lt;&gt;"",ISNUMBER(INDEX(tblInventario[Stock actual],MATCH($F200,tblInventario[SKU],0))),INDEX(tblInventario[Stock actual],MATCH($F200,tblInventario[SKU],0))&lt;0)," · Stock negativo del SKU","")&amp;IF(AND($T200="Cobrado",$U200="")," · Cobro sin fecha","")&amp;IF(AND(ISNUMBER($V200),ISNUMBER($N200),$V200&gt;N($N200)+0.01)," · Cobrado &gt; venta neta","")&amp;IF(AND(ISNUMBER($V200),$V200&gt;0,$U200="")," · Monto cobrado sin fecha","")="","OK",MID(IF($B200=""," · Falta fecha","")&amp;IF($D200=""," · Falta cliente","")&amp;IF($E200=""," · Falta canal","")&amp;IF($F200=""," · Falta SKU","")&amp;IF(AND($F200&lt;&gt;"",COUNTIF(tblProductos[SKU],$F200)=0)," · SKU no existe","")&amp;IF(OR($I200="",NOT(ISNUMBER($I200)),$I200&lt;=0)," · Cantidad inválida","")&amp;IF($M200="PRECIO PENDIENTE"," · Falta precio de venta","")&amp;IF($P200="COSTO PENDIENTE"," · Falta costo del producto","")&amp;IF(AND(ISNUMBER($Q200),$Q200&lt;0)," · UTILIDAD NEGATIVA","")&amp;IF(AND($F200&lt;&gt;"",ISNUMBER(INDEX(tblInventario[Stock actual],MATCH($F200,tblInventario[SKU],0))),INDEX(tblInventario[Stock actual],MATCH($F200,tblInventario[SKU],0))&lt;0)," · Stock negativo del SKU","")&amp;IF(AND($T200="Cobrado",$U200="")," · Cobro sin fecha","")&amp;IF(AND(ISNUMBER($V200),ISNUMBER($N200),$V200&gt;N($N200)+0.01)," · Cobrado &gt; venta neta","")&amp;IF(AND(ISNUMBER($V200),$V200&gt;0,$U200="")," · Monto cobrado sin fecha",""),4,900)))</f>
        <v/>
      </c>
    </row>
    <row r="201">
      <c r="A201" s="51">
        <f>IF(COUNTA($B201,$C201,$D201,$E201,$F201,$I201)=0,"","V-"&amp;TEXT(ROW()-6,"0000"))</f>
        <v/>
      </c>
      <c r="B201" s="41" t="n"/>
      <c r="C201" s="33" t="n"/>
      <c r="D201" s="33" t="n"/>
      <c r="E201" s="33" t="n"/>
      <c r="F201" s="33" t="n"/>
      <c r="G201" s="51">
        <f>IF($F201="","",IFERROR(IF(INDEX(tblProductos[Nombre del producto],MATCH($F201,tblProductos[SKU],0))="","",INDEX(tblProductos[Nombre del producto],MATCH($F201,tblProductos[SKU],0))),""))</f>
        <v/>
      </c>
      <c r="H201" s="51">
        <f>IF($F201="","",IFERROR(IF(INDEX(tblProductos[Categoría],MATCH($F201,tblProductos[SKU],0))="","",INDEX(tblProductos[Categoría],MATCH($F201,tblProductos[SKU],0))),""))</f>
        <v/>
      </c>
      <c r="I201" s="34" t="n"/>
      <c r="J201" s="39">
        <f>IF(OR($B201="",$F201="",$I201=""),"",IF($T201="Anulado",0,$I201))</f>
        <v/>
      </c>
      <c r="K201" s="54">
        <f>IF($F201="","",IFERROR(IF(INDEX(tblProductos[Precio de venta actual],MATCH($F201,tblProductos[SKU],0))="","",INDEX(tblProductos[Precio de venta actual],MATCH($F201,tblProductos[SKU],0))),""))</f>
        <v/>
      </c>
      <c r="L201" s="36" t="n"/>
      <c r="M201" s="37">
        <f>IF($J201="","",IF(NOT(ISNUMBER($K201)),"PRECIO PENDIENTE",$J201*$K201))</f>
        <v/>
      </c>
      <c r="N201" s="37">
        <f>IF($J201="","",IF(NOT(ISNUMBER($M201)),"PRECIO PENDIENTE",$M201-IF(ISNUMBER($L201),$L201,0)))</f>
        <v/>
      </c>
      <c r="O201" s="54">
        <f>IF($F201="","",IFERROR(INDEX(tblInventario[Costo unitario aplicado],MATCH($F201,tblInventario[SKU],0)),""))</f>
        <v/>
      </c>
      <c r="P201" s="37">
        <f>IF($J201="","",IF(NOT(ISNUMBER($O201)),"COSTO PENDIENTE",$J201*$O201))</f>
        <v/>
      </c>
      <c r="Q201" s="37">
        <f>IF($J201="","",IF(OR(NOT(ISNUMBER($N201)),NOT(ISNUMBER($P201))),"PENDIENTE",$N201-$P201))</f>
        <v/>
      </c>
      <c r="R201" s="38">
        <f>IF($J201="","",IF(OR(NOT(ISNUMBER($Q201)),NOT(ISNUMBER($N201)),$N201&lt;=0),"PENDIENTE",$Q201/$N201))</f>
        <v/>
      </c>
      <c r="S201" s="33" t="n"/>
      <c r="T201" s="33" t="n"/>
      <c r="U201" s="41" t="n"/>
      <c r="V201" s="36" t="n"/>
      <c r="W201" s="37">
        <f>IF(NOT(ISNUMBER($N201)),"",$N201-IF(ISNUMBER($V201),$V201,0))</f>
        <v/>
      </c>
      <c r="X201" s="33" t="n"/>
      <c r="Y201" s="51">
        <f>IF(COUNTA($B201,$C201,$D201,$E201,$F201,$I201)=0,"",IF(IF($B201=""," · Falta fecha","")&amp;IF($D201=""," · Falta cliente","")&amp;IF($E201=""," · Falta canal","")&amp;IF($F201=""," · Falta SKU","")&amp;IF(AND($F201&lt;&gt;"",COUNTIF(tblProductos[SKU],$F201)=0)," · SKU no existe","")&amp;IF(OR($I201="",NOT(ISNUMBER($I201)),$I201&lt;=0)," · Cantidad inválida","")&amp;IF($M201="PRECIO PENDIENTE"," · Falta precio de venta","")&amp;IF($P201="COSTO PENDIENTE"," · Falta costo del producto","")&amp;IF(AND(ISNUMBER($Q201),$Q201&lt;0)," · UTILIDAD NEGATIVA","")&amp;IF(AND($F201&lt;&gt;"",ISNUMBER(INDEX(tblInventario[Stock actual],MATCH($F201,tblInventario[SKU],0))),INDEX(tblInventario[Stock actual],MATCH($F201,tblInventario[SKU],0))&lt;0)," · Stock negativo del SKU","")&amp;IF(AND($T201="Cobrado",$U201="")," · Cobro sin fecha","")&amp;IF(AND(ISNUMBER($V201),ISNUMBER($N201),$V201&gt;N($N201)+0.01)," · Cobrado &gt; venta neta","")&amp;IF(AND(ISNUMBER($V201),$V201&gt;0,$U201="")," · Monto cobrado sin fecha","")="","OK",MID(IF($B201=""," · Falta fecha","")&amp;IF($D201=""," · Falta cliente","")&amp;IF($E201=""," · Falta canal","")&amp;IF($F201=""," · Falta SKU","")&amp;IF(AND($F201&lt;&gt;"",COUNTIF(tblProductos[SKU],$F201)=0)," · SKU no existe","")&amp;IF(OR($I201="",NOT(ISNUMBER($I201)),$I201&lt;=0)," · Cantidad inválida","")&amp;IF($M201="PRECIO PENDIENTE"," · Falta precio de venta","")&amp;IF($P201="COSTO PENDIENTE"," · Falta costo del producto","")&amp;IF(AND(ISNUMBER($Q201),$Q201&lt;0)," · UTILIDAD NEGATIVA","")&amp;IF(AND($F201&lt;&gt;"",ISNUMBER(INDEX(tblInventario[Stock actual],MATCH($F201,tblInventario[SKU],0))),INDEX(tblInventario[Stock actual],MATCH($F201,tblInventario[SKU],0))&lt;0)," · Stock negativo del SKU","")&amp;IF(AND($T201="Cobrado",$U201="")," · Cobro sin fecha","")&amp;IF(AND(ISNUMBER($V201),ISNUMBER($N201),$V201&gt;N($N201)+0.01)," · Cobrado &gt; venta neta","")&amp;IF(AND(ISNUMBER($V201),$V201&gt;0,$U201="")," · Monto cobrado sin fecha",""),4,900)))</f>
        <v/>
      </c>
    </row>
    <row r="202">
      <c r="A202" s="51">
        <f>IF(COUNTA($B202,$C202,$D202,$E202,$F202,$I202)=0,"","V-"&amp;TEXT(ROW()-6,"0000"))</f>
        <v/>
      </c>
      <c r="B202" s="41" t="n"/>
      <c r="C202" s="33" t="n"/>
      <c r="D202" s="33" t="n"/>
      <c r="E202" s="33" t="n"/>
      <c r="F202" s="33" t="n"/>
      <c r="G202" s="51">
        <f>IF($F202="","",IFERROR(IF(INDEX(tblProductos[Nombre del producto],MATCH($F202,tblProductos[SKU],0))="","",INDEX(tblProductos[Nombre del producto],MATCH($F202,tblProductos[SKU],0))),""))</f>
        <v/>
      </c>
      <c r="H202" s="51">
        <f>IF($F202="","",IFERROR(IF(INDEX(tblProductos[Categoría],MATCH($F202,tblProductos[SKU],0))="","",INDEX(tblProductos[Categoría],MATCH($F202,tblProductos[SKU],0))),""))</f>
        <v/>
      </c>
      <c r="I202" s="34" t="n"/>
      <c r="J202" s="39">
        <f>IF(OR($B202="",$F202="",$I202=""),"",IF($T202="Anulado",0,$I202))</f>
        <v/>
      </c>
      <c r="K202" s="54">
        <f>IF($F202="","",IFERROR(IF(INDEX(tblProductos[Precio de venta actual],MATCH($F202,tblProductos[SKU],0))="","",INDEX(tblProductos[Precio de venta actual],MATCH($F202,tblProductos[SKU],0))),""))</f>
        <v/>
      </c>
      <c r="L202" s="36" t="n"/>
      <c r="M202" s="37">
        <f>IF($J202="","",IF(NOT(ISNUMBER($K202)),"PRECIO PENDIENTE",$J202*$K202))</f>
        <v/>
      </c>
      <c r="N202" s="37">
        <f>IF($J202="","",IF(NOT(ISNUMBER($M202)),"PRECIO PENDIENTE",$M202-IF(ISNUMBER($L202),$L202,0)))</f>
        <v/>
      </c>
      <c r="O202" s="54">
        <f>IF($F202="","",IFERROR(INDEX(tblInventario[Costo unitario aplicado],MATCH($F202,tblInventario[SKU],0)),""))</f>
        <v/>
      </c>
      <c r="P202" s="37">
        <f>IF($J202="","",IF(NOT(ISNUMBER($O202)),"COSTO PENDIENTE",$J202*$O202))</f>
        <v/>
      </c>
      <c r="Q202" s="37">
        <f>IF($J202="","",IF(OR(NOT(ISNUMBER($N202)),NOT(ISNUMBER($P202))),"PENDIENTE",$N202-$P202))</f>
        <v/>
      </c>
      <c r="R202" s="38">
        <f>IF($J202="","",IF(OR(NOT(ISNUMBER($Q202)),NOT(ISNUMBER($N202)),$N202&lt;=0),"PENDIENTE",$Q202/$N202))</f>
        <v/>
      </c>
      <c r="S202" s="33" t="n"/>
      <c r="T202" s="33" t="n"/>
      <c r="U202" s="41" t="n"/>
      <c r="V202" s="36" t="n"/>
      <c r="W202" s="37">
        <f>IF(NOT(ISNUMBER($N202)),"",$N202-IF(ISNUMBER($V202),$V202,0))</f>
        <v/>
      </c>
      <c r="X202" s="33" t="n"/>
      <c r="Y202" s="51">
        <f>IF(COUNTA($B202,$C202,$D202,$E202,$F202,$I202)=0,"",IF(IF($B202=""," · Falta fecha","")&amp;IF($D202=""," · Falta cliente","")&amp;IF($E202=""," · Falta canal","")&amp;IF($F202=""," · Falta SKU","")&amp;IF(AND($F202&lt;&gt;"",COUNTIF(tblProductos[SKU],$F202)=0)," · SKU no existe","")&amp;IF(OR($I202="",NOT(ISNUMBER($I202)),$I202&lt;=0)," · Cantidad inválida","")&amp;IF($M202="PRECIO PENDIENTE"," · Falta precio de venta","")&amp;IF($P202="COSTO PENDIENTE"," · Falta costo del producto","")&amp;IF(AND(ISNUMBER($Q202),$Q202&lt;0)," · UTILIDAD NEGATIVA","")&amp;IF(AND($F202&lt;&gt;"",ISNUMBER(INDEX(tblInventario[Stock actual],MATCH($F202,tblInventario[SKU],0))),INDEX(tblInventario[Stock actual],MATCH($F202,tblInventario[SKU],0))&lt;0)," · Stock negativo del SKU","")&amp;IF(AND($T202="Cobrado",$U202="")," · Cobro sin fecha","")&amp;IF(AND(ISNUMBER($V202),ISNUMBER($N202),$V202&gt;N($N202)+0.01)," · Cobrado &gt; venta neta","")&amp;IF(AND(ISNUMBER($V202),$V202&gt;0,$U202="")," · Monto cobrado sin fecha","")="","OK",MID(IF($B202=""," · Falta fecha","")&amp;IF($D202=""," · Falta cliente","")&amp;IF($E202=""," · Falta canal","")&amp;IF($F202=""," · Falta SKU","")&amp;IF(AND($F202&lt;&gt;"",COUNTIF(tblProductos[SKU],$F202)=0)," · SKU no existe","")&amp;IF(OR($I202="",NOT(ISNUMBER($I202)),$I202&lt;=0)," · Cantidad inválida","")&amp;IF($M202="PRECIO PENDIENTE"," · Falta precio de venta","")&amp;IF($P202="COSTO PENDIENTE"," · Falta costo del producto","")&amp;IF(AND(ISNUMBER($Q202),$Q202&lt;0)," · UTILIDAD NEGATIVA","")&amp;IF(AND($F202&lt;&gt;"",ISNUMBER(INDEX(tblInventario[Stock actual],MATCH($F202,tblInventario[SKU],0))),INDEX(tblInventario[Stock actual],MATCH($F202,tblInventario[SKU],0))&lt;0)," · Stock negativo del SKU","")&amp;IF(AND($T202="Cobrado",$U202="")," · Cobro sin fecha","")&amp;IF(AND(ISNUMBER($V202),ISNUMBER($N202),$V202&gt;N($N202)+0.01)," · Cobrado &gt; venta neta","")&amp;IF(AND(ISNUMBER($V202),$V202&gt;0,$U202="")," · Monto cobrado sin fecha",""),4,900)))</f>
        <v/>
      </c>
    </row>
    <row r="203">
      <c r="A203" s="51">
        <f>IF(COUNTA($B203,$C203,$D203,$E203,$F203,$I203)=0,"","V-"&amp;TEXT(ROW()-6,"0000"))</f>
        <v/>
      </c>
      <c r="B203" s="41" t="n"/>
      <c r="C203" s="33" t="n"/>
      <c r="D203" s="33" t="n"/>
      <c r="E203" s="33" t="n"/>
      <c r="F203" s="33" t="n"/>
      <c r="G203" s="51">
        <f>IF($F203="","",IFERROR(IF(INDEX(tblProductos[Nombre del producto],MATCH($F203,tblProductos[SKU],0))="","",INDEX(tblProductos[Nombre del producto],MATCH($F203,tblProductos[SKU],0))),""))</f>
        <v/>
      </c>
      <c r="H203" s="51">
        <f>IF($F203="","",IFERROR(IF(INDEX(tblProductos[Categoría],MATCH($F203,tblProductos[SKU],0))="","",INDEX(tblProductos[Categoría],MATCH($F203,tblProductos[SKU],0))),""))</f>
        <v/>
      </c>
      <c r="I203" s="34" t="n"/>
      <c r="J203" s="39">
        <f>IF(OR($B203="",$F203="",$I203=""),"",IF($T203="Anulado",0,$I203))</f>
        <v/>
      </c>
      <c r="K203" s="54">
        <f>IF($F203="","",IFERROR(IF(INDEX(tblProductos[Precio de venta actual],MATCH($F203,tblProductos[SKU],0))="","",INDEX(tblProductos[Precio de venta actual],MATCH($F203,tblProductos[SKU],0))),""))</f>
        <v/>
      </c>
      <c r="L203" s="36" t="n"/>
      <c r="M203" s="37">
        <f>IF($J203="","",IF(NOT(ISNUMBER($K203)),"PRECIO PENDIENTE",$J203*$K203))</f>
        <v/>
      </c>
      <c r="N203" s="37">
        <f>IF($J203="","",IF(NOT(ISNUMBER($M203)),"PRECIO PENDIENTE",$M203-IF(ISNUMBER($L203),$L203,0)))</f>
        <v/>
      </c>
      <c r="O203" s="54">
        <f>IF($F203="","",IFERROR(INDEX(tblInventario[Costo unitario aplicado],MATCH($F203,tblInventario[SKU],0)),""))</f>
        <v/>
      </c>
      <c r="P203" s="37">
        <f>IF($J203="","",IF(NOT(ISNUMBER($O203)),"COSTO PENDIENTE",$J203*$O203))</f>
        <v/>
      </c>
      <c r="Q203" s="37">
        <f>IF($J203="","",IF(OR(NOT(ISNUMBER($N203)),NOT(ISNUMBER($P203))),"PENDIENTE",$N203-$P203))</f>
        <v/>
      </c>
      <c r="R203" s="38">
        <f>IF($J203="","",IF(OR(NOT(ISNUMBER($Q203)),NOT(ISNUMBER($N203)),$N203&lt;=0),"PENDIENTE",$Q203/$N203))</f>
        <v/>
      </c>
      <c r="S203" s="33" t="n"/>
      <c r="T203" s="33" t="n"/>
      <c r="U203" s="41" t="n"/>
      <c r="V203" s="36" t="n"/>
      <c r="W203" s="37">
        <f>IF(NOT(ISNUMBER($N203)),"",$N203-IF(ISNUMBER($V203),$V203,0))</f>
        <v/>
      </c>
      <c r="X203" s="33" t="n"/>
      <c r="Y203" s="51">
        <f>IF(COUNTA($B203,$C203,$D203,$E203,$F203,$I203)=0,"",IF(IF($B203=""," · Falta fecha","")&amp;IF($D203=""," · Falta cliente","")&amp;IF($E203=""," · Falta canal","")&amp;IF($F203=""," · Falta SKU","")&amp;IF(AND($F203&lt;&gt;"",COUNTIF(tblProductos[SKU],$F203)=0)," · SKU no existe","")&amp;IF(OR($I203="",NOT(ISNUMBER($I203)),$I203&lt;=0)," · Cantidad inválida","")&amp;IF($M203="PRECIO PENDIENTE"," · Falta precio de venta","")&amp;IF($P203="COSTO PENDIENTE"," · Falta costo del producto","")&amp;IF(AND(ISNUMBER($Q203),$Q203&lt;0)," · UTILIDAD NEGATIVA","")&amp;IF(AND($F203&lt;&gt;"",ISNUMBER(INDEX(tblInventario[Stock actual],MATCH($F203,tblInventario[SKU],0))),INDEX(tblInventario[Stock actual],MATCH($F203,tblInventario[SKU],0))&lt;0)," · Stock negativo del SKU","")&amp;IF(AND($T203="Cobrado",$U203="")," · Cobro sin fecha","")&amp;IF(AND(ISNUMBER($V203),ISNUMBER($N203),$V203&gt;N($N203)+0.01)," · Cobrado &gt; venta neta","")&amp;IF(AND(ISNUMBER($V203),$V203&gt;0,$U203="")," · Monto cobrado sin fecha","")="","OK",MID(IF($B203=""," · Falta fecha","")&amp;IF($D203=""," · Falta cliente","")&amp;IF($E203=""," · Falta canal","")&amp;IF($F203=""," · Falta SKU","")&amp;IF(AND($F203&lt;&gt;"",COUNTIF(tblProductos[SKU],$F203)=0)," · SKU no existe","")&amp;IF(OR($I203="",NOT(ISNUMBER($I203)),$I203&lt;=0)," · Cantidad inválida","")&amp;IF($M203="PRECIO PENDIENTE"," · Falta precio de venta","")&amp;IF($P203="COSTO PENDIENTE"," · Falta costo del producto","")&amp;IF(AND(ISNUMBER($Q203),$Q203&lt;0)," · UTILIDAD NEGATIVA","")&amp;IF(AND($F203&lt;&gt;"",ISNUMBER(INDEX(tblInventario[Stock actual],MATCH($F203,tblInventario[SKU],0))),INDEX(tblInventario[Stock actual],MATCH($F203,tblInventario[SKU],0))&lt;0)," · Stock negativo del SKU","")&amp;IF(AND($T203="Cobrado",$U203="")," · Cobro sin fecha","")&amp;IF(AND(ISNUMBER($V203),ISNUMBER($N203),$V203&gt;N($N203)+0.01)," · Cobrado &gt; venta neta","")&amp;IF(AND(ISNUMBER($V203),$V203&gt;0,$U203="")," · Monto cobrado sin fecha",""),4,900)))</f>
        <v/>
      </c>
    </row>
    <row r="204">
      <c r="A204" s="51">
        <f>IF(COUNTA($B204,$C204,$D204,$E204,$F204,$I204)=0,"","V-"&amp;TEXT(ROW()-6,"0000"))</f>
        <v/>
      </c>
      <c r="B204" s="41" t="n"/>
      <c r="C204" s="33" t="n"/>
      <c r="D204" s="33" t="n"/>
      <c r="E204" s="33" t="n"/>
      <c r="F204" s="33" t="n"/>
      <c r="G204" s="51">
        <f>IF($F204="","",IFERROR(IF(INDEX(tblProductos[Nombre del producto],MATCH($F204,tblProductos[SKU],0))="","",INDEX(tblProductos[Nombre del producto],MATCH($F204,tblProductos[SKU],0))),""))</f>
        <v/>
      </c>
      <c r="H204" s="51">
        <f>IF($F204="","",IFERROR(IF(INDEX(tblProductos[Categoría],MATCH($F204,tblProductos[SKU],0))="","",INDEX(tblProductos[Categoría],MATCH($F204,tblProductos[SKU],0))),""))</f>
        <v/>
      </c>
      <c r="I204" s="34" t="n"/>
      <c r="J204" s="39">
        <f>IF(OR($B204="",$F204="",$I204=""),"",IF($T204="Anulado",0,$I204))</f>
        <v/>
      </c>
      <c r="K204" s="54">
        <f>IF($F204="","",IFERROR(IF(INDEX(tblProductos[Precio de venta actual],MATCH($F204,tblProductos[SKU],0))="","",INDEX(tblProductos[Precio de venta actual],MATCH($F204,tblProductos[SKU],0))),""))</f>
        <v/>
      </c>
      <c r="L204" s="36" t="n"/>
      <c r="M204" s="37">
        <f>IF($J204="","",IF(NOT(ISNUMBER($K204)),"PRECIO PENDIENTE",$J204*$K204))</f>
        <v/>
      </c>
      <c r="N204" s="37">
        <f>IF($J204="","",IF(NOT(ISNUMBER($M204)),"PRECIO PENDIENTE",$M204-IF(ISNUMBER($L204),$L204,0)))</f>
        <v/>
      </c>
      <c r="O204" s="54">
        <f>IF($F204="","",IFERROR(INDEX(tblInventario[Costo unitario aplicado],MATCH($F204,tblInventario[SKU],0)),""))</f>
        <v/>
      </c>
      <c r="P204" s="37">
        <f>IF($J204="","",IF(NOT(ISNUMBER($O204)),"COSTO PENDIENTE",$J204*$O204))</f>
        <v/>
      </c>
      <c r="Q204" s="37">
        <f>IF($J204="","",IF(OR(NOT(ISNUMBER($N204)),NOT(ISNUMBER($P204))),"PENDIENTE",$N204-$P204))</f>
        <v/>
      </c>
      <c r="R204" s="38">
        <f>IF($J204="","",IF(OR(NOT(ISNUMBER($Q204)),NOT(ISNUMBER($N204)),$N204&lt;=0),"PENDIENTE",$Q204/$N204))</f>
        <v/>
      </c>
      <c r="S204" s="33" t="n"/>
      <c r="T204" s="33" t="n"/>
      <c r="U204" s="41" t="n"/>
      <c r="V204" s="36" t="n"/>
      <c r="W204" s="37">
        <f>IF(NOT(ISNUMBER($N204)),"",$N204-IF(ISNUMBER($V204),$V204,0))</f>
        <v/>
      </c>
      <c r="X204" s="33" t="n"/>
      <c r="Y204" s="51">
        <f>IF(COUNTA($B204,$C204,$D204,$E204,$F204,$I204)=0,"",IF(IF($B204=""," · Falta fecha","")&amp;IF($D204=""," · Falta cliente","")&amp;IF($E204=""," · Falta canal","")&amp;IF($F204=""," · Falta SKU","")&amp;IF(AND($F204&lt;&gt;"",COUNTIF(tblProductos[SKU],$F204)=0)," · SKU no existe","")&amp;IF(OR($I204="",NOT(ISNUMBER($I204)),$I204&lt;=0)," · Cantidad inválida","")&amp;IF($M204="PRECIO PENDIENTE"," · Falta precio de venta","")&amp;IF($P204="COSTO PENDIENTE"," · Falta costo del producto","")&amp;IF(AND(ISNUMBER($Q204),$Q204&lt;0)," · UTILIDAD NEGATIVA","")&amp;IF(AND($F204&lt;&gt;"",ISNUMBER(INDEX(tblInventario[Stock actual],MATCH($F204,tblInventario[SKU],0))),INDEX(tblInventario[Stock actual],MATCH($F204,tblInventario[SKU],0))&lt;0)," · Stock negativo del SKU","")&amp;IF(AND($T204="Cobrado",$U204="")," · Cobro sin fecha","")&amp;IF(AND(ISNUMBER($V204),ISNUMBER($N204),$V204&gt;N($N204)+0.01)," · Cobrado &gt; venta neta","")&amp;IF(AND(ISNUMBER($V204),$V204&gt;0,$U204="")," · Monto cobrado sin fecha","")="","OK",MID(IF($B204=""," · Falta fecha","")&amp;IF($D204=""," · Falta cliente","")&amp;IF($E204=""," · Falta canal","")&amp;IF($F204=""," · Falta SKU","")&amp;IF(AND($F204&lt;&gt;"",COUNTIF(tblProductos[SKU],$F204)=0)," · SKU no existe","")&amp;IF(OR($I204="",NOT(ISNUMBER($I204)),$I204&lt;=0)," · Cantidad inválida","")&amp;IF($M204="PRECIO PENDIENTE"," · Falta precio de venta","")&amp;IF($P204="COSTO PENDIENTE"," · Falta costo del producto","")&amp;IF(AND(ISNUMBER($Q204),$Q204&lt;0)," · UTILIDAD NEGATIVA","")&amp;IF(AND($F204&lt;&gt;"",ISNUMBER(INDEX(tblInventario[Stock actual],MATCH($F204,tblInventario[SKU],0))),INDEX(tblInventario[Stock actual],MATCH($F204,tblInventario[SKU],0))&lt;0)," · Stock negativo del SKU","")&amp;IF(AND($T204="Cobrado",$U204="")," · Cobro sin fecha","")&amp;IF(AND(ISNUMBER($V204),ISNUMBER($N204),$V204&gt;N($N204)+0.01)," · Cobrado &gt; venta neta","")&amp;IF(AND(ISNUMBER($V204),$V204&gt;0,$U204="")," · Monto cobrado sin fecha",""),4,900)))</f>
        <v/>
      </c>
    </row>
    <row r="205">
      <c r="A205" s="51">
        <f>IF(COUNTA($B205,$C205,$D205,$E205,$F205,$I205)=0,"","V-"&amp;TEXT(ROW()-6,"0000"))</f>
        <v/>
      </c>
      <c r="B205" s="41" t="n"/>
      <c r="C205" s="33" t="n"/>
      <c r="D205" s="33" t="n"/>
      <c r="E205" s="33" t="n"/>
      <c r="F205" s="33" t="n"/>
      <c r="G205" s="51">
        <f>IF($F205="","",IFERROR(IF(INDEX(tblProductos[Nombre del producto],MATCH($F205,tblProductos[SKU],0))="","",INDEX(tblProductos[Nombre del producto],MATCH($F205,tblProductos[SKU],0))),""))</f>
        <v/>
      </c>
      <c r="H205" s="51">
        <f>IF($F205="","",IFERROR(IF(INDEX(tblProductos[Categoría],MATCH($F205,tblProductos[SKU],0))="","",INDEX(tblProductos[Categoría],MATCH($F205,tblProductos[SKU],0))),""))</f>
        <v/>
      </c>
      <c r="I205" s="34" t="n"/>
      <c r="J205" s="39">
        <f>IF(OR($B205="",$F205="",$I205=""),"",IF($T205="Anulado",0,$I205))</f>
        <v/>
      </c>
      <c r="K205" s="54">
        <f>IF($F205="","",IFERROR(IF(INDEX(tblProductos[Precio de venta actual],MATCH($F205,tblProductos[SKU],0))="","",INDEX(tblProductos[Precio de venta actual],MATCH($F205,tblProductos[SKU],0))),""))</f>
        <v/>
      </c>
      <c r="L205" s="36" t="n"/>
      <c r="M205" s="37">
        <f>IF($J205="","",IF(NOT(ISNUMBER($K205)),"PRECIO PENDIENTE",$J205*$K205))</f>
        <v/>
      </c>
      <c r="N205" s="37">
        <f>IF($J205="","",IF(NOT(ISNUMBER($M205)),"PRECIO PENDIENTE",$M205-IF(ISNUMBER($L205),$L205,0)))</f>
        <v/>
      </c>
      <c r="O205" s="54">
        <f>IF($F205="","",IFERROR(INDEX(tblInventario[Costo unitario aplicado],MATCH($F205,tblInventario[SKU],0)),""))</f>
        <v/>
      </c>
      <c r="P205" s="37">
        <f>IF($J205="","",IF(NOT(ISNUMBER($O205)),"COSTO PENDIENTE",$J205*$O205))</f>
        <v/>
      </c>
      <c r="Q205" s="37">
        <f>IF($J205="","",IF(OR(NOT(ISNUMBER($N205)),NOT(ISNUMBER($P205))),"PENDIENTE",$N205-$P205))</f>
        <v/>
      </c>
      <c r="R205" s="38">
        <f>IF($J205="","",IF(OR(NOT(ISNUMBER($Q205)),NOT(ISNUMBER($N205)),$N205&lt;=0),"PENDIENTE",$Q205/$N205))</f>
        <v/>
      </c>
      <c r="S205" s="33" t="n"/>
      <c r="T205" s="33" t="n"/>
      <c r="U205" s="41" t="n"/>
      <c r="V205" s="36" t="n"/>
      <c r="W205" s="37">
        <f>IF(NOT(ISNUMBER($N205)),"",$N205-IF(ISNUMBER($V205),$V205,0))</f>
        <v/>
      </c>
      <c r="X205" s="33" t="n"/>
      <c r="Y205" s="51">
        <f>IF(COUNTA($B205,$C205,$D205,$E205,$F205,$I205)=0,"",IF(IF($B205=""," · Falta fecha","")&amp;IF($D205=""," · Falta cliente","")&amp;IF($E205=""," · Falta canal","")&amp;IF($F205=""," · Falta SKU","")&amp;IF(AND($F205&lt;&gt;"",COUNTIF(tblProductos[SKU],$F205)=0)," · SKU no existe","")&amp;IF(OR($I205="",NOT(ISNUMBER($I205)),$I205&lt;=0)," · Cantidad inválida","")&amp;IF($M205="PRECIO PENDIENTE"," · Falta precio de venta","")&amp;IF($P205="COSTO PENDIENTE"," · Falta costo del producto","")&amp;IF(AND(ISNUMBER($Q205),$Q205&lt;0)," · UTILIDAD NEGATIVA","")&amp;IF(AND($F205&lt;&gt;"",ISNUMBER(INDEX(tblInventario[Stock actual],MATCH($F205,tblInventario[SKU],0))),INDEX(tblInventario[Stock actual],MATCH($F205,tblInventario[SKU],0))&lt;0)," · Stock negativo del SKU","")&amp;IF(AND($T205="Cobrado",$U205="")," · Cobro sin fecha","")&amp;IF(AND(ISNUMBER($V205),ISNUMBER($N205),$V205&gt;N($N205)+0.01)," · Cobrado &gt; venta neta","")&amp;IF(AND(ISNUMBER($V205),$V205&gt;0,$U205="")," · Monto cobrado sin fecha","")="","OK",MID(IF($B205=""," · Falta fecha","")&amp;IF($D205=""," · Falta cliente","")&amp;IF($E205=""," · Falta canal","")&amp;IF($F205=""," · Falta SKU","")&amp;IF(AND($F205&lt;&gt;"",COUNTIF(tblProductos[SKU],$F205)=0)," · SKU no existe","")&amp;IF(OR($I205="",NOT(ISNUMBER($I205)),$I205&lt;=0)," · Cantidad inválida","")&amp;IF($M205="PRECIO PENDIENTE"," · Falta precio de venta","")&amp;IF($P205="COSTO PENDIENTE"," · Falta costo del producto","")&amp;IF(AND(ISNUMBER($Q205),$Q205&lt;0)," · UTILIDAD NEGATIVA","")&amp;IF(AND($F205&lt;&gt;"",ISNUMBER(INDEX(tblInventario[Stock actual],MATCH($F205,tblInventario[SKU],0))),INDEX(tblInventario[Stock actual],MATCH($F205,tblInventario[SKU],0))&lt;0)," · Stock negativo del SKU","")&amp;IF(AND($T205="Cobrado",$U205="")," · Cobro sin fecha","")&amp;IF(AND(ISNUMBER($V205),ISNUMBER($N205),$V205&gt;N($N205)+0.01)," · Cobrado &gt; venta neta","")&amp;IF(AND(ISNUMBER($V205),$V205&gt;0,$U205="")," · Monto cobrado sin fecha",""),4,900)))</f>
        <v/>
      </c>
    </row>
    <row r="206">
      <c r="A206" s="51">
        <f>IF(COUNTA($B206,$C206,$D206,$E206,$F206,$I206)=0,"","V-"&amp;TEXT(ROW()-6,"0000"))</f>
        <v/>
      </c>
      <c r="B206" s="41" t="n"/>
      <c r="C206" s="33" t="n"/>
      <c r="D206" s="33" t="n"/>
      <c r="E206" s="33" t="n"/>
      <c r="F206" s="33" t="n"/>
      <c r="G206" s="51">
        <f>IF($F206="","",IFERROR(IF(INDEX(tblProductos[Nombre del producto],MATCH($F206,tblProductos[SKU],0))="","",INDEX(tblProductos[Nombre del producto],MATCH($F206,tblProductos[SKU],0))),""))</f>
        <v/>
      </c>
      <c r="H206" s="51">
        <f>IF($F206="","",IFERROR(IF(INDEX(tblProductos[Categoría],MATCH($F206,tblProductos[SKU],0))="","",INDEX(tblProductos[Categoría],MATCH($F206,tblProductos[SKU],0))),""))</f>
        <v/>
      </c>
      <c r="I206" s="34" t="n"/>
      <c r="J206" s="39">
        <f>IF(OR($B206="",$F206="",$I206=""),"",IF($T206="Anulado",0,$I206))</f>
        <v/>
      </c>
      <c r="K206" s="54">
        <f>IF($F206="","",IFERROR(IF(INDEX(tblProductos[Precio de venta actual],MATCH($F206,tblProductos[SKU],0))="","",INDEX(tblProductos[Precio de venta actual],MATCH($F206,tblProductos[SKU],0))),""))</f>
        <v/>
      </c>
      <c r="L206" s="36" t="n"/>
      <c r="M206" s="37">
        <f>IF($J206="","",IF(NOT(ISNUMBER($K206)),"PRECIO PENDIENTE",$J206*$K206))</f>
        <v/>
      </c>
      <c r="N206" s="37">
        <f>IF($J206="","",IF(NOT(ISNUMBER($M206)),"PRECIO PENDIENTE",$M206-IF(ISNUMBER($L206),$L206,0)))</f>
        <v/>
      </c>
      <c r="O206" s="54">
        <f>IF($F206="","",IFERROR(INDEX(tblInventario[Costo unitario aplicado],MATCH($F206,tblInventario[SKU],0)),""))</f>
        <v/>
      </c>
      <c r="P206" s="37">
        <f>IF($J206="","",IF(NOT(ISNUMBER($O206)),"COSTO PENDIENTE",$J206*$O206))</f>
        <v/>
      </c>
      <c r="Q206" s="37">
        <f>IF($J206="","",IF(OR(NOT(ISNUMBER($N206)),NOT(ISNUMBER($P206))),"PENDIENTE",$N206-$P206))</f>
        <v/>
      </c>
      <c r="R206" s="38">
        <f>IF($J206="","",IF(OR(NOT(ISNUMBER($Q206)),NOT(ISNUMBER($N206)),$N206&lt;=0),"PENDIENTE",$Q206/$N206))</f>
        <v/>
      </c>
      <c r="S206" s="33" t="n"/>
      <c r="T206" s="33" t="n"/>
      <c r="U206" s="41" t="n"/>
      <c r="V206" s="36" t="n"/>
      <c r="W206" s="37">
        <f>IF(NOT(ISNUMBER($N206)),"",$N206-IF(ISNUMBER($V206),$V206,0))</f>
        <v/>
      </c>
      <c r="X206" s="33" t="n"/>
      <c r="Y206" s="51">
        <f>IF(COUNTA($B206,$C206,$D206,$E206,$F206,$I206)=0,"",IF(IF($B206=""," · Falta fecha","")&amp;IF($D206=""," · Falta cliente","")&amp;IF($E206=""," · Falta canal","")&amp;IF($F206=""," · Falta SKU","")&amp;IF(AND($F206&lt;&gt;"",COUNTIF(tblProductos[SKU],$F206)=0)," · SKU no existe","")&amp;IF(OR($I206="",NOT(ISNUMBER($I206)),$I206&lt;=0)," · Cantidad inválida","")&amp;IF($M206="PRECIO PENDIENTE"," · Falta precio de venta","")&amp;IF($P206="COSTO PENDIENTE"," · Falta costo del producto","")&amp;IF(AND(ISNUMBER($Q206),$Q206&lt;0)," · UTILIDAD NEGATIVA","")&amp;IF(AND($F206&lt;&gt;"",ISNUMBER(INDEX(tblInventario[Stock actual],MATCH($F206,tblInventario[SKU],0))),INDEX(tblInventario[Stock actual],MATCH($F206,tblInventario[SKU],0))&lt;0)," · Stock negativo del SKU","")&amp;IF(AND($T206="Cobrado",$U206="")," · Cobro sin fecha","")&amp;IF(AND(ISNUMBER($V206),ISNUMBER($N206),$V206&gt;N($N206)+0.01)," · Cobrado &gt; venta neta","")&amp;IF(AND(ISNUMBER($V206),$V206&gt;0,$U206="")," · Monto cobrado sin fecha","")="","OK",MID(IF($B206=""," · Falta fecha","")&amp;IF($D206=""," · Falta cliente","")&amp;IF($E206=""," · Falta canal","")&amp;IF($F206=""," · Falta SKU","")&amp;IF(AND($F206&lt;&gt;"",COUNTIF(tblProductos[SKU],$F206)=0)," · SKU no existe","")&amp;IF(OR($I206="",NOT(ISNUMBER($I206)),$I206&lt;=0)," · Cantidad inválida","")&amp;IF($M206="PRECIO PENDIENTE"," · Falta precio de venta","")&amp;IF($P206="COSTO PENDIENTE"," · Falta costo del producto","")&amp;IF(AND(ISNUMBER($Q206),$Q206&lt;0)," · UTILIDAD NEGATIVA","")&amp;IF(AND($F206&lt;&gt;"",ISNUMBER(INDEX(tblInventario[Stock actual],MATCH($F206,tblInventario[SKU],0))),INDEX(tblInventario[Stock actual],MATCH($F206,tblInventario[SKU],0))&lt;0)," · Stock negativo del SKU","")&amp;IF(AND($T206="Cobrado",$U206="")," · Cobro sin fecha","")&amp;IF(AND(ISNUMBER($V206),ISNUMBER($N206),$V206&gt;N($N206)+0.01)," · Cobrado &gt; venta neta","")&amp;IF(AND(ISNUMBER($V206),$V206&gt;0,$U206="")," · Monto cobrado sin fecha",""),4,900)))</f>
        <v/>
      </c>
    </row>
    <row r="207">
      <c r="A207" s="51">
        <f>IF(COUNTA($B207,$C207,$D207,$E207,$F207,$I207)=0,"","V-"&amp;TEXT(ROW()-6,"0000"))</f>
        <v/>
      </c>
      <c r="B207" s="41" t="n"/>
      <c r="C207" s="33" t="n"/>
      <c r="D207" s="33" t="n"/>
      <c r="E207" s="33" t="n"/>
      <c r="F207" s="33" t="n"/>
      <c r="G207" s="51">
        <f>IF($F207="","",IFERROR(IF(INDEX(tblProductos[Nombre del producto],MATCH($F207,tblProductos[SKU],0))="","",INDEX(tblProductos[Nombre del producto],MATCH($F207,tblProductos[SKU],0))),""))</f>
        <v/>
      </c>
      <c r="H207" s="51">
        <f>IF($F207="","",IFERROR(IF(INDEX(tblProductos[Categoría],MATCH($F207,tblProductos[SKU],0))="","",INDEX(tblProductos[Categoría],MATCH($F207,tblProductos[SKU],0))),""))</f>
        <v/>
      </c>
      <c r="I207" s="34" t="n"/>
      <c r="J207" s="39">
        <f>IF(OR($B207="",$F207="",$I207=""),"",IF($T207="Anulado",0,$I207))</f>
        <v/>
      </c>
      <c r="K207" s="54">
        <f>IF($F207="","",IFERROR(IF(INDEX(tblProductos[Precio de venta actual],MATCH($F207,tblProductos[SKU],0))="","",INDEX(tblProductos[Precio de venta actual],MATCH($F207,tblProductos[SKU],0))),""))</f>
        <v/>
      </c>
      <c r="L207" s="36" t="n"/>
      <c r="M207" s="37">
        <f>IF($J207="","",IF(NOT(ISNUMBER($K207)),"PRECIO PENDIENTE",$J207*$K207))</f>
        <v/>
      </c>
      <c r="N207" s="37">
        <f>IF($J207="","",IF(NOT(ISNUMBER($M207)),"PRECIO PENDIENTE",$M207-IF(ISNUMBER($L207),$L207,0)))</f>
        <v/>
      </c>
      <c r="O207" s="54">
        <f>IF($F207="","",IFERROR(INDEX(tblInventario[Costo unitario aplicado],MATCH($F207,tblInventario[SKU],0)),""))</f>
        <v/>
      </c>
      <c r="P207" s="37">
        <f>IF($J207="","",IF(NOT(ISNUMBER($O207)),"COSTO PENDIENTE",$J207*$O207))</f>
        <v/>
      </c>
      <c r="Q207" s="37">
        <f>IF($J207="","",IF(OR(NOT(ISNUMBER($N207)),NOT(ISNUMBER($P207))),"PENDIENTE",$N207-$P207))</f>
        <v/>
      </c>
      <c r="R207" s="38">
        <f>IF($J207="","",IF(OR(NOT(ISNUMBER($Q207)),NOT(ISNUMBER($N207)),$N207&lt;=0),"PENDIENTE",$Q207/$N207))</f>
        <v/>
      </c>
      <c r="S207" s="33" t="n"/>
      <c r="T207" s="33" t="n"/>
      <c r="U207" s="41" t="n"/>
      <c r="V207" s="36" t="n"/>
      <c r="W207" s="37">
        <f>IF(NOT(ISNUMBER($N207)),"",$N207-IF(ISNUMBER($V207),$V207,0))</f>
        <v/>
      </c>
      <c r="X207" s="33" t="n"/>
      <c r="Y207" s="51">
        <f>IF(COUNTA($B207,$C207,$D207,$E207,$F207,$I207)=0,"",IF(IF($B207=""," · Falta fecha","")&amp;IF($D207=""," · Falta cliente","")&amp;IF($E207=""," · Falta canal","")&amp;IF($F207=""," · Falta SKU","")&amp;IF(AND($F207&lt;&gt;"",COUNTIF(tblProductos[SKU],$F207)=0)," · SKU no existe","")&amp;IF(OR($I207="",NOT(ISNUMBER($I207)),$I207&lt;=0)," · Cantidad inválida","")&amp;IF($M207="PRECIO PENDIENTE"," · Falta precio de venta","")&amp;IF($P207="COSTO PENDIENTE"," · Falta costo del producto","")&amp;IF(AND(ISNUMBER($Q207),$Q207&lt;0)," · UTILIDAD NEGATIVA","")&amp;IF(AND($F207&lt;&gt;"",ISNUMBER(INDEX(tblInventario[Stock actual],MATCH($F207,tblInventario[SKU],0))),INDEX(tblInventario[Stock actual],MATCH($F207,tblInventario[SKU],0))&lt;0)," · Stock negativo del SKU","")&amp;IF(AND($T207="Cobrado",$U207="")," · Cobro sin fecha","")&amp;IF(AND(ISNUMBER($V207),ISNUMBER($N207),$V207&gt;N($N207)+0.01)," · Cobrado &gt; venta neta","")&amp;IF(AND(ISNUMBER($V207),$V207&gt;0,$U207="")," · Monto cobrado sin fecha","")="","OK",MID(IF($B207=""," · Falta fecha","")&amp;IF($D207=""," · Falta cliente","")&amp;IF($E207=""," · Falta canal","")&amp;IF($F207=""," · Falta SKU","")&amp;IF(AND($F207&lt;&gt;"",COUNTIF(tblProductos[SKU],$F207)=0)," · SKU no existe","")&amp;IF(OR($I207="",NOT(ISNUMBER($I207)),$I207&lt;=0)," · Cantidad inválida","")&amp;IF($M207="PRECIO PENDIENTE"," · Falta precio de venta","")&amp;IF($P207="COSTO PENDIENTE"," · Falta costo del producto","")&amp;IF(AND(ISNUMBER($Q207),$Q207&lt;0)," · UTILIDAD NEGATIVA","")&amp;IF(AND($F207&lt;&gt;"",ISNUMBER(INDEX(tblInventario[Stock actual],MATCH($F207,tblInventario[SKU],0))),INDEX(tblInventario[Stock actual],MATCH($F207,tblInventario[SKU],0))&lt;0)," · Stock negativo del SKU","")&amp;IF(AND($T207="Cobrado",$U207="")," · Cobro sin fecha","")&amp;IF(AND(ISNUMBER($V207),ISNUMBER($N207),$V207&gt;N($N207)+0.01)," · Cobrado &gt; venta neta","")&amp;IF(AND(ISNUMBER($V207),$V207&gt;0,$U207="")," · Monto cobrado sin fecha",""),4,900)))</f>
        <v/>
      </c>
    </row>
    <row r="208">
      <c r="A208" s="51">
        <f>IF(COUNTA($B208,$C208,$D208,$E208,$F208,$I208)=0,"","V-"&amp;TEXT(ROW()-6,"0000"))</f>
        <v/>
      </c>
      <c r="B208" s="41" t="n"/>
      <c r="C208" s="33" t="n"/>
      <c r="D208" s="33" t="n"/>
      <c r="E208" s="33" t="n"/>
      <c r="F208" s="33" t="n"/>
      <c r="G208" s="51">
        <f>IF($F208="","",IFERROR(IF(INDEX(tblProductos[Nombre del producto],MATCH($F208,tblProductos[SKU],0))="","",INDEX(tblProductos[Nombre del producto],MATCH($F208,tblProductos[SKU],0))),""))</f>
        <v/>
      </c>
      <c r="H208" s="51">
        <f>IF($F208="","",IFERROR(IF(INDEX(tblProductos[Categoría],MATCH($F208,tblProductos[SKU],0))="","",INDEX(tblProductos[Categoría],MATCH($F208,tblProductos[SKU],0))),""))</f>
        <v/>
      </c>
      <c r="I208" s="34" t="n"/>
      <c r="J208" s="39">
        <f>IF(OR($B208="",$F208="",$I208=""),"",IF($T208="Anulado",0,$I208))</f>
        <v/>
      </c>
      <c r="K208" s="54">
        <f>IF($F208="","",IFERROR(IF(INDEX(tblProductos[Precio de venta actual],MATCH($F208,tblProductos[SKU],0))="","",INDEX(tblProductos[Precio de venta actual],MATCH($F208,tblProductos[SKU],0))),""))</f>
        <v/>
      </c>
      <c r="L208" s="36" t="n"/>
      <c r="M208" s="37">
        <f>IF($J208="","",IF(NOT(ISNUMBER($K208)),"PRECIO PENDIENTE",$J208*$K208))</f>
        <v/>
      </c>
      <c r="N208" s="37">
        <f>IF($J208="","",IF(NOT(ISNUMBER($M208)),"PRECIO PENDIENTE",$M208-IF(ISNUMBER($L208),$L208,0)))</f>
        <v/>
      </c>
      <c r="O208" s="54">
        <f>IF($F208="","",IFERROR(INDEX(tblInventario[Costo unitario aplicado],MATCH($F208,tblInventario[SKU],0)),""))</f>
        <v/>
      </c>
      <c r="P208" s="37">
        <f>IF($J208="","",IF(NOT(ISNUMBER($O208)),"COSTO PENDIENTE",$J208*$O208))</f>
        <v/>
      </c>
      <c r="Q208" s="37">
        <f>IF($J208="","",IF(OR(NOT(ISNUMBER($N208)),NOT(ISNUMBER($P208))),"PENDIENTE",$N208-$P208))</f>
        <v/>
      </c>
      <c r="R208" s="38">
        <f>IF($J208="","",IF(OR(NOT(ISNUMBER($Q208)),NOT(ISNUMBER($N208)),$N208&lt;=0),"PENDIENTE",$Q208/$N208))</f>
        <v/>
      </c>
      <c r="S208" s="33" t="n"/>
      <c r="T208" s="33" t="n"/>
      <c r="U208" s="41" t="n"/>
      <c r="V208" s="36" t="n"/>
      <c r="W208" s="37">
        <f>IF(NOT(ISNUMBER($N208)),"",$N208-IF(ISNUMBER($V208),$V208,0))</f>
        <v/>
      </c>
      <c r="X208" s="33" t="n"/>
      <c r="Y208" s="51">
        <f>IF(COUNTA($B208,$C208,$D208,$E208,$F208,$I208)=0,"",IF(IF($B208=""," · Falta fecha","")&amp;IF($D208=""," · Falta cliente","")&amp;IF($E208=""," · Falta canal","")&amp;IF($F208=""," · Falta SKU","")&amp;IF(AND($F208&lt;&gt;"",COUNTIF(tblProductos[SKU],$F208)=0)," · SKU no existe","")&amp;IF(OR($I208="",NOT(ISNUMBER($I208)),$I208&lt;=0)," · Cantidad inválida","")&amp;IF($M208="PRECIO PENDIENTE"," · Falta precio de venta","")&amp;IF($P208="COSTO PENDIENTE"," · Falta costo del producto","")&amp;IF(AND(ISNUMBER($Q208),$Q208&lt;0)," · UTILIDAD NEGATIVA","")&amp;IF(AND($F208&lt;&gt;"",ISNUMBER(INDEX(tblInventario[Stock actual],MATCH($F208,tblInventario[SKU],0))),INDEX(tblInventario[Stock actual],MATCH($F208,tblInventario[SKU],0))&lt;0)," · Stock negativo del SKU","")&amp;IF(AND($T208="Cobrado",$U208="")," · Cobro sin fecha","")&amp;IF(AND(ISNUMBER($V208),ISNUMBER($N208),$V208&gt;N($N208)+0.01)," · Cobrado &gt; venta neta","")&amp;IF(AND(ISNUMBER($V208),$V208&gt;0,$U208="")," · Monto cobrado sin fecha","")="","OK",MID(IF($B208=""," · Falta fecha","")&amp;IF($D208=""," · Falta cliente","")&amp;IF($E208=""," · Falta canal","")&amp;IF($F208=""," · Falta SKU","")&amp;IF(AND($F208&lt;&gt;"",COUNTIF(tblProductos[SKU],$F208)=0)," · SKU no existe","")&amp;IF(OR($I208="",NOT(ISNUMBER($I208)),$I208&lt;=0)," · Cantidad inválida","")&amp;IF($M208="PRECIO PENDIENTE"," · Falta precio de venta","")&amp;IF($P208="COSTO PENDIENTE"," · Falta costo del producto","")&amp;IF(AND(ISNUMBER($Q208),$Q208&lt;0)," · UTILIDAD NEGATIVA","")&amp;IF(AND($F208&lt;&gt;"",ISNUMBER(INDEX(tblInventario[Stock actual],MATCH($F208,tblInventario[SKU],0))),INDEX(tblInventario[Stock actual],MATCH($F208,tblInventario[SKU],0))&lt;0)," · Stock negativo del SKU","")&amp;IF(AND($T208="Cobrado",$U208="")," · Cobro sin fecha","")&amp;IF(AND(ISNUMBER($V208),ISNUMBER($N208),$V208&gt;N($N208)+0.01)," · Cobrado &gt; venta neta","")&amp;IF(AND(ISNUMBER($V208),$V208&gt;0,$U208="")," · Monto cobrado sin fecha",""),4,900)))</f>
        <v/>
      </c>
    </row>
    <row r="209">
      <c r="A209" s="51">
        <f>IF(COUNTA($B209,$C209,$D209,$E209,$F209,$I209)=0,"","V-"&amp;TEXT(ROW()-6,"0000"))</f>
        <v/>
      </c>
      <c r="B209" s="41" t="n"/>
      <c r="C209" s="33" t="n"/>
      <c r="D209" s="33" t="n"/>
      <c r="E209" s="33" t="n"/>
      <c r="F209" s="33" t="n"/>
      <c r="G209" s="51">
        <f>IF($F209="","",IFERROR(IF(INDEX(tblProductos[Nombre del producto],MATCH($F209,tblProductos[SKU],0))="","",INDEX(tblProductos[Nombre del producto],MATCH($F209,tblProductos[SKU],0))),""))</f>
        <v/>
      </c>
      <c r="H209" s="51">
        <f>IF($F209="","",IFERROR(IF(INDEX(tblProductos[Categoría],MATCH($F209,tblProductos[SKU],0))="","",INDEX(tblProductos[Categoría],MATCH($F209,tblProductos[SKU],0))),""))</f>
        <v/>
      </c>
      <c r="I209" s="34" t="n"/>
      <c r="J209" s="39">
        <f>IF(OR($B209="",$F209="",$I209=""),"",IF($T209="Anulado",0,$I209))</f>
        <v/>
      </c>
      <c r="K209" s="54">
        <f>IF($F209="","",IFERROR(IF(INDEX(tblProductos[Precio de venta actual],MATCH($F209,tblProductos[SKU],0))="","",INDEX(tblProductos[Precio de venta actual],MATCH($F209,tblProductos[SKU],0))),""))</f>
        <v/>
      </c>
      <c r="L209" s="36" t="n"/>
      <c r="M209" s="37">
        <f>IF($J209="","",IF(NOT(ISNUMBER($K209)),"PRECIO PENDIENTE",$J209*$K209))</f>
        <v/>
      </c>
      <c r="N209" s="37">
        <f>IF($J209="","",IF(NOT(ISNUMBER($M209)),"PRECIO PENDIENTE",$M209-IF(ISNUMBER($L209),$L209,0)))</f>
        <v/>
      </c>
      <c r="O209" s="54">
        <f>IF($F209="","",IFERROR(INDEX(tblInventario[Costo unitario aplicado],MATCH($F209,tblInventario[SKU],0)),""))</f>
        <v/>
      </c>
      <c r="P209" s="37">
        <f>IF($J209="","",IF(NOT(ISNUMBER($O209)),"COSTO PENDIENTE",$J209*$O209))</f>
        <v/>
      </c>
      <c r="Q209" s="37">
        <f>IF($J209="","",IF(OR(NOT(ISNUMBER($N209)),NOT(ISNUMBER($P209))),"PENDIENTE",$N209-$P209))</f>
        <v/>
      </c>
      <c r="R209" s="38">
        <f>IF($J209="","",IF(OR(NOT(ISNUMBER($Q209)),NOT(ISNUMBER($N209)),$N209&lt;=0),"PENDIENTE",$Q209/$N209))</f>
        <v/>
      </c>
      <c r="S209" s="33" t="n"/>
      <c r="T209" s="33" t="n"/>
      <c r="U209" s="41" t="n"/>
      <c r="V209" s="36" t="n"/>
      <c r="W209" s="37">
        <f>IF(NOT(ISNUMBER($N209)),"",$N209-IF(ISNUMBER($V209),$V209,0))</f>
        <v/>
      </c>
      <c r="X209" s="33" t="n"/>
      <c r="Y209" s="51">
        <f>IF(COUNTA($B209,$C209,$D209,$E209,$F209,$I209)=0,"",IF(IF($B209=""," · Falta fecha","")&amp;IF($D209=""," · Falta cliente","")&amp;IF($E209=""," · Falta canal","")&amp;IF($F209=""," · Falta SKU","")&amp;IF(AND($F209&lt;&gt;"",COUNTIF(tblProductos[SKU],$F209)=0)," · SKU no existe","")&amp;IF(OR($I209="",NOT(ISNUMBER($I209)),$I209&lt;=0)," · Cantidad inválida","")&amp;IF($M209="PRECIO PENDIENTE"," · Falta precio de venta","")&amp;IF($P209="COSTO PENDIENTE"," · Falta costo del producto","")&amp;IF(AND(ISNUMBER($Q209),$Q209&lt;0)," · UTILIDAD NEGATIVA","")&amp;IF(AND($F209&lt;&gt;"",ISNUMBER(INDEX(tblInventario[Stock actual],MATCH($F209,tblInventario[SKU],0))),INDEX(tblInventario[Stock actual],MATCH($F209,tblInventario[SKU],0))&lt;0)," · Stock negativo del SKU","")&amp;IF(AND($T209="Cobrado",$U209="")," · Cobro sin fecha","")&amp;IF(AND(ISNUMBER($V209),ISNUMBER($N209),$V209&gt;N($N209)+0.01)," · Cobrado &gt; venta neta","")&amp;IF(AND(ISNUMBER($V209),$V209&gt;0,$U209="")," · Monto cobrado sin fecha","")="","OK",MID(IF($B209=""," · Falta fecha","")&amp;IF($D209=""," · Falta cliente","")&amp;IF($E209=""," · Falta canal","")&amp;IF($F209=""," · Falta SKU","")&amp;IF(AND($F209&lt;&gt;"",COUNTIF(tblProductos[SKU],$F209)=0)," · SKU no existe","")&amp;IF(OR($I209="",NOT(ISNUMBER($I209)),$I209&lt;=0)," · Cantidad inválida","")&amp;IF($M209="PRECIO PENDIENTE"," · Falta precio de venta","")&amp;IF($P209="COSTO PENDIENTE"," · Falta costo del producto","")&amp;IF(AND(ISNUMBER($Q209),$Q209&lt;0)," · UTILIDAD NEGATIVA","")&amp;IF(AND($F209&lt;&gt;"",ISNUMBER(INDEX(tblInventario[Stock actual],MATCH($F209,tblInventario[SKU],0))),INDEX(tblInventario[Stock actual],MATCH($F209,tblInventario[SKU],0))&lt;0)," · Stock negativo del SKU","")&amp;IF(AND($T209="Cobrado",$U209="")," · Cobro sin fecha","")&amp;IF(AND(ISNUMBER($V209),ISNUMBER($N209),$V209&gt;N($N209)+0.01)," · Cobrado &gt; venta neta","")&amp;IF(AND(ISNUMBER($V209),$V209&gt;0,$U209="")," · Monto cobrado sin fecha",""),4,900)))</f>
        <v/>
      </c>
    </row>
    <row r="210">
      <c r="A210" s="51">
        <f>IF(COUNTA($B210,$C210,$D210,$E210,$F210,$I210)=0,"","V-"&amp;TEXT(ROW()-6,"0000"))</f>
        <v/>
      </c>
      <c r="B210" s="41" t="n"/>
      <c r="C210" s="33" t="n"/>
      <c r="D210" s="33" t="n"/>
      <c r="E210" s="33" t="n"/>
      <c r="F210" s="33" t="n"/>
      <c r="G210" s="51">
        <f>IF($F210="","",IFERROR(IF(INDEX(tblProductos[Nombre del producto],MATCH($F210,tblProductos[SKU],0))="","",INDEX(tblProductos[Nombre del producto],MATCH($F210,tblProductos[SKU],0))),""))</f>
        <v/>
      </c>
      <c r="H210" s="51">
        <f>IF($F210="","",IFERROR(IF(INDEX(tblProductos[Categoría],MATCH($F210,tblProductos[SKU],0))="","",INDEX(tblProductos[Categoría],MATCH($F210,tblProductos[SKU],0))),""))</f>
        <v/>
      </c>
      <c r="I210" s="34" t="n"/>
      <c r="J210" s="39">
        <f>IF(OR($B210="",$F210="",$I210=""),"",IF($T210="Anulado",0,$I210))</f>
        <v/>
      </c>
      <c r="K210" s="54">
        <f>IF($F210="","",IFERROR(IF(INDEX(tblProductos[Precio de venta actual],MATCH($F210,tblProductos[SKU],0))="","",INDEX(tblProductos[Precio de venta actual],MATCH($F210,tblProductos[SKU],0))),""))</f>
        <v/>
      </c>
      <c r="L210" s="36" t="n"/>
      <c r="M210" s="37">
        <f>IF($J210="","",IF(NOT(ISNUMBER($K210)),"PRECIO PENDIENTE",$J210*$K210))</f>
        <v/>
      </c>
      <c r="N210" s="37">
        <f>IF($J210="","",IF(NOT(ISNUMBER($M210)),"PRECIO PENDIENTE",$M210-IF(ISNUMBER($L210),$L210,0)))</f>
        <v/>
      </c>
      <c r="O210" s="54">
        <f>IF($F210="","",IFERROR(INDEX(tblInventario[Costo unitario aplicado],MATCH($F210,tblInventario[SKU],0)),""))</f>
        <v/>
      </c>
      <c r="P210" s="37">
        <f>IF($J210="","",IF(NOT(ISNUMBER($O210)),"COSTO PENDIENTE",$J210*$O210))</f>
        <v/>
      </c>
      <c r="Q210" s="37">
        <f>IF($J210="","",IF(OR(NOT(ISNUMBER($N210)),NOT(ISNUMBER($P210))),"PENDIENTE",$N210-$P210))</f>
        <v/>
      </c>
      <c r="R210" s="38">
        <f>IF($J210="","",IF(OR(NOT(ISNUMBER($Q210)),NOT(ISNUMBER($N210)),$N210&lt;=0),"PENDIENTE",$Q210/$N210))</f>
        <v/>
      </c>
      <c r="S210" s="33" t="n"/>
      <c r="T210" s="33" t="n"/>
      <c r="U210" s="41" t="n"/>
      <c r="V210" s="36" t="n"/>
      <c r="W210" s="37">
        <f>IF(NOT(ISNUMBER($N210)),"",$N210-IF(ISNUMBER($V210),$V210,0))</f>
        <v/>
      </c>
      <c r="X210" s="33" t="n"/>
      <c r="Y210" s="51">
        <f>IF(COUNTA($B210,$C210,$D210,$E210,$F210,$I210)=0,"",IF(IF($B210=""," · Falta fecha","")&amp;IF($D210=""," · Falta cliente","")&amp;IF($E210=""," · Falta canal","")&amp;IF($F210=""," · Falta SKU","")&amp;IF(AND($F210&lt;&gt;"",COUNTIF(tblProductos[SKU],$F210)=0)," · SKU no existe","")&amp;IF(OR($I210="",NOT(ISNUMBER($I210)),$I210&lt;=0)," · Cantidad inválida","")&amp;IF($M210="PRECIO PENDIENTE"," · Falta precio de venta","")&amp;IF($P210="COSTO PENDIENTE"," · Falta costo del producto","")&amp;IF(AND(ISNUMBER($Q210),$Q210&lt;0)," · UTILIDAD NEGATIVA","")&amp;IF(AND($F210&lt;&gt;"",ISNUMBER(INDEX(tblInventario[Stock actual],MATCH($F210,tblInventario[SKU],0))),INDEX(tblInventario[Stock actual],MATCH($F210,tblInventario[SKU],0))&lt;0)," · Stock negativo del SKU","")&amp;IF(AND($T210="Cobrado",$U210="")," · Cobro sin fecha","")&amp;IF(AND(ISNUMBER($V210),ISNUMBER($N210),$V210&gt;N($N210)+0.01)," · Cobrado &gt; venta neta","")&amp;IF(AND(ISNUMBER($V210),$V210&gt;0,$U210="")," · Monto cobrado sin fecha","")="","OK",MID(IF($B210=""," · Falta fecha","")&amp;IF($D210=""," · Falta cliente","")&amp;IF($E210=""," · Falta canal","")&amp;IF($F210=""," · Falta SKU","")&amp;IF(AND($F210&lt;&gt;"",COUNTIF(tblProductos[SKU],$F210)=0)," · SKU no existe","")&amp;IF(OR($I210="",NOT(ISNUMBER($I210)),$I210&lt;=0)," · Cantidad inválida","")&amp;IF($M210="PRECIO PENDIENTE"," · Falta precio de venta","")&amp;IF($P210="COSTO PENDIENTE"," · Falta costo del producto","")&amp;IF(AND(ISNUMBER($Q210),$Q210&lt;0)," · UTILIDAD NEGATIVA","")&amp;IF(AND($F210&lt;&gt;"",ISNUMBER(INDEX(tblInventario[Stock actual],MATCH($F210,tblInventario[SKU],0))),INDEX(tblInventario[Stock actual],MATCH($F210,tblInventario[SKU],0))&lt;0)," · Stock negativo del SKU","")&amp;IF(AND($T210="Cobrado",$U210="")," · Cobro sin fecha","")&amp;IF(AND(ISNUMBER($V210),ISNUMBER($N210),$V210&gt;N($N210)+0.01)," · Cobrado &gt; venta neta","")&amp;IF(AND(ISNUMBER($V210),$V210&gt;0,$U210="")," · Monto cobrado sin fecha",""),4,900)))</f>
        <v/>
      </c>
    </row>
    <row r="211">
      <c r="A211" s="51">
        <f>IF(COUNTA($B211,$C211,$D211,$E211,$F211,$I211)=0,"","V-"&amp;TEXT(ROW()-6,"0000"))</f>
        <v/>
      </c>
      <c r="B211" s="41" t="n"/>
      <c r="C211" s="33" t="n"/>
      <c r="D211" s="33" t="n"/>
      <c r="E211" s="33" t="n"/>
      <c r="F211" s="33" t="n"/>
      <c r="G211" s="51">
        <f>IF($F211="","",IFERROR(IF(INDEX(tblProductos[Nombre del producto],MATCH($F211,tblProductos[SKU],0))="","",INDEX(tblProductos[Nombre del producto],MATCH($F211,tblProductos[SKU],0))),""))</f>
        <v/>
      </c>
      <c r="H211" s="51">
        <f>IF($F211="","",IFERROR(IF(INDEX(tblProductos[Categoría],MATCH($F211,tblProductos[SKU],0))="","",INDEX(tblProductos[Categoría],MATCH($F211,tblProductos[SKU],0))),""))</f>
        <v/>
      </c>
      <c r="I211" s="34" t="n"/>
      <c r="J211" s="39">
        <f>IF(OR($B211="",$F211="",$I211=""),"",IF($T211="Anulado",0,$I211))</f>
        <v/>
      </c>
      <c r="K211" s="54">
        <f>IF($F211="","",IFERROR(IF(INDEX(tblProductos[Precio de venta actual],MATCH($F211,tblProductos[SKU],0))="","",INDEX(tblProductos[Precio de venta actual],MATCH($F211,tblProductos[SKU],0))),""))</f>
        <v/>
      </c>
      <c r="L211" s="36" t="n"/>
      <c r="M211" s="37">
        <f>IF($J211="","",IF(NOT(ISNUMBER($K211)),"PRECIO PENDIENTE",$J211*$K211))</f>
        <v/>
      </c>
      <c r="N211" s="37">
        <f>IF($J211="","",IF(NOT(ISNUMBER($M211)),"PRECIO PENDIENTE",$M211-IF(ISNUMBER($L211),$L211,0)))</f>
        <v/>
      </c>
      <c r="O211" s="54">
        <f>IF($F211="","",IFERROR(INDEX(tblInventario[Costo unitario aplicado],MATCH($F211,tblInventario[SKU],0)),""))</f>
        <v/>
      </c>
      <c r="P211" s="37">
        <f>IF($J211="","",IF(NOT(ISNUMBER($O211)),"COSTO PENDIENTE",$J211*$O211))</f>
        <v/>
      </c>
      <c r="Q211" s="37">
        <f>IF($J211="","",IF(OR(NOT(ISNUMBER($N211)),NOT(ISNUMBER($P211))),"PENDIENTE",$N211-$P211))</f>
        <v/>
      </c>
      <c r="R211" s="38">
        <f>IF($J211="","",IF(OR(NOT(ISNUMBER($Q211)),NOT(ISNUMBER($N211)),$N211&lt;=0),"PENDIENTE",$Q211/$N211))</f>
        <v/>
      </c>
      <c r="S211" s="33" t="n"/>
      <c r="T211" s="33" t="n"/>
      <c r="U211" s="41" t="n"/>
      <c r="V211" s="36" t="n"/>
      <c r="W211" s="37">
        <f>IF(NOT(ISNUMBER($N211)),"",$N211-IF(ISNUMBER($V211),$V211,0))</f>
        <v/>
      </c>
      <c r="X211" s="33" t="n"/>
      <c r="Y211" s="51">
        <f>IF(COUNTA($B211,$C211,$D211,$E211,$F211,$I211)=0,"",IF(IF($B211=""," · Falta fecha","")&amp;IF($D211=""," · Falta cliente","")&amp;IF($E211=""," · Falta canal","")&amp;IF($F211=""," · Falta SKU","")&amp;IF(AND($F211&lt;&gt;"",COUNTIF(tblProductos[SKU],$F211)=0)," · SKU no existe","")&amp;IF(OR($I211="",NOT(ISNUMBER($I211)),$I211&lt;=0)," · Cantidad inválida","")&amp;IF($M211="PRECIO PENDIENTE"," · Falta precio de venta","")&amp;IF($P211="COSTO PENDIENTE"," · Falta costo del producto","")&amp;IF(AND(ISNUMBER($Q211),$Q211&lt;0)," · UTILIDAD NEGATIVA","")&amp;IF(AND($F211&lt;&gt;"",ISNUMBER(INDEX(tblInventario[Stock actual],MATCH($F211,tblInventario[SKU],0))),INDEX(tblInventario[Stock actual],MATCH($F211,tblInventario[SKU],0))&lt;0)," · Stock negativo del SKU","")&amp;IF(AND($T211="Cobrado",$U211="")," · Cobro sin fecha","")&amp;IF(AND(ISNUMBER($V211),ISNUMBER($N211),$V211&gt;N($N211)+0.01)," · Cobrado &gt; venta neta","")&amp;IF(AND(ISNUMBER($V211),$V211&gt;0,$U211="")," · Monto cobrado sin fecha","")="","OK",MID(IF($B211=""," · Falta fecha","")&amp;IF($D211=""," · Falta cliente","")&amp;IF($E211=""," · Falta canal","")&amp;IF($F211=""," · Falta SKU","")&amp;IF(AND($F211&lt;&gt;"",COUNTIF(tblProductos[SKU],$F211)=0)," · SKU no existe","")&amp;IF(OR($I211="",NOT(ISNUMBER($I211)),$I211&lt;=0)," · Cantidad inválida","")&amp;IF($M211="PRECIO PENDIENTE"," · Falta precio de venta","")&amp;IF($P211="COSTO PENDIENTE"," · Falta costo del producto","")&amp;IF(AND(ISNUMBER($Q211),$Q211&lt;0)," · UTILIDAD NEGATIVA","")&amp;IF(AND($F211&lt;&gt;"",ISNUMBER(INDEX(tblInventario[Stock actual],MATCH($F211,tblInventario[SKU],0))),INDEX(tblInventario[Stock actual],MATCH($F211,tblInventario[SKU],0))&lt;0)," · Stock negativo del SKU","")&amp;IF(AND($T211="Cobrado",$U211="")," · Cobro sin fecha","")&amp;IF(AND(ISNUMBER($V211),ISNUMBER($N211),$V211&gt;N($N211)+0.01)," · Cobrado &gt; venta neta","")&amp;IF(AND(ISNUMBER($V211),$V211&gt;0,$U211="")," · Monto cobrado sin fecha",""),4,900)))</f>
        <v/>
      </c>
    </row>
    <row r="212">
      <c r="A212" s="51">
        <f>IF(COUNTA($B212,$C212,$D212,$E212,$F212,$I212)=0,"","V-"&amp;TEXT(ROW()-6,"0000"))</f>
        <v/>
      </c>
      <c r="B212" s="41" t="n"/>
      <c r="C212" s="33" t="n"/>
      <c r="D212" s="33" t="n"/>
      <c r="E212" s="33" t="n"/>
      <c r="F212" s="33" t="n"/>
      <c r="G212" s="51">
        <f>IF($F212="","",IFERROR(IF(INDEX(tblProductos[Nombre del producto],MATCH($F212,tblProductos[SKU],0))="","",INDEX(tblProductos[Nombre del producto],MATCH($F212,tblProductos[SKU],0))),""))</f>
        <v/>
      </c>
      <c r="H212" s="51">
        <f>IF($F212="","",IFERROR(IF(INDEX(tblProductos[Categoría],MATCH($F212,tblProductos[SKU],0))="","",INDEX(tblProductos[Categoría],MATCH($F212,tblProductos[SKU],0))),""))</f>
        <v/>
      </c>
      <c r="I212" s="34" t="n"/>
      <c r="J212" s="39">
        <f>IF(OR($B212="",$F212="",$I212=""),"",IF($T212="Anulado",0,$I212))</f>
        <v/>
      </c>
      <c r="K212" s="54">
        <f>IF($F212="","",IFERROR(IF(INDEX(tblProductos[Precio de venta actual],MATCH($F212,tblProductos[SKU],0))="","",INDEX(tblProductos[Precio de venta actual],MATCH($F212,tblProductos[SKU],0))),""))</f>
        <v/>
      </c>
      <c r="L212" s="36" t="n"/>
      <c r="M212" s="37">
        <f>IF($J212="","",IF(NOT(ISNUMBER($K212)),"PRECIO PENDIENTE",$J212*$K212))</f>
        <v/>
      </c>
      <c r="N212" s="37">
        <f>IF($J212="","",IF(NOT(ISNUMBER($M212)),"PRECIO PENDIENTE",$M212-IF(ISNUMBER($L212),$L212,0)))</f>
        <v/>
      </c>
      <c r="O212" s="54">
        <f>IF($F212="","",IFERROR(INDEX(tblInventario[Costo unitario aplicado],MATCH($F212,tblInventario[SKU],0)),""))</f>
        <v/>
      </c>
      <c r="P212" s="37">
        <f>IF($J212="","",IF(NOT(ISNUMBER($O212)),"COSTO PENDIENTE",$J212*$O212))</f>
        <v/>
      </c>
      <c r="Q212" s="37">
        <f>IF($J212="","",IF(OR(NOT(ISNUMBER($N212)),NOT(ISNUMBER($P212))),"PENDIENTE",$N212-$P212))</f>
        <v/>
      </c>
      <c r="R212" s="38">
        <f>IF($J212="","",IF(OR(NOT(ISNUMBER($Q212)),NOT(ISNUMBER($N212)),$N212&lt;=0),"PENDIENTE",$Q212/$N212))</f>
        <v/>
      </c>
      <c r="S212" s="33" t="n"/>
      <c r="T212" s="33" t="n"/>
      <c r="U212" s="41" t="n"/>
      <c r="V212" s="36" t="n"/>
      <c r="W212" s="37">
        <f>IF(NOT(ISNUMBER($N212)),"",$N212-IF(ISNUMBER($V212),$V212,0))</f>
        <v/>
      </c>
      <c r="X212" s="33" t="n"/>
      <c r="Y212" s="51">
        <f>IF(COUNTA($B212,$C212,$D212,$E212,$F212,$I212)=0,"",IF(IF($B212=""," · Falta fecha","")&amp;IF($D212=""," · Falta cliente","")&amp;IF($E212=""," · Falta canal","")&amp;IF($F212=""," · Falta SKU","")&amp;IF(AND($F212&lt;&gt;"",COUNTIF(tblProductos[SKU],$F212)=0)," · SKU no existe","")&amp;IF(OR($I212="",NOT(ISNUMBER($I212)),$I212&lt;=0)," · Cantidad inválida","")&amp;IF($M212="PRECIO PENDIENTE"," · Falta precio de venta","")&amp;IF($P212="COSTO PENDIENTE"," · Falta costo del producto","")&amp;IF(AND(ISNUMBER($Q212),$Q212&lt;0)," · UTILIDAD NEGATIVA","")&amp;IF(AND($F212&lt;&gt;"",ISNUMBER(INDEX(tblInventario[Stock actual],MATCH($F212,tblInventario[SKU],0))),INDEX(tblInventario[Stock actual],MATCH($F212,tblInventario[SKU],0))&lt;0)," · Stock negativo del SKU","")&amp;IF(AND($T212="Cobrado",$U212="")," · Cobro sin fecha","")&amp;IF(AND(ISNUMBER($V212),ISNUMBER($N212),$V212&gt;N($N212)+0.01)," · Cobrado &gt; venta neta","")&amp;IF(AND(ISNUMBER($V212),$V212&gt;0,$U212="")," · Monto cobrado sin fecha","")="","OK",MID(IF($B212=""," · Falta fecha","")&amp;IF($D212=""," · Falta cliente","")&amp;IF($E212=""," · Falta canal","")&amp;IF($F212=""," · Falta SKU","")&amp;IF(AND($F212&lt;&gt;"",COUNTIF(tblProductos[SKU],$F212)=0)," · SKU no existe","")&amp;IF(OR($I212="",NOT(ISNUMBER($I212)),$I212&lt;=0)," · Cantidad inválida","")&amp;IF($M212="PRECIO PENDIENTE"," · Falta precio de venta","")&amp;IF($P212="COSTO PENDIENTE"," · Falta costo del producto","")&amp;IF(AND(ISNUMBER($Q212),$Q212&lt;0)," · UTILIDAD NEGATIVA","")&amp;IF(AND($F212&lt;&gt;"",ISNUMBER(INDEX(tblInventario[Stock actual],MATCH($F212,tblInventario[SKU],0))),INDEX(tblInventario[Stock actual],MATCH($F212,tblInventario[SKU],0))&lt;0)," · Stock negativo del SKU","")&amp;IF(AND($T212="Cobrado",$U212="")," · Cobro sin fecha","")&amp;IF(AND(ISNUMBER($V212),ISNUMBER($N212),$V212&gt;N($N212)+0.01)," · Cobrado &gt; venta neta","")&amp;IF(AND(ISNUMBER($V212),$V212&gt;0,$U212="")," · Monto cobrado sin fecha",""),4,900)))</f>
        <v/>
      </c>
    </row>
    <row r="213">
      <c r="A213" s="51">
        <f>IF(COUNTA($B213,$C213,$D213,$E213,$F213,$I213)=0,"","V-"&amp;TEXT(ROW()-6,"0000"))</f>
        <v/>
      </c>
      <c r="B213" s="41" t="n"/>
      <c r="C213" s="33" t="n"/>
      <c r="D213" s="33" t="n"/>
      <c r="E213" s="33" t="n"/>
      <c r="F213" s="33" t="n"/>
      <c r="G213" s="51">
        <f>IF($F213="","",IFERROR(IF(INDEX(tblProductos[Nombre del producto],MATCH($F213,tblProductos[SKU],0))="","",INDEX(tblProductos[Nombre del producto],MATCH($F213,tblProductos[SKU],0))),""))</f>
        <v/>
      </c>
      <c r="H213" s="51">
        <f>IF($F213="","",IFERROR(IF(INDEX(tblProductos[Categoría],MATCH($F213,tblProductos[SKU],0))="","",INDEX(tblProductos[Categoría],MATCH($F213,tblProductos[SKU],0))),""))</f>
        <v/>
      </c>
      <c r="I213" s="34" t="n"/>
      <c r="J213" s="39">
        <f>IF(OR($B213="",$F213="",$I213=""),"",IF($T213="Anulado",0,$I213))</f>
        <v/>
      </c>
      <c r="K213" s="54">
        <f>IF($F213="","",IFERROR(IF(INDEX(tblProductos[Precio de venta actual],MATCH($F213,tblProductos[SKU],0))="","",INDEX(tblProductos[Precio de venta actual],MATCH($F213,tblProductos[SKU],0))),""))</f>
        <v/>
      </c>
      <c r="L213" s="36" t="n"/>
      <c r="M213" s="37">
        <f>IF($J213="","",IF(NOT(ISNUMBER($K213)),"PRECIO PENDIENTE",$J213*$K213))</f>
        <v/>
      </c>
      <c r="N213" s="37">
        <f>IF($J213="","",IF(NOT(ISNUMBER($M213)),"PRECIO PENDIENTE",$M213-IF(ISNUMBER($L213),$L213,0)))</f>
        <v/>
      </c>
      <c r="O213" s="54">
        <f>IF($F213="","",IFERROR(INDEX(tblInventario[Costo unitario aplicado],MATCH($F213,tblInventario[SKU],0)),""))</f>
        <v/>
      </c>
      <c r="P213" s="37">
        <f>IF($J213="","",IF(NOT(ISNUMBER($O213)),"COSTO PENDIENTE",$J213*$O213))</f>
        <v/>
      </c>
      <c r="Q213" s="37">
        <f>IF($J213="","",IF(OR(NOT(ISNUMBER($N213)),NOT(ISNUMBER($P213))),"PENDIENTE",$N213-$P213))</f>
        <v/>
      </c>
      <c r="R213" s="38">
        <f>IF($J213="","",IF(OR(NOT(ISNUMBER($Q213)),NOT(ISNUMBER($N213)),$N213&lt;=0),"PENDIENTE",$Q213/$N213))</f>
        <v/>
      </c>
      <c r="S213" s="33" t="n"/>
      <c r="T213" s="33" t="n"/>
      <c r="U213" s="41" t="n"/>
      <c r="V213" s="36" t="n"/>
      <c r="W213" s="37">
        <f>IF(NOT(ISNUMBER($N213)),"",$N213-IF(ISNUMBER($V213),$V213,0))</f>
        <v/>
      </c>
      <c r="X213" s="33" t="n"/>
      <c r="Y213" s="51">
        <f>IF(COUNTA($B213,$C213,$D213,$E213,$F213,$I213)=0,"",IF(IF($B213=""," · Falta fecha","")&amp;IF($D213=""," · Falta cliente","")&amp;IF($E213=""," · Falta canal","")&amp;IF($F213=""," · Falta SKU","")&amp;IF(AND($F213&lt;&gt;"",COUNTIF(tblProductos[SKU],$F213)=0)," · SKU no existe","")&amp;IF(OR($I213="",NOT(ISNUMBER($I213)),$I213&lt;=0)," · Cantidad inválida","")&amp;IF($M213="PRECIO PENDIENTE"," · Falta precio de venta","")&amp;IF($P213="COSTO PENDIENTE"," · Falta costo del producto","")&amp;IF(AND(ISNUMBER($Q213),$Q213&lt;0)," · UTILIDAD NEGATIVA","")&amp;IF(AND($F213&lt;&gt;"",ISNUMBER(INDEX(tblInventario[Stock actual],MATCH($F213,tblInventario[SKU],0))),INDEX(tblInventario[Stock actual],MATCH($F213,tblInventario[SKU],0))&lt;0)," · Stock negativo del SKU","")&amp;IF(AND($T213="Cobrado",$U213="")," · Cobro sin fecha","")&amp;IF(AND(ISNUMBER($V213),ISNUMBER($N213),$V213&gt;N($N213)+0.01)," · Cobrado &gt; venta neta","")&amp;IF(AND(ISNUMBER($V213),$V213&gt;0,$U213="")," · Monto cobrado sin fecha","")="","OK",MID(IF($B213=""," · Falta fecha","")&amp;IF($D213=""," · Falta cliente","")&amp;IF($E213=""," · Falta canal","")&amp;IF($F213=""," · Falta SKU","")&amp;IF(AND($F213&lt;&gt;"",COUNTIF(tblProductos[SKU],$F213)=0)," · SKU no existe","")&amp;IF(OR($I213="",NOT(ISNUMBER($I213)),$I213&lt;=0)," · Cantidad inválida","")&amp;IF($M213="PRECIO PENDIENTE"," · Falta precio de venta","")&amp;IF($P213="COSTO PENDIENTE"," · Falta costo del producto","")&amp;IF(AND(ISNUMBER($Q213),$Q213&lt;0)," · UTILIDAD NEGATIVA","")&amp;IF(AND($F213&lt;&gt;"",ISNUMBER(INDEX(tblInventario[Stock actual],MATCH($F213,tblInventario[SKU],0))),INDEX(tblInventario[Stock actual],MATCH($F213,tblInventario[SKU],0))&lt;0)," · Stock negativo del SKU","")&amp;IF(AND($T213="Cobrado",$U213="")," · Cobro sin fecha","")&amp;IF(AND(ISNUMBER($V213),ISNUMBER($N213),$V213&gt;N($N213)+0.01)," · Cobrado &gt; venta neta","")&amp;IF(AND(ISNUMBER($V213),$V213&gt;0,$U213="")," · Monto cobrado sin fecha",""),4,900)))</f>
        <v/>
      </c>
    </row>
    <row r="214">
      <c r="A214" s="51">
        <f>IF(COUNTA($B214,$C214,$D214,$E214,$F214,$I214)=0,"","V-"&amp;TEXT(ROW()-6,"0000"))</f>
        <v/>
      </c>
      <c r="B214" s="41" t="n"/>
      <c r="C214" s="33" t="n"/>
      <c r="D214" s="33" t="n"/>
      <c r="E214" s="33" t="n"/>
      <c r="F214" s="33" t="n"/>
      <c r="G214" s="51">
        <f>IF($F214="","",IFERROR(IF(INDEX(tblProductos[Nombre del producto],MATCH($F214,tblProductos[SKU],0))="","",INDEX(tblProductos[Nombre del producto],MATCH($F214,tblProductos[SKU],0))),""))</f>
        <v/>
      </c>
      <c r="H214" s="51">
        <f>IF($F214="","",IFERROR(IF(INDEX(tblProductos[Categoría],MATCH($F214,tblProductos[SKU],0))="","",INDEX(tblProductos[Categoría],MATCH($F214,tblProductos[SKU],0))),""))</f>
        <v/>
      </c>
      <c r="I214" s="34" t="n"/>
      <c r="J214" s="39">
        <f>IF(OR($B214="",$F214="",$I214=""),"",IF($T214="Anulado",0,$I214))</f>
        <v/>
      </c>
      <c r="K214" s="54">
        <f>IF($F214="","",IFERROR(IF(INDEX(tblProductos[Precio de venta actual],MATCH($F214,tblProductos[SKU],0))="","",INDEX(tblProductos[Precio de venta actual],MATCH($F214,tblProductos[SKU],0))),""))</f>
        <v/>
      </c>
      <c r="L214" s="36" t="n"/>
      <c r="M214" s="37">
        <f>IF($J214="","",IF(NOT(ISNUMBER($K214)),"PRECIO PENDIENTE",$J214*$K214))</f>
        <v/>
      </c>
      <c r="N214" s="37">
        <f>IF($J214="","",IF(NOT(ISNUMBER($M214)),"PRECIO PENDIENTE",$M214-IF(ISNUMBER($L214),$L214,0)))</f>
        <v/>
      </c>
      <c r="O214" s="54">
        <f>IF($F214="","",IFERROR(INDEX(tblInventario[Costo unitario aplicado],MATCH($F214,tblInventario[SKU],0)),""))</f>
        <v/>
      </c>
      <c r="P214" s="37">
        <f>IF($J214="","",IF(NOT(ISNUMBER($O214)),"COSTO PENDIENTE",$J214*$O214))</f>
        <v/>
      </c>
      <c r="Q214" s="37">
        <f>IF($J214="","",IF(OR(NOT(ISNUMBER($N214)),NOT(ISNUMBER($P214))),"PENDIENTE",$N214-$P214))</f>
        <v/>
      </c>
      <c r="R214" s="38">
        <f>IF($J214="","",IF(OR(NOT(ISNUMBER($Q214)),NOT(ISNUMBER($N214)),$N214&lt;=0),"PENDIENTE",$Q214/$N214))</f>
        <v/>
      </c>
      <c r="S214" s="33" t="n"/>
      <c r="T214" s="33" t="n"/>
      <c r="U214" s="41" t="n"/>
      <c r="V214" s="36" t="n"/>
      <c r="W214" s="37">
        <f>IF(NOT(ISNUMBER($N214)),"",$N214-IF(ISNUMBER($V214),$V214,0))</f>
        <v/>
      </c>
      <c r="X214" s="33" t="n"/>
      <c r="Y214" s="51">
        <f>IF(COUNTA($B214,$C214,$D214,$E214,$F214,$I214)=0,"",IF(IF($B214=""," · Falta fecha","")&amp;IF($D214=""," · Falta cliente","")&amp;IF($E214=""," · Falta canal","")&amp;IF($F214=""," · Falta SKU","")&amp;IF(AND($F214&lt;&gt;"",COUNTIF(tblProductos[SKU],$F214)=0)," · SKU no existe","")&amp;IF(OR($I214="",NOT(ISNUMBER($I214)),$I214&lt;=0)," · Cantidad inválida","")&amp;IF($M214="PRECIO PENDIENTE"," · Falta precio de venta","")&amp;IF($P214="COSTO PENDIENTE"," · Falta costo del producto","")&amp;IF(AND(ISNUMBER($Q214),$Q214&lt;0)," · UTILIDAD NEGATIVA","")&amp;IF(AND($F214&lt;&gt;"",ISNUMBER(INDEX(tblInventario[Stock actual],MATCH($F214,tblInventario[SKU],0))),INDEX(tblInventario[Stock actual],MATCH($F214,tblInventario[SKU],0))&lt;0)," · Stock negativo del SKU","")&amp;IF(AND($T214="Cobrado",$U214="")," · Cobro sin fecha","")&amp;IF(AND(ISNUMBER($V214),ISNUMBER($N214),$V214&gt;N($N214)+0.01)," · Cobrado &gt; venta neta","")&amp;IF(AND(ISNUMBER($V214),$V214&gt;0,$U214="")," · Monto cobrado sin fecha","")="","OK",MID(IF($B214=""," · Falta fecha","")&amp;IF($D214=""," · Falta cliente","")&amp;IF($E214=""," · Falta canal","")&amp;IF($F214=""," · Falta SKU","")&amp;IF(AND($F214&lt;&gt;"",COUNTIF(tblProductos[SKU],$F214)=0)," · SKU no existe","")&amp;IF(OR($I214="",NOT(ISNUMBER($I214)),$I214&lt;=0)," · Cantidad inválida","")&amp;IF($M214="PRECIO PENDIENTE"," · Falta precio de venta","")&amp;IF($P214="COSTO PENDIENTE"," · Falta costo del producto","")&amp;IF(AND(ISNUMBER($Q214),$Q214&lt;0)," · UTILIDAD NEGATIVA","")&amp;IF(AND($F214&lt;&gt;"",ISNUMBER(INDEX(tblInventario[Stock actual],MATCH($F214,tblInventario[SKU],0))),INDEX(tblInventario[Stock actual],MATCH($F214,tblInventario[SKU],0))&lt;0)," · Stock negativo del SKU","")&amp;IF(AND($T214="Cobrado",$U214="")," · Cobro sin fecha","")&amp;IF(AND(ISNUMBER($V214),ISNUMBER($N214),$V214&gt;N($N214)+0.01)," · Cobrado &gt; venta neta","")&amp;IF(AND(ISNUMBER($V214),$V214&gt;0,$U214="")," · Monto cobrado sin fecha",""),4,900)))</f>
        <v/>
      </c>
    </row>
    <row r="215">
      <c r="A215" s="51">
        <f>IF(COUNTA($B215,$C215,$D215,$E215,$F215,$I215)=0,"","V-"&amp;TEXT(ROW()-6,"0000"))</f>
        <v/>
      </c>
      <c r="B215" s="41" t="n"/>
      <c r="C215" s="33" t="n"/>
      <c r="D215" s="33" t="n"/>
      <c r="E215" s="33" t="n"/>
      <c r="F215" s="33" t="n"/>
      <c r="G215" s="51">
        <f>IF($F215="","",IFERROR(IF(INDEX(tblProductos[Nombre del producto],MATCH($F215,tblProductos[SKU],0))="","",INDEX(tblProductos[Nombre del producto],MATCH($F215,tblProductos[SKU],0))),""))</f>
        <v/>
      </c>
      <c r="H215" s="51">
        <f>IF($F215="","",IFERROR(IF(INDEX(tblProductos[Categoría],MATCH($F215,tblProductos[SKU],0))="","",INDEX(tblProductos[Categoría],MATCH($F215,tblProductos[SKU],0))),""))</f>
        <v/>
      </c>
      <c r="I215" s="34" t="n"/>
      <c r="J215" s="39">
        <f>IF(OR($B215="",$F215="",$I215=""),"",IF($T215="Anulado",0,$I215))</f>
        <v/>
      </c>
      <c r="K215" s="54">
        <f>IF($F215="","",IFERROR(IF(INDEX(tblProductos[Precio de venta actual],MATCH($F215,tblProductos[SKU],0))="","",INDEX(tblProductos[Precio de venta actual],MATCH($F215,tblProductos[SKU],0))),""))</f>
        <v/>
      </c>
      <c r="L215" s="36" t="n"/>
      <c r="M215" s="37">
        <f>IF($J215="","",IF(NOT(ISNUMBER($K215)),"PRECIO PENDIENTE",$J215*$K215))</f>
        <v/>
      </c>
      <c r="N215" s="37">
        <f>IF($J215="","",IF(NOT(ISNUMBER($M215)),"PRECIO PENDIENTE",$M215-IF(ISNUMBER($L215),$L215,0)))</f>
        <v/>
      </c>
      <c r="O215" s="54">
        <f>IF($F215="","",IFERROR(INDEX(tblInventario[Costo unitario aplicado],MATCH($F215,tblInventario[SKU],0)),""))</f>
        <v/>
      </c>
      <c r="P215" s="37">
        <f>IF($J215="","",IF(NOT(ISNUMBER($O215)),"COSTO PENDIENTE",$J215*$O215))</f>
        <v/>
      </c>
      <c r="Q215" s="37">
        <f>IF($J215="","",IF(OR(NOT(ISNUMBER($N215)),NOT(ISNUMBER($P215))),"PENDIENTE",$N215-$P215))</f>
        <v/>
      </c>
      <c r="R215" s="38">
        <f>IF($J215="","",IF(OR(NOT(ISNUMBER($Q215)),NOT(ISNUMBER($N215)),$N215&lt;=0),"PENDIENTE",$Q215/$N215))</f>
        <v/>
      </c>
      <c r="S215" s="33" t="n"/>
      <c r="T215" s="33" t="n"/>
      <c r="U215" s="41" t="n"/>
      <c r="V215" s="36" t="n"/>
      <c r="W215" s="37">
        <f>IF(NOT(ISNUMBER($N215)),"",$N215-IF(ISNUMBER($V215),$V215,0))</f>
        <v/>
      </c>
      <c r="X215" s="33" t="n"/>
      <c r="Y215" s="51">
        <f>IF(COUNTA($B215,$C215,$D215,$E215,$F215,$I215)=0,"",IF(IF($B215=""," · Falta fecha","")&amp;IF($D215=""," · Falta cliente","")&amp;IF($E215=""," · Falta canal","")&amp;IF($F215=""," · Falta SKU","")&amp;IF(AND($F215&lt;&gt;"",COUNTIF(tblProductos[SKU],$F215)=0)," · SKU no existe","")&amp;IF(OR($I215="",NOT(ISNUMBER($I215)),$I215&lt;=0)," · Cantidad inválida","")&amp;IF($M215="PRECIO PENDIENTE"," · Falta precio de venta","")&amp;IF($P215="COSTO PENDIENTE"," · Falta costo del producto","")&amp;IF(AND(ISNUMBER($Q215),$Q215&lt;0)," · UTILIDAD NEGATIVA","")&amp;IF(AND($F215&lt;&gt;"",ISNUMBER(INDEX(tblInventario[Stock actual],MATCH($F215,tblInventario[SKU],0))),INDEX(tblInventario[Stock actual],MATCH($F215,tblInventario[SKU],0))&lt;0)," · Stock negativo del SKU","")&amp;IF(AND($T215="Cobrado",$U215="")," · Cobro sin fecha","")&amp;IF(AND(ISNUMBER($V215),ISNUMBER($N215),$V215&gt;N($N215)+0.01)," · Cobrado &gt; venta neta","")&amp;IF(AND(ISNUMBER($V215),$V215&gt;0,$U215="")," · Monto cobrado sin fecha","")="","OK",MID(IF($B215=""," · Falta fecha","")&amp;IF($D215=""," · Falta cliente","")&amp;IF($E215=""," · Falta canal","")&amp;IF($F215=""," · Falta SKU","")&amp;IF(AND($F215&lt;&gt;"",COUNTIF(tblProductos[SKU],$F215)=0)," · SKU no existe","")&amp;IF(OR($I215="",NOT(ISNUMBER($I215)),$I215&lt;=0)," · Cantidad inválida","")&amp;IF($M215="PRECIO PENDIENTE"," · Falta precio de venta","")&amp;IF($P215="COSTO PENDIENTE"," · Falta costo del producto","")&amp;IF(AND(ISNUMBER($Q215),$Q215&lt;0)," · UTILIDAD NEGATIVA","")&amp;IF(AND($F215&lt;&gt;"",ISNUMBER(INDEX(tblInventario[Stock actual],MATCH($F215,tblInventario[SKU],0))),INDEX(tblInventario[Stock actual],MATCH($F215,tblInventario[SKU],0))&lt;0)," · Stock negativo del SKU","")&amp;IF(AND($T215="Cobrado",$U215="")," · Cobro sin fecha","")&amp;IF(AND(ISNUMBER($V215),ISNUMBER($N215),$V215&gt;N($N215)+0.01)," · Cobrado &gt; venta neta","")&amp;IF(AND(ISNUMBER($V215),$V215&gt;0,$U215="")," · Monto cobrado sin fecha",""),4,900)))</f>
        <v/>
      </c>
    </row>
    <row r="216">
      <c r="A216" s="51">
        <f>IF(COUNTA($B216,$C216,$D216,$E216,$F216,$I216)=0,"","V-"&amp;TEXT(ROW()-6,"0000"))</f>
        <v/>
      </c>
      <c r="B216" s="41" t="n"/>
      <c r="C216" s="33" t="n"/>
      <c r="D216" s="33" t="n"/>
      <c r="E216" s="33" t="n"/>
      <c r="F216" s="33" t="n"/>
      <c r="G216" s="51">
        <f>IF($F216="","",IFERROR(IF(INDEX(tblProductos[Nombre del producto],MATCH($F216,tblProductos[SKU],0))="","",INDEX(tblProductos[Nombre del producto],MATCH($F216,tblProductos[SKU],0))),""))</f>
        <v/>
      </c>
      <c r="H216" s="51">
        <f>IF($F216="","",IFERROR(IF(INDEX(tblProductos[Categoría],MATCH($F216,tblProductos[SKU],0))="","",INDEX(tblProductos[Categoría],MATCH($F216,tblProductos[SKU],0))),""))</f>
        <v/>
      </c>
      <c r="I216" s="34" t="n"/>
      <c r="J216" s="39">
        <f>IF(OR($B216="",$F216="",$I216=""),"",IF($T216="Anulado",0,$I216))</f>
        <v/>
      </c>
      <c r="K216" s="54">
        <f>IF($F216="","",IFERROR(IF(INDEX(tblProductos[Precio de venta actual],MATCH($F216,tblProductos[SKU],0))="","",INDEX(tblProductos[Precio de venta actual],MATCH($F216,tblProductos[SKU],0))),""))</f>
        <v/>
      </c>
      <c r="L216" s="36" t="n"/>
      <c r="M216" s="37">
        <f>IF($J216="","",IF(NOT(ISNUMBER($K216)),"PRECIO PENDIENTE",$J216*$K216))</f>
        <v/>
      </c>
      <c r="N216" s="37">
        <f>IF($J216="","",IF(NOT(ISNUMBER($M216)),"PRECIO PENDIENTE",$M216-IF(ISNUMBER($L216),$L216,0)))</f>
        <v/>
      </c>
      <c r="O216" s="54">
        <f>IF($F216="","",IFERROR(INDEX(tblInventario[Costo unitario aplicado],MATCH($F216,tblInventario[SKU],0)),""))</f>
        <v/>
      </c>
      <c r="P216" s="37">
        <f>IF($J216="","",IF(NOT(ISNUMBER($O216)),"COSTO PENDIENTE",$J216*$O216))</f>
        <v/>
      </c>
      <c r="Q216" s="37">
        <f>IF($J216="","",IF(OR(NOT(ISNUMBER($N216)),NOT(ISNUMBER($P216))),"PENDIENTE",$N216-$P216))</f>
        <v/>
      </c>
      <c r="R216" s="38">
        <f>IF($J216="","",IF(OR(NOT(ISNUMBER($Q216)),NOT(ISNUMBER($N216)),$N216&lt;=0),"PENDIENTE",$Q216/$N216))</f>
        <v/>
      </c>
      <c r="S216" s="33" t="n"/>
      <c r="T216" s="33" t="n"/>
      <c r="U216" s="41" t="n"/>
      <c r="V216" s="36" t="n"/>
      <c r="W216" s="37">
        <f>IF(NOT(ISNUMBER($N216)),"",$N216-IF(ISNUMBER($V216),$V216,0))</f>
        <v/>
      </c>
      <c r="X216" s="33" t="n"/>
      <c r="Y216" s="51">
        <f>IF(COUNTA($B216,$C216,$D216,$E216,$F216,$I216)=0,"",IF(IF($B216=""," · Falta fecha","")&amp;IF($D216=""," · Falta cliente","")&amp;IF($E216=""," · Falta canal","")&amp;IF($F216=""," · Falta SKU","")&amp;IF(AND($F216&lt;&gt;"",COUNTIF(tblProductos[SKU],$F216)=0)," · SKU no existe","")&amp;IF(OR($I216="",NOT(ISNUMBER($I216)),$I216&lt;=0)," · Cantidad inválida","")&amp;IF($M216="PRECIO PENDIENTE"," · Falta precio de venta","")&amp;IF($P216="COSTO PENDIENTE"," · Falta costo del producto","")&amp;IF(AND(ISNUMBER($Q216),$Q216&lt;0)," · UTILIDAD NEGATIVA","")&amp;IF(AND($F216&lt;&gt;"",ISNUMBER(INDEX(tblInventario[Stock actual],MATCH($F216,tblInventario[SKU],0))),INDEX(tblInventario[Stock actual],MATCH($F216,tblInventario[SKU],0))&lt;0)," · Stock negativo del SKU","")&amp;IF(AND($T216="Cobrado",$U216="")," · Cobro sin fecha","")&amp;IF(AND(ISNUMBER($V216),ISNUMBER($N216),$V216&gt;N($N216)+0.01)," · Cobrado &gt; venta neta","")&amp;IF(AND(ISNUMBER($V216),$V216&gt;0,$U216="")," · Monto cobrado sin fecha","")="","OK",MID(IF($B216=""," · Falta fecha","")&amp;IF($D216=""," · Falta cliente","")&amp;IF($E216=""," · Falta canal","")&amp;IF($F216=""," · Falta SKU","")&amp;IF(AND($F216&lt;&gt;"",COUNTIF(tblProductos[SKU],$F216)=0)," · SKU no existe","")&amp;IF(OR($I216="",NOT(ISNUMBER($I216)),$I216&lt;=0)," · Cantidad inválida","")&amp;IF($M216="PRECIO PENDIENTE"," · Falta precio de venta","")&amp;IF($P216="COSTO PENDIENTE"," · Falta costo del producto","")&amp;IF(AND(ISNUMBER($Q216),$Q216&lt;0)," · UTILIDAD NEGATIVA","")&amp;IF(AND($F216&lt;&gt;"",ISNUMBER(INDEX(tblInventario[Stock actual],MATCH($F216,tblInventario[SKU],0))),INDEX(tblInventario[Stock actual],MATCH($F216,tblInventario[SKU],0))&lt;0)," · Stock negativo del SKU","")&amp;IF(AND($T216="Cobrado",$U216="")," · Cobro sin fecha","")&amp;IF(AND(ISNUMBER($V216),ISNUMBER($N216),$V216&gt;N($N216)+0.01)," · Cobrado &gt; venta neta","")&amp;IF(AND(ISNUMBER($V216),$V216&gt;0,$U216="")," · Monto cobrado sin fecha",""),4,900)))</f>
        <v/>
      </c>
    </row>
    <row r="217">
      <c r="A217" s="51">
        <f>IF(COUNTA($B217,$C217,$D217,$E217,$F217,$I217)=0,"","V-"&amp;TEXT(ROW()-6,"0000"))</f>
        <v/>
      </c>
      <c r="B217" s="41" t="n"/>
      <c r="C217" s="33" t="n"/>
      <c r="D217" s="33" t="n"/>
      <c r="E217" s="33" t="n"/>
      <c r="F217" s="33" t="n"/>
      <c r="G217" s="51">
        <f>IF($F217="","",IFERROR(IF(INDEX(tblProductos[Nombre del producto],MATCH($F217,tblProductos[SKU],0))="","",INDEX(tblProductos[Nombre del producto],MATCH($F217,tblProductos[SKU],0))),""))</f>
        <v/>
      </c>
      <c r="H217" s="51">
        <f>IF($F217="","",IFERROR(IF(INDEX(tblProductos[Categoría],MATCH($F217,tblProductos[SKU],0))="","",INDEX(tblProductos[Categoría],MATCH($F217,tblProductos[SKU],0))),""))</f>
        <v/>
      </c>
      <c r="I217" s="34" t="n"/>
      <c r="J217" s="39">
        <f>IF(OR($B217="",$F217="",$I217=""),"",IF($T217="Anulado",0,$I217))</f>
        <v/>
      </c>
      <c r="K217" s="54">
        <f>IF($F217="","",IFERROR(IF(INDEX(tblProductos[Precio de venta actual],MATCH($F217,tblProductos[SKU],0))="","",INDEX(tblProductos[Precio de venta actual],MATCH($F217,tblProductos[SKU],0))),""))</f>
        <v/>
      </c>
      <c r="L217" s="36" t="n"/>
      <c r="M217" s="37">
        <f>IF($J217="","",IF(NOT(ISNUMBER($K217)),"PRECIO PENDIENTE",$J217*$K217))</f>
        <v/>
      </c>
      <c r="N217" s="37">
        <f>IF($J217="","",IF(NOT(ISNUMBER($M217)),"PRECIO PENDIENTE",$M217-IF(ISNUMBER($L217),$L217,0)))</f>
        <v/>
      </c>
      <c r="O217" s="54">
        <f>IF($F217="","",IFERROR(INDEX(tblInventario[Costo unitario aplicado],MATCH($F217,tblInventario[SKU],0)),""))</f>
        <v/>
      </c>
      <c r="P217" s="37">
        <f>IF($J217="","",IF(NOT(ISNUMBER($O217)),"COSTO PENDIENTE",$J217*$O217))</f>
        <v/>
      </c>
      <c r="Q217" s="37">
        <f>IF($J217="","",IF(OR(NOT(ISNUMBER($N217)),NOT(ISNUMBER($P217))),"PENDIENTE",$N217-$P217))</f>
        <v/>
      </c>
      <c r="R217" s="38">
        <f>IF($J217="","",IF(OR(NOT(ISNUMBER($Q217)),NOT(ISNUMBER($N217)),$N217&lt;=0),"PENDIENTE",$Q217/$N217))</f>
        <v/>
      </c>
      <c r="S217" s="33" t="n"/>
      <c r="T217" s="33" t="n"/>
      <c r="U217" s="41" t="n"/>
      <c r="V217" s="36" t="n"/>
      <c r="W217" s="37">
        <f>IF(NOT(ISNUMBER($N217)),"",$N217-IF(ISNUMBER($V217),$V217,0))</f>
        <v/>
      </c>
      <c r="X217" s="33" t="n"/>
      <c r="Y217" s="51">
        <f>IF(COUNTA($B217,$C217,$D217,$E217,$F217,$I217)=0,"",IF(IF($B217=""," · Falta fecha","")&amp;IF($D217=""," · Falta cliente","")&amp;IF($E217=""," · Falta canal","")&amp;IF($F217=""," · Falta SKU","")&amp;IF(AND($F217&lt;&gt;"",COUNTIF(tblProductos[SKU],$F217)=0)," · SKU no existe","")&amp;IF(OR($I217="",NOT(ISNUMBER($I217)),$I217&lt;=0)," · Cantidad inválida","")&amp;IF($M217="PRECIO PENDIENTE"," · Falta precio de venta","")&amp;IF($P217="COSTO PENDIENTE"," · Falta costo del producto","")&amp;IF(AND(ISNUMBER($Q217),$Q217&lt;0)," · UTILIDAD NEGATIVA","")&amp;IF(AND($F217&lt;&gt;"",ISNUMBER(INDEX(tblInventario[Stock actual],MATCH($F217,tblInventario[SKU],0))),INDEX(tblInventario[Stock actual],MATCH($F217,tblInventario[SKU],0))&lt;0)," · Stock negativo del SKU","")&amp;IF(AND($T217="Cobrado",$U217="")," · Cobro sin fecha","")&amp;IF(AND(ISNUMBER($V217),ISNUMBER($N217),$V217&gt;N($N217)+0.01)," · Cobrado &gt; venta neta","")&amp;IF(AND(ISNUMBER($V217),$V217&gt;0,$U217="")," · Monto cobrado sin fecha","")="","OK",MID(IF($B217=""," · Falta fecha","")&amp;IF($D217=""," · Falta cliente","")&amp;IF($E217=""," · Falta canal","")&amp;IF($F217=""," · Falta SKU","")&amp;IF(AND($F217&lt;&gt;"",COUNTIF(tblProductos[SKU],$F217)=0)," · SKU no existe","")&amp;IF(OR($I217="",NOT(ISNUMBER($I217)),$I217&lt;=0)," · Cantidad inválida","")&amp;IF($M217="PRECIO PENDIENTE"," · Falta precio de venta","")&amp;IF($P217="COSTO PENDIENTE"," · Falta costo del producto","")&amp;IF(AND(ISNUMBER($Q217),$Q217&lt;0)," · UTILIDAD NEGATIVA","")&amp;IF(AND($F217&lt;&gt;"",ISNUMBER(INDEX(tblInventario[Stock actual],MATCH($F217,tblInventario[SKU],0))),INDEX(tblInventario[Stock actual],MATCH($F217,tblInventario[SKU],0))&lt;0)," · Stock negativo del SKU","")&amp;IF(AND($T217="Cobrado",$U217="")," · Cobro sin fecha","")&amp;IF(AND(ISNUMBER($V217),ISNUMBER($N217),$V217&gt;N($N217)+0.01)," · Cobrado &gt; venta neta","")&amp;IF(AND(ISNUMBER($V217),$V217&gt;0,$U217="")," · Monto cobrado sin fecha",""),4,900)))</f>
        <v/>
      </c>
    </row>
    <row r="218">
      <c r="A218" s="51">
        <f>IF(COUNTA($B218,$C218,$D218,$E218,$F218,$I218)=0,"","V-"&amp;TEXT(ROW()-6,"0000"))</f>
        <v/>
      </c>
      <c r="B218" s="41" t="n"/>
      <c r="C218" s="33" t="n"/>
      <c r="D218" s="33" t="n"/>
      <c r="E218" s="33" t="n"/>
      <c r="F218" s="33" t="n"/>
      <c r="G218" s="51">
        <f>IF($F218="","",IFERROR(IF(INDEX(tblProductos[Nombre del producto],MATCH($F218,tblProductos[SKU],0))="","",INDEX(tblProductos[Nombre del producto],MATCH($F218,tblProductos[SKU],0))),""))</f>
        <v/>
      </c>
      <c r="H218" s="51">
        <f>IF($F218="","",IFERROR(IF(INDEX(tblProductos[Categoría],MATCH($F218,tblProductos[SKU],0))="","",INDEX(tblProductos[Categoría],MATCH($F218,tblProductos[SKU],0))),""))</f>
        <v/>
      </c>
      <c r="I218" s="34" t="n"/>
      <c r="J218" s="39">
        <f>IF(OR($B218="",$F218="",$I218=""),"",IF($T218="Anulado",0,$I218))</f>
        <v/>
      </c>
      <c r="K218" s="54">
        <f>IF($F218="","",IFERROR(IF(INDEX(tblProductos[Precio de venta actual],MATCH($F218,tblProductos[SKU],0))="","",INDEX(tblProductos[Precio de venta actual],MATCH($F218,tblProductos[SKU],0))),""))</f>
        <v/>
      </c>
      <c r="L218" s="36" t="n"/>
      <c r="M218" s="37">
        <f>IF($J218="","",IF(NOT(ISNUMBER($K218)),"PRECIO PENDIENTE",$J218*$K218))</f>
        <v/>
      </c>
      <c r="N218" s="37">
        <f>IF($J218="","",IF(NOT(ISNUMBER($M218)),"PRECIO PENDIENTE",$M218-IF(ISNUMBER($L218),$L218,0)))</f>
        <v/>
      </c>
      <c r="O218" s="54">
        <f>IF($F218="","",IFERROR(INDEX(tblInventario[Costo unitario aplicado],MATCH($F218,tblInventario[SKU],0)),""))</f>
        <v/>
      </c>
      <c r="P218" s="37">
        <f>IF($J218="","",IF(NOT(ISNUMBER($O218)),"COSTO PENDIENTE",$J218*$O218))</f>
        <v/>
      </c>
      <c r="Q218" s="37">
        <f>IF($J218="","",IF(OR(NOT(ISNUMBER($N218)),NOT(ISNUMBER($P218))),"PENDIENTE",$N218-$P218))</f>
        <v/>
      </c>
      <c r="R218" s="38">
        <f>IF($J218="","",IF(OR(NOT(ISNUMBER($Q218)),NOT(ISNUMBER($N218)),$N218&lt;=0),"PENDIENTE",$Q218/$N218))</f>
        <v/>
      </c>
      <c r="S218" s="33" t="n"/>
      <c r="T218" s="33" t="n"/>
      <c r="U218" s="41" t="n"/>
      <c r="V218" s="36" t="n"/>
      <c r="W218" s="37">
        <f>IF(NOT(ISNUMBER($N218)),"",$N218-IF(ISNUMBER($V218),$V218,0))</f>
        <v/>
      </c>
      <c r="X218" s="33" t="n"/>
      <c r="Y218" s="51">
        <f>IF(COUNTA($B218,$C218,$D218,$E218,$F218,$I218)=0,"",IF(IF($B218=""," · Falta fecha","")&amp;IF($D218=""," · Falta cliente","")&amp;IF($E218=""," · Falta canal","")&amp;IF($F218=""," · Falta SKU","")&amp;IF(AND($F218&lt;&gt;"",COUNTIF(tblProductos[SKU],$F218)=0)," · SKU no existe","")&amp;IF(OR($I218="",NOT(ISNUMBER($I218)),$I218&lt;=0)," · Cantidad inválida","")&amp;IF($M218="PRECIO PENDIENTE"," · Falta precio de venta","")&amp;IF($P218="COSTO PENDIENTE"," · Falta costo del producto","")&amp;IF(AND(ISNUMBER($Q218),$Q218&lt;0)," · UTILIDAD NEGATIVA","")&amp;IF(AND($F218&lt;&gt;"",ISNUMBER(INDEX(tblInventario[Stock actual],MATCH($F218,tblInventario[SKU],0))),INDEX(tblInventario[Stock actual],MATCH($F218,tblInventario[SKU],0))&lt;0)," · Stock negativo del SKU","")&amp;IF(AND($T218="Cobrado",$U218="")," · Cobro sin fecha","")&amp;IF(AND(ISNUMBER($V218),ISNUMBER($N218),$V218&gt;N($N218)+0.01)," · Cobrado &gt; venta neta","")&amp;IF(AND(ISNUMBER($V218),$V218&gt;0,$U218="")," · Monto cobrado sin fecha","")="","OK",MID(IF($B218=""," · Falta fecha","")&amp;IF($D218=""," · Falta cliente","")&amp;IF($E218=""," · Falta canal","")&amp;IF($F218=""," · Falta SKU","")&amp;IF(AND($F218&lt;&gt;"",COUNTIF(tblProductos[SKU],$F218)=0)," · SKU no existe","")&amp;IF(OR($I218="",NOT(ISNUMBER($I218)),$I218&lt;=0)," · Cantidad inválida","")&amp;IF($M218="PRECIO PENDIENTE"," · Falta precio de venta","")&amp;IF($P218="COSTO PENDIENTE"," · Falta costo del producto","")&amp;IF(AND(ISNUMBER($Q218),$Q218&lt;0)," · UTILIDAD NEGATIVA","")&amp;IF(AND($F218&lt;&gt;"",ISNUMBER(INDEX(tblInventario[Stock actual],MATCH($F218,tblInventario[SKU],0))),INDEX(tblInventario[Stock actual],MATCH($F218,tblInventario[SKU],0))&lt;0)," · Stock negativo del SKU","")&amp;IF(AND($T218="Cobrado",$U218="")," · Cobro sin fecha","")&amp;IF(AND(ISNUMBER($V218),ISNUMBER($N218),$V218&gt;N($N218)+0.01)," · Cobrado &gt; venta neta","")&amp;IF(AND(ISNUMBER($V218),$V218&gt;0,$U218="")," · Monto cobrado sin fecha",""),4,900)))</f>
        <v/>
      </c>
    </row>
    <row r="219">
      <c r="A219" s="51">
        <f>IF(COUNTA($B219,$C219,$D219,$E219,$F219,$I219)=0,"","V-"&amp;TEXT(ROW()-6,"0000"))</f>
        <v/>
      </c>
      <c r="B219" s="41" t="n"/>
      <c r="C219" s="33" t="n"/>
      <c r="D219" s="33" t="n"/>
      <c r="E219" s="33" t="n"/>
      <c r="F219" s="33" t="n"/>
      <c r="G219" s="51">
        <f>IF($F219="","",IFERROR(IF(INDEX(tblProductos[Nombre del producto],MATCH($F219,tblProductos[SKU],0))="","",INDEX(tblProductos[Nombre del producto],MATCH($F219,tblProductos[SKU],0))),""))</f>
        <v/>
      </c>
      <c r="H219" s="51">
        <f>IF($F219="","",IFERROR(IF(INDEX(tblProductos[Categoría],MATCH($F219,tblProductos[SKU],0))="","",INDEX(tblProductos[Categoría],MATCH($F219,tblProductos[SKU],0))),""))</f>
        <v/>
      </c>
      <c r="I219" s="34" t="n"/>
      <c r="J219" s="39">
        <f>IF(OR($B219="",$F219="",$I219=""),"",IF($T219="Anulado",0,$I219))</f>
        <v/>
      </c>
      <c r="K219" s="54">
        <f>IF($F219="","",IFERROR(IF(INDEX(tblProductos[Precio de venta actual],MATCH($F219,tblProductos[SKU],0))="","",INDEX(tblProductos[Precio de venta actual],MATCH($F219,tblProductos[SKU],0))),""))</f>
        <v/>
      </c>
      <c r="L219" s="36" t="n"/>
      <c r="M219" s="37">
        <f>IF($J219="","",IF(NOT(ISNUMBER($K219)),"PRECIO PENDIENTE",$J219*$K219))</f>
        <v/>
      </c>
      <c r="N219" s="37">
        <f>IF($J219="","",IF(NOT(ISNUMBER($M219)),"PRECIO PENDIENTE",$M219-IF(ISNUMBER($L219),$L219,0)))</f>
        <v/>
      </c>
      <c r="O219" s="54">
        <f>IF($F219="","",IFERROR(INDEX(tblInventario[Costo unitario aplicado],MATCH($F219,tblInventario[SKU],0)),""))</f>
        <v/>
      </c>
      <c r="P219" s="37">
        <f>IF($J219="","",IF(NOT(ISNUMBER($O219)),"COSTO PENDIENTE",$J219*$O219))</f>
        <v/>
      </c>
      <c r="Q219" s="37">
        <f>IF($J219="","",IF(OR(NOT(ISNUMBER($N219)),NOT(ISNUMBER($P219))),"PENDIENTE",$N219-$P219))</f>
        <v/>
      </c>
      <c r="R219" s="38">
        <f>IF($J219="","",IF(OR(NOT(ISNUMBER($Q219)),NOT(ISNUMBER($N219)),$N219&lt;=0),"PENDIENTE",$Q219/$N219))</f>
        <v/>
      </c>
      <c r="S219" s="33" t="n"/>
      <c r="T219" s="33" t="n"/>
      <c r="U219" s="41" t="n"/>
      <c r="V219" s="36" t="n"/>
      <c r="W219" s="37">
        <f>IF(NOT(ISNUMBER($N219)),"",$N219-IF(ISNUMBER($V219),$V219,0))</f>
        <v/>
      </c>
      <c r="X219" s="33" t="n"/>
      <c r="Y219" s="51">
        <f>IF(COUNTA($B219,$C219,$D219,$E219,$F219,$I219)=0,"",IF(IF($B219=""," · Falta fecha","")&amp;IF($D219=""," · Falta cliente","")&amp;IF($E219=""," · Falta canal","")&amp;IF($F219=""," · Falta SKU","")&amp;IF(AND($F219&lt;&gt;"",COUNTIF(tblProductos[SKU],$F219)=0)," · SKU no existe","")&amp;IF(OR($I219="",NOT(ISNUMBER($I219)),$I219&lt;=0)," · Cantidad inválida","")&amp;IF($M219="PRECIO PENDIENTE"," · Falta precio de venta","")&amp;IF($P219="COSTO PENDIENTE"," · Falta costo del producto","")&amp;IF(AND(ISNUMBER($Q219),$Q219&lt;0)," · UTILIDAD NEGATIVA","")&amp;IF(AND($F219&lt;&gt;"",ISNUMBER(INDEX(tblInventario[Stock actual],MATCH($F219,tblInventario[SKU],0))),INDEX(tblInventario[Stock actual],MATCH($F219,tblInventario[SKU],0))&lt;0)," · Stock negativo del SKU","")&amp;IF(AND($T219="Cobrado",$U219="")," · Cobro sin fecha","")&amp;IF(AND(ISNUMBER($V219),ISNUMBER($N219),$V219&gt;N($N219)+0.01)," · Cobrado &gt; venta neta","")&amp;IF(AND(ISNUMBER($V219),$V219&gt;0,$U219="")," · Monto cobrado sin fecha","")="","OK",MID(IF($B219=""," · Falta fecha","")&amp;IF($D219=""," · Falta cliente","")&amp;IF($E219=""," · Falta canal","")&amp;IF($F219=""," · Falta SKU","")&amp;IF(AND($F219&lt;&gt;"",COUNTIF(tblProductos[SKU],$F219)=0)," · SKU no existe","")&amp;IF(OR($I219="",NOT(ISNUMBER($I219)),$I219&lt;=0)," · Cantidad inválida","")&amp;IF($M219="PRECIO PENDIENTE"," · Falta precio de venta","")&amp;IF($P219="COSTO PENDIENTE"," · Falta costo del producto","")&amp;IF(AND(ISNUMBER($Q219),$Q219&lt;0)," · UTILIDAD NEGATIVA","")&amp;IF(AND($F219&lt;&gt;"",ISNUMBER(INDEX(tblInventario[Stock actual],MATCH($F219,tblInventario[SKU],0))),INDEX(tblInventario[Stock actual],MATCH($F219,tblInventario[SKU],0))&lt;0)," · Stock negativo del SKU","")&amp;IF(AND($T219="Cobrado",$U219="")," · Cobro sin fecha","")&amp;IF(AND(ISNUMBER($V219),ISNUMBER($N219),$V219&gt;N($N219)+0.01)," · Cobrado &gt; venta neta","")&amp;IF(AND(ISNUMBER($V219),$V219&gt;0,$U219="")," · Monto cobrado sin fecha",""),4,900)))</f>
        <v/>
      </c>
    </row>
    <row r="220">
      <c r="A220" s="51">
        <f>IF(COUNTA($B220,$C220,$D220,$E220,$F220,$I220)=0,"","V-"&amp;TEXT(ROW()-6,"0000"))</f>
        <v/>
      </c>
      <c r="B220" s="41" t="n"/>
      <c r="C220" s="33" t="n"/>
      <c r="D220" s="33" t="n"/>
      <c r="E220" s="33" t="n"/>
      <c r="F220" s="33" t="n"/>
      <c r="G220" s="51">
        <f>IF($F220="","",IFERROR(IF(INDEX(tblProductos[Nombre del producto],MATCH($F220,tblProductos[SKU],0))="","",INDEX(tblProductos[Nombre del producto],MATCH($F220,tblProductos[SKU],0))),""))</f>
        <v/>
      </c>
      <c r="H220" s="51">
        <f>IF($F220="","",IFERROR(IF(INDEX(tblProductos[Categoría],MATCH($F220,tblProductos[SKU],0))="","",INDEX(tblProductos[Categoría],MATCH($F220,tblProductos[SKU],0))),""))</f>
        <v/>
      </c>
      <c r="I220" s="34" t="n"/>
      <c r="J220" s="39">
        <f>IF(OR($B220="",$F220="",$I220=""),"",IF($T220="Anulado",0,$I220))</f>
        <v/>
      </c>
      <c r="K220" s="54">
        <f>IF($F220="","",IFERROR(IF(INDEX(tblProductos[Precio de venta actual],MATCH($F220,tblProductos[SKU],0))="","",INDEX(tblProductos[Precio de venta actual],MATCH($F220,tblProductos[SKU],0))),""))</f>
        <v/>
      </c>
      <c r="L220" s="36" t="n"/>
      <c r="M220" s="37">
        <f>IF($J220="","",IF(NOT(ISNUMBER($K220)),"PRECIO PENDIENTE",$J220*$K220))</f>
        <v/>
      </c>
      <c r="N220" s="37">
        <f>IF($J220="","",IF(NOT(ISNUMBER($M220)),"PRECIO PENDIENTE",$M220-IF(ISNUMBER($L220),$L220,0)))</f>
        <v/>
      </c>
      <c r="O220" s="54">
        <f>IF($F220="","",IFERROR(INDEX(tblInventario[Costo unitario aplicado],MATCH($F220,tblInventario[SKU],0)),""))</f>
        <v/>
      </c>
      <c r="P220" s="37">
        <f>IF($J220="","",IF(NOT(ISNUMBER($O220)),"COSTO PENDIENTE",$J220*$O220))</f>
        <v/>
      </c>
      <c r="Q220" s="37">
        <f>IF($J220="","",IF(OR(NOT(ISNUMBER($N220)),NOT(ISNUMBER($P220))),"PENDIENTE",$N220-$P220))</f>
        <v/>
      </c>
      <c r="R220" s="38">
        <f>IF($J220="","",IF(OR(NOT(ISNUMBER($Q220)),NOT(ISNUMBER($N220)),$N220&lt;=0),"PENDIENTE",$Q220/$N220))</f>
        <v/>
      </c>
      <c r="S220" s="33" t="n"/>
      <c r="T220" s="33" t="n"/>
      <c r="U220" s="41" t="n"/>
      <c r="V220" s="36" t="n"/>
      <c r="W220" s="37">
        <f>IF(NOT(ISNUMBER($N220)),"",$N220-IF(ISNUMBER($V220),$V220,0))</f>
        <v/>
      </c>
      <c r="X220" s="33" t="n"/>
      <c r="Y220" s="51">
        <f>IF(COUNTA($B220,$C220,$D220,$E220,$F220,$I220)=0,"",IF(IF($B220=""," · Falta fecha","")&amp;IF($D220=""," · Falta cliente","")&amp;IF($E220=""," · Falta canal","")&amp;IF($F220=""," · Falta SKU","")&amp;IF(AND($F220&lt;&gt;"",COUNTIF(tblProductos[SKU],$F220)=0)," · SKU no existe","")&amp;IF(OR($I220="",NOT(ISNUMBER($I220)),$I220&lt;=0)," · Cantidad inválida","")&amp;IF($M220="PRECIO PENDIENTE"," · Falta precio de venta","")&amp;IF($P220="COSTO PENDIENTE"," · Falta costo del producto","")&amp;IF(AND(ISNUMBER($Q220),$Q220&lt;0)," · UTILIDAD NEGATIVA","")&amp;IF(AND($F220&lt;&gt;"",ISNUMBER(INDEX(tblInventario[Stock actual],MATCH($F220,tblInventario[SKU],0))),INDEX(tblInventario[Stock actual],MATCH($F220,tblInventario[SKU],0))&lt;0)," · Stock negativo del SKU","")&amp;IF(AND($T220="Cobrado",$U220="")," · Cobro sin fecha","")&amp;IF(AND(ISNUMBER($V220),ISNUMBER($N220),$V220&gt;N($N220)+0.01)," · Cobrado &gt; venta neta","")&amp;IF(AND(ISNUMBER($V220),$V220&gt;0,$U220="")," · Monto cobrado sin fecha","")="","OK",MID(IF($B220=""," · Falta fecha","")&amp;IF($D220=""," · Falta cliente","")&amp;IF($E220=""," · Falta canal","")&amp;IF($F220=""," · Falta SKU","")&amp;IF(AND($F220&lt;&gt;"",COUNTIF(tblProductos[SKU],$F220)=0)," · SKU no existe","")&amp;IF(OR($I220="",NOT(ISNUMBER($I220)),$I220&lt;=0)," · Cantidad inválida","")&amp;IF($M220="PRECIO PENDIENTE"," · Falta precio de venta","")&amp;IF($P220="COSTO PENDIENTE"," · Falta costo del producto","")&amp;IF(AND(ISNUMBER($Q220),$Q220&lt;0)," · UTILIDAD NEGATIVA","")&amp;IF(AND($F220&lt;&gt;"",ISNUMBER(INDEX(tblInventario[Stock actual],MATCH($F220,tblInventario[SKU],0))),INDEX(tblInventario[Stock actual],MATCH($F220,tblInventario[SKU],0))&lt;0)," · Stock negativo del SKU","")&amp;IF(AND($T220="Cobrado",$U220="")," · Cobro sin fecha","")&amp;IF(AND(ISNUMBER($V220),ISNUMBER($N220),$V220&gt;N($N220)+0.01)," · Cobrado &gt; venta neta","")&amp;IF(AND(ISNUMBER($V220),$V220&gt;0,$U220="")," · Monto cobrado sin fecha",""),4,900)))</f>
        <v/>
      </c>
    </row>
    <row r="221">
      <c r="A221" s="51">
        <f>IF(COUNTA($B221,$C221,$D221,$E221,$F221,$I221)=0,"","V-"&amp;TEXT(ROW()-6,"0000"))</f>
        <v/>
      </c>
      <c r="B221" s="41" t="n"/>
      <c r="C221" s="33" t="n"/>
      <c r="D221" s="33" t="n"/>
      <c r="E221" s="33" t="n"/>
      <c r="F221" s="33" t="n"/>
      <c r="G221" s="51">
        <f>IF($F221="","",IFERROR(IF(INDEX(tblProductos[Nombre del producto],MATCH($F221,tblProductos[SKU],0))="","",INDEX(tblProductos[Nombre del producto],MATCH($F221,tblProductos[SKU],0))),""))</f>
        <v/>
      </c>
      <c r="H221" s="51">
        <f>IF($F221="","",IFERROR(IF(INDEX(tblProductos[Categoría],MATCH($F221,tblProductos[SKU],0))="","",INDEX(tblProductos[Categoría],MATCH($F221,tblProductos[SKU],0))),""))</f>
        <v/>
      </c>
      <c r="I221" s="34" t="n"/>
      <c r="J221" s="39">
        <f>IF(OR($B221="",$F221="",$I221=""),"",IF($T221="Anulado",0,$I221))</f>
        <v/>
      </c>
      <c r="K221" s="54">
        <f>IF($F221="","",IFERROR(IF(INDEX(tblProductos[Precio de venta actual],MATCH($F221,tblProductos[SKU],0))="","",INDEX(tblProductos[Precio de venta actual],MATCH($F221,tblProductos[SKU],0))),""))</f>
        <v/>
      </c>
      <c r="L221" s="36" t="n"/>
      <c r="M221" s="37">
        <f>IF($J221="","",IF(NOT(ISNUMBER($K221)),"PRECIO PENDIENTE",$J221*$K221))</f>
        <v/>
      </c>
      <c r="N221" s="37">
        <f>IF($J221="","",IF(NOT(ISNUMBER($M221)),"PRECIO PENDIENTE",$M221-IF(ISNUMBER($L221),$L221,0)))</f>
        <v/>
      </c>
      <c r="O221" s="54">
        <f>IF($F221="","",IFERROR(INDEX(tblInventario[Costo unitario aplicado],MATCH($F221,tblInventario[SKU],0)),""))</f>
        <v/>
      </c>
      <c r="P221" s="37">
        <f>IF($J221="","",IF(NOT(ISNUMBER($O221)),"COSTO PENDIENTE",$J221*$O221))</f>
        <v/>
      </c>
      <c r="Q221" s="37">
        <f>IF($J221="","",IF(OR(NOT(ISNUMBER($N221)),NOT(ISNUMBER($P221))),"PENDIENTE",$N221-$P221))</f>
        <v/>
      </c>
      <c r="R221" s="38">
        <f>IF($J221="","",IF(OR(NOT(ISNUMBER($Q221)),NOT(ISNUMBER($N221)),$N221&lt;=0),"PENDIENTE",$Q221/$N221))</f>
        <v/>
      </c>
      <c r="S221" s="33" t="n"/>
      <c r="T221" s="33" t="n"/>
      <c r="U221" s="41" t="n"/>
      <c r="V221" s="36" t="n"/>
      <c r="W221" s="37">
        <f>IF(NOT(ISNUMBER($N221)),"",$N221-IF(ISNUMBER($V221),$V221,0))</f>
        <v/>
      </c>
      <c r="X221" s="33" t="n"/>
      <c r="Y221" s="51">
        <f>IF(COUNTA($B221,$C221,$D221,$E221,$F221,$I221)=0,"",IF(IF($B221=""," · Falta fecha","")&amp;IF($D221=""," · Falta cliente","")&amp;IF($E221=""," · Falta canal","")&amp;IF($F221=""," · Falta SKU","")&amp;IF(AND($F221&lt;&gt;"",COUNTIF(tblProductos[SKU],$F221)=0)," · SKU no existe","")&amp;IF(OR($I221="",NOT(ISNUMBER($I221)),$I221&lt;=0)," · Cantidad inválida","")&amp;IF($M221="PRECIO PENDIENTE"," · Falta precio de venta","")&amp;IF($P221="COSTO PENDIENTE"," · Falta costo del producto","")&amp;IF(AND(ISNUMBER($Q221),$Q221&lt;0)," · UTILIDAD NEGATIVA","")&amp;IF(AND($F221&lt;&gt;"",ISNUMBER(INDEX(tblInventario[Stock actual],MATCH($F221,tblInventario[SKU],0))),INDEX(tblInventario[Stock actual],MATCH($F221,tblInventario[SKU],0))&lt;0)," · Stock negativo del SKU","")&amp;IF(AND($T221="Cobrado",$U221="")," · Cobro sin fecha","")&amp;IF(AND(ISNUMBER($V221),ISNUMBER($N221),$V221&gt;N($N221)+0.01)," · Cobrado &gt; venta neta","")&amp;IF(AND(ISNUMBER($V221),$V221&gt;0,$U221="")," · Monto cobrado sin fecha","")="","OK",MID(IF($B221=""," · Falta fecha","")&amp;IF($D221=""," · Falta cliente","")&amp;IF($E221=""," · Falta canal","")&amp;IF($F221=""," · Falta SKU","")&amp;IF(AND($F221&lt;&gt;"",COUNTIF(tblProductos[SKU],$F221)=0)," · SKU no existe","")&amp;IF(OR($I221="",NOT(ISNUMBER($I221)),$I221&lt;=0)," · Cantidad inválida","")&amp;IF($M221="PRECIO PENDIENTE"," · Falta precio de venta","")&amp;IF($P221="COSTO PENDIENTE"," · Falta costo del producto","")&amp;IF(AND(ISNUMBER($Q221),$Q221&lt;0)," · UTILIDAD NEGATIVA","")&amp;IF(AND($F221&lt;&gt;"",ISNUMBER(INDEX(tblInventario[Stock actual],MATCH($F221,tblInventario[SKU],0))),INDEX(tblInventario[Stock actual],MATCH($F221,tblInventario[SKU],0))&lt;0)," · Stock negativo del SKU","")&amp;IF(AND($T221="Cobrado",$U221="")," · Cobro sin fecha","")&amp;IF(AND(ISNUMBER($V221),ISNUMBER($N221),$V221&gt;N($N221)+0.01)," · Cobrado &gt; venta neta","")&amp;IF(AND(ISNUMBER($V221),$V221&gt;0,$U221="")," · Monto cobrado sin fecha",""),4,900)))</f>
        <v/>
      </c>
    </row>
    <row r="222">
      <c r="A222" s="51">
        <f>IF(COUNTA($B222,$C222,$D222,$E222,$F222,$I222)=0,"","V-"&amp;TEXT(ROW()-6,"0000"))</f>
        <v/>
      </c>
      <c r="B222" s="41" t="n"/>
      <c r="C222" s="33" t="n"/>
      <c r="D222" s="33" t="n"/>
      <c r="E222" s="33" t="n"/>
      <c r="F222" s="33" t="n"/>
      <c r="G222" s="51">
        <f>IF($F222="","",IFERROR(IF(INDEX(tblProductos[Nombre del producto],MATCH($F222,tblProductos[SKU],0))="","",INDEX(tblProductos[Nombre del producto],MATCH($F222,tblProductos[SKU],0))),""))</f>
        <v/>
      </c>
      <c r="H222" s="51">
        <f>IF($F222="","",IFERROR(IF(INDEX(tblProductos[Categoría],MATCH($F222,tblProductos[SKU],0))="","",INDEX(tblProductos[Categoría],MATCH($F222,tblProductos[SKU],0))),""))</f>
        <v/>
      </c>
      <c r="I222" s="34" t="n"/>
      <c r="J222" s="39">
        <f>IF(OR($B222="",$F222="",$I222=""),"",IF($T222="Anulado",0,$I222))</f>
        <v/>
      </c>
      <c r="K222" s="54">
        <f>IF($F222="","",IFERROR(IF(INDEX(tblProductos[Precio de venta actual],MATCH($F222,tblProductos[SKU],0))="","",INDEX(tblProductos[Precio de venta actual],MATCH($F222,tblProductos[SKU],0))),""))</f>
        <v/>
      </c>
      <c r="L222" s="36" t="n"/>
      <c r="M222" s="37">
        <f>IF($J222="","",IF(NOT(ISNUMBER($K222)),"PRECIO PENDIENTE",$J222*$K222))</f>
        <v/>
      </c>
      <c r="N222" s="37">
        <f>IF($J222="","",IF(NOT(ISNUMBER($M222)),"PRECIO PENDIENTE",$M222-IF(ISNUMBER($L222),$L222,0)))</f>
        <v/>
      </c>
      <c r="O222" s="54">
        <f>IF($F222="","",IFERROR(INDEX(tblInventario[Costo unitario aplicado],MATCH($F222,tblInventario[SKU],0)),""))</f>
        <v/>
      </c>
      <c r="P222" s="37">
        <f>IF($J222="","",IF(NOT(ISNUMBER($O222)),"COSTO PENDIENTE",$J222*$O222))</f>
        <v/>
      </c>
      <c r="Q222" s="37">
        <f>IF($J222="","",IF(OR(NOT(ISNUMBER($N222)),NOT(ISNUMBER($P222))),"PENDIENTE",$N222-$P222))</f>
        <v/>
      </c>
      <c r="R222" s="38">
        <f>IF($J222="","",IF(OR(NOT(ISNUMBER($Q222)),NOT(ISNUMBER($N222)),$N222&lt;=0),"PENDIENTE",$Q222/$N222))</f>
        <v/>
      </c>
      <c r="S222" s="33" t="n"/>
      <c r="T222" s="33" t="n"/>
      <c r="U222" s="41" t="n"/>
      <c r="V222" s="36" t="n"/>
      <c r="W222" s="37">
        <f>IF(NOT(ISNUMBER($N222)),"",$N222-IF(ISNUMBER($V222),$V222,0))</f>
        <v/>
      </c>
      <c r="X222" s="33" t="n"/>
      <c r="Y222" s="51">
        <f>IF(COUNTA($B222,$C222,$D222,$E222,$F222,$I222)=0,"",IF(IF($B222=""," · Falta fecha","")&amp;IF($D222=""," · Falta cliente","")&amp;IF($E222=""," · Falta canal","")&amp;IF($F222=""," · Falta SKU","")&amp;IF(AND($F222&lt;&gt;"",COUNTIF(tblProductos[SKU],$F222)=0)," · SKU no existe","")&amp;IF(OR($I222="",NOT(ISNUMBER($I222)),$I222&lt;=0)," · Cantidad inválida","")&amp;IF($M222="PRECIO PENDIENTE"," · Falta precio de venta","")&amp;IF($P222="COSTO PENDIENTE"," · Falta costo del producto","")&amp;IF(AND(ISNUMBER($Q222),$Q222&lt;0)," · UTILIDAD NEGATIVA","")&amp;IF(AND($F222&lt;&gt;"",ISNUMBER(INDEX(tblInventario[Stock actual],MATCH($F222,tblInventario[SKU],0))),INDEX(tblInventario[Stock actual],MATCH($F222,tblInventario[SKU],0))&lt;0)," · Stock negativo del SKU","")&amp;IF(AND($T222="Cobrado",$U222="")," · Cobro sin fecha","")&amp;IF(AND(ISNUMBER($V222),ISNUMBER($N222),$V222&gt;N($N222)+0.01)," · Cobrado &gt; venta neta","")&amp;IF(AND(ISNUMBER($V222),$V222&gt;0,$U222="")," · Monto cobrado sin fecha","")="","OK",MID(IF($B222=""," · Falta fecha","")&amp;IF($D222=""," · Falta cliente","")&amp;IF($E222=""," · Falta canal","")&amp;IF($F222=""," · Falta SKU","")&amp;IF(AND($F222&lt;&gt;"",COUNTIF(tblProductos[SKU],$F222)=0)," · SKU no existe","")&amp;IF(OR($I222="",NOT(ISNUMBER($I222)),$I222&lt;=0)," · Cantidad inválida","")&amp;IF($M222="PRECIO PENDIENTE"," · Falta precio de venta","")&amp;IF($P222="COSTO PENDIENTE"," · Falta costo del producto","")&amp;IF(AND(ISNUMBER($Q222),$Q222&lt;0)," · UTILIDAD NEGATIVA","")&amp;IF(AND($F222&lt;&gt;"",ISNUMBER(INDEX(tblInventario[Stock actual],MATCH($F222,tblInventario[SKU],0))),INDEX(tblInventario[Stock actual],MATCH($F222,tblInventario[SKU],0))&lt;0)," · Stock negativo del SKU","")&amp;IF(AND($T222="Cobrado",$U222="")," · Cobro sin fecha","")&amp;IF(AND(ISNUMBER($V222),ISNUMBER($N222),$V222&gt;N($N222)+0.01)," · Cobrado &gt; venta neta","")&amp;IF(AND(ISNUMBER($V222),$V222&gt;0,$U222="")," · Monto cobrado sin fecha",""),4,900)))</f>
        <v/>
      </c>
    </row>
    <row r="223">
      <c r="A223" s="51">
        <f>IF(COUNTA($B223,$C223,$D223,$E223,$F223,$I223)=0,"","V-"&amp;TEXT(ROW()-6,"0000"))</f>
        <v/>
      </c>
      <c r="B223" s="41" t="n"/>
      <c r="C223" s="33" t="n"/>
      <c r="D223" s="33" t="n"/>
      <c r="E223" s="33" t="n"/>
      <c r="F223" s="33" t="n"/>
      <c r="G223" s="51">
        <f>IF($F223="","",IFERROR(IF(INDEX(tblProductos[Nombre del producto],MATCH($F223,tblProductos[SKU],0))="","",INDEX(tblProductos[Nombre del producto],MATCH($F223,tblProductos[SKU],0))),""))</f>
        <v/>
      </c>
      <c r="H223" s="51">
        <f>IF($F223="","",IFERROR(IF(INDEX(tblProductos[Categoría],MATCH($F223,tblProductos[SKU],0))="","",INDEX(tblProductos[Categoría],MATCH($F223,tblProductos[SKU],0))),""))</f>
        <v/>
      </c>
      <c r="I223" s="34" t="n"/>
      <c r="J223" s="39">
        <f>IF(OR($B223="",$F223="",$I223=""),"",IF($T223="Anulado",0,$I223))</f>
        <v/>
      </c>
      <c r="K223" s="54">
        <f>IF($F223="","",IFERROR(IF(INDEX(tblProductos[Precio de venta actual],MATCH($F223,tblProductos[SKU],0))="","",INDEX(tblProductos[Precio de venta actual],MATCH($F223,tblProductos[SKU],0))),""))</f>
        <v/>
      </c>
      <c r="L223" s="36" t="n"/>
      <c r="M223" s="37">
        <f>IF($J223="","",IF(NOT(ISNUMBER($K223)),"PRECIO PENDIENTE",$J223*$K223))</f>
        <v/>
      </c>
      <c r="N223" s="37">
        <f>IF($J223="","",IF(NOT(ISNUMBER($M223)),"PRECIO PENDIENTE",$M223-IF(ISNUMBER($L223),$L223,0)))</f>
        <v/>
      </c>
      <c r="O223" s="54">
        <f>IF($F223="","",IFERROR(INDEX(tblInventario[Costo unitario aplicado],MATCH($F223,tblInventario[SKU],0)),""))</f>
        <v/>
      </c>
      <c r="P223" s="37">
        <f>IF($J223="","",IF(NOT(ISNUMBER($O223)),"COSTO PENDIENTE",$J223*$O223))</f>
        <v/>
      </c>
      <c r="Q223" s="37">
        <f>IF($J223="","",IF(OR(NOT(ISNUMBER($N223)),NOT(ISNUMBER($P223))),"PENDIENTE",$N223-$P223))</f>
        <v/>
      </c>
      <c r="R223" s="38">
        <f>IF($J223="","",IF(OR(NOT(ISNUMBER($Q223)),NOT(ISNUMBER($N223)),$N223&lt;=0),"PENDIENTE",$Q223/$N223))</f>
        <v/>
      </c>
      <c r="S223" s="33" t="n"/>
      <c r="T223" s="33" t="n"/>
      <c r="U223" s="41" t="n"/>
      <c r="V223" s="36" t="n"/>
      <c r="W223" s="37">
        <f>IF(NOT(ISNUMBER($N223)),"",$N223-IF(ISNUMBER($V223),$V223,0))</f>
        <v/>
      </c>
      <c r="X223" s="33" t="n"/>
      <c r="Y223" s="51">
        <f>IF(COUNTA($B223,$C223,$D223,$E223,$F223,$I223)=0,"",IF(IF($B223=""," · Falta fecha","")&amp;IF($D223=""," · Falta cliente","")&amp;IF($E223=""," · Falta canal","")&amp;IF($F223=""," · Falta SKU","")&amp;IF(AND($F223&lt;&gt;"",COUNTIF(tblProductos[SKU],$F223)=0)," · SKU no existe","")&amp;IF(OR($I223="",NOT(ISNUMBER($I223)),$I223&lt;=0)," · Cantidad inválida","")&amp;IF($M223="PRECIO PENDIENTE"," · Falta precio de venta","")&amp;IF($P223="COSTO PENDIENTE"," · Falta costo del producto","")&amp;IF(AND(ISNUMBER($Q223),$Q223&lt;0)," · UTILIDAD NEGATIVA","")&amp;IF(AND($F223&lt;&gt;"",ISNUMBER(INDEX(tblInventario[Stock actual],MATCH($F223,tblInventario[SKU],0))),INDEX(tblInventario[Stock actual],MATCH($F223,tblInventario[SKU],0))&lt;0)," · Stock negativo del SKU","")&amp;IF(AND($T223="Cobrado",$U223="")," · Cobro sin fecha","")&amp;IF(AND(ISNUMBER($V223),ISNUMBER($N223),$V223&gt;N($N223)+0.01)," · Cobrado &gt; venta neta","")&amp;IF(AND(ISNUMBER($V223),$V223&gt;0,$U223="")," · Monto cobrado sin fecha","")="","OK",MID(IF($B223=""," · Falta fecha","")&amp;IF($D223=""," · Falta cliente","")&amp;IF($E223=""," · Falta canal","")&amp;IF($F223=""," · Falta SKU","")&amp;IF(AND($F223&lt;&gt;"",COUNTIF(tblProductos[SKU],$F223)=0)," · SKU no existe","")&amp;IF(OR($I223="",NOT(ISNUMBER($I223)),$I223&lt;=0)," · Cantidad inválida","")&amp;IF($M223="PRECIO PENDIENTE"," · Falta precio de venta","")&amp;IF($P223="COSTO PENDIENTE"," · Falta costo del producto","")&amp;IF(AND(ISNUMBER($Q223),$Q223&lt;0)," · UTILIDAD NEGATIVA","")&amp;IF(AND($F223&lt;&gt;"",ISNUMBER(INDEX(tblInventario[Stock actual],MATCH($F223,tblInventario[SKU],0))),INDEX(tblInventario[Stock actual],MATCH($F223,tblInventario[SKU],0))&lt;0)," · Stock negativo del SKU","")&amp;IF(AND($T223="Cobrado",$U223="")," · Cobro sin fecha","")&amp;IF(AND(ISNUMBER($V223),ISNUMBER($N223),$V223&gt;N($N223)+0.01)," · Cobrado &gt; venta neta","")&amp;IF(AND(ISNUMBER($V223),$V223&gt;0,$U223="")," · Monto cobrado sin fecha",""),4,900)))</f>
        <v/>
      </c>
    </row>
    <row r="224">
      <c r="A224" s="51">
        <f>IF(COUNTA($B224,$C224,$D224,$E224,$F224,$I224)=0,"","V-"&amp;TEXT(ROW()-6,"0000"))</f>
        <v/>
      </c>
      <c r="B224" s="41" t="n"/>
      <c r="C224" s="33" t="n"/>
      <c r="D224" s="33" t="n"/>
      <c r="E224" s="33" t="n"/>
      <c r="F224" s="33" t="n"/>
      <c r="G224" s="51">
        <f>IF($F224="","",IFERROR(IF(INDEX(tblProductos[Nombre del producto],MATCH($F224,tblProductos[SKU],0))="","",INDEX(tblProductos[Nombre del producto],MATCH($F224,tblProductos[SKU],0))),""))</f>
        <v/>
      </c>
      <c r="H224" s="51">
        <f>IF($F224="","",IFERROR(IF(INDEX(tblProductos[Categoría],MATCH($F224,tblProductos[SKU],0))="","",INDEX(tblProductos[Categoría],MATCH($F224,tblProductos[SKU],0))),""))</f>
        <v/>
      </c>
      <c r="I224" s="34" t="n"/>
      <c r="J224" s="39">
        <f>IF(OR($B224="",$F224="",$I224=""),"",IF($T224="Anulado",0,$I224))</f>
        <v/>
      </c>
      <c r="K224" s="54">
        <f>IF($F224="","",IFERROR(IF(INDEX(tblProductos[Precio de venta actual],MATCH($F224,tblProductos[SKU],0))="","",INDEX(tblProductos[Precio de venta actual],MATCH($F224,tblProductos[SKU],0))),""))</f>
        <v/>
      </c>
      <c r="L224" s="36" t="n"/>
      <c r="M224" s="37">
        <f>IF($J224="","",IF(NOT(ISNUMBER($K224)),"PRECIO PENDIENTE",$J224*$K224))</f>
        <v/>
      </c>
      <c r="N224" s="37">
        <f>IF($J224="","",IF(NOT(ISNUMBER($M224)),"PRECIO PENDIENTE",$M224-IF(ISNUMBER($L224),$L224,0)))</f>
        <v/>
      </c>
      <c r="O224" s="54">
        <f>IF($F224="","",IFERROR(INDEX(tblInventario[Costo unitario aplicado],MATCH($F224,tblInventario[SKU],0)),""))</f>
        <v/>
      </c>
      <c r="P224" s="37">
        <f>IF($J224="","",IF(NOT(ISNUMBER($O224)),"COSTO PENDIENTE",$J224*$O224))</f>
        <v/>
      </c>
      <c r="Q224" s="37">
        <f>IF($J224="","",IF(OR(NOT(ISNUMBER($N224)),NOT(ISNUMBER($P224))),"PENDIENTE",$N224-$P224))</f>
        <v/>
      </c>
      <c r="R224" s="38">
        <f>IF($J224="","",IF(OR(NOT(ISNUMBER($Q224)),NOT(ISNUMBER($N224)),$N224&lt;=0),"PENDIENTE",$Q224/$N224))</f>
        <v/>
      </c>
      <c r="S224" s="33" t="n"/>
      <c r="T224" s="33" t="n"/>
      <c r="U224" s="41" t="n"/>
      <c r="V224" s="36" t="n"/>
      <c r="W224" s="37">
        <f>IF(NOT(ISNUMBER($N224)),"",$N224-IF(ISNUMBER($V224),$V224,0))</f>
        <v/>
      </c>
      <c r="X224" s="33" t="n"/>
      <c r="Y224" s="51">
        <f>IF(COUNTA($B224,$C224,$D224,$E224,$F224,$I224)=0,"",IF(IF($B224=""," · Falta fecha","")&amp;IF($D224=""," · Falta cliente","")&amp;IF($E224=""," · Falta canal","")&amp;IF($F224=""," · Falta SKU","")&amp;IF(AND($F224&lt;&gt;"",COUNTIF(tblProductos[SKU],$F224)=0)," · SKU no existe","")&amp;IF(OR($I224="",NOT(ISNUMBER($I224)),$I224&lt;=0)," · Cantidad inválida","")&amp;IF($M224="PRECIO PENDIENTE"," · Falta precio de venta","")&amp;IF($P224="COSTO PENDIENTE"," · Falta costo del producto","")&amp;IF(AND(ISNUMBER($Q224),$Q224&lt;0)," · UTILIDAD NEGATIVA","")&amp;IF(AND($F224&lt;&gt;"",ISNUMBER(INDEX(tblInventario[Stock actual],MATCH($F224,tblInventario[SKU],0))),INDEX(tblInventario[Stock actual],MATCH($F224,tblInventario[SKU],0))&lt;0)," · Stock negativo del SKU","")&amp;IF(AND($T224="Cobrado",$U224="")," · Cobro sin fecha","")&amp;IF(AND(ISNUMBER($V224),ISNUMBER($N224),$V224&gt;N($N224)+0.01)," · Cobrado &gt; venta neta","")&amp;IF(AND(ISNUMBER($V224),$V224&gt;0,$U224="")," · Monto cobrado sin fecha","")="","OK",MID(IF($B224=""," · Falta fecha","")&amp;IF($D224=""," · Falta cliente","")&amp;IF($E224=""," · Falta canal","")&amp;IF($F224=""," · Falta SKU","")&amp;IF(AND($F224&lt;&gt;"",COUNTIF(tblProductos[SKU],$F224)=0)," · SKU no existe","")&amp;IF(OR($I224="",NOT(ISNUMBER($I224)),$I224&lt;=0)," · Cantidad inválida","")&amp;IF($M224="PRECIO PENDIENTE"," · Falta precio de venta","")&amp;IF($P224="COSTO PENDIENTE"," · Falta costo del producto","")&amp;IF(AND(ISNUMBER($Q224),$Q224&lt;0)," · UTILIDAD NEGATIVA","")&amp;IF(AND($F224&lt;&gt;"",ISNUMBER(INDEX(tblInventario[Stock actual],MATCH($F224,tblInventario[SKU],0))),INDEX(tblInventario[Stock actual],MATCH($F224,tblInventario[SKU],0))&lt;0)," · Stock negativo del SKU","")&amp;IF(AND($T224="Cobrado",$U224="")," · Cobro sin fecha","")&amp;IF(AND(ISNUMBER($V224),ISNUMBER($N224),$V224&gt;N($N224)+0.01)," · Cobrado &gt; venta neta","")&amp;IF(AND(ISNUMBER($V224),$V224&gt;0,$U224="")," · Monto cobrado sin fecha",""),4,900)))</f>
        <v/>
      </c>
    </row>
    <row r="225">
      <c r="A225" s="51">
        <f>IF(COUNTA($B225,$C225,$D225,$E225,$F225,$I225)=0,"","V-"&amp;TEXT(ROW()-6,"0000"))</f>
        <v/>
      </c>
      <c r="B225" s="41" t="n"/>
      <c r="C225" s="33" t="n"/>
      <c r="D225" s="33" t="n"/>
      <c r="E225" s="33" t="n"/>
      <c r="F225" s="33" t="n"/>
      <c r="G225" s="51">
        <f>IF($F225="","",IFERROR(IF(INDEX(tblProductos[Nombre del producto],MATCH($F225,tblProductos[SKU],0))="","",INDEX(tblProductos[Nombre del producto],MATCH($F225,tblProductos[SKU],0))),""))</f>
        <v/>
      </c>
      <c r="H225" s="51">
        <f>IF($F225="","",IFERROR(IF(INDEX(tblProductos[Categoría],MATCH($F225,tblProductos[SKU],0))="","",INDEX(tblProductos[Categoría],MATCH($F225,tblProductos[SKU],0))),""))</f>
        <v/>
      </c>
      <c r="I225" s="34" t="n"/>
      <c r="J225" s="39">
        <f>IF(OR($B225="",$F225="",$I225=""),"",IF($T225="Anulado",0,$I225))</f>
        <v/>
      </c>
      <c r="K225" s="54">
        <f>IF($F225="","",IFERROR(IF(INDEX(tblProductos[Precio de venta actual],MATCH($F225,tblProductos[SKU],0))="","",INDEX(tblProductos[Precio de venta actual],MATCH($F225,tblProductos[SKU],0))),""))</f>
        <v/>
      </c>
      <c r="L225" s="36" t="n"/>
      <c r="M225" s="37">
        <f>IF($J225="","",IF(NOT(ISNUMBER($K225)),"PRECIO PENDIENTE",$J225*$K225))</f>
        <v/>
      </c>
      <c r="N225" s="37">
        <f>IF($J225="","",IF(NOT(ISNUMBER($M225)),"PRECIO PENDIENTE",$M225-IF(ISNUMBER($L225),$L225,0)))</f>
        <v/>
      </c>
      <c r="O225" s="54">
        <f>IF($F225="","",IFERROR(INDEX(tblInventario[Costo unitario aplicado],MATCH($F225,tblInventario[SKU],0)),""))</f>
        <v/>
      </c>
      <c r="P225" s="37">
        <f>IF($J225="","",IF(NOT(ISNUMBER($O225)),"COSTO PENDIENTE",$J225*$O225))</f>
        <v/>
      </c>
      <c r="Q225" s="37">
        <f>IF($J225="","",IF(OR(NOT(ISNUMBER($N225)),NOT(ISNUMBER($P225))),"PENDIENTE",$N225-$P225))</f>
        <v/>
      </c>
      <c r="R225" s="38">
        <f>IF($J225="","",IF(OR(NOT(ISNUMBER($Q225)),NOT(ISNUMBER($N225)),$N225&lt;=0),"PENDIENTE",$Q225/$N225))</f>
        <v/>
      </c>
      <c r="S225" s="33" t="n"/>
      <c r="T225" s="33" t="n"/>
      <c r="U225" s="41" t="n"/>
      <c r="V225" s="36" t="n"/>
      <c r="W225" s="37">
        <f>IF(NOT(ISNUMBER($N225)),"",$N225-IF(ISNUMBER($V225),$V225,0))</f>
        <v/>
      </c>
      <c r="X225" s="33" t="n"/>
      <c r="Y225" s="51">
        <f>IF(COUNTA($B225,$C225,$D225,$E225,$F225,$I225)=0,"",IF(IF($B225=""," · Falta fecha","")&amp;IF($D225=""," · Falta cliente","")&amp;IF($E225=""," · Falta canal","")&amp;IF($F225=""," · Falta SKU","")&amp;IF(AND($F225&lt;&gt;"",COUNTIF(tblProductos[SKU],$F225)=0)," · SKU no existe","")&amp;IF(OR($I225="",NOT(ISNUMBER($I225)),$I225&lt;=0)," · Cantidad inválida","")&amp;IF($M225="PRECIO PENDIENTE"," · Falta precio de venta","")&amp;IF($P225="COSTO PENDIENTE"," · Falta costo del producto","")&amp;IF(AND(ISNUMBER($Q225),$Q225&lt;0)," · UTILIDAD NEGATIVA","")&amp;IF(AND($F225&lt;&gt;"",ISNUMBER(INDEX(tblInventario[Stock actual],MATCH($F225,tblInventario[SKU],0))),INDEX(tblInventario[Stock actual],MATCH($F225,tblInventario[SKU],0))&lt;0)," · Stock negativo del SKU","")&amp;IF(AND($T225="Cobrado",$U225="")," · Cobro sin fecha","")&amp;IF(AND(ISNUMBER($V225),ISNUMBER($N225),$V225&gt;N($N225)+0.01)," · Cobrado &gt; venta neta","")&amp;IF(AND(ISNUMBER($V225),$V225&gt;0,$U225="")," · Monto cobrado sin fecha","")="","OK",MID(IF($B225=""," · Falta fecha","")&amp;IF($D225=""," · Falta cliente","")&amp;IF($E225=""," · Falta canal","")&amp;IF($F225=""," · Falta SKU","")&amp;IF(AND($F225&lt;&gt;"",COUNTIF(tblProductos[SKU],$F225)=0)," · SKU no existe","")&amp;IF(OR($I225="",NOT(ISNUMBER($I225)),$I225&lt;=0)," · Cantidad inválida","")&amp;IF($M225="PRECIO PENDIENTE"," · Falta precio de venta","")&amp;IF($P225="COSTO PENDIENTE"," · Falta costo del producto","")&amp;IF(AND(ISNUMBER($Q225),$Q225&lt;0)," · UTILIDAD NEGATIVA","")&amp;IF(AND($F225&lt;&gt;"",ISNUMBER(INDEX(tblInventario[Stock actual],MATCH($F225,tblInventario[SKU],0))),INDEX(tblInventario[Stock actual],MATCH($F225,tblInventario[SKU],0))&lt;0)," · Stock negativo del SKU","")&amp;IF(AND($T225="Cobrado",$U225="")," · Cobro sin fecha","")&amp;IF(AND(ISNUMBER($V225),ISNUMBER($N225),$V225&gt;N($N225)+0.01)," · Cobrado &gt; venta neta","")&amp;IF(AND(ISNUMBER($V225),$V225&gt;0,$U225="")," · Monto cobrado sin fecha",""),4,900)))</f>
        <v/>
      </c>
    </row>
    <row r="226">
      <c r="A226" s="51">
        <f>IF(COUNTA($B226,$C226,$D226,$E226,$F226,$I226)=0,"","V-"&amp;TEXT(ROW()-6,"0000"))</f>
        <v/>
      </c>
      <c r="B226" s="41" t="n"/>
      <c r="C226" s="33" t="n"/>
      <c r="D226" s="33" t="n"/>
      <c r="E226" s="33" t="n"/>
      <c r="F226" s="33" t="n"/>
      <c r="G226" s="51">
        <f>IF($F226="","",IFERROR(IF(INDEX(tblProductos[Nombre del producto],MATCH($F226,tblProductos[SKU],0))="","",INDEX(tblProductos[Nombre del producto],MATCH($F226,tblProductos[SKU],0))),""))</f>
        <v/>
      </c>
      <c r="H226" s="51">
        <f>IF($F226="","",IFERROR(IF(INDEX(tblProductos[Categoría],MATCH($F226,tblProductos[SKU],0))="","",INDEX(tblProductos[Categoría],MATCH($F226,tblProductos[SKU],0))),""))</f>
        <v/>
      </c>
      <c r="I226" s="34" t="n"/>
      <c r="J226" s="39">
        <f>IF(OR($B226="",$F226="",$I226=""),"",IF($T226="Anulado",0,$I226))</f>
        <v/>
      </c>
      <c r="K226" s="54">
        <f>IF($F226="","",IFERROR(IF(INDEX(tblProductos[Precio de venta actual],MATCH($F226,tblProductos[SKU],0))="","",INDEX(tblProductos[Precio de venta actual],MATCH($F226,tblProductos[SKU],0))),""))</f>
        <v/>
      </c>
      <c r="L226" s="36" t="n"/>
      <c r="M226" s="37">
        <f>IF($J226="","",IF(NOT(ISNUMBER($K226)),"PRECIO PENDIENTE",$J226*$K226))</f>
        <v/>
      </c>
      <c r="N226" s="37">
        <f>IF($J226="","",IF(NOT(ISNUMBER($M226)),"PRECIO PENDIENTE",$M226-IF(ISNUMBER($L226),$L226,0)))</f>
        <v/>
      </c>
      <c r="O226" s="54">
        <f>IF($F226="","",IFERROR(INDEX(tblInventario[Costo unitario aplicado],MATCH($F226,tblInventario[SKU],0)),""))</f>
        <v/>
      </c>
      <c r="P226" s="37">
        <f>IF($J226="","",IF(NOT(ISNUMBER($O226)),"COSTO PENDIENTE",$J226*$O226))</f>
        <v/>
      </c>
      <c r="Q226" s="37">
        <f>IF($J226="","",IF(OR(NOT(ISNUMBER($N226)),NOT(ISNUMBER($P226))),"PENDIENTE",$N226-$P226))</f>
        <v/>
      </c>
      <c r="R226" s="38">
        <f>IF($J226="","",IF(OR(NOT(ISNUMBER($Q226)),NOT(ISNUMBER($N226)),$N226&lt;=0),"PENDIENTE",$Q226/$N226))</f>
        <v/>
      </c>
      <c r="S226" s="33" t="n"/>
      <c r="T226" s="33" t="n"/>
      <c r="U226" s="41" t="n"/>
      <c r="V226" s="36" t="n"/>
      <c r="W226" s="37">
        <f>IF(NOT(ISNUMBER($N226)),"",$N226-IF(ISNUMBER($V226),$V226,0))</f>
        <v/>
      </c>
      <c r="X226" s="33" t="n"/>
      <c r="Y226" s="51">
        <f>IF(COUNTA($B226,$C226,$D226,$E226,$F226,$I226)=0,"",IF(IF($B226=""," · Falta fecha","")&amp;IF($D226=""," · Falta cliente","")&amp;IF($E226=""," · Falta canal","")&amp;IF($F226=""," · Falta SKU","")&amp;IF(AND($F226&lt;&gt;"",COUNTIF(tblProductos[SKU],$F226)=0)," · SKU no existe","")&amp;IF(OR($I226="",NOT(ISNUMBER($I226)),$I226&lt;=0)," · Cantidad inválida","")&amp;IF($M226="PRECIO PENDIENTE"," · Falta precio de venta","")&amp;IF($P226="COSTO PENDIENTE"," · Falta costo del producto","")&amp;IF(AND(ISNUMBER($Q226),$Q226&lt;0)," · UTILIDAD NEGATIVA","")&amp;IF(AND($F226&lt;&gt;"",ISNUMBER(INDEX(tblInventario[Stock actual],MATCH($F226,tblInventario[SKU],0))),INDEX(tblInventario[Stock actual],MATCH($F226,tblInventario[SKU],0))&lt;0)," · Stock negativo del SKU","")&amp;IF(AND($T226="Cobrado",$U226="")," · Cobro sin fecha","")&amp;IF(AND(ISNUMBER($V226),ISNUMBER($N226),$V226&gt;N($N226)+0.01)," · Cobrado &gt; venta neta","")&amp;IF(AND(ISNUMBER($V226),$V226&gt;0,$U226="")," · Monto cobrado sin fecha","")="","OK",MID(IF($B226=""," · Falta fecha","")&amp;IF($D226=""," · Falta cliente","")&amp;IF($E226=""," · Falta canal","")&amp;IF($F226=""," · Falta SKU","")&amp;IF(AND($F226&lt;&gt;"",COUNTIF(tblProductos[SKU],$F226)=0)," · SKU no existe","")&amp;IF(OR($I226="",NOT(ISNUMBER($I226)),$I226&lt;=0)," · Cantidad inválida","")&amp;IF($M226="PRECIO PENDIENTE"," · Falta precio de venta","")&amp;IF($P226="COSTO PENDIENTE"," · Falta costo del producto","")&amp;IF(AND(ISNUMBER($Q226),$Q226&lt;0)," · UTILIDAD NEGATIVA","")&amp;IF(AND($F226&lt;&gt;"",ISNUMBER(INDEX(tblInventario[Stock actual],MATCH($F226,tblInventario[SKU],0))),INDEX(tblInventario[Stock actual],MATCH($F226,tblInventario[SKU],0))&lt;0)," · Stock negativo del SKU","")&amp;IF(AND($T226="Cobrado",$U226="")," · Cobro sin fecha","")&amp;IF(AND(ISNUMBER($V226),ISNUMBER($N226),$V226&gt;N($N226)+0.01)," · Cobrado &gt; venta neta","")&amp;IF(AND(ISNUMBER($V226),$V226&gt;0,$U226="")," · Monto cobrado sin fecha",""),4,900)))</f>
        <v/>
      </c>
    </row>
    <row r="227">
      <c r="A227" s="51">
        <f>IF(COUNTA($B227,$C227,$D227,$E227,$F227,$I227)=0,"","V-"&amp;TEXT(ROW()-6,"0000"))</f>
        <v/>
      </c>
      <c r="B227" s="41" t="n"/>
      <c r="C227" s="33" t="n"/>
      <c r="D227" s="33" t="n"/>
      <c r="E227" s="33" t="n"/>
      <c r="F227" s="33" t="n"/>
      <c r="G227" s="51">
        <f>IF($F227="","",IFERROR(IF(INDEX(tblProductos[Nombre del producto],MATCH($F227,tblProductos[SKU],0))="","",INDEX(tblProductos[Nombre del producto],MATCH($F227,tblProductos[SKU],0))),""))</f>
        <v/>
      </c>
      <c r="H227" s="51">
        <f>IF($F227="","",IFERROR(IF(INDEX(tblProductos[Categoría],MATCH($F227,tblProductos[SKU],0))="","",INDEX(tblProductos[Categoría],MATCH($F227,tblProductos[SKU],0))),""))</f>
        <v/>
      </c>
      <c r="I227" s="34" t="n"/>
      <c r="J227" s="39">
        <f>IF(OR($B227="",$F227="",$I227=""),"",IF($T227="Anulado",0,$I227))</f>
        <v/>
      </c>
      <c r="K227" s="54">
        <f>IF($F227="","",IFERROR(IF(INDEX(tblProductos[Precio de venta actual],MATCH($F227,tblProductos[SKU],0))="","",INDEX(tblProductos[Precio de venta actual],MATCH($F227,tblProductos[SKU],0))),""))</f>
        <v/>
      </c>
      <c r="L227" s="36" t="n"/>
      <c r="M227" s="37">
        <f>IF($J227="","",IF(NOT(ISNUMBER($K227)),"PRECIO PENDIENTE",$J227*$K227))</f>
        <v/>
      </c>
      <c r="N227" s="37">
        <f>IF($J227="","",IF(NOT(ISNUMBER($M227)),"PRECIO PENDIENTE",$M227-IF(ISNUMBER($L227),$L227,0)))</f>
        <v/>
      </c>
      <c r="O227" s="54">
        <f>IF($F227="","",IFERROR(INDEX(tblInventario[Costo unitario aplicado],MATCH($F227,tblInventario[SKU],0)),""))</f>
        <v/>
      </c>
      <c r="P227" s="37">
        <f>IF($J227="","",IF(NOT(ISNUMBER($O227)),"COSTO PENDIENTE",$J227*$O227))</f>
        <v/>
      </c>
      <c r="Q227" s="37">
        <f>IF($J227="","",IF(OR(NOT(ISNUMBER($N227)),NOT(ISNUMBER($P227))),"PENDIENTE",$N227-$P227))</f>
        <v/>
      </c>
      <c r="R227" s="38">
        <f>IF($J227="","",IF(OR(NOT(ISNUMBER($Q227)),NOT(ISNUMBER($N227)),$N227&lt;=0),"PENDIENTE",$Q227/$N227))</f>
        <v/>
      </c>
      <c r="S227" s="33" t="n"/>
      <c r="T227" s="33" t="n"/>
      <c r="U227" s="41" t="n"/>
      <c r="V227" s="36" t="n"/>
      <c r="W227" s="37">
        <f>IF(NOT(ISNUMBER($N227)),"",$N227-IF(ISNUMBER($V227),$V227,0))</f>
        <v/>
      </c>
      <c r="X227" s="33" t="n"/>
      <c r="Y227" s="51">
        <f>IF(COUNTA($B227,$C227,$D227,$E227,$F227,$I227)=0,"",IF(IF($B227=""," · Falta fecha","")&amp;IF($D227=""," · Falta cliente","")&amp;IF($E227=""," · Falta canal","")&amp;IF($F227=""," · Falta SKU","")&amp;IF(AND($F227&lt;&gt;"",COUNTIF(tblProductos[SKU],$F227)=0)," · SKU no existe","")&amp;IF(OR($I227="",NOT(ISNUMBER($I227)),$I227&lt;=0)," · Cantidad inválida","")&amp;IF($M227="PRECIO PENDIENTE"," · Falta precio de venta","")&amp;IF($P227="COSTO PENDIENTE"," · Falta costo del producto","")&amp;IF(AND(ISNUMBER($Q227),$Q227&lt;0)," · UTILIDAD NEGATIVA","")&amp;IF(AND($F227&lt;&gt;"",ISNUMBER(INDEX(tblInventario[Stock actual],MATCH($F227,tblInventario[SKU],0))),INDEX(tblInventario[Stock actual],MATCH($F227,tblInventario[SKU],0))&lt;0)," · Stock negativo del SKU","")&amp;IF(AND($T227="Cobrado",$U227="")," · Cobro sin fecha","")&amp;IF(AND(ISNUMBER($V227),ISNUMBER($N227),$V227&gt;N($N227)+0.01)," · Cobrado &gt; venta neta","")&amp;IF(AND(ISNUMBER($V227),$V227&gt;0,$U227="")," · Monto cobrado sin fecha","")="","OK",MID(IF($B227=""," · Falta fecha","")&amp;IF($D227=""," · Falta cliente","")&amp;IF($E227=""," · Falta canal","")&amp;IF($F227=""," · Falta SKU","")&amp;IF(AND($F227&lt;&gt;"",COUNTIF(tblProductos[SKU],$F227)=0)," · SKU no existe","")&amp;IF(OR($I227="",NOT(ISNUMBER($I227)),$I227&lt;=0)," · Cantidad inválida","")&amp;IF($M227="PRECIO PENDIENTE"," · Falta precio de venta","")&amp;IF($P227="COSTO PENDIENTE"," · Falta costo del producto","")&amp;IF(AND(ISNUMBER($Q227),$Q227&lt;0)," · UTILIDAD NEGATIVA","")&amp;IF(AND($F227&lt;&gt;"",ISNUMBER(INDEX(tblInventario[Stock actual],MATCH($F227,tblInventario[SKU],0))),INDEX(tblInventario[Stock actual],MATCH($F227,tblInventario[SKU],0))&lt;0)," · Stock negativo del SKU","")&amp;IF(AND($T227="Cobrado",$U227="")," · Cobro sin fecha","")&amp;IF(AND(ISNUMBER($V227),ISNUMBER($N227),$V227&gt;N($N227)+0.01)," · Cobrado &gt; venta neta","")&amp;IF(AND(ISNUMBER($V227),$V227&gt;0,$U227="")," · Monto cobrado sin fecha",""),4,900)))</f>
        <v/>
      </c>
    </row>
    <row r="228">
      <c r="A228" s="51">
        <f>IF(COUNTA($B228,$C228,$D228,$E228,$F228,$I228)=0,"","V-"&amp;TEXT(ROW()-6,"0000"))</f>
        <v/>
      </c>
      <c r="B228" s="41" t="n"/>
      <c r="C228" s="33" t="n"/>
      <c r="D228" s="33" t="n"/>
      <c r="E228" s="33" t="n"/>
      <c r="F228" s="33" t="n"/>
      <c r="G228" s="51">
        <f>IF($F228="","",IFERROR(IF(INDEX(tblProductos[Nombre del producto],MATCH($F228,tblProductos[SKU],0))="","",INDEX(tblProductos[Nombre del producto],MATCH($F228,tblProductos[SKU],0))),""))</f>
        <v/>
      </c>
      <c r="H228" s="51">
        <f>IF($F228="","",IFERROR(IF(INDEX(tblProductos[Categoría],MATCH($F228,tblProductos[SKU],0))="","",INDEX(tblProductos[Categoría],MATCH($F228,tblProductos[SKU],0))),""))</f>
        <v/>
      </c>
      <c r="I228" s="34" t="n"/>
      <c r="J228" s="39">
        <f>IF(OR($B228="",$F228="",$I228=""),"",IF($T228="Anulado",0,$I228))</f>
        <v/>
      </c>
      <c r="K228" s="54">
        <f>IF($F228="","",IFERROR(IF(INDEX(tblProductos[Precio de venta actual],MATCH($F228,tblProductos[SKU],0))="","",INDEX(tblProductos[Precio de venta actual],MATCH($F228,tblProductos[SKU],0))),""))</f>
        <v/>
      </c>
      <c r="L228" s="36" t="n"/>
      <c r="M228" s="37">
        <f>IF($J228="","",IF(NOT(ISNUMBER($K228)),"PRECIO PENDIENTE",$J228*$K228))</f>
        <v/>
      </c>
      <c r="N228" s="37">
        <f>IF($J228="","",IF(NOT(ISNUMBER($M228)),"PRECIO PENDIENTE",$M228-IF(ISNUMBER($L228),$L228,0)))</f>
        <v/>
      </c>
      <c r="O228" s="54">
        <f>IF($F228="","",IFERROR(INDEX(tblInventario[Costo unitario aplicado],MATCH($F228,tblInventario[SKU],0)),""))</f>
        <v/>
      </c>
      <c r="P228" s="37">
        <f>IF($J228="","",IF(NOT(ISNUMBER($O228)),"COSTO PENDIENTE",$J228*$O228))</f>
        <v/>
      </c>
      <c r="Q228" s="37">
        <f>IF($J228="","",IF(OR(NOT(ISNUMBER($N228)),NOT(ISNUMBER($P228))),"PENDIENTE",$N228-$P228))</f>
        <v/>
      </c>
      <c r="R228" s="38">
        <f>IF($J228="","",IF(OR(NOT(ISNUMBER($Q228)),NOT(ISNUMBER($N228)),$N228&lt;=0),"PENDIENTE",$Q228/$N228))</f>
        <v/>
      </c>
      <c r="S228" s="33" t="n"/>
      <c r="T228" s="33" t="n"/>
      <c r="U228" s="41" t="n"/>
      <c r="V228" s="36" t="n"/>
      <c r="W228" s="37">
        <f>IF(NOT(ISNUMBER($N228)),"",$N228-IF(ISNUMBER($V228),$V228,0))</f>
        <v/>
      </c>
      <c r="X228" s="33" t="n"/>
      <c r="Y228" s="51">
        <f>IF(COUNTA($B228,$C228,$D228,$E228,$F228,$I228)=0,"",IF(IF($B228=""," · Falta fecha","")&amp;IF($D228=""," · Falta cliente","")&amp;IF($E228=""," · Falta canal","")&amp;IF($F228=""," · Falta SKU","")&amp;IF(AND($F228&lt;&gt;"",COUNTIF(tblProductos[SKU],$F228)=0)," · SKU no existe","")&amp;IF(OR($I228="",NOT(ISNUMBER($I228)),$I228&lt;=0)," · Cantidad inválida","")&amp;IF($M228="PRECIO PENDIENTE"," · Falta precio de venta","")&amp;IF($P228="COSTO PENDIENTE"," · Falta costo del producto","")&amp;IF(AND(ISNUMBER($Q228),$Q228&lt;0)," · UTILIDAD NEGATIVA","")&amp;IF(AND($F228&lt;&gt;"",ISNUMBER(INDEX(tblInventario[Stock actual],MATCH($F228,tblInventario[SKU],0))),INDEX(tblInventario[Stock actual],MATCH($F228,tblInventario[SKU],0))&lt;0)," · Stock negativo del SKU","")&amp;IF(AND($T228="Cobrado",$U228="")," · Cobro sin fecha","")&amp;IF(AND(ISNUMBER($V228),ISNUMBER($N228),$V228&gt;N($N228)+0.01)," · Cobrado &gt; venta neta","")&amp;IF(AND(ISNUMBER($V228),$V228&gt;0,$U228="")," · Monto cobrado sin fecha","")="","OK",MID(IF($B228=""," · Falta fecha","")&amp;IF($D228=""," · Falta cliente","")&amp;IF($E228=""," · Falta canal","")&amp;IF($F228=""," · Falta SKU","")&amp;IF(AND($F228&lt;&gt;"",COUNTIF(tblProductos[SKU],$F228)=0)," · SKU no existe","")&amp;IF(OR($I228="",NOT(ISNUMBER($I228)),$I228&lt;=0)," · Cantidad inválida","")&amp;IF($M228="PRECIO PENDIENTE"," · Falta precio de venta","")&amp;IF($P228="COSTO PENDIENTE"," · Falta costo del producto","")&amp;IF(AND(ISNUMBER($Q228),$Q228&lt;0)," · UTILIDAD NEGATIVA","")&amp;IF(AND($F228&lt;&gt;"",ISNUMBER(INDEX(tblInventario[Stock actual],MATCH($F228,tblInventario[SKU],0))),INDEX(tblInventario[Stock actual],MATCH($F228,tblInventario[SKU],0))&lt;0)," · Stock negativo del SKU","")&amp;IF(AND($T228="Cobrado",$U228="")," · Cobro sin fecha","")&amp;IF(AND(ISNUMBER($V228),ISNUMBER($N228),$V228&gt;N($N228)+0.01)," · Cobrado &gt; venta neta","")&amp;IF(AND(ISNUMBER($V228),$V228&gt;0,$U228="")," · Monto cobrado sin fecha",""),4,900)))</f>
        <v/>
      </c>
    </row>
    <row r="229">
      <c r="A229" s="51">
        <f>IF(COUNTA($B229,$C229,$D229,$E229,$F229,$I229)=0,"","V-"&amp;TEXT(ROW()-6,"0000"))</f>
        <v/>
      </c>
      <c r="B229" s="41" t="n"/>
      <c r="C229" s="33" t="n"/>
      <c r="D229" s="33" t="n"/>
      <c r="E229" s="33" t="n"/>
      <c r="F229" s="33" t="n"/>
      <c r="G229" s="51">
        <f>IF($F229="","",IFERROR(IF(INDEX(tblProductos[Nombre del producto],MATCH($F229,tblProductos[SKU],0))="","",INDEX(tblProductos[Nombre del producto],MATCH($F229,tblProductos[SKU],0))),""))</f>
        <v/>
      </c>
      <c r="H229" s="51">
        <f>IF($F229="","",IFERROR(IF(INDEX(tblProductos[Categoría],MATCH($F229,tblProductos[SKU],0))="","",INDEX(tblProductos[Categoría],MATCH($F229,tblProductos[SKU],0))),""))</f>
        <v/>
      </c>
      <c r="I229" s="34" t="n"/>
      <c r="J229" s="39">
        <f>IF(OR($B229="",$F229="",$I229=""),"",IF($T229="Anulado",0,$I229))</f>
        <v/>
      </c>
      <c r="K229" s="54">
        <f>IF($F229="","",IFERROR(IF(INDEX(tblProductos[Precio de venta actual],MATCH($F229,tblProductos[SKU],0))="","",INDEX(tblProductos[Precio de venta actual],MATCH($F229,tblProductos[SKU],0))),""))</f>
        <v/>
      </c>
      <c r="L229" s="36" t="n"/>
      <c r="M229" s="37">
        <f>IF($J229="","",IF(NOT(ISNUMBER($K229)),"PRECIO PENDIENTE",$J229*$K229))</f>
        <v/>
      </c>
      <c r="N229" s="37">
        <f>IF($J229="","",IF(NOT(ISNUMBER($M229)),"PRECIO PENDIENTE",$M229-IF(ISNUMBER($L229),$L229,0)))</f>
        <v/>
      </c>
      <c r="O229" s="54">
        <f>IF($F229="","",IFERROR(INDEX(tblInventario[Costo unitario aplicado],MATCH($F229,tblInventario[SKU],0)),""))</f>
        <v/>
      </c>
      <c r="P229" s="37">
        <f>IF($J229="","",IF(NOT(ISNUMBER($O229)),"COSTO PENDIENTE",$J229*$O229))</f>
        <v/>
      </c>
      <c r="Q229" s="37">
        <f>IF($J229="","",IF(OR(NOT(ISNUMBER($N229)),NOT(ISNUMBER($P229))),"PENDIENTE",$N229-$P229))</f>
        <v/>
      </c>
      <c r="R229" s="38">
        <f>IF($J229="","",IF(OR(NOT(ISNUMBER($Q229)),NOT(ISNUMBER($N229)),$N229&lt;=0),"PENDIENTE",$Q229/$N229))</f>
        <v/>
      </c>
      <c r="S229" s="33" t="n"/>
      <c r="T229" s="33" t="n"/>
      <c r="U229" s="41" t="n"/>
      <c r="V229" s="36" t="n"/>
      <c r="W229" s="37">
        <f>IF(NOT(ISNUMBER($N229)),"",$N229-IF(ISNUMBER($V229),$V229,0))</f>
        <v/>
      </c>
      <c r="X229" s="33" t="n"/>
      <c r="Y229" s="51">
        <f>IF(COUNTA($B229,$C229,$D229,$E229,$F229,$I229)=0,"",IF(IF($B229=""," · Falta fecha","")&amp;IF($D229=""," · Falta cliente","")&amp;IF($E229=""," · Falta canal","")&amp;IF($F229=""," · Falta SKU","")&amp;IF(AND($F229&lt;&gt;"",COUNTIF(tblProductos[SKU],$F229)=0)," · SKU no existe","")&amp;IF(OR($I229="",NOT(ISNUMBER($I229)),$I229&lt;=0)," · Cantidad inválida","")&amp;IF($M229="PRECIO PENDIENTE"," · Falta precio de venta","")&amp;IF($P229="COSTO PENDIENTE"," · Falta costo del producto","")&amp;IF(AND(ISNUMBER($Q229),$Q229&lt;0)," · UTILIDAD NEGATIVA","")&amp;IF(AND($F229&lt;&gt;"",ISNUMBER(INDEX(tblInventario[Stock actual],MATCH($F229,tblInventario[SKU],0))),INDEX(tblInventario[Stock actual],MATCH($F229,tblInventario[SKU],0))&lt;0)," · Stock negativo del SKU","")&amp;IF(AND($T229="Cobrado",$U229="")," · Cobro sin fecha","")&amp;IF(AND(ISNUMBER($V229),ISNUMBER($N229),$V229&gt;N($N229)+0.01)," · Cobrado &gt; venta neta","")&amp;IF(AND(ISNUMBER($V229),$V229&gt;0,$U229="")," · Monto cobrado sin fecha","")="","OK",MID(IF($B229=""," · Falta fecha","")&amp;IF($D229=""," · Falta cliente","")&amp;IF($E229=""," · Falta canal","")&amp;IF($F229=""," · Falta SKU","")&amp;IF(AND($F229&lt;&gt;"",COUNTIF(tblProductos[SKU],$F229)=0)," · SKU no existe","")&amp;IF(OR($I229="",NOT(ISNUMBER($I229)),$I229&lt;=0)," · Cantidad inválida","")&amp;IF($M229="PRECIO PENDIENTE"," · Falta precio de venta","")&amp;IF($P229="COSTO PENDIENTE"," · Falta costo del producto","")&amp;IF(AND(ISNUMBER($Q229),$Q229&lt;0)," · UTILIDAD NEGATIVA","")&amp;IF(AND($F229&lt;&gt;"",ISNUMBER(INDEX(tblInventario[Stock actual],MATCH($F229,tblInventario[SKU],0))),INDEX(tblInventario[Stock actual],MATCH($F229,tblInventario[SKU],0))&lt;0)," · Stock negativo del SKU","")&amp;IF(AND($T229="Cobrado",$U229="")," · Cobro sin fecha","")&amp;IF(AND(ISNUMBER($V229),ISNUMBER($N229),$V229&gt;N($N229)+0.01)," · Cobrado &gt; venta neta","")&amp;IF(AND(ISNUMBER($V229),$V229&gt;0,$U229="")," · Monto cobrado sin fecha",""),4,900)))</f>
        <v/>
      </c>
    </row>
    <row r="230">
      <c r="A230" s="51">
        <f>IF(COUNTA($B230,$C230,$D230,$E230,$F230,$I230)=0,"","V-"&amp;TEXT(ROW()-6,"0000"))</f>
        <v/>
      </c>
      <c r="B230" s="41" t="n"/>
      <c r="C230" s="33" t="n"/>
      <c r="D230" s="33" t="n"/>
      <c r="E230" s="33" t="n"/>
      <c r="F230" s="33" t="n"/>
      <c r="G230" s="51">
        <f>IF($F230="","",IFERROR(IF(INDEX(tblProductos[Nombre del producto],MATCH($F230,tblProductos[SKU],0))="","",INDEX(tblProductos[Nombre del producto],MATCH($F230,tblProductos[SKU],0))),""))</f>
        <v/>
      </c>
      <c r="H230" s="51">
        <f>IF($F230="","",IFERROR(IF(INDEX(tblProductos[Categoría],MATCH($F230,tblProductos[SKU],0))="","",INDEX(tblProductos[Categoría],MATCH($F230,tblProductos[SKU],0))),""))</f>
        <v/>
      </c>
      <c r="I230" s="34" t="n"/>
      <c r="J230" s="39">
        <f>IF(OR($B230="",$F230="",$I230=""),"",IF($T230="Anulado",0,$I230))</f>
        <v/>
      </c>
      <c r="K230" s="54">
        <f>IF($F230="","",IFERROR(IF(INDEX(tblProductos[Precio de venta actual],MATCH($F230,tblProductos[SKU],0))="","",INDEX(tblProductos[Precio de venta actual],MATCH($F230,tblProductos[SKU],0))),""))</f>
        <v/>
      </c>
      <c r="L230" s="36" t="n"/>
      <c r="M230" s="37">
        <f>IF($J230="","",IF(NOT(ISNUMBER($K230)),"PRECIO PENDIENTE",$J230*$K230))</f>
        <v/>
      </c>
      <c r="N230" s="37">
        <f>IF($J230="","",IF(NOT(ISNUMBER($M230)),"PRECIO PENDIENTE",$M230-IF(ISNUMBER($L230),$L230,0)))</f>
        <v/>
      </c>
      <c r="O230" s="54">
        <f>IF($F230="","",IFERROR(INDEX(tblInventario[Costo unitario aplicado],MATCH($F230,tblInventario[SKU],0)),""))</f>
        <v/>
      </c>
      <c r="P230" s="37">
        <f>IF($J230="","",IF(NOT(ISNUMBER($O230)),"COSTO PENDIENTE",$J230*$O230))</f>
        <v/>
      </c>
      <c r="Q230" s="37">
        <f>IF($J230="","",IF(OR(NOT(ISNUMBER($N230)),NOT(ISNUMBER($P230))),"PENDIENTE",$N230-$P230))</f>
        <v/>
      </c>
      <c r="R230" s="38">
        <f>IF($J230="","",IF(OR(NOT(ISNUMBER($Q230)),NOT(ISNUMBER($N230)),$N230&lt;=0),"PENDIENTE",$Q230/$N230))</f>
        <v/>
      </c>
      <c r="S230" s="33" t="n"/>
      <c r="T230" s="33" t="n"/>
      <c r="U230" s="41" t="n"/>
      <c r="V230" s="36" t="n"/>
      <c r="W230" s="37">
        <f>IF(NOT(ISNUMBER($N230)),"",$N230-IF(ISNUMBER($V230),$V230,0))</f>
        <v/>
      </c>
      <c r="X230" s="33" t="n"/>
      <c r="Y230" s="51">
        <f>IF(COUNTA($B230,$C230,$D230,$E230,$F230,$I230)=0,"",IF(IF($B230=""," · Falta fecha","")&amp;IF($D230=""," · Falta cliente","")&amp;IF($E230=""," · Falta canal","")&amp;IF($F230=""," · Falta SKU","")&amp;IF(AND($F230&lt;&gt;"",COUNTIF(tblProductos[SKU],$F230)=0)," · SKU no existe","")&amp;IF(OR($I230="",NOT(ISNUMBER($I230)),$I230&lt;=0)," · Cantidad inválida","")&amp;IF($M230="PRECIO PENDIENTE"," · Falta precio de venta","")&amp;IF($P230="COSTO PENDIENTE"," · Falta costo del producto","")&amp;IF(AND(ISNUMBER($Q230),$Q230&lt;0)," · UTILIDAD NEGATIVA","")&amp;IF(AND($F230&lt;&gt;"",ISNUMBER(INDEX(tblInventario[Stock actual],MATCH($F230,tblInventario[SKU],0))),INDEX(tblInventario[Stock actual],MATCH($F230,tblInventario[SKU],0))&lt;0)," · Stock negativo del SKU","")&amp;IF(AND($T230="Cobrado",$U230="")," · Cobro sin fecha","")&amp;IF(AND(ISNUMBER($V230),ISNUMBER($N230),$V230&gt;N($N230)+0.01)," · Cobrado &gt; venta neta","")&amp;IF(AND(ISNUMBER($V230),$V230&gt;0,$U230="")," · Monto cobrado sin fecha","")="","OK",MID(IF($B230=""," · Falta fecha","")&amp;IF($D230=""," · Falta cliente","")&amp;IF($E230=""," · Falta canal","")&amp;IF($F230=""," · Falta SKU","")&amp;IF(AND($F230&lt;&gt;"",COUNTIF(tblProductos[SKU],$F230)=0)," · SKU no existe","")&amp;IF(OR($I230="",NOT(ISNUMBER($I230)),$I230&lt;=0)," · Cantidad inválida","")&amp;IF($M230="PRECIO PENDIENTE"," · Falta precio de venta","")&amp;IF($P230="COSTO PENDIENTE"," · Falta costo del producto","")&amp;IF(AND(ISNUMBER($Q230),$Q230&lt;0)," · UTILIDAD NEGATIVA","")&amp;IF(AND($F230&lt;&gt;"",ISNUMBER(INDEX(tblInventario[Stock actual],MATCH($F230,tblInventario[SKU],0))),INDEX(tblInventario[Stock actual],MATCH($F230,tblInventario[SKU],0))&lt;0)," · Stock negativo del SKU","")&amp;IF(AND($T230="Cobrado",$U230="")," · Cobro sin fecha","")&amp;IF(AND(ISNUMBER($V230),ISNUMBER($N230),$V230&gt;N($N230)+0.01)," · Cobrado &gt; venta neta","")&amp;IF(AND(ISNUMBER($V230),$V230&gt;0,$U230="")," · Monto cobrado sin fecha",""),4,900)))</f>
        <v/>
      </c>
    </row>
    <row r="231">
      <c r="A231" s="51">
        <f>IF(COUNTA($B231,$C231,$D231,$E231,$F231,$I231)=0,"","V-"&amp;TEXT(ROW()-6,"0000"))</f>
        <v/>
      </c>
      <c r="B231" s="41" t="n"/>
      <c r="C231" s="33" t="n"/>
      <c r="D231" s="33" t="n"/>
      <c r="E231" s="33" t="n"/>
      <c r="F231" s="33" t="n"/>
      <c r="G231" s="51">
        <f>IF($F231="","",IFERROR(IF(INDEX(tblProductos[Nombre del producto],MATCH($F231,tblProductos[SKU],0))="","",INDEX(tblProductos[Nombre del producto],MATCH($F231,tblProductos[SKU],0))),""))</f>
        <v/>
      </c>
      <c r="H231" s="51">
        <f>IF($F231="","",IFERROR(IF(INDEX(tblProductos[Categoría],MATCH($F231,tblProductos[SKU],0))="","",INDEX(tblProductos[Categoría],MATCH($F231,tblProductos[SKU],0))),""))</f>
        <v/>
      </c>
      <c r="I231" s="34" t="n"/>
      <c r="J231" s="39">
        <f>IF(OR($B231="",$F231="",$I231=""),"",IF($T231="Anulado",0,$I231))</f>
        <v/>
      </c>
      <c r="K231" s="54">
        <f>IF($F231="","",IFERROR(IF(INDEX(tblProductos[Precio de venta actual],MATCH($F231,tblProductos[SKU],0))="","",INDEX(tblProductos[Precio de venta actual],MATCH($F231,tblProductos[SKU],0))),""))</f>
        <v/>
      </c>
      <c r="L231" s="36" t="n"/>
      <c r="M231" s="37">
        <f>IF($J231="","",IF(NOT(ISNUMBER($K231)),"PRECIO PENDIENTE",$J231*$K231))</f>
        <v/>
      </c>
      <c r="N231" s="37">
        <f>IF($J231="","",IF(NOT(ISNUMBER($M231)),"PRECIO PENDIENTE",$M231-IF(ISNUMBER($L231),$L231,0)))</f>
        <v/>
      </c>
      <c r="O231" s="54">
        <f>IF($F231="","",IFERROR(INDEX(tblInventario[Costo unitario aplicado],MATCH($F231,tblInventario[SKU],0)),""))</f>
        <v/>
      </c>
      <c r="P231" s="37">
        <f>IF($J231="","",IF(NOT(ISNUMBER($O231)),"COSTO PENDIENTE",$J231*$O231))</f>
        <v/>
      </c>
      <c r="Q231" s="37">
        <f>IF($J231="","",IF(OR(NOT(ISNUMBER($N231)),NOT(ISNUMBER($P231))),"PENDIENTE",$N231-$P231))</f>
        <v/>
      </c>
      <c r="R231" s="38">
        <f>IF($J231="","",IF(OR(NOT(ISNUMBER($Q231)),NOT(ISNUMBER($N231)),$N231&lt;=0),"PENDIENTE",$Q231/$N231))</f>
        <v/>
      </c>
      <c r="S231" s="33" t="n"/>
      <c r="T231" s="33" t="n"/>
      <c r="U231" s="41" t="n"/>
      <c r="V231" s="36" t="n"/>
      <c r="W231" s="37">
        <f>IF(NOT(ISNUMBER($N231)),"",$N231-IF(ISNUMBER($V231),$V231,0))</f>
        <v/>
      </c>
      <c r="X231" s="33" t="n"/>
      <c r="Y231" s="51">
        <f>IF(COUNTA($B231,$C231,$D231,$E231,$F231,$I231)=0,"",IF(IF($B231=""," · Falta fecha","")&amp;IF($D231=""," · Falta cliente","")&amp;IF($E231=""," · Falta canal","")&amp;IF($F231=""," · Falta SKU","")&amp;IF(AND($F231&lt;&gt;"",COUNTIF(tblProductos[SKU],$F231)=0)," · SKU no existe","")&amp;IF(OR($I231="",NOT(ISNUMBER($I231)),$I231&lt;=0)," · Cantidad inválida","")&amp;IF($M231="PRECIO PENDIENTE"," · Falta precio de venta","")&amp;IF($P231="COSTO PENDIENTE"," · Falta costo del producto","")&amp;IF(AND(ISNUMBER($Q231),$Q231&lt;0)," · UTILIDAD NEGATIVA","")&amp;IF(AND($F231&lt;&gt;"",ISNUMBER(INDEX(tblInventario[Stock actual],MATCH($F231,tblInventario[SKU],0))),INDEX(tblInventario[Stock actual],MATCH($F231,tblInventario[SKU],0))&lt;0)," · Stock negativo del SKU","")&amp;IF(AND($T231="Cobrado",$U231="")," · Cobro sin fecha","")&amp;IF(AND(ISNUMBER($V231),ISNUMBER($N231),$V231&gt;N($N231)+0.01)," · Cobrado &gt; venta neta","")&amp;IF(AND(ISNUMBER($V231),$V231&gt;0,$U231="")," · Monto cobrado sin fecha","")="","OK",MID(IF($B231=""," · Falta fecha","")&amp;IF($D231=""," · Falta cliente","")&amp;IF($E231=""," · Falta canal","")&amp;IF($F231=""," · Falta SKU","")&amp;IF(AND($F231&lt;&gt;"",COUNTIF(tblProductos[SKU],$F231)=0)," · SKU no existe","")&amp;IF(OR($I231="",NOT(ISNUMBER($I231)),$I231&lt;=0)," · Cantidad inválida","")&amp;IF($M231="PRECIO PENDIENTE"," · Falta precio de venta","")&amp;IF($P231="COSTO PENDIENTE"," · Falta costo del producto","")&amp;IF(AND(ISNUMBER($Q231),$Q231&lt;0)," · UTILIDAD NEGATIVA","")&amp;IF(AND($F231&lt;&gt;"",ISNUMBER(INDEX(tblInventario[Stock actual],MATCH($F231,tblInventario[SKU],0))),INDEX(tblInventario[Stock actual],MATCH($F231,tblInventario[SKU],0))&lt;0)," · Stock negativo del SKU","")&amp;IF(AND($T231="Cobrado",$U231="")," · Cobro sin fecha","")&amp;IF(AND(ISNUMBER($V231),ISNUMBER($N231),$V231&gt;N($N231)+0.01)," · Cobrado &gt; venta neta","")&amp;IF(AND(ISNUMBER($V231),$V231&gt;0,$U231="")," · Monto cobrado sin fecha",""),4,900)))</f>
        <v/>
      </c>
    </row>
    <row r="232">
      <c r="A232" s="51">
        <f>IF(COUNTA($B232,$C232,$D232,$E232,$F232,$I232)=0,"","V-"&amp;TEXT(ROW()-6,"0000"))</f>
        <v/>
      </c>
      <c r="B232" s="41" t="n"/>
      <c r="C232" s="33" t="n"/>
      <c r="D232" s="33" t="n"/>
      <c r="E232" s="33" t="n"/>
      <c r="F232" s="33" t="n"/>
      <c r="G232" s="51">
        <f>IF($F232="","",IFERROR(IF(INDEX(tblProductos[Nombre del producto],MATCH($F232,tblProductos[SKU],0))="","",INDEX(tblProductos[Nombre del producto],MATCH($F232,tblProductos[SKU],0))),""))</f>
        <v/>
      </c>
      <c r="H232" s="51">
        <f>IF($F232="","",IFERROR(IF(INDEX(tblProductos[Categoría],MATCH($F232,tblProductos[SKU],0))="","",INDEX(tblProductos[Categoría],MATCH($F232,tblProductos[SKU],0))),""))</f>
        <v/>
      </c>
      <c r="I232" s="34" t="n"/>
      <c r="J232" s="39">
        <f>IF(OR($B232="",$F232="",$I232=""),"",IF($T232="Anulado",0,$I232))</f>
        <v/>
      </c>
      <c r="K232" s="54">
        <f>IF($F232="","",IFERROR(IF(INDEX(tblProductos[Precio de venta actual],MATCH($F232,tblProductos[SKU],0))="","",INDEX(tblProductos[Precio de venta actual],MATCH($F232,tblProductos[SKU],0))),""))</f>
        <v/>
      </c>
      <c r="L232" s="36" t="n"/>
      <c r="M232" s="37">
        <f>IF($J232="","",IF(NOT(ISNUMBER($K232)),"PRECIO PENDIENTE",$J232*$K232))</f>
        <v/>
      </c>
      <c r="N232" s="37">
        <f>IF($J232="","",IF(NOT(ISNUMBER($M232)),"PRECIO PENDIENTE",$M232-IF(ISNUMBER($L232),$L232,0)))</f>
        <v/>
      </c>
      <c r="O232" s="54">
        <f>IF($F232="","",IFERROR(INDEX(tblInventario[Costo unitario aplicado],MATCH($F232,tblInventario[SKU],0)),""))</f>
        <v/>
      </c>
      <c r="P232" s="37">
        <f>IF($J232="","",IF(NOT(ISNUMBER($O232)),"COSTO PENDIENTE",$J232*$O232))</f>
        <v/>
      </c>
      <c r="Q232" s="37">
        <f>IF($J232="","",IF(OR(NOT(ISNUMBER($N232)),NOT(ISNUMBER($P232))),"PENDIENTE",$N232-$P232))</f>
        <v/>
      </c>
      <c r="R232" s="38">
        <f>IF($J232="","",IF(OR(NOT(ISNUMBER($Q232)),NOT(ISNUMBER($N232)),$N232&lt;=0),"PENDIENTE",$Q232/$N232))</f>
        <v/>
      </c>
      <c r="S232" s="33" t="n"/>
      <c r="T232" s="33" t="n"/>
      <c r="U232" s="41" t="n"/>
      <c r="V232" s="36" t="n"/>
      <c r="W232" s="37">
        <f>IF(NOT(ISNUMBER($N232)),"",$N232-IF(ISNUMBER($V232),$V232,0))</f>
        <v/>
      </c>
      <c r="X232" s="33" t="n"/>
      <c r="Y232" s="51">
        <f>IF(COUNTA($B232,$C232,$D232,$E232,$F232,$I232)=0,"",IF(IF($B232=""," · Falta fecha","")&amp;IF($D232=""," · Falta cliente","")&amp;IF($E232=""," · Falta canal","")&amp;IF($F232=""," · Falta SKU","")&amp;IF(AND($F232&lt;&gt;"",COUNTIF(tblProductos[SKU],$F232)=0)," · SKU no existe","")&amp;IF(OR($I232="",NOT(ISNUMBER($I232)),$I232&lt;=0)," · Cantidad inválida","")&amp;IF($M232="PRECIO PENDIENTE"," · Falta precio de venta","")&amp;IF($P232="COSTO PENDIENTE"," · Falta costo del producto","")&amp;IF(AND(ISNUMBER($Q232),$Q232&lt;0)," · UTILIDAD NEGATIVA","")&amp;IF(AND($F232&lt;&gt;"",ISNUMBER(INDEX(tblInventario[Stock actual],MATCH($F232,tblInventario[SKU],0))),INDEX(tblInventario[Stock actual],MATCH($F232,tblInventario[SKU],0))&lt;0)," · Stock negativo del SKU","")&amp;IF(AND($T232="Cobrado",$U232="")," · Cobro sin fecha","")&amp;IF(AND(ISNUMBER($V232),ISNUMBER($N232),$V232&gt;N($N232)+0.01)," · Cobrado &gt; venta neta","")&amp;IF(AND(ISNUMBER($V232),$V232&gt;0,$U232="")," · Monto cobrado sin fecha","")="","OK",MID(IF($B232=""," · Falta fecha","")&amp;IF($D232=""," · Falta cliente","")&amp;IF($E232=""," · Falta canal","")&amp;IF($F232=""," · Falta SKU","")&amp;IF(AND($F232&lt;&gt;"",COUNTIF(tblProductos[SKU],$F232)=0)," · SKU no existe","")&amp;IF(OR($I232="",NOT(ISNUMBER($I232)),$I232&lt;=0)," · Cantidad inválida","")&amp;IF($M232="PRECIO PENDIENTE"," · Falta precio de venta","")&amp;IF($P232="COSTO PENDIENTE"," · Falta costo del producto","")&amp;IF(AND(ISNUMBER($Q232),$Q232&lt;0)," · UTILIDAD NEGATIVA","")&amp;IF(AND($F232&lt;&gt;"",ISNUMBER(INDEX(tblInventario[Stock actual],MATCH($F232,tblInventario[SKU],0))),INDEX(tblInventario[Stock actual],MATCH($F232,tblInventario[SKU],0))&lt;0)," · Stock negativo del SKU","")&amp;IF(AND($T232="Cobrado",$U232="")," · Cobro sin fecha","")&amp;IF(AND(ISNUMBER($V232),ISNUMBER($N232),$V232&gt;N($N232)+0.01)," · Cobrado &gt; venta neta","")&amp;IF(AND(ISNUMBER($V232),$V232&gt;0,$U232="")," · Monto cobrado sin fecha",""),4,900)))</f>
        <v/>
      </c>
    </row>
    <row r="233">
      <c r="A233" s="51">
        <f>IF(COUNTA($B233,$C233,$D233,$E233,$F233,$I233)=0,"","V-"&amp;TEXT(ROW()-6,"0000"))</f>
        <v/>
      </c>
      <c r="B233" s="41" t="n"/>
      <c r="C233" s="33" t="n"/>
      <c r="D233" s="33" t="n"/>
      <c r="E233" s="33" t="n"/>
      <c r="F233" s="33" t="n"/>
      <c r="G233" s="51">
        <f>IF($F233="","",IFERROR(IF(INDEX(tblProductos[Nombre del producto],MATCH($F233,tblProductos[SKU],0))="","",INDEX(tblProductos[Nombre del producto],MATCH($F233,tblProductos[SKU],0))),""))</f>
        <v/>
      </c>
      <c r="H233" s="51">
        <f>IF($F233="","",IFERROR(IF(INDEX(tblProductos[Categoría],MATCH($F233,tblProductos[SKU],0))="","",INDEX(tblProductos[Categoría],MATCH($F233,tblProductos[SKU],0))),""))</f>
        <v/>
      </c>
      <c r="I233" s="34" t="n"/>
      <c r="J233" s="39">
        <f>IF(OR($B233="",$F233="",$I233=""),"",IF($T233="Anulado",0,$I233))</f>
        <v/>
      </c>
      <c r="K233" s="54">
        <f>IF($F233="","",IFERROR(IF(INDEX(tblProductos[Precio de venta actual],MATCH($F233,tblProductos[SKU],0))="","",INDEX(tblProductos[Precio de venta actual],MATCH($F233,tblProductos[SKU],0))),""))</f>
        <v/>
      </c>
      <c r="L233" s="36" t="n"/>
      <c r="M233" s="37">
        <f>IF($J233="","",IF(NOT(ISNUMBER($K233)),"PRECIO PENDIENTE",$J233*$K233))</f>
        <v/>
      </c>
      <c r="N233" s="37">
        <f>IF($J233="","",IF(NOT(ISNUMBER($M233)),"PRECIO PENDIENTE",$M233-IF(ISNUMBER($L233),$L233,0)))</f>
        <v/>
      </c>
      <c r="O233" s="54">
        <f>IF($F233="","",IFERROR(INDEX(tblInventario[Costo unitario aplicado],MATCH($F233,tblInventario[SKU],0)),""))</f>
        <v/>
      </c>
      <c r="P233" s="37">
        <f>IF($J233="","",IF(NOT(ISNUMBER($O233)),"COSTO PENDIENTE",$J233*$O233))</f>
        <v/>
      </c>
      <c r="Q233" s="37">
        <f>IF($J233="","",IF(OR(NOT(ISNUMBER($N233)),NOT(ISNUMBER($P233))),"PENDIENTE",$N233-$P233))</f>
        <v/>
      </c>
      <c r="R233" s="38">
        <f>IF($J233="","",IF(OR(NOT(ISNUMBER($Q233)),NOT(ISNUMBER($N233)),$N233&lt;=0),"PENDIENTE",$Q233/$N233))</f>
        <v/>
      </c>
      <c r="S233" s="33" t="n"/>
      <c r="T233" s="33" t="n"/>
      <c r="U233" s="41" t="n"/>
      <c r="V233" s="36" t="n"/>
      <c r="W233" s="37">
        <f>IF(NOT(ISNUMBER($N233)),"",$N233-IF(ISNUMBER($V233),$V233,0))</f>
        <v/>
      </c>
      <c r="X233" s="33" t="n"/>
      <c r="Y233" s="51">
        <f>IF(COUNTA($B233,$C233,$D233,$E233,$F233,$I233)=0,"",IF(IF($B233=""," · Falta fecha","")&amp;IF($D233=""," · Falta cliente","")&amp;IF($E233=""," · Falta canal","")&amp;IF($F233=""," · Falta SKU","")&amp;IF(AND($F233&lt;&gt;"",COUNTIF(tblProductos[SKU],$F233)=0)," · SKU no existe","")&amp;IF(OR($I233="",NOT(ISNUMBER($I233)),$I233&lt;=0)," · Cantidad inválida","")&amp;IF($M233="PRECIO PENDIENTE"," · Falta precio de venta","")&amp;IF($P233="COSTO PENDIENTE"," · Falta costo del producto","")&amp;IF(AND(ISNUMBER($Q233),$Q233&lt;0)," · UTILIDAD NEGATIVA","")&amp;IF(AND($F233&lt;&gt;"",ISNUMBER(INDEX(tblInventario[Stock actual],MATCH($F233,tblInventario[SKU],0))),INDEX(tblInventario[Stock actual],MATCH($F233,tblInventario[SKU],0))&lt;0)," · Stock negativo del SKU","")&amp;IF(AND($T233="Cobrado",$U233="")," · Cobro sin fecha","")&amp;IF(AND(ISNUMBER($V233),ISNUMBER($N233),$V233&gt;N($N233)+0.01)," · Cobrado &gt; venta neta","")&amp;IF(AND(ISNUMBER($V233),$V233&gt;0,$U233="")," · Monto cobrado sin fecha","")="","OK",MID(IF($B233=""," · Falta fecha","")&amp;IF($D233=""," · Falta cliente","")&amp;IF($E233=""," · Falta canal","")&amp;IF($F233=""," · Falta SKU","")&amp;IF(AND($F233&lt;&gt;"",COUNTIF(tblProductos[SKU],$F233)=0)," · SKU no existe","")&amp;IF(OR($I233="",NOT(ISNUMBER($I233)),$I233&lt;=0)," · Cantidad inválida","")&amp;IF($M233="PRECIO PENDIENTE"," · Falta precio de venta","")&amp;IF($P233="COSTO PENDIENTE"," · Falta costo del producto","")&amp;IF(AND(ISNUMBER($Q233),$Q233&lt;0)," · UTILIDAD NEGATIVA","")&amp;IF(AND($F233&lt;&gt;"",ISNUMBER(INDEX(tblInventario[Stock actual],MATCH($F233,tblInventario[SKU],0))),INDEX(tblInventario[Stock actual],MATCH($F233,tblInventario[SKU],0))&lt;0)," · Stock negativo del SKU","")&amp;IF(AND($T233="Cobrado",$U233="")," · Cobro sin fecha","")&amp;IF(AND(ISNUMBER($V233),ISNUMBER($N233),$V233&gt;N($N233)+0.01)," · Cobrado &gt; venta neta","")&amp;IF(AND(ISNUMBER($V233),$V233&gt;0,$U233="")," · Monto cobrado sin fecha",""),4,900)))</f>
        <v/>
      </c>
    </row>
    <row r="234">
      <c r="A234" s="51">
        <f>IF(COUNTA($B234,$C234,$D234,$E234,$F234,$I234)=0,"","V-"&amp;TEXT(ROW()-6,"0000"))</f>
        <v/>
      </c>
      <c r="B234" s="41" t="n"/>
      <c r="C234" s="33" t="n"/>
      <c r="D234" s="33" t="n"/>
      <c r="E234" s="33" t="n"/>
      <c r="F234" s="33" t="n"/>
      <c r="G234" s="51">
        <f>IF($F234="","",IFERROR(IF(INDEX(tblProductos[Nombre del producto],MATCH($F234,tblProductos[SKU],0))="","",INDEX(tblProductos[Nombre del producto],MATCH($F234,tblProductos[SKU],0))),""))</f>
        <v/>
      </c>
      <c r="H234" s="51">
        <f>IF($F234="","",IFERROR(IF(INDEX(tblProductos[Categoría],MATCH($F234,tblProductos[SKU],0))="","",INDEX(tblProductos[Categoría],MATCH($F234,tblProductos[SKU],0))),""))</f>
        <v/>
      </c>
      <c r="I234" s="34" t="n"/>
      <c r="J234" s="39">
        <f>IF(OR($B234="",$F234="",$I234=""),"",IF($T234="Anulado",0,$I234))</f>
        <v/>
      </c>
      <c r="K234" s="54">
        <f>IF($F234="","",IFERROR(IF(INDEX(tblProductos[Precio de venta actual],MATCH($F234,tblProductos[SKU],0))="","",INDEX(tblProductos[Precio de venta actual],MATCH($F234,tblProductos[SKU],0))),""))</f>
        <v/>
      </c>
      <c r="L234" s="36" t="n"/>
      <c r="M234" s="37">
        <f>IF($J234="","",IF(NOT(ISNUMBER($K234)),"PRECIO PENDIENTE",$J234*$K234))</f>
        <v/>
      </c>
      <c r="N234" s="37">
        <f>IF($J234="","",IF(NOT(ISNUMBER($M234)),"PRECIO PENDIENTE",$M234-IF(ISNUMBER($L234),$L234,0)))</f>
        <v/>
      </c>
      <c r="O234" s="54">
        <f>IF($F234="","",IFERROR(INDEX(tblInventario[Costo unitario aplicado],MATCH($F234,tblInventario[SKU],0)),""))</f>
        <v/>
      </c>
      <c r="P234" s="37">
        <f>IF($J234="","",IF(NOT(ISNUMBER($O234)),"COSTO PENDIENTE",$J234*$O234))</f>
        <v/>
      </c>
      <c r="Q234" s="37">
        <f>IF($J234="","",IF(OR(NOT(ISNUMBER($N234)),NOT(ISNUMBER($P234))),"PENDIENTE",$N234-$P234))</f>
        <v/>
      </c>
      <c r="R234" s="38">
        <f>IF($J234="","",IF(OR(NOT(ISNUMBER($Q234)),NOT(ISNUMBER($N234)),$N234&lt;=0),"PENDIENTE",$Q234/$N234))</f>
        <v/>
      </c>
      <c r="S234" s="33" t="n"/>
      <c r="T234" s="33" t="n"/>
      <c r="U234" s="41" t="n"/>
      <c r="V234" s="36" t="n"/>
      <c r="W234" s="37">
        <f>IF(NOT(ISNUMBER($N234)),"",$N234-IF(ISNUMBER($V234),$V234,0))</f>
        <v/>
      </c>
      <c r="X234" s="33" t="n"/>
      <c r="Y234" s="51">
        <f>IF(COUNTA($B234,$C234,$D234,$E234,$F234,$I234)=0,"",IF(IF($B234=""," · Falta fecha","")&amp;IF($D234=""," · Falta cliente","")&amp;IF($E234=""," · Falta canal","")&amp;IF($F234=""," · Falta SKU","")&amp;IF(AND($F234&lt;&gt;"",COUNTIF(tblProductos[SKU],$F234)=0)," · SKU no existe","")&amp;IF(OR($I234="",NOT(ISNUMBER($I234)),$I234&lt;=0)," · Cantidad inválida","")&amp;IF($M234="PRECIO PENDIENTE"," · Falta precio de venta","")&amp;IF($P234="COSTO PENDIENTE"," · Falta costo del producto","")&amp;IF(AND(ISNUMBER($Q234),$Q234&lt;0)," · UTILIDAD NEGATIVA","")&amp;IF(AND($F234&lt;&gt;"",ISNUMBER(INDEX(tblInventario[Stock actual],MATCH($F234,tblInventario[SKU],0))),INDEX(tblInventario[Stock actual],MATCH($F234,tblInventario[SKU],0))&lt;0)," · Stock negativo del SKU","")&amp;IF(AND($T234="Cobrado",$U234="")," · Cobro sin fecha","")&amp;IF(AND(ISNUMBER($V234),ISNUMBER($N234),$V234&gt;N($N234)+0.01)," · Cobrado &gt; venta neta","")&amp;IF(AND(ISNUMBER($V234),$V234&gt;0,$U234="")," · Monto cobrado sin fecha","")="","OK",MID(IF($B234=""," · Falta fecha","")&amp;IF($D234=""," · Falta cliente","")&amp;IF($E234=""," · Falta canal","")&amp;IF($F234=""," · Falta SKU","")&amp;IF(AND($F234&lt;&gt;"",COUNTIF(tblProductos[SKU],$F234)=0)," · SKU no existe","")&amp;IF(OR($I234="",NOT(ISNUMBER($I234)),$I234&lt;=0)," · Cantidad inválida","")&amp;IF($M234="PRECIO PENDIENTE"," · Falta precio de venta","")&amp;IF($P234="COSTO PENDIENTE"," · Falta costo del producto","")&amp;IF(AND(ISNUMBER($Q234),$Q234&lt;0)," · UTILIDAD NEGATIVA","")&amp;IF(AND($F234&lt;&gt;"",ISNUMBER(INDEX(tblInventario[Stock actual],MATCH($F234,tblInventario[SKU],0))),INDEX(tblInventario[Stock actual],MATCH($F234,tblInventario[SKU],0))&lt;0)," · Stock negativo del SKU","")&amp;IF(AND($T234="Cobrado",$U234="")," · Cobro sin fecha","")&amp;IF(AND(ISNUMBER($V234),ISNUMBER($N234),$V234&gt;N($N234)+0.01)," · Cobrado &gt; venta neta","")&amp;IF(AND(ISNUMBER($V234),$V234&gt;0,$U234="")," · Monto cobrado sin fecha",""),4,900)))</f>
        <v/>
      </c>
    </row>
    <row r="235">
      <c r="A235" s="51">
        <f>IF(COUNTA($B235,$C235,$D235,$E235,$F235,$I235)=0,"","V-"&amp;TEXT(ROW()-6,"0000"))</f>
        <v/>
      </c>
      <c r="B235" s="41" t="n"/>
      <c r="C235" s="33" t="n"/>
      <c r="D235" s="33" t="n"/>
      <c r="E235" s="33" t="n"/>
      <c r="F235" s="33" t="n"/>
      <c r="G235" s="51">
        <f>IF($F235="","",IFERROR(IF(INDEX(tblProductos[Nombre del producto],MATCH($F235,tblProductos[SKU],0))="","",INDEX(tblProductos[Nombre del producto],MATCH($F235,tblProductos[SKU],0))),""))</f>
        <v/>
      </c>
      <c r="H235" s="51">
        <f>IF($F235="","",IFERROR(IF(INDEX(tblProductos[Categoría],MATCH($F235,tblProductos[SKU],0))="","",INDEX(tblProductos[Categoría],MATCH($F235,tblProductos[SKU],0))),""))</f>
        <v/>
      </c>
      <c r="I235" s="34" t="n"/>
      <c r="J235" s="39">
        <f>IF(OR($B235="",$F235="",$I235=""),"",IF($T235="Anulado",0,$I235))</f>
        <v/>
      </c>
      <c r="K235" s="54">
        <f>IF($F235="","",IFERROR(IF(INDEX(tblProductos[Precio de venta actual],MATCH($F235,tblProductos[SKU],0))="","",INDEX(tblProductos[Precio de venta actual],MATCH($F235,tblProductos[SKU],0))),""))</f>
        <v/>
      </c>
      <c r="L235" s="36" t="n"/>
      <c r="M235" s="37">
        <f>IF($J235="","",IF(NOT(ISNUMBER($K235)),"PRECIO PENDIENTE",$J235*$K235))</f>
        <v/>
      </c>
      <c r="N235" s="37">
        <f>IF($J235="","",IF(NOT(ISNUMBER($M235)),"PRECIO PENDIENTE",$M235-IF(ISNUMBER($L235),$L235,0)))</f>
        <v/>
      </c>
      <c r="O235" s="54">
        <f>IF($F235="","",IFERROR(INDEX(tblInventario[Costo unitario aplicado],MATCH($F235,tblInventario[SKU],0)),""))</f>
        <v/>
      </c>
      <c r="P235" s="37">
        <f>IF($J235="","",IF(NOT(ISNUMBER($O235)),"COSTO PENDIENTE",$J235*$O235))</f>
        <v/>
      </c>
      <c r="Q235" s="37">
        <f>IF($J235="","",IF(OR(NOT(ISNUMBER($N235)),NOT(ISNUMBER($P235))),"PENDIENTE",$N235-$P235))</f>
        <v/>
      </c>
      <c r="R235" s="38">
        <f>IF($J235="","",IF(OR(NOT(ISNUMBER($Q235)),NOT(ISNUMBER($N235)),$N235&lt;=0),"PENDIENTE",$Q235/$N235))</f>
        <v/>
      </c>
      <c r="S235" s="33" t="n"/>
      <c r="T235" s="33" t="n"/>
      <c r="U235" s="41" t="n"/>
      <c r="V235" s="36" t="n"/>
      <c r="W235" s="37">
        <f>IF(NOT(ISNUMBER($N235)),"",$N235-IF(ISNUMBER($V235),$V235,0))</f>
        <v/>
      </c>
      <c r="X235" s="33" t="n"/>
      <c r="Y235" s="51">
        <f>IF(COUNTA($B235,$C235,$D235,$E235,$F235,$I235)=0,"",IF(IF($B235=""," · Falta fecha","")&amp;IF($D235=""," · Falta cliente","")&amp;IF($E235=""," · Falta canal","")&amp;IF($F235=""," · Falta SKU","")&amp;IF(AND($F235&lt;&gt;"",COUNTIF(tblProductos[SKU],$F235)=0)," · SKU no existe","")&amp;IF(OR($I235="",NOT(ISNUMBER($I235)),$I235&lt;=0)," · Cantidad inválida","")&amp;IF($M235="PRECIO PENDIENTE"," · Falta precio de venta","")&amp;IF($P235="COSTO PENDIENTE"," · Falta costo del producto","")&amp;IF(AND(ISNUMBER($Q235),$Q235&lt;0)," · UTILIDAD NEGATIVA","")&amp;IF(AND($F235&lt;&gt;"",ISNUMBER(INDEX(tblInventario[Stock actual],MATCH($F235,tblInventario[SKU],0))),INDEX(tblInventario[Stock actual],MATCH($F235,tblInventario[SKU],0))&lt;0)," · Stock negativo del SKU","")&amp;IF(AND($T235="Cobrado",$U235="")," · Cobro sin fecha","")&amp;IF(AND(ISNUMBER($V235),ISNUMBER($N235),$V235&gt;N($N235)+0.01)," · Cobrado &gt; venta neta","")&amp;IF(AND(ISNUMBER($V235),$V235&gt;0,$U235="")," · Monto cobrado sin fecha","")="","OK",MID(IF($B235=""," · Falta fecha","")&amp;IF($D235=""," · Falta cliente","")&amp;IF($E235=""," · Falta canal","")&amp;IF($F235=""," · Falta SKU","")&amp;IF(AND($F235&lt;&gt;"",COUNTIF(tblProductos[SKU],$F235)=0)," · SKU no existe","")&amp;IF(OR($I235="",NOT(ISNUMBER($I235)),$I235&lt;=0)," · Cantidad inválida","")&amp;IF($M235="PRECIO PENDIENTE"," · Falta precio de venta","")&amp;IF($P235="COSTO PENDIENTE"," · Falta costo del producto","")&amp;IF(AND(ISNUMBER($Q235),$Q235&lt;0)," · UTILIDAD NEGATIVA","")&amp;IF(AND($F235&lt;&gt;"",ISNUMBER(INDEX(tblInventario[Stock actual],MATCH($F235,tblInventario[SKU],0))),INDEX(tblInventario[Stock actual],MATCH($F235,tblInventario[SKU],0))&lt;0)," · Stock negativo del SKU","")&amp;IF(AND($T235="Cobrado",$U235="")," · Cobro sin fecha","")&amp;IF(AND(ISNUMBER($V235),ISNUMBER($N235),$V235&gt;N($N235)+0.01)," · Cobrado &gt; venta neta","")&amp;IF(AND(ISNUMBER($V235),$V235&gt;0,$U235="")," · Monto cobrado sin fecha",""),4,900)))</f>
        <v/>
      </c>
    </row>
    <row r="236">
      <c r="A236" s="51">
        <f>IF(COUNTA($B236,$C236,$D236,$E236,$F236,$I236)=0,"","V-"&amp;TEXT(ROW()-6,"0000"))</f>
        <v/>
      </c>
      <c r="B236" s="41" t="n"/>
      <c r="C236" s="33" t="n"/>
      <c r="D236" s="33" t="n"/>
      <c r="E236" s="33" t="n"/>
      <c r="F236" s="33" t="n"/>
      <c r="G236" s="51">
        <f>IF($F236="","",IFERROR(IF(INDEX(tblProductos[Nombre del producto],MATCH($F236,tblProductos[SKU],0))="","",INDEX(tblProductos[Nombre del producto],MATCH($F236,tblProductos[SKU],0))),""))</f>
        <v/>
      </c>
      <c r="H236" s="51">
        <f>IF($F236="","",IFERROR(IF(INDEX(tblProductos[Categoría],MATCH($F236,tblProductos[SKU],0))="","",INDEX(tblProductos[Categoría],MATCH($F236,tblProductos[SKU],0))),""))</f>
        <v/>
      </c>
      <c r="I236" s="34" t="n"/>
      <c r="J236" s="39">
        <f>IF(OR($B236="",$F236="",$I236=""),"",IF($T236="Anulado",0,$I236))</f>
        <v/>
      </c>
      <c r="K236" s="54">
        <f>IF($F236="","",IFERROR(IF(INDEX(tblProductos[Precio de venta actual],MATCH($F236,tblProductos[SKU],0))="","",INDEX(tblProductos[Precio de venta actual],MATCH($F236,tblProductos[SKU],0))),""))</f>
        <v/>
      </c>
      <c r="L236" s="36" t="n"/>
      <c r="M236" s="37">
        <f>IF($J236="","",IF(NOT(ISNUMBER($K236)),"PRECIO PENDIENTE",$J236*$K236))</f>
        <v/>
      </c>
      <c r="N236" s="37">
        <f>IF($J236="","",IF(NOT(ISNUMBER($M236)),"PRECIO PENDIENTE",$M236-IF(ISNUMBER($L236),$L236,0)))</f>
        <v/>
      </c>
      <c r="O236" s="54">
        <f>IF($F236="","",IFERROR(INDEX(tblInventario[Costo unitario aplicado],MATCH($F236,tblInventario[SKU],0)),""))</f>
        <v/>
      </c>
      <c r="P236" s="37">
        <f>IF($J236="","",IF(NOT(ISNUMBER($O236)),"COSTO PENDIENTE",$J236*$O236))</f>
        <v/>
      </c>
      <c r="Q236" s="37">
        <f>IF($J236="","",IF(OR(NOT(ISNUMBER($N236)),NOT(ISNUMBER($P236))),"PENDIENTE",$N236-$P236))</f>
        <v/>
      </c>
      <c r="R236" s="38">
        <f>IF($J236="","",IF(OR(NOT(ISNUMBER($Q236)),NOT(ISNUMBER($N236)),$N236&lt;=0),"PENDIENTE",$Q236/$N236))</f>
        <v/>
      </c>
      <c r="S236" s="33" t="n"/>
      <c r="T236" s="33" t="n"/>
      <c r="U236" s="41" t="n"/>
      <c r="V236" s="36" t="n"/>
      <c r="W236" s="37">
        <f>IF(NOT(ISNUMBER($N236)),"",$N236-IF(ISNUMBER($V236),$V236,0))</f>
        <v/>
      </c>
      <c r="X236" s="33" t="n"/>
      <c r="Y236" s="51">
        <f>IF(COUNTA($B236,$C236,$D236,$E236,$F236,$I236)=0,"",IF(IF($B236=""," · Falta fecha","")&amp;IF($D236=""," · Falta cliente","")&amp;IF($E236=""," · Falta canal","")&amp;IF($F236=""," · Falta SKU","")&amp;IF(AND($F236&lt;&gt;"",COUNTIF(tblProductos[SKU],$F236)=0)," · SKU no existe","")&amp;IF(OR($I236="",NOT(ISNUMBER($I236)),$I236&lt;=0)," · Cantidad inválida","")&amp;IF($M236="PRECIO PENDIENTE"," · Falta precio de venta","")&amp;IF($P236="COSTO PENDIENTE"," · Falta costo del producto","")&amp;IF(AND(ISNUMBER($Q236),$Q236&lt;0)," · UTILIDAD NEGATIVA","")&amp;IF(AND($F236&lt;&gt;"",ISNUMBER(INDEX(tblInventario[Stock actual],MATCH($F236,tblInventario[SKU],0))),INDEX(tblInventario[Stock actual],MATCH($F236,tblInventario[SKU],0))&lt;0)," · Stock negativo del SKU","")&amp;IF(AND($T236="Cobrado",$U236="")," · Cobro sin fecha","")&amp;IF(AND(ISNUMBER($V236),ISNUMBER($N236),$V236&gt;N($N236)+0.01)," · Cobrado &gt; venta neta","")&amp;IF(AND(ISNUMBER($V236),$V236&gt;0,$U236="")," · Monto cobrado sin fecha","")="","OK",MID(IF($B236=""," · Falta fecha","")&amp;IF($D236=""," · Falta cliente","")&amp;IF($E236=""," · Falta canal","")&amp;IF($F236=""," · Falta SKU","")&amp;IF(AND($F236&lt;&gt;"",COUNTIF(tblProductos[SKU],$F236)=0)," · SKU no existe","")&amp;IF(OR($I236="",NOT(ISNUMBER($I236)),$I236&lt;=0)," · Cantidad inválida","")&amp;IF($M236="PRECIO PENDIENTE"," · Falta precio de venta","")&amp;IF($P236="COSTO PENDIENTE"," · Falta costo del producto","")&amp;IF(AND(ISNUMBER($Q236),$Q236&lt;0)," · UTILIDAD NEGATIVA","")&amp;IF(AND($F236&lt;&gt;"",ISNUMBER(INDEX(tblInventario[Stock actual],MATCH($F236,tblInventario[SKU],0))),INDEX(tblInventario[Stock actual],MATCH($F236,tblInventario[SKU],0))&lt;0)," · Stock negativo del SKU","")&amp;IF(AND($T236="Cobrado",$U236="")," · Cobro sin fecha","")&amp;IF(AND(ISNUMBER($V236),ISNUMBER($N236),$V236&gt;N($N236)+0.01)," · Cobrado &gt; venta neta","")&amp;IF(AND(ISNUMBER($V236),$V236&gt;0,$U236="")," · Monto cobrado sin fecha",""),4,900)))</f>
        <v/>
      </c>
    </row>
    <row r="237">
      <c r="A237" s="51">
        <f>IF(COUNTA($B237,$C237,$D237,$E237,$F237,$I237)=0,"","V-"&amp;TEXT(ROW()-6,"0000"))</f>
        <v/>
      </c>
      <c r="B237" s="41" t="n"/>
      <c r="C237" s="33" t="n"/>
      <c r="D237" s="33" t="n"/>
      <c r="E237" s="33" t="n"/>
      <c r="F237" s="33" t="n"/>
      <c r="G237" s="51">
        <f>IF($F237="","",IFERROR(IF(INDEX(tblProductos[Nombre del producto],MATCH($F237,tblProductos[SKU],0))="","",INDEX(tblProductos[Nombre del producto],MATCH($F237,tblProductos[SKU],0))),""))</f>
        <v/>
      </c>
      <c r="H237" s="51">
        <f>IF($F237="","",IFERROR(IF(INDEX(tblProductos[Categoría],MATCH($F237,tblProductos[SKU],0))="","",INDEX(tblProductos[Categoría],MATCH($F237,tblProductos[SKU],0))),""))</f>
        <v/>
      </c>
      <c r="I237" s="34" t="n"/>
      <c r="J237" s="39">
        <f>IF(OR($B237="",$F237="",$I237=""),"",IF($T237="Anulado",0,$I237))</f>
        <v/>
      </c>
      <c r="K237" s="54">
        <f>IF($F237="","",IFERROR(IF(INDEX(tblProductos[Precio de venta actual],MATCH($F237,tblProductos[SKU],0))="","",INDEX(tblProductos[Precio de venta actual],MATCH($F237,tblProductos[SKU],0))),""))</f>
        <v/>
      </c>
      <c r="L237" s="36" t="n"/>
      <c r="M237" s="37">
        <f>IF($J237="","",IF(NOT(ISNUMBER($K237)),"PRECIO PENDIENTE",$J237*$K237))</f>
        <v/>
      </c>
      <c r="N237" s="37">
        <f>IF($J237="","",IF(NOT(ISNUMBER($M237)),"PRECIO PENDIENTE",$M237-IF(ISNUMBER($L237),$L237,0)))</f>
        <v/>
      </c>
      <c r="O237" s="54">
        <f>IF($F237="","",IFERROR(INDEX(tblInventario[Costo unitario aplicado],MATCH($F237,tblInventario[SKU],0)),""))</f>
        <v/>
      </c>
      <c r="P237" s="37">
        <f>IF($J237="","",IF(NOT(ISNUMBER($O237)),"COSTO PENDIENTE",$J237*$O237))</f>
        <v/>
      </c>
      <c r="Q237" s="37">
        <f>IF($J237="","",IF(OR(NOT(ISNUMBER($N237)),NOT(ISNUMBER($P237))),"PENDIENTE",$N237-$P237))</f>
        <v/>
      </c>
      <c r="R237" s="38">
        <f>IF($J237="","",IF(OR(NOT(ISNUMBER($Q237)),NOT(ISNUMBER($N237)),$N237&lt;=0),"PENDIENTE",$Q237/$N237))</f>
        <v/>
      </c>
      <c r="S237" s="33" t="n"/>
      <c r="T237" s="33" t="n"/>
      <c r="U237" s="41" t="n"/>
      <c r="V237" s="36" t="n"/>
      <c r="W237" s="37">
        <f>IF(NOT(ISNUMBER($N237)),"",$N237-IF(ISNUMBER($V237),$V237,0))</f>
        <v/>
      </c>
      <c r="X237" s="33" t="n"/>
      <c r="Y237" s="51">
        <f>IF(COUNTA($B237,$C237,$D237,$E237,$F237,$I237)=0,"",IF(IF($B237=""," · Falta fecha","")&amp;IF($D237=""," · Falta cliente","")&amp;IF($E237=""," · Falta canal","")&amp;IF($F237=""," · Falta SKU","")&amp;IF(AND($F237&lt;&gt;"",COUNTIF(tblProductos[SKU],$F237)=0)," · SKU no existe","")&amp;IF(OR($I237="",NOT(ISNUMBER($I237)),$I237&lt;=0)," · Cantidad inválida","")&amp;IF($M237="PRECIO PENDIENTE"," · Falta precio de venta","")&amp;IF($P237="COSTO PENDIENTE"," · Falta costo del producto","")&amp;IF(AND(ISNUMBER($Q237),$Q237&lt;0)," · UTILIDAD NEGATIVA","")&amp;IF(AND($F237&lt;&gt;"",ISNUMBER(INDEX(tblInventario[Stock actual],MATCH($F237,tblInventario[SKU],0))),INDEX(tblInventario[Stock actual],MATCH($F237,tblInventario[SKU],0))&lt;0)," · Stock negativo del SKU","")&amp;IF(AND($T237="Cobrado",$U237="")," · Cobro sin fecha","")&amp;IF(AND(ISNUMBER($V237),ISNUMBER($N237),$V237&gt;N($N237)+0.01)," · Cobrado &gt; venta neta","")&amp;IF(AND(ISNUMBER($V237),$V237&gt;0,$U237="")," · Monto cobrado sin fecha","")="","OK",MID(IF($B237=""," · Falta fecha","")&amp;IF($D237=""," · Falta cliente","")&amp;IF($E237=""," · Falta canal","")&amp;IF($F237=""," · Falta SKU","")&amp;IF(AND($F237&lt;&gt;"",COUNTIF(tblProductos[SKU],$F237)=0)," · SKU no existe","")&amp;IF(OR($I237="",NOT(ISNUMBER($I237)),$I237&lt;=0)," · Cantidad inválida","")&amp;IF($M237="PRECIO PENDIENTE"," · Falta precio de venta","")&amp;IF($P237="COSTO PENDIENTE"," · Falta costo del producto","")&amp;IF(AND(ISNUMBER($Q237),$Q237&lt;0)," · UTILIDAD NEGATIVA","")&amp;IF(AND($F237&lt;&gt;"",ISNUMBER(INDEX(tblInventario[Stock actual],MATCH($F237,tblInventario[SKU],0))),INDEX(tblInventario[Stock actual],MATCH($F237,tblInventario[SKU],0))&lt;0)," · Stock negativo del SKU","")&amp;IF(AND($T237="Cobrado",$U237="")," · Cobro sin fecha","")&amp;IF(AND(ISNUMBER($V237),ISNUMBER($N237),$V237&gt;N($N237)+0.01)," · Cobrado &gt; venta neta","")&amp;IF(AND(ISNUMBER($V237),$V237&gt;0,$U237="")," · Monto cobrado sin fecha",""),4,900)))</f>
        <v/>
      </c>
    </row>
    <row r="238">
      <c r="A238" s="51">
        <f>IF(COUNTA($B238,$C238,$D238,$E238,$F238,$I238)=0,"","V-"&amp;TEXT(ROW()-6,"0000"))</f>
        <v/>
      </c>
      <c r="B238" s="41" t="n"/>
      <c r="C238" s="33" t="n"/>
      <c r="D238" s="33" t="n"/>
      <c r="E238" s="33" t="n"/>
      <c r="F238" s="33" t="n"/>
      <c r="G238" s="51">
        <f>IF($F238="","",IFERROR(IF(INDEX(tblProductos[Nombre del producto],MATCH($F238,tblProductos[SKU],0))="","",INDEX(tblProductos[Nombre del producto],MATCH($F238,tblProductos[SKU],0))),""))</f>
        <v/>
      </c>
      <c r="H238" s="51">
        <f>IF($F238="","",IFERROR(IF(INDEX(tblProductos[Categoría],MATCH($F238,tblProductos[SKU],0))="","",INDEX(tblProductos[Categoría],MATCH($F238,tblProductos[SKU],0))),""))</f>
        <v/>
      </c>
      <c r="I238" s="34" t="n"/>
      <c r="J238" s="39">
        <f>IF(OR($B238="",$F238="",$I238=""),"",IF($T238="Anulado",0,$I238))</f>
        <v/>
      </c>
      <c r="K238" s="54">
        <f>IF($F238="","",IFERROR(IF(INDEX(tblProductos[Precio de venta actual],MATCH($F238,tblProductos[SKU],0))="","",INDEX(tblProductos[Precio de venta actual],MATCH($F238,tblProductos[SKU],0))),""))</f>
        <v/>
      </c>
      <c r="L238" s="36" t="n"/>
      <c r="M238" s="37">
        <f>IF($J238="","",IF(NOT(ISNUMBER($K238)),"PRECIO PENDIENTE",$J238*$K238))</f>
        <v/>
      </c>
      <c r="N238" s="37">
        <f>IF($J238="","",IF(NOT(ISNUMBER($M238)),"PRECIO PENDIENTE",$M238-IF(ISNUMBER($L238),$L238,0)))</f>
        <v/>
      </c>
      <c r="O238" s="54">
        <f>IF($F238="","",IFERROR(INDEX(tblInventario[Costo unitario aplicado],MATCH($F238,tblInventario[SKU],0)),""))</f>
        <v/>
      </c>
      <c r="P238" s="37">
        <f>IF($J238="","",IF(NOT(ISNUMBER($O238)),"COSTO PENDIENTE",$J238*$O238))</f>
        <v/>
      </c>
      <c r="Q238" s="37">
        <f>IF($J238="","",IF(OR(NOT(ISNUMBER($N238)),NOT(ISNUMBER($P238))),"PENDIENTE",$N238-$P238))</f>
        <v/>
      </c>
      <c r="R238" s="38">
        <f>IF($J238="","",IF(OR(NOT(ISNUMBER($Q238)),NOT(ISNUMBER($N238)),$N238&lt;=0),"PENDIENTE",$Q238/$N238))</f>
        <v/>
      </c>
      <c r="S238" s="33" t="n"/>
      <c r="T238" s="33" t="n"/>
      <c r="U238" s="41" t="n"/>
      <c r="V238" s="36" t="n"/>
      <c r="W238" s="37">
        <f>IF(NOT(ISNUMBER($N238)),"",$N238-IF(ISNUMBER($V238),$V238,0))</f>
        <v/>
      </c>
      <c r="X238" s="33" t="n"/>
      <c r="Y238" s="51">
        <f>IF(COUNTA($B238,$C238,$D238,$E238,$F238,$I238)=0,"",IF(IF($B238=""," · Falta fecha","")&amp;IF($D238=""," · Falta cliente","")&amp;IF($E238=""," · Falta canal","")&amp;IF($F238=""," · Falta SKU","")&amp;IF(AND($F238&lt;&gt;"",COUNTIF(tblProductos[SKU],$F238)=0)," · SKU no existe","")&amp;IF(OR($I238="",NOT(ISNUMBER($I238)),$I238&lt;=0)," · Cantidad inválida","")&amp;IF($M238="PRECIO PENDIENTE"," · Falta precio de venta","")&amp;IF($P238="COSTO PENDIENTE"," · Falta costo del producto","")&amp;IF(AND(ISNUMBER($Q238),$Q238&lt;0)," · UTILIDAD NEGATIVA","")&amp;IF(AND($F238&lt;&gt;"",ISNUMBER(INDEX(tblInventario[Stock actual],MATCH($F238,tblInventario[SKU],0))),INDEX(tblInventario[Stock actual],MATCH($F238,tblInventario[SKU],0))&lt;0)," · Stock negativo del SKU","")&amp;IF(AND($T238="Cobrado",$U238="")," · Cobro sin fecha","")&amp;IF(AND(ISNUMBER($V238),ISNUMBER($N238),$V238&gt;N($N238)+0.01)," · Cobrado &gt; venta neta","")&amp;IF(AND(ISNUMBER($V238),$V238&gt;0,$U238="")," · Monto cobrado sin fecha","")="","OK",MID(IF($B238=""," · Falta fecha","")&amp;IF($D238=""," · Falta cliente","")&amp;IF($E238=""," · Falta canal","")&amp;IF($F238=""," · Falta SKU","")&amp;IF(AND($F238&lt;&gt;"",COUNTIF(tblProductos[SKU],$F238)=0)," · SKU no existe","")&amp;IF(OR($I238="",NOT(ISNUMBER($I238)),$I238&lt;=0)," · Cantidad inválida","")&amp;IF($M238="PRECIO PENDIENTE"," · Falta precio de venta","")&amp;IF($P238="COSTO PENDIENTE"," · Falta costo del producto","")&amp;IF(AND(ISNUMBER($Q238),$Q238&lt;0)," · UTILIDAD NEGATIVA","")&amp;IF(AND($F238&lt;&gt;"",ISNUMBER(INDEX(tblInventario[Stock actual],MATCH($F238,tblInventario[SKU],0))),INDEX(tblInventario[Stock actual],MATCH($F238,tblInventario[SKU],0))&lt;0)," · Stock negativo del SKU","")&amp;IF(AND($T238="Cobrado",$U238="")," · Cobro sin fecha","")&amp;IF(AND(ISNUMBER($V238),ISNUMBER($N238),$V238&gt;N($N238)+0.01)," · Cobrado &gt; venta neta","")&amp;IF(AND(ISNUMBER($V238),$V238&gt;0,$U238="")," · Monto cobrado sin fecha",""),4,900)))</f>
        <v/>
      </c>
    </row>
    <row r="239">
      <c r="A239" s="51">
        <f>IF(COUNTA($B239,$C239,$D239,$E239,$F239,$I239)=0,"","V-"&amp;TEXT(ROW()-6,"0000"))</f>
        <v/>
      </c>
      <c r="B239" s="41" t="n"/>
      <c r="C239" s="33" t="n"/>
      <c r="D239" s="33" t="n"/>
      <c r="E239" s="33" t="n"/>
      <c r="F239" s="33" t="n"/>
      <c r="G239" s="51">
        <f>IF($F239="","",IFERROR(IF(INDEX(tblProductos[Nombre del producto],MATCH($F239,tblProductos[SKU],0))="","",INDEX(tblProductos[Nombre del producto],MATCH($F239,tblProductos[SKU],0))),""))</f>
        <v/>
      </c>
      <c r="H239" s="51">
        <f>IF($F239="","",IFERROR(IF(INDEX(tblProductos[Categoría],MATCH($F239,tblProductos[SKU],0))="","",INDEX(tblProductos[Categoría],MATCH($F239,tblProductos[SKU],0))),""))</f>
        <v/>
      </c>
      <c r="I239" s="34" t="n"/>
      <c r="J239" s="39">
        <f>IF(OR($B239="",$F239="",$I239=""),"",IF($T239="Anulado",0,$I239))</f>
        <v/>
      </c>
      <c r="K239" s="54">
        <f>IF($F239="","",IFERROR(IF(INDEX(tblProductos[Precio de venta actual],MATCH($F239,tblProductos[SKU],0))="","",INDEX(tblProductos[Precio de venta actual],MATCH($F239,tblProductos[SKU],0))),""))</f>
        <v/>
      </c>
      <c r="L239" s="36" t="n"/>
      <c r="M239" s="37">
        <f>IF($J239="","",IF(NOT(ISNUMBER($K239)),"PRECIO PENDIENTE",$J239*$K239))</f>
        <v/>
      </c>
      <c r="N239" s="37">
        <f>IF($J239="","",IF(NOT(ISNUMBER($M239)),"PRECIO PENDIENTE",$M239-IF(ISNUMBER($L239),$L239,0)))</f>
        <v/>
      </c>
      <c r="O239" s="54">
        <f>IF($F239="","",IFERROR(INDEX(tblInventario[Costo unitario aplicado],MATCH($F239,tblInventario[SKU],0)),""))</f>
        <v/>
      </c>
      <c r="P239" s="37">
        <f>IF($J239="","",IF(NOT(ISNUMBER($O239)),"COSTO PENDIENTE",$J239*$O239))</f>
        <v/>
      </c>
      <c r="Q239" s="37">
        <f>IF($J239="","",IF(OR(NOT(ISNUMBER($N239)),NOT(ISNUMBER($P239))),"PENDIENTE",$N239-$P239))</f>
        <v/>
      </c>
      <c r="R239" s="38">
        <f>IF($J239="","",IF(OR(NOT(ISNUMBER($Q239)),NOT(ISNUMBER($N239)),$N239&lt;=0),"PENDIENTE",$Q239/$N239))</f>
        <v/>
      </c>
      <c r="S239" s="33" t="n"/>
      <c r="T239" s="33" t="n"/>
      <c r="U239" s="41" t="n"/>
      <c r="V239" s="36" t="n"/>
      <c r="W239" s="37">
        <f>IF(NOT(ISNUMBER($N239)),"",$N239-IF(ISNUMBER($V239),$V239,0))</f>
        <v/>
      </c>
      <c r="X239" s="33" t="n"/>
      <c r="Y239" s="51">
        <f>IF(COUNTA($B239,$C239,$D239,$E239,$F239,$I239)=0,"",IF(IF($B239=""," · Falta fecha","")&amp;IF($D239=""," · Falta cliente","")&amp;IF($E239=""," · Falta canal","")&amp;IF($F239=""," · Falta SKU","")&amp;IF(AND($F239&lt;&gt;"",COUNTIF(tblProductos[SKU],$F239)=0)," · SKU no existe","")&amp;IF(OR($I239="",NOT(ISNUMBER($I239)),$I239&lt;=0)," · Cantidad inválida","")&amp;IF($M239="PRECIO PENDIENTE"," · Falta precio de venta","")&amp;IF($P239="COSTO PENDIENTE"," · Falta costo del producto","")&amp;IF(AND(ISNUMBER($Q239),$Q239&lt;0)," · UTILIDAD NEGATIVA","")&amp;IF(AND($F239&lt;&gt;"",ISNUMBER(INDEX(tblInventario[Stock actual],MATCH($F239,tblInventario[SKU],0))),INDEX(tblInventario[Stock actual],MATCH($F239,tblInventario[SKU],0))&lt;0)," · Stock negativo del SKU","")&amp;IF(AND($T239="Cobrado",$U239="")," · Cobro sin fecha","")&amp;IF(AND(ISNUMBER($V239),ISNUMBER($N239),$V239&gt;N($N239)+0.01)," · Cobrado &gt; venta neta","")&amp;IF(AND(ISNUMBER($V239),$V239&gt;0,$U239="")," · Monto cobrado sin fecha","")="","OK",MID(IF($B239=""," · Falta fecha","")&amp;IF($D239=""," · Falta cliente","")&amp;IF($E239=""," · Falta canal","")&amp;IF($F239=""," · Falta SKU","")&amp;IF(AND($F239&lt;&gt;"",COUNTIF(tblProductos[SKU],$F239)=0)," · SKU no existe","")&amp;IF(OR($I239="",NOT(ISNUMBER($I239)),$I239&lt;=0)," · Cantidad inválida","")&amp;IF($M239="PRECIO PENDIENTE"," · Falta precio de venta","")&amp;IF($P239="COSTO PENDIENTE"," · Falta costo del producto","")&amp;IF(AND(ISNUMBER($Q239),$Q239&lt;0)," · UTILIDAD NEGATIVA","")&amp;IF(AND($F239&lt;&gt;"",ISNUMBER(INDEX(tblInventario[Stock actual],MATCH($F239,tblInventario[SKU],0))),INDEX(tblInventario[Stock actual],MATCH($F239,tblInventario[SKU],0))&lt;0)," · Stock negativo del SKU","")&amp;IF(AND($T239="Cobrado",$U239="")," · Cobro sin fecha","")&amp;IF(AND(ISNUMBER($V239),ISNUMBER($N239),$V239&gt;N($N239)+0.01)," · Cobrado &gt; venta neta","")&amp;IF(AND(ISNUMBER($V239),$V239&gt;0,$U239="")," · Monto cobrado sin fecha",""),4,900)))</f>
        <v/>
      </c>
    </row>
    <row r="240">
      <c r="A240" s="51">
        <f>IF(COUNTA($B240,$C240,$D240,$E240,$F240,$I240)=0,"","V-"&amp;TEXT(ROW()-6,"0000"))</f>
        <v/>
      </c>
      <c r="B240" s="41" t="n"/>
      <c r="C240" s="33" t="n"/>
      <c r="D240" s="33" t="n"/>
      <c r="E240" s="33" t="n"/>
      <c r="F240" s="33" t="n"/>
      <c r="G240" s="51">
        <f>IF($F240="","",IFERROR(IF(INDEX(tblProductos[Nombre del producto],MATCH($F240,tblProductos[SKU],0))="","",INDEX(tblProductos[Nombre del producto],MATCH($F240,tblProductos[SKU],0))),""))</f>
        <v/>
      </c>
      <c r="H240" s="51">
        <f>IF($F240="","",IFERROR(IF(INDEX(tblProductos[Categoría],MATCH($F240,tblProductos[SKU],0))="","",INDEX(tblProductos[Categoría],MATCH($F240,tblProductos[SKU],0))),""))</f>
        <v/>
      </c>
      <c r="I240" s="34" t="n"/>
      <c r="J240" s="39">
        <f>IF(OR($B240="",$F240="",$I240=""),"",IF($T240="Anulado",0,$I240))</f>
        <v/>
      </c>
      <c r="K240" s="54">
        <f>IF($F240="","",IFERROR(IF(INDEX(tblProductos[Precio de venta actual],MATCH($F240,tblProductos[SKU],0))="","",INDEX(tblProductos[Precio de venta actual],MATCH($F240,tblProductos[SKU],0))),""))</f>
        <v/>
      </c>
      <c r="L240" s="36" t="n"/>
      <c r="M240" s="37">
        <f>IF($J240="","",IF(NOT(ISNUMBER($K240)),"PRECIO PENDIENTE",$J240*$K240))</f>
        <v/>
      </c>
      <c r="N240" s="37">
        <f>IF($J240="","",IF(NOT(ISNUMBER($M240)),"PRECIO PENDIENTE",$M240-IF(ISNUMBER($L240),$L240,0)))</f>
        <v/>
      </c>
      <c r="O240" s="54">
        <f>IF($F240="","",IFERROR(INDEX(tblInventario[Costo unitario aplicado],MATCH($F240,tblInventario[SKU],0)),""))</f>
        <v/>
      </c>
      <c r="P240" s="37">
        <f>IF($J240="","",IF(NOT(ISNUMBER($O240)),"COSTO PENDIENTE",$J240*$O240))</f>
        <v/>
      </c>
      <c r="Q240" s="37">
        <f>IF($J240="","",IF(OR(NOT(ISNUMBER($N240)),NOT(ISNUMBER($P240))),"PENDIENTE",$N240-$P240))</f>
        <v/>
      </c>
      <c r="R240" s="38">
        <f>IF($J240="","",IF(OR(NOT(ISNUMBER($Q240)),NOT(ISNUMBER($N240)),$N240&lt;=0),"PENDIENTE",$Q240/$N240))</f>
        <v/>
      </c>
      <c r="S240" s="33" t="n"/>
      <c r="T240" s="33" t="n"/>
      <c r="U240" s="41" t="n"/>
      <c r="V240" s="36" t="n"/>
      <c r="W240" s="37">
        <f>IF(NOT(ISNUMBER($N240)),"",$N240-IF(ISNUMBER($V240),$V240,0))</f>
        <v/>
      </c>
      <c r="X240" s="33" t="n"/>
      <c r="Y240" s="51">
        <f>IF(COUNTA($B240,$C240,$D240,$E240,$F240,$I240)=0,"",IF(IF($B240=""," · Falta fecha","")&amp;IF($D240=""," · Falta cliente","")&amp;IF($E240=""," · Falta canal","")&amp;IF($F240=""," · Falta SKU","")&amp;IF(AND($F240&lt;&gt;"",COUNTIF(tblProductos[SKU],$F240)=0)," · SKU no existe","")&amp;IF(OR($I240="",NOT(ISNUMBER($I240)),$I240&lt;=0)," · Cantidad inválida","")&amp;IF($M240="PRECIO PENDIENTE"," · Falta precio de venta","")&amp;IF($P240="COSTO PENDIENTE"," · Falta costo del producto","")&amp;IF(AND(ISNUMBER($Q240),$Q240&lt;0)," · UTILIDAD NEGATIVA","")&amp;IF(AND($F240&lt;&gt;"",ISNUMBER(INDEX(tblInventario[Stock actual],MATCH($F240,tblInventario[SKU],0))),INDEX(tblInventario[Stock actual],MATCH($F240,tblInventario[SKU],0))&lt;0)," · Stock negativo del SKU","")&amp;IF(AND($T240="Cobrado",$U240="")," · Cobro sin fecha","")&amp;IF(AND(ISNUMBER($V240),ISNUMBER($N240),$V240&gt;N($N240)+0.01)," · Cobrado &gt; venta neta","")&amp;IF(AND(ISNUMBER($V240),$V240&gt;0,$U240="")," · Monto cobrado sin fecha","")="","OK",MID(IF($B240=""," · Falta fecha","")&amp;IF($D240=""," · Falta cliente","")&amp;IF($E240=""," · Falta canal","")&amp;IF($F240=""," · Falta SKU","")&amp;IF(AND($F240&lt;&gt;"",COUNTIF(tblProductos[SKU],$F240)=0)," · SKU no existe","")&amp;IF(OR($I240="",NOT(ISNUMBER($I240)),$I240&lt;=0)," · Cantidad inválida","")&amp;IF($M240="PRECIO PENDIENTE"," · Falta precio de venta","")&amp;IF($P240="COSTO PENDIENTE"," · Falta costo del producto","")&amp;IF(AND(ISNUMBER($Q240),$Q240&lt;0)," · UTILIDAD NEGATIVA","")&amp;IF(AND($F240&lt;&gt;"",ISNUMBER(INDEX(tblInventario[Stock actual],MATCH($F240,tblInventario[SKU],0))),INDEX(tblInventario[Stock actual],MATCH($F240,tblInventario[SKU],0))&lt;0)," · Stock negativo del SKU","")&amp;IF(AND($T240="Cobrado",$U240="")," · Cobro sin fecha","")&amp;IF(AND(ISNUMBER($V240),ISNUMBER($N240),$V240&gt;N($N240)+0.01)," · Cobrado &gt; venta neta","")&amp;IF(AND(ISNUMBER($V240),$V240&gt;0,$U240="")," · Monto cobrado sin fecha",""),4,900)))</f>
        <v/>
      </c>
    </row>
    <row r="241">
      <c r="A241" s="51">
        <f>IF(COUNTA($B241,$C241,$D241,$E241,$F241,$I241)=0,"","V-"&amp;TEXT(ROW()-6,"0000"))</f>
        <v/>
      </c>
      <c r="B241" s="41" t="n"/>
      <c r="C241" s="33" t="n"/>
      <c r="D241" s="33" t="n"/>
      <c r="E241" s="33" t="n"/>
      <c r="F241" s="33" t="n"/>
      <c r="G241" s="51">
        <f>IF($F241="","",IFERROR(IF(INDEX(tblProductos[Nombre del producto],MATCH($F241,tblProductos[SKU],0))="","",INDEX(tblProductos[Nombre del producto],MATCH($F241,tblProductos[SKU],0))),""))</f>
        <v/>
      </c>
      <c r="H241" s="51">
        <f>IF($F241="","",IFERROR(IF(INDEX(tblProductos[Categoría],MATCH($F241,tblProductos[SKU],0))="","",INDEX(tblProductos[Categoría],MATCH($F241,tblProductos[SKU],0))),""))</f>
        <v/>
      </c>
      <c r="I241" s="34" t="n"/>
      <c r="J241" s="39">
        <f>IF(OR($B241="",$F241="",$I241=""),"",IF($T241="Anulado",0,$I241))</f>
        <v/>
      </c>
      <c r="K241" s="54">
        <f>IF($F241="","",IFERROR(IF(INDEX(tblProductos[Precio de venta actual],MATCH($F241,tblProductos[SKU],0))="","",INDEX(tblProductos[Precio de venta actual],MATCH($F241,tblProductos[SKU],0))),""))</f>
        <v/>
      </c>
      <c r="L241" s="36" t="n"/>
      <c r="M241" s="37">
        <f>IF($J241="","",IF(NOT(ISNUMBER($K241)),"PRECIO PENDIENTE",$J241*$K241))</f>
        <v/>
      </c>
      <c r="N241" s="37">
        <f>IF($J241="","",IF(NOT(ISNUMBER($M241)),"PRECIO PENDIENTE",$M241-IF(ISNUMBER($L241),$L241,0)))</f>
        <v/>
      </c>
      <c r="O241" s="54">
        <f>IF($F241="","",IFERROR(INDEX(tblInventario[Costo unitario aplicado],MATCH($F241,tblInventario[SKU],0)),""))</f>
        <v/>
      </c>
      <c r="P241" s="37">
        <f>IF($J241="","",IF(NOT(ISNUMBER($O241)),"COSTO PENDIENTE",$J241*$O241))</f>
        <v/>
      </c>
      <c r="Q241" s="37">
        <f>IF($J241="","",IF(OR(NOT(ISNUMBER($N241)),NOT(ISNUMBER($P241))),"PENDIENTE",$N241-$P241))</f>
        <v/>
      </c>
      <c r="R241" s="38">
        <f>IF($J241="","",IF(OR(NOT(ISNUMBER($Q241)),NOT(ISNUMBER($N241)),$N241&lt;=0),"PENDIENTE",$Q241/$N241))</f>
        <v/>
      </c>
      <c r="S241" s="33" t="n"/>
      <c r="T241" s="33" t="n"/>
      <c r="U241" s="41" t="n"/>
      <c r="V241" s="36" t="n"/>
      <c r="W241" s="37">
        <f>IF(NOT(ISNUMBER($N241)),"",$N241-IF(ISNUMBER($V241),$V241,0))</f>
        <v/>
      </c>
      <c r="X241" s="33" t="n"/>
      <c r="Y241" s="51">
        <f>IF(COUNTA($B241,$C241,$D241,$E241,$F241,$I241)=0,"",IF(IF($B241=""," · Falta fecha","")&amp;IF($D241=""," · Falta cliente","")&amp;IF($E241=""," · Falta canal","")&amp;IF($F241=""," · Falta SKU","")&amp;IF(AND($F241&lt;&gt;"",COUNTIF(tblProductos[SKU],$F241)=0)," · SKU no existe","")&amp;IF(OR($I241="",NOT(ISNUMBER($I241)),$I241&lt;=0)," · Cantidad inválida","")&amp;IF($M241="PRECIO PENDIENTE"," · Falta precio de venta","")&amp;IF($P241="COSTO PENDIENTE"," · Falta costo del producto","")&amp;IF(AND(ISNUMBER($Q241),$Q241&lt;0)," · UTILIDAD NEGATIVA","")&amp;IF(AND($F241&lt;&gt;"",ISNUMBER(INDEX(tblInventario[Stock actual],MATCH($F241,tblInventario[SKU],0))),INDEX(tblInventario[Stock actual],MATCH($F241,tblInventario[SKU],0))&lt;0)," · Stock negativo del SKU","")&amp;IF(AND($T241="Cobrado",$U241="")," · Cobro sin fecha","")&amp;IF(AND(ISNUMBER($V241),ISNUMBER($N241),$V241&gt;N($N241)+0.01)," · Cobrado &gt; venta neta","")&amp;IF(AND(ISNUMBER($V241),$V241&gt;0,$U241="")," · Monto cobrado sin fecha","")="","OK",MID(IF($B241=""," · Falta fecha","")&amp;IF($D241=""," · Falta cliente","")&amp;IF($E241=""," · Falta canal","")&amp;IF($F241=""," · Falta SKU","")&amp;IF(AND($F241&lt;&gt;"",COUNTIF(tblProductos[SKU],$F241)=0)," · SKU no existe","")&amp;IF(OR($I241="",NOT(ISNUMBER($I241)),$I241&lt;=0)," · Cantidad inválida","")&amp;IF($M241="PRECIO PENDIENTE"," · Falta precio de venta","")&amp;IF($P241="COSTO PENDIENTE"," · Falta costo del producto","")&amp;IF(AND(ISNUMBER($Q241),$Q241&lt;0)," · UTILIDAD NEGATIVA","")&amp;IF(AND($F241&lt;&gt;"",ISNUMBER(INDEX(tblInventario[Stock actual],MATCH($F241,tblInventario[SKU],0))),INDEX(tblInventario[Stock actual],MATCH($F241,tblInventario[SKU],0))&lt;0)," · Stock negativo del SKU","")&amp;IF(AND($T241="Cobrado",$U241="")," · Cobro sin fecha","")&amp;IF(AND(ISNUMBER($V241),ISNUMBER($N241),$V241&gt;N($N241)+0.01)," · Cobrado &gt; venta neta","")&amp;IF(AND(ISNUMBER($V241),$V241&gt;0,$U241="")," · Monto cobrado sin fecha",""),4,900)))</f>
        <v/>
      </c>
    </row>
    <row r="242">
      <c r="A242" s="51">
        <f>IF(COUNTA($B242,$C242,$D242,$E242,$F242,$I242)=0,"","V-"&amp;TEXT(ROW()-6,"0000"))</f>
        <v/>
      </c>
      <c r="B242" s="41" t="n"/>
      <c r="C242" s="33" t="n"/>
      <c r="D242" s="33" t="n"/>
      <c r="E242" s="33" t="n"/>
      <c r="F242" s="33" t="n"/>
      <c r="G242" s="51">
        <f>IF($F242="","",IFERROR(IF(INDEX(tblProductos[Nombre del producto],MATCH($F242,tblProductos[SKU],0))="","",INDEX(tblProductos[Nombre del producto],MATCH($F242,tblProductos[SKU],0))),""))</f>
        <v/>
      </c>
      <c r="H242" s="51">
        <f>IF($F242="","",IFERROR(IF(INDEX(tblProductos[Categoría],MATCH($F242,tblProductos[SKU],0))="","",INDEX(tblProductos[Categoría],MATCH($F242,tblProductos[SKU],0))),""))</f>
        <v/>
      </c>
      <c r="I242" s="34" t="n"/>
      <c r="J242" s="39">
        <f>IF(OR($B242="",$F242="",$I242=""),"",IF($T242="Anulado",0,$I242))</f>
        <v/>
      </c>
      <c r="K242" s="54">
        <f>IF($F242="","",IFERROR(IF(INDEX(tblProductos[Precio de venta actual],MATCH($F242,tblProductos[SKU],0))="","",INDEX(tblProductos[Precio de venta actual],MATCH($F242,tblProductos[SKU],0))),""))</f>
        <v/>
      </c>
      <c r="L242" s="36" t="n"/>
      <c r="M242" s="37">
        <f>IF($J242="","",IF(NOT(ISNUMBER($K242)),"PRECIO PENDIENTE",$J242*$K242))</f>
        <v/>
      </c>
      <c r="N242" s="37">
        <f>IF($J242="","",IF(NOT(ISNUMBER($M242)),"PRECIO PENDIENTE",$M242-IF(ISNUMBER($L242),$L242,0)))</f>
        <v/>
      </c>
      <c r="O242" s="54">
        <f>IF($F242="","",IFERROR(INDEX(tblInventario[Costo unitario aplicado],MATCH($F242,tblInventario[SKU],0)),""))</f>
        <v/>
      </c>
      <c r="P242" s="37">
        <f>IF($J242="","",IF(NOT(ISNUMBER($O242)),"COSTO PENDIENTE",$J242*$O242))</f>
        <v/>
      </c>
      <c r="Q242" s="37">
        <f>IF($J242="","",IF(OR(NOT(ISNUMBER($N242)),NOT(ISNUMBER($P242))),"PENDIENTE",$N242-$P242))</f>
        <v/>
      </c>
      <c r="R242" s="38">
        <f>IF($J242="","",IF(OR(NOT(ISNUMBER($Q242)),NOT(ISNUMBER($N242)),$N242&lt;=0),"PENDIENTE",$Q242/$N242))</f>
        <v/>
      </c>
      <c r="S242" s="33" t="n"/>
      <c r="T242" s="33" t="n"/>
      <c r="U242" s="41" t="n"/>
      <c r="V242" s="36" t="n"/>
      <c r="W242" s="37">
        <f>IF(NOT(ISNUMBER($N242)),"",$N242-IF(ISNUMBER($V242),$V242,0))</f>
        <v/>
      </c>
      <c r="X242" s="33" t="n"/>
      <c r="Y242" s="51">
        <f>IF(COUNTA($B242,$C242,$D242,$E242,$F242,$I242)=0,"",IF(IF($B242=""," · Falta fecha","")&amp;IF($D242=""," · Falta cliente","")&amp;IF($E242=""," · Falta canal","")&amp;IF($F242=""," · Falta SKU","")&amp;IF(AND($F242&lt;&gt;"",COUNTIF(tblProductos[SKU],$F242)=0)," · SKU no existe","")&amp;IF(OR($I242="",NOT(ISNUMBER($I242)),$I242&lt;=0)," · Cantidad inválida","")&amp;IF($M242="PRECIO PENDIENTE"," · Falta precio de venta","")&amp;IF($P242="COSTO PENDIENTE"," · Falta costo del producto","")&amp;IF(AND(ISNUMBER($Q242),$Q242&lt;0)," · UTILIDAD NEGATIVA","")&amp;IF(AND($F242&lt;&gt;"",ISNUMBER(INDEX(tblInventario[Stock actual],MATCH($F242,tblInventario[SKU],0))),INDEX(tblInventario[Stock actual],MATCH($F242,tblInventario[SKU],0))&lt;0)," · Stock negativo del SKU","")&amp;IF(AND($T242="Cobrado",$U242="")," · Cobro sin fecha","")&amp;IF(AND(ISNUMBER($V242),ISNUMBER($N242),$V242&gt;N($N242)+0.01)," · Cobrado &gt; venta neta","")&amp;IF(AND(ISNUMBER($V242),$V242&gt;0,$U242="")," · Monto cobrado sin fecha","")="","OK",MID(IF($B242=""," · Falta fecha","")&amp;IF($D242=""," · Falta cliente","")&amp;IF($E242=""," · Falta canal","")&amp;IF($F242=""," · Falta SKU","")&amp;IF(AND($F242&lt;&gt;"",COUNTIF(tblProductos[SKU],$F242)=0)," · SKU no existe","")&amp;IF(OR($I242="",NOT(ISNUMBER($I242)),$I242&lt;=0)," · Cantidad inválida","")&amp;IF($M242="PRECIO PENDIENTE"," · Falta precio de venta","")&amp;IF($P242="COSTO PENDIENTE"," · Falta costo del producto","")&amp;IF(AND(ISNUMBER($Q242),$Q242&lt;0)," · UTILIDAD NEGATIVA","")&amp;IF(AND($F242&lt;&gt;"",ISNUMBER(INDEX(tblInventario[Stock actual],MATCH($F242,tblInventario[SKU],0))),INDEX(tblInventario[Stock actual],MATCH($F242,tblInventario[SKU],0))&lt;0)," · Stock negativo del SKU","")&amp;IF(AND($T242="Cobrado",$U242="")," · Cobro sin fecha","")&amp;IF(AND(ISNUMBER($V242),ISNUMBER($N242),$V242&gt;N($N242)+0.01)," · Cobrado &gt; venta neta","")&amp;IF(AND(ISNUMBER($V242),$V242&gt;0,$U242="")," · Monto cobrado sin fecha",""),4,900)))</f>
        <v/>
      </c>
    </row>
    <row r="243">
      <c r="A243" s="51">
        <f>IF(COUNTA($B243,$C243,$D243,$E243,$F243,$I243)=0,"","V-"&amp;TEXT(ROW()-6,"0000"))</f>
        <v/>
      </c>
      <c r="B243" s="41" t="n"/>
      <c r="C243" s="33" t="n"/>
      <c r="D243" s="33" t="n"/>
      <c r="E243" s="33" t="n"/>
      <c r="F243" s="33" t="n"/>
      <c r="G243" s="51">
        <f>IF($F243="","",IFERROR(IF(INDEX(tblProductos[Nombre del producto],MATCH($F243,tblProductos[SKU],0))="","",INDEX(tblProductos[Nombre del producto],MATCH($F243,tblProductos[SKU],0))),""))</f>
        <v/>
      </c>
      <c r="H243" s="51">
        <f>IF($F243="","",IFERROR(IF(INDEX(tblProductos[Categoría],MATCH($F243,tblProductos[SKU],0))="","",INDEX(tblProductos[Categoría],MATCH($F243,tblProductos[SKU],0))),""))</f>
        <v/>
      </c>
      <c r="I243" s="34" t="n"/>
      <c r="J243" s="39">
        <f>IF(OR($B243="",$F243="",$I243=""),"",IF($T243="Anulado",0,$I243))</f>
        <v/>
      </c>
      <c r="K243" s="54">
        <f>IF($F243="","",IFERROR(IF(INDEX(tblProductos[Precio de venta actual],MATCH($F243,tblProductos[SKU],0))="","",INDEX(tblProductos[Precio de venta actual],MATCH($F243,tblProductos[SKU],0))),""))</f>
        <v/>
      </c>
      <c r="L243" s="36" t="n"/>
      <c r="M243" s="37">
        <f>IF($J243="","",IF(NOT(ISNUMBER($K243)),"PRECIO PENDIENTE",$J243*$K243))</f>
        <v/>
      </c>
      <c r="N243" s="37">
        <f>IF($J243="","",IF(NOT(ISNUMBER($M243)),"PRECIO PENDIENTE",$M243-IF(ISNUMBER($L243),$L243,0)))</f>
        <v/>
      </c>
      <c r="O243" s="54">
        <f>IF($F243="","",IFERROR(INDEX(tblInventario[Costo unitario aplicado],MATCH($F243,tblInventario[SKU],0)),""))</f>
        <v/>
      </c>
      <c r="P243" s="37">
        <f>IF($J243="","",IF(NOT(ISNUMBER($O243)),"COSTO PENDIENTE",$J243*$O243))</f>
        <v/>
      </c>
      <c r="Q243" s="37">
        <f>IF($J243="","",IF(OR(NOT(ISNUMBER($N243)),NOT(ISNUMBER($P243))),"PENDIENTE",$N243-$P243))</f>
        <v/>
      </c>
      <c r="R243" s="38">
        <f>IF($J243="","",IF(OR(NOT(ISNUMBER($Q243)),NOT(ISNUMBER($N243)),$N243&lt;=0),"PENDIENTE",$Q243/$N243))</f>
        <v/>
      </c>
      <c r="S243" s="33" t="n"/>
      <c r="T243" s="33" t="n"/>
      <c r="U243" s="41" t="n"/>
      <c r="V243" s="36" t="n"/>
      <c r="W243" s="37">
        <f>IF(NOT(ISNUMBER($N243)),"",$N243-IF(ISNUMBER($V243),$V243,0))</f>
        <v/>
      </c>
      <c r="X243" s="33" t="n"/>
      <c r="Y243" s="51">
        <f>IF(COUNTA($B243,$C243,$D243,$E243,$F243,$I243)=0,"",IF(IF($B243=""," · Falta fecha","")&amp;IF($D243=""," · Falta cliente","")&amp;IF($E243=""," · Falta canal","")&amp;IF($F243=""," · Falta SKU","")&amp;IF(AND($F243&lt;&gt;"",COUNTIF(tblProductos[SKU],$F243)=0)," · SKU no existe","")&amp;IF(OR($I243="",NOT(ISNUMBER($I243)),$I243&lt;=0)," · Cantidad inválida","")&amp;IF($M243="PRECIO PENDIENTE"," · Falta precio de venta","")&amp;IF($P243="COSTO PENDIENTE"," · Falta costo del producto","")&amp;IF(AND(ISNUMBER($Q243),$Q243&lt;0)," · UTILIDAD NEGATIVA","")&amp;IF(AND($F243&lt;&gt;"",ISNUMBER(INDEX(tblInventario[Stock actual],MATCH($F243,tblInventario[SKU],0))),INDEX(tblInventario[Stock actual],MATCH($F243,tblInventario[SKU],0))&lt;0)," · Stock negativo del SKU","")&amp;IF(AND($T243="Cobrado",$U243="")," · Cobro sin fecha","")&amp;IF(AND(ISNUMBER($V243),ISNUMBER($N243),$V243&gt;N($N243)+0.01)," · Cobrado &gt; venta neta","")&amp;IF(AND(ISNUMBER($V243),$V243&gt;0,$U243="")," · Monto cobrado sin fecha","")="","OK",MID(IF($B243=""," · Falta fecha","")&amp;IF($D243=""," · Falta cliente","")&amp;IF($E243=""," · Falta canal","")&amp;IF($F243=""," · Falta SKU","")&amp;IF(AND($F243&lt;&gt;"",COUNTIF(tblProductos[SKU],$F243)=0)," · SKU no existe","")&amp;IF(OR($I243="",NOT(ISNUMBER($I243)),$I243&lt;=0)," · Cantidad inválida","")&amp;IF($M243="PRECIO PENDIENTE"," · Falta precio de venta","")&amp;IF($P243="COSTO PENDIENTE"," · Falta costo del producto","")&amp;IF(AND(ISNUMBER($Q243),$Q243&lt;0)," · UTILIDAD NEGATIVA","")&amp;IF(AND($F243&lt;&gt;"",ISNUMBER(INDEX(tblInventario[Stock actual],MATCH($F243,tblInventario[SKU],0))),INDEX(tblInventario[Stock actual],MATCH($F243,tblInventario[SKU],0))&lt;0)," · Stock negativo del SKU","")&amp;IF(AND($T243="Cobrado",$U243="")," · Cobro sin fecha","")&amp;IF(AND(ISNUMBER($V243),ISNUMBER($N243),$V243&gt;N($N243)+0.01)," · Cobrado &gt; venta neta","")&amp;IF(AND(ISNUMBER($V243),$V243&gt;0,$U243="")," · Monto cobrado sin fecha",""),4,900)))</f>
        <v/>
      </c>
    </row>
    <row r="244">
      <c r="A244" s="51">
        <f>IF(COUNTA($B244,$C244,$D244,$E244,$F244,$I244)=0,"","V-"&amp;TEXT(ROW()-6,"0000"))</f>
        <v/>
      </c>
      <c r="B244" s="41" t="n"/>
      <c r="C244" s="33" t="n"/>
      <c r="D244" s="33" t="n"/>
      <c r="E244" s="33" t="n"/>
      <c r="F244" s="33" t="n"/>
      <c r="G244" s="51">
        <f>IF($F244="","",IFERROR(IF(INDEX(tblProductos[Nombre del producto],MATCH($F244,tblProductos[SKU],0))="","",INDEX(tblProductos[Nombre del producto],MATCH($F244,tblProductos[SKU],0))),""))</f>
        <v/>
      </c>
      <c r="H244" s="51">
        <f>IF($F244="","",IFERROR(IF(INDEX(tblProductos[Categoría],MATCH($F244,tblProductos[SKU],0))="","",INDEX(tblProductos[Categoría],MATCH($F244,tblProductos[SKU],0))),""))</f>
        <v/>
      </c>
      <c r="I244" s="34" t="n"/>
      <c r="J244" s="39">
        <f>IF(OR($B244="",$F244="",$I244=""),"",IF($T244="Anulado",0,$I244))</f>
        <v/>
      </c>
      <c r="K244" s="54">
        <f>IF($F244="","",IFERROR(IF(INDEX(tblProductos[Precio de venta actual],MATCH($F244,tblProductos[SKU],0))="","",INDEX(tblProductos[Precio de venta actual],MATCH($F244,tblProductos[SKU],0))),""))</f>
        <v/>
      </c>
      <c r="L244" s="36" t="n"/>
      <c r="M244" s="37">
        <f>IF($J244="","",IF(NOT(ISNUMBER($K244)),"PRECIO PENDIENTE",$J244*$K244))</f>
        <v/>
      </c>
      <c r="N244" s="37">
        <f>IF($J244="","",IF(NOT(ISNUMBER($M244)),"PRECIO PENDIENTE",$M244-IF(ISNUMBER($L244),$L244,0)))</f>
        <v/>
      </c>
      <c r="O244" s="54">
        <f>IF($F244="","",IFERROR(INDEX(tblInventario[Costo unitario aplicado],MATCH($F244,tblInventario[SKU],0)),""))</f>
        <v/>
      </c>
      <c r="P244" s="37">
        <f>IF($J244="","",IF(NOT(ISNUMBER($O244)),"COSTO PENDIENTE",$J244*$O244))</f>
        <v/>
      </c>
      <c r="Q244" s="37">
        <f>IF($J244="","",IF(OR(NOT(ISNUMBER($N244)),NOT(ISNUMBER($P244))),"PENDIENTE",$N244-$P244))</f>
        <v/>
      </c>
      <c r="R244" s="38">
        <f>IF($J244="","",IF(OR(NOT(ISNUMBER($Q244)),NOT(ISNUMBER($N244)),$N244&lt;=0),"PENDIENTE",$Q244/$N244))</f>
        <v/>
      </c>
      <c r="S244" s="33" t="n"/>
      <c r="T244" s="33" t="n"/>
      <c r="U244" s="41" t="n"/>
      <c r="V244" s="36" t="n"/>
      <c r="W244" s="37">
        <f>IF(NOT(ISNUMBER($N244)),"",$N244-IF(ISNUMBER($V244),$V244,0))</f>
        <v/>
      </c>
      <c r="X244" s="33" t="n"/>
      <c r="Y244" s="51">
        <f>IF(COUNTA($B244,$C244,$D244,$E244,$F244,$I244)=0,"",IF(IF($B244=""," · Falta fecha","")&amp;IF($D244=""," · Falta cliente","")&amp;IF($E244=""," · Falta canal","")&amp;IF($F244=""," · Falta SKU","")&amp;IF(AND($F244&lt;&gt;"",COUNTIF(tblProductos[SKU],$F244)=0)," · SKU no existe","")&amp;IF(OR($I244="",NOT(ISNUMBER($I244)),$I244&lt;=0)," · Cantidad inválida","")&amp;IF($M244="PRECIO PENDIENTE"," · Falta precio de venta","")&amp;IF($P244="COSTO PENDIENTE"," · Falta costo del producto","")&amp;IF(AND(ISNUMBER($Q244),$Q244&lt;0)," · UTILIDAD NEGATIVA","")&amp;IF(AND($F244&lt;&gt;"",ISNUMBER(INDEX(tblInventario[Stock actual],MATCH($F244,tblInventario[SKU],0))),INDEX(tblInventario[Stock actual],MATCH($F244,tblInventario[SKU],0))&lt;0)," · Stock negativo del SKU","")&amp;IF(AND($T244="Cobrado",$U244="")," · Cobro sin fecha","")&amp;IF(AND(ISNUMBER($V244),ISNUMBER($N244),$V244&gt;N($N244)+0.01)," · Cobrado &gt; venta neta","")&amp;IF(AND(ISNUMBER($V244),$V244&gt;0,$U244="")," · Monto cobrado sin fecha","")="","OK",MID(IF($B244=""," · Falta fecha","")&amp;IF($D244=""," · Falta cliente","")&amp;IF($E244=""," · Falta canal","")&amp;IF($F244=""," · Falta SKU","")&amp;IF(AND($F244&lt;&gt;"",COUNTIF(tblProductos[SKU],$F244)=0)," · SKU no existe","")&amp;IF(OR($I244="",NOT(ISNUMBER($I244)),$I244&lt;=0)," · Cantidad inválida","")&amp;IF($M244="PRECIO PENDIENTE"," · Falta precio de venta","")&amp;IF($P244="COSTO PENDIENTE"," · Falta costo del producto","")&amp;IF(AND(ISNUMBER($Q244),$Q244&lt;0)," · UTILIDAD NEGATIVA","")&amp;IF(AND($F244&lt;&gt;"",ISNUMBER(INDEX(tblInventario[Stock actual],MATCH($F244,tblInventario[SKU],0))),INDEX(tblInventario[Stock actual],MATCH($F244,tblInventario[SKU],0))&lt;0)," · Stock negativo del SKU","")&amp;IF(AND($T244="Cobrado",$U244="")," · Cobro sin fecha","")&amp;IF(AND(ISNUMBER($V244),ISNUMBER($N244),$V244&gt;N($N244)+0.01)," · Cobrado &gt; venta neta","")&amp;IF(AND(ISNUMBER($V244),$V244&gt;0,$U244="")," · Monto cobrado sin fecha",""),4,900)))</f>
        <v/>
      </c>
    </row>
    <row r="245">
      <c r="A245" s="51">
        <f>IF(COUNTA($B245,$C245,$D245,$E245,$F245,$I245)=0,"","V-"&amp;TEXT(ROW()-6,"0000"))</f>
        <v/>
      </c>
      <c r="B245" s="41" t="n"/>
      <c r="C245" s="33" t="n"/>
      <c r="D245" s="33" t="n"/>
      <c r="E245" s="33" t="n"/>
      <c r="F245" s="33" t="n"/>
      <c r="G245" s="51">
        <f>IF($F245="","",IFERROR(IF(INDEX(tblProductos[Nombre del producto],MATCH($F245,tblProductos[SKU],0))="","",INDEX(tblProductos[Nombre del producto],MATCH($F245,tblProductos[SKU],0))),""))</f>
        <v/>
      </c>
      <c r="H245" s="51">
        <f>IF($F245="","",IFERROR(IF(INDEX(tblProductos[Categoría],MATCH($F245,tblProductos[SKU],0))="","",INDEX(tblProductos[Categoría],MATCH($F245,tblProductos[SKU],0))),""))</f>
        <v/>
      </c>
      <c r="I245" s="34" t="n"/>
      <c r="J245" s="39">
        <f>IF(OR($B245="",$F245="",$I245=""),"",IF($T245="Anulado",0,$I245))</f>
        <v/>
      </c>
      <c r="K245" s="54">
        <f>IF($F245="","",IFERROR(IF(INDEX(tblProductos[Precio de venta actual],MATCH($F245,tblProductos[SKU],0))="","",INDEX(tblProductos[Precio de venta actual],MATCH($F245,tblProductos[SKU],0))),""))</f>
        <v/>
      </c>
      <c r="L245" s="36" t="n"/>
      <c r="M245" s="37">
        <f>IF($J245="","",IF(NOT(ISNUMBER($K245)),"PRECIO PENDIENTE",$J245*$K245))</f>
        <v/>
      </c>
      <c r="N245" s="37">
        <f>IF($J245="","",IF(NOT(ISNUMBER($M245)),"PRECIO PENDIENTE",$M245-IF(ISNUMBER($L245),$L245,0)))</f>
        <v/>
      </c>
      <c r="O245" s="54">
        <f>IF($F245="","",IFERROR(INDEX(tblInventario[Costo unitario aplicado],MATCH($F245,tblInventario[SKU],0)),""))</f>
        <v/>
      </c>
      <c r="P245" s="37">
        <f>IF($J245="","",IF(NOT(ISNUMBER($O245)),"COSTO PENDIENTE",$J245*$O245))</f>
        <v/>
      </c>
      <c r="Q245" s="37">
        <f>IF($J245="","",IF(OR(NOT(ISNUMBER($N245)),NOT(ISNUMBER($P245))),"PENDIENTE",$N245-$P245))</f>
        <v/>
      </c>
      <c r="R245" s="38">
        <f>IF($J245="","",IF(OR(NOT(ISNUMBER($Q245)),NOT(ISNUMBER($N245)),$N245&lt;=0),"PENDIENTE",$Q245/$N245))</f>
        <v/>
      </c>
      <c r="S245" s="33" t="n"/>
      <c r="T245" s="33" t="n"/>
      <c r="U245" s="41" t="n"/>
      <c r="V245" s="36" t="n"/>
      <c r="W245" s="37">
        <f>IF(NOT(ISNUMBER($N245)),"",$N245-IF(ISNUMBER($V245),$V245,0))</f>
        <v/>
      </c>
      <c r="X245" s="33" t="n"/>
      <c r="Y245" s="51">
        <f>IF(COUNTA($B245,$C245,$D245,$E245,$F245,$I245)=0,"",IF(IF($B245=""," · Falta fecha","")&amp;IF($D245=""," · Falta cliente","")&amp;IF($E245=""," · Falta canal","")&amp;IF($F245=""," · Falta SKU","")&amp;IF(AND($F245&lt;&gt;"",COUNTIF(tblProductos[SKU],$F245)=0)," · SKU no existe","")&amp;IF(OR($I245="",NOT(ISNUMBER($I245)),$I245&lt;=0)," · Cantidad inválida","")&amp;IF($M245="PRECIO PENDIENTE"," · Falta precio de venta","")&amp;IF($P245="COSTO PENDIENTE"," · Falta costo del producto","")&amp;IF(AND(ISNUMBER($Q245),$Q245&lt;0)," · UTILIDAD NEGATIVA","")&amp;IF(AND($F245&lt;&gt;"",ISNUMBER(INDEX(tblInventario[Stock actual],MATCH($F245,tblInventario[SKU],0))),INDEX(tblInventario[Stock actual],MATCH($F245,tblInventario[SKU],0))&lt;0)," · Stock negativo del SKU","")&amp;IF(AND($T245="Cobrado",$U245="")," · Cobro sin fecha","")&amp;IF(AND(ISNUMBER($V245),ISNUMBER($N245),$V245&gt;N($N245)+0.01)," · Cobrado &gt; venta neta","")&amp;IF(AND(ISNUMBER($V245),$V245&gt;0,$U245="")," · Monto cobrado sin fecha","")="","OK",MID(IF($B245=""," · Falta fecha","")&amp;IF($D245=""," · Falta cliente","")&amp;IF($E245=""," · Falta canal","")&amp;IF($F245=""," · Falta SKU","")&amp;IF(AND($F245&lt;&gt;"",COUNTIF(tblProductos[SKU],$F245)=0)," · SKU no existe","")&amp;IF(OR($I245="",NOT(ISNUMBER($I245)),$I245&lt;=0)," · Cantidad inválida","")&amp;IF($M245="PRECIO PENDIENTE"," · Falta precio de venta","")&amp;IF($P245="COSTO PENDIENTE"," · Falta costo del producto","")&amp;IF(AND(ISNUMBER($Q245),$Q245&lt;0)," · UTILIDAD NEGATIVA","")&amp;IF(AND($F245&lt;&gt;"",ISNUMBER(INDEX(tblInventario[Stock actual],MATCH($F245,tblInventario[SKU],0))),INDEX(tblInventario[Stock actual],MATCH($F245,tblInventario[SKU],0))&lt;0)," · Stock negativo del SKU","")&amp;IF(AND($T245="Cobrado",$U245="")," · Cobro sin fecha","")&amp;IF(AND(ISNUMBER($V245),ISNUMBER($N245),$V245&gt;N($N245)+0.01)," · Cobrado &gt; venta neta","")&amp;IF(AND(ISNUMBER($V245),$V245&gt;0,$U245="")," · Monto cobrado sin fecha",""),4,900)))</f>
        <v/>
      </c>
    </row>
    <row r="246">
      <c r="A246" s="51">
        <f>IF(COUNTA($B246,$C246,$D246,$E246,$F246,$I246)=0,"","V-"&amp;TEXT(ROW()-6,"0000"))</f>
        <v/>
      </c>
      <c r="B246" s="41" t="n"/>
      <c r="C246" s="33" t="n"/>
      <c r="D246" s="33" t="n"/>
      <c r="E246" s="33" t="n"/>
      <c r="F246" s="33" t="n"/>
      <c r="G246" s="51">
        <f>IF($F246="","",IFERROR(IF(INDEX(tblProductos[Nombre del producto],MATCH($F246,tblProductos[SKU],0))="","",INDEX(tblProductos[Nombre del producto],MATCH($F246,tblProductos[SKU],0))),""))</f>
        <v/>
      </c>
      <c r="H246" s="51">
        <f>IF($F246="","",IFERROR(IF(INDEX(tblProductos[Categoría],MATCH($F246,tblProductos[SKU],0))="","",INDEX(tblProductos[Categoría],MATCH($F246,tblProductos[SKU],0))),""))</f>
        <v/>
      </c>
      <c r="I246" s="34" t="n"/>
      <c r="J246" s="39">
        <f>IF(OR($B246="",$F246="",$I246=""),"",IF($T246="Anulado",0,$I246))</f>
        <v/>
      </c>
      <c r="K246" s="54">
        <f>IF($F246="","",IFERROR(IF(INDEX(tblProductos[Precio de venta actual],MATCH($F246,tblProductos[SKU],0))="","",INDEX(tblProductos[Precio de venta actual],MATCH($F246,tblProductos[SKU],0))),""))</f>
        <v/>
      </c>
      <c r="L246" s="36" t="n"/>
      <c r="M246" s="37">
        <f>IF($J246="","",IF(NOT(ISNUMBER($K246)),"PRECIO PENDIENTE",$J246*$K246))</f>
        <v/>
      </c>
      <c r="N246" s="37">
        <f>IF($J246="","",IF(NOT(ISNUMBER($M246)),"PRECIO PENDIENTE",$M246-IF(ISNUMBER($L246),$L246,0)))</f>
        <v/>
      </c>
      <c r="O246" s="54">
        <f>IF($F246="","",IFERROR(INDEX(tblInventario[Costo unitario aplicado],MATCH($F246,tblInventario[SKU],0)),""))</f>
        <v/>
      </c>
      <c r="P246" s="37">
        <f>IF($J246="","",IF(NOT(ISNUMBER($O246)),"COSTO PENDIENTE",$J246*$O246))</f>
        <v/>
      </c>
      <c r="Q246" s="37">
        <f>IF($J246="","",IF(OR(NOT(ISNUMBER($N246)),NOT(ISNUMBER($P246))),"PENDIENTE",$N246-$P246))</f>
        <v/>
      </c>
      <c r="R246" s="38">
        <f>IF($J246="","",IF(OR(NOT(ISNUMBER($Q246)),NOT(ISNUMBER($N246)),$N246&lt;=0),"PENDIENTE",$Q246/$N246))</f>
        <v/>
      </c>
      <c r="S246" s="33" t="n"/>
      <c r="T246" s="33" t="n"/>
      <c r="U246" s="41" t="n"/>
      <c r="V246" s="36" t="n"/>
      <c r="W246" s="37">
        <f>IF(NOT(ISNUMBER($N246)),"",$N246-IF(ISNUMBER($V246),$V246,0))</f>
        <v/>
      </c>
      <c r="X246" s="33" t="n"/>
      <c r="Y246" s="51">
        <f>IF(COUNTA($B246,$C246,$D246,$E246,$F246,$I246)=0,"",IF(IF($B246=""," · Falta fecha","")&amp;IF($D246=""," · Falta cliente","")&amp;IF($E246=""," · Falta canal","")&amp;IF($F246=""," · Falta SKU","")&amp;IF(AND($F246&lt;&gt;"",COUNTIF(tblProductos[SKU],$F246)=0)," · SKU no existe","")&amp;IF(OR($I246="",NOT(ISNUMBER($I246)),$I246&lt;=0)," · Cantidad inválida","")&amp;IF($M246="PRECIO PENDIENTE"," · Falta precio de venta","")&amp;IF($P246="COSTO PENDIENTE"," · Falta costo del producto","")&amp;IF(AND(ISNUMBER($Q246),$Q246&lt;0)," · UTILIDAD NEGATIVA","")&amp;IF(AND($F246&lt;&gt;"",ISNUMBER(INDEX(tblInventario[Stock actual],MATCH($F246,tblInventario[SKU],0))),INDEX(tblInventario[Stock actual],MATCH($F246,tblInventario[SKU],0))&lt;0)," · Stock negativo del SKU","")&amp;IF(AND($T246="Cobrado",$U246="")," · Cobro sin fecha","")&amp;IF(AND(ISNUMBER($V246),ISNUMBER($N246),$V246&gt;N($N246)+0.01)," · Cobrado &gt; venta neta","")&amp;IF(AND(ISNUMBER($V246),$V246&gt;0,$U246="")," · Monto cobrado sin fecha","")="","OK",MID(IF($B246=""," · Falta fecha","")&amp;IF($D246=""," · Falta cliente","")&amp;IF($E246=""," · Falta canal","")&amp;IF($F246=""," · Falta SKU","")&amp;IF(AND($F246&lt;&gt;"",COUNTIF(tblProductos[SKU],$F246)=0)," · SKU no existe","")&amp;IF(OR($I246="",NOT(ISNUMBER($I246)),$I246&lt;=0)," · Cantidad inválida","")&amp;IF($M246="PRECIO PENDIENTE"," · Falta precio de venta","")&amp;IF($P246="COSTO PENDIENTE"," · Falta costo del producto","")&amp;IF(AND(ISNUMBER($Q246),$Q246&lt;0)," · UTILIDAD NEGATIVA","")&amp;IF(AND($F246&lt;&gt;"",ISNUMBER(INDEX(tblInventario[Stock actual],MATCH($F246,tblInventario[SKU],0))),INDEX(tblInventario[Stock actual],MATCH($F246,tblInventario[SKU],0))&lt;0)," · Stock negativo del SKU","")&amp;IF(AND($T246="Cobrado",$U246="")," · Cobro sin fecha","")&amp;IF(AND(ISNUMBER($V246),ISNUMBER($N246),$V246&gt;N($N246)+0.01)," · Cobrado &gt; venta neta","")&amp;IF(AND(ISNUMBER($V246),$V246&gt;0,$U246="")," · Monto cobrado sin fecha",""),4,900)))</f>
        <v/>
      </c>
    </row>
    <row r="247">
      <c r="A247" s="51">
        <f>IF(COUNTA($B247,$C247,$D247,$E247,$F247,$I247)=0,"","V-"&amp;TEXT(ROW()-6,"0000"))</f>
        <v/>
      </c>
      <c r="B247" s="41" t="n"/>
      <c r="C247" s="33" t="n"/>
      <c r="D247" s="33" t="n"/>
      <c r="E247" s="33" t="n"/>
      <c r="F247" s="33" t="n"/>
      <c r="G247" s="51">
        <f>IF($F247="","",IFERROR(IF(INDEX(tblProductos[Nombre del producto],MATCH($F247,tblProductos[SKU],0))="","",INDEX(tblProductos[Nombre del producto],MATCH($F247,tblProductos[SKU],0))),""))</f>
        <v/>
      </c>
      <c r="H247" s="51">
        <f>IF($F247="","",IFERROR(IF(INDEX(tblProductos[Categoría],MATCH($F247,tblProductos[SKU],0))="","",INDEX(tblProductos[Categoría],MATCH($F247,tblProductos[SKU],0))),""))</f>
        <v/>
      </c>
      <c r="I247" s="34" t="n"/>
      <c r="J247" s="39">
        <f>IF(OR($B247="",$F247="",$I247=""),"",IF($T247="Anulado",0,$I247))</f>
        <v/>
      </c>
      <c r="K247" s="54">
        <f>IF($F247="","",IFERROR(IF(INDEX(tblProductos[Precio de venta actual],MATCH($F247,tblProductos[SKU],0))="","",INDEX(tblProductos[Precio de venta actual],MATCH($F247,tblProductos[SKU],0))),""))</f>
        <v/>
      </c>
      <c r="L247" s="36" t="n"/>
      <c r="M247" s="37">
        <f>IF($J247="","",IF(NOT(ISNUMBER($K247)),"PRECIO PENDIENTE",$J247*$K247))</f>
        <v/>
      </c>
      <c r="N247" s="37">
        <f>IF($J247="","",IF(NOT(ISNUMBER($M247)),"PRECIO PENDIENTE",$M247-IF(ISNUMBER($L247),$L247,0)))</f>
        <v/>
      </c>
      <c r="O247" s="54">
        <f>IF($F247="","",IFERROR(INDEX(tblInventario[Costo unitario aplicado],MATCH($F247,tblInventario[SKU],0)),""))</f>
        <v/>
      </c>
      <c r="P247" s="37">
        <f>IF($J247="","",IF(NOT(ISNUMBER($O247)),"COSTO PENDIENTE",$J247*$O247))</f>
        <v/>
      </c>
      <c r="Q247" s="37">
        <f>IF($J247="","",IF(OR(NOT(ISNUMBER($N247)),NOT(ISNUMBER($P247))),"PENDIENTE",$N247-$P247))</f>
        <v/>
      </c>
      <c r="R247" s="38">
        <f>IF($J247="","",IF(OR(NOT(ISNUMBER($Q247)),NOT(ISNUMBER($N247)),$N247&lt;=0),"PENDIENTE",$Q247/$N247))</f>
        <v/>
      </c>
      <c r="S247" s="33" t="n"/>
      <c r="T247" s="33" t="n"/>
      <c r="U247" s="41" t="n"/>
      <c r="V247" s="36" t="n"/>
      <c r="W247" s="37">
        <f>IF(NOT(ISNUMBER($N247)),"",$N247-IF(ISNUMBER($V247),$V247,0))</f>
        <v/>
      </c>
      <c r="X247" s="33" t="n"/>
      <c r="Y247" s="51">
        <f>IF(COUNTA($B247,$C247,$D247,$E247,$F247,$I247)=0,"",IF(IF($B247=""," · Falta fecha","")&amp;IF($D247=""," · Falta cliente","")&amp;IF($E247=""," · Falta canal","")&amp;IF($F247=""," · Falta SKU","")&amp;IF(AND($F247&lt;&gt;"",COUNTIF(tblProductos[SKU],$F247)=0)," · SKU no existe","")&amp;IF(OR($I247="",NOT(ISNUMBER($I247)),$I247&lt;=0)," · Cantidad inválida","")&amp;IF($M247="PRECIO PENDIENTE"," · Falta precio de venta","")&amp;IF($P247="COSTO PENDIENTE"," · Falta costo del producto","")&amp;IF(AND(ISNUMBER($Q247),$Q247&lt;0)," · UTILIDAD NEGATIVA","")&amp;IF(AND($F247&lt;&gt;"",ISNUMBER(INDEX(tblInventario[Stock actual],MATCH($F247,tblInventario[SKU],0))),INDEX(tblInventario[Stock actual],MATCH($F247,tblInventario[SKU],0))&lt;0)," · Stock negativo del SKU","")&amp;IF(AND($T247="Cobrado",$U247="")," · Cobro sin fecha","")&amp;IF(AND(ISNUMBER($V247),ISNUMBER($N247),$V247&gt;N($N247)+0.01)," · Cobrado &gt; venta neta","")&amp;IF(AND(ISNUMBER($V247),$V247&gt;0,$U247="")," · Monto cobrado sin fecha","")="","OK",MID(IF($B247=""," · Falta fecha","")&amp;IF($D247=""," · Falta cliente","")&amp;IF($E247=""," · Falta canal","")&amp;IF($F247=""," · Falta SKU","")&amp;IF(AND($F247&lt;&gt;"",COUNTIF(tblProductos[SKU],$F247)=0)," · SKU no existe","")&amp;IF(OR($I247="",NOT(ISNUMBER($I247)),$I247&lt;=0)," · Cantidad inválida","")&amp;IF($M247="PRECIO PENDIENTE"," · Falta precio de venta","")&amp;IF($P247="COSTO PENDIENTE"," · Falta costo del producto","")&amp;IF(AND(ISNUMBER($Q247),$Q247&lt;0)," · UTILIDAD NEGATIVA","")&amp;IF(AND($F247&lt;&gt;"",ISNUMBER(INDEX(tblInventario[Stock actual],MATCH($F247,tblInventario[SKU],0))),INDEX(tblInventario[Stock actual],MATCH($F247,tblInventario[SKU],0))&lt;0)," · Stock negativo del SKU","")&amp;IF(AND($T247="Cobrado",$U247="")," · Cobro sin fecha","")&amp;IF(AND(ISNUMBER($V247),ISNUMBER($N247),$V247&gt;N($N247)+0.01)," · Cobrado &gt; venta neta","")&amp;IF(AND(ISNUMBER($V247),$V247&gt;0,$U247="")," · Monto cobrado sin fecha",""),4,900)))</f>
        <v/>
      </c>
    </row>
    <row r="248">
      <c r="A248" s="51">
        <f>IF(COUNTA($B248,$C248,$D248,$E248,$F248,$I248)=0,"","V-"&amp;TEXT(ROW()-6,"0000"))</f>
        <v/>
      </c>
      <c r="B248" s="41" t="n"/>
      <c r="C248" s="33" t="n"/>
      <c r="D248" s="33" t="n"/>
      <c r="E248" s="33" t="n"/>
      <c r="F248" s="33" t="n"/>
      <c r="G248" s="51">
        <f>IF($F248="","",IFERROR(IF(INDEX(tblProductos[Nombre del producto],MATCH($F248,tblProductos[SKU],0))="","",INDEX(tblProductos[Nombre del producto],MATCH($F248,tblProductos[SKU],0))),""))</f>
        <v/>
      </c>
      <c r="H248" s="51">
        <f>IF($F248="","",IFERROR(IF(INDEX(tblProductos[Categoría],MATCH($F248,tblProductos[SKU],0))="","",INDEX(tblProductos[Categoría],MATCH($F248,tblProductos[SKU],0))),""))</f>
        <v/>
      </c>
      <c r="I248" s="34" t="n"/>
      <c r="J248" s="39">
        <f>IF(OR($B248="",$F248="",$I248=""),"",IF($T248="Anulado",0,$I248))</f>
        <v/>
      </c>
      <c r="K248" s="54">
        <f>IF($F248="","",IFERROR(IF(INDEX(tblProductos[Precio de venta actual],MATCH($F248,tblProductos[SKU],0))="","",INDEX(tblProductos[Precio de venta actual],MATCH($F248,tblProductos[SKU],0))),""))</f>
        <v/>
      </c>
      <c r="L248" s="36" t="n"/>
      <c r="M248" s="37">
        <f>IF($J248="","",IF(NOT(ISNUMBER($K248)),"PRECIO PENDIENTE",$J248*$K248))</f>
        <v/>
      </c>
      <c r="N248" s="37">
        <f>IF($J248="","",IF(NOT(ISNUMBER($M248)),"PRECIO PENDIENTE",$M248-IF(ISNUMBER($L248),$L248,0)))</f>
        <v/>
      </c>
      <c r="O248" s="54">
        <f>IF($F248="","",IFERROR(INDEX(tblInventario[Costo unitario aplicado],MATCH($F248,tblInventario[SKU],0)),""))</f>
        <v/>
      </c>
      <c r="P248" s="37">
        <f>IF($J248="","",IF(NOT(ISNUMBER($O248)),"COSTO PENDIENTE",$J248*$O248))</f>
        <v/>
      </c>
      <c r="Q248" s="37">
        <f>IF($J248="","",IF(OR(NOT(ISNUMBER($N248)),NOT(ISNUMBER($P248))),"PENDIENTE",$N248-$P248))</f>
        <v/>
      </c>
      <c r="R248" s="38">
        <f>IF($J248="","",IF(OR(NOT(ISNUMBER($Q248)),NOT(ISNUMBER($N248)),$N248&lt;=0),"PENDIENTE",$Q248/$N248))</f>
        <v/>
      </c>
      <c r="S248" s="33" t="n"/>
      <c r="T248" s="33" t="n"/>
      <c r="U248" s="41" t="n"/>
      <c r="V248" s="36" t="n"/>
      <c r="W248" s="37">
        <f>IF(NOT(ISNUMBER($N248)),"",$N248-IF(ISNUMBER($V248),$V248,0))</f>
        <v/>
      </c>
      <c r="X248" s="33" t="n"/>
      <c r="Y248" s="51">
        <f>IF(COUNTA($B248,$C248,$D248,$E248,$F248,$I248)=0,"",IF(IF($B248=""," · Falta fecha","")&amp;IF($D248=""," · Falta cliente","")&amp;IF($E248=""," · Falta canal","")&amp;IF($F248=""," · Falta SKU","")&amp;IF(AND($F248&lt;&gt;"",COUNTIF(tblProductos[SKU],$F248)=0)," · SKU no existe","")&amp;IF(OR($I248="",NOT(ISNUMBER($I248)),$I248&lt;=0)," · Cantidad inválida","")&amp;IF($M248="PRECIO PENDIENTE"," · Falta precio de venta","")&amp;IF($P248="COSTO PENDIENTE"," · Falta costo del producto","")&amp;IF(AND(ISNUMBER($Q248),$Q248&lt;0)," · UTILIDAD NEGATIVA","")&amp;IF(AND($F248&lt;&gt;"",ISNUMBER(INDEX(tblInventario[Stock actual],MATCH($F248,tblInventario[SKU],0))),INDEX(tblInventario[Stock actual],MATCH($F248,tblInventario[SKU],0))&lt;0)," · Stock negativo del SKU","")&amp;IF(AND($T248="Cobrado",$U248="")," · Cobro sin fecha","")&amp;IF(AND(ISNUMBER($V248),ISNUMBER($N248),$V248&gt;N($N248)+0.01)," · Cobrado &gt; venta neta","")&amp;IF(AND(ISNUMBER($V248),$V248&gt;0,$U248="")," · Monto cobrado sin fecha","")="","OK",MID(IF($B248=""," · Falta fecha","")&amp;IF($D248=""," · Falta cliente","")&amp;IF($E248=""," · Falta canal","")&amp;IF($F248=""," · Falta SKU","")&amp;IF(AND($F248&lt;&gt;"",COUNTIF(tblProductos[SKU],$F248)=0)," · SKU no existe","")&amp;IF(OR($I248="",NOT(ISNUMBER($I248)),$I248&lt;=0)," · Cantidad inválida","")&amp;IF($M248="PRECIO PENDIENTE"," · Falta precio de venta","")&amp;IF($P248="COSTO PENDIENTE"," · Falta costo del producto","")&amp;IF(AND(ISNUMBER($Q248),$Q248&lt;0)," · UTILIDAD NEGATIVA","")&amp;IF(AND($F248&lt;&gt;"",ISNUMBER(INDEX(tblInventario[Stock actual],MATCH($F248,tblInventario[SKU],0))),INDEX(tblInventario[Stock actual],MATCH($F248,tblInventario[SKU],0))&lt;0)," · Stock negativo del SKU","")&amp;IF(AND($T248="Cobrado",$U248="")," · Cobro sin fecha","")&amp;IF(AND(ISNUMBER($V248),ISNUMBER($N248),$V248&gt;N($N248)+0.01)," · Cobrado &gt; venta neta","")&amp;IF(AND(ISNUMBER($V248),$V248&gt;0,$U248="")," · Monto cobrado sin fecha",""),4,900)))</f>
        <v/>
      </c>
    </row>
    <row r="249">
      <c r="A249" s="51">
        <f>IF(COUNTA($B249,$C249,$D249,$E249,$F249,$I249)=0,"","V-"&amp;TEXT(ROW()-6,"0000"))</f>
        <v/>
      </c>
      <c r="B249" s="41" t="n"/>
      <c r="C249" s="33" t="n"/>
      <c r="D249" s="33" t="n"/>
      <c r="E249" s="33" t="n"/>
      <c r="F249" s="33" t="n"/>
      <c r="G249" s="51">
        <f>IF($F249="","",IFERROR(IF(INDEX(tblProductos[Nombre del producto],MATCH($F249,tblProductos[SKU],0))="","",INDEX(tblProductos[Nombre del producto],MATCH($F249,tblProductos[SKU],0))),""))</f>
        <v/>
      </c>
      <c r="H249" s="51">
        <f>IF($F249="","",IFERROR(IF(INDEX(tblProductos[Categoría],MATCH($F249,tblProductos[SKU],0))="","",INDEX(tblProductos[Categoría],MATCH($F249,tblProductos[SKU],0))),""))</f>
        <v/>
      </c>
      <c r="I249" s="34" t="n"/>
      <c r="J249" s="39">
        <f>IF(OR($B249="",$F249="",$I249=""),"",IF($T249="Anulado",0,$I249))</f>
        <v/>
      </c>
      <c r="K249" s="54">
        <f>IF($F249="","",IFERROR(IF(INDEX(tblProductos[Precio de venta actual],MATCH($F249,tblProductos[SKU],0))="","",INDEX(tblProductos[Precio de venta actual],MATCH($F249,tblProductos[SKU],0))),""))</f>
        <v/>
      </c>
      <c r="L249" s="36" t="n"/>
      <c r="M249" s="37">
        <f>IF($J249="","",IF(NOT(ISNUMBER($K249)),"PRECIO PENDIENTE",$J249*$K249))</f>
        <v/>
      </c>
      <c r="N249" s="37">
        <f>IF($J249="","",IF(NOT(ISNUMBER($M249)),"PRECIO PENDIENTE",$M249-IF(ISNUMBER($L249),$L249,0)))</f>
        <v/>
      </c>
      <c r="O249" s="54">
        <f>IF($F249="","",IFERROR(INDEX(tblInventario[Costo unitario aplicado],MATCH($F249,tblInventario[SKU],0)),""))</f>
        <v/>
      </c>
      <c r="P249" s="37">
        <f>IF($J249="","",IF(NOT(ISNUMBER($O249)),"COSTO PENDIENTE",$J249*$O249))</f>
        <v/>
      </c>
      <c r="Q249" s="37">
        <f>IF($J249="","",IF(OR(NOT(ISNUMBER($N249)),NOT(ISNUMBER($P249))),"PENDIENTE",$N249-$P249))</f>
        <v/>
      </c>
      <c r="R249" s="38">
        <f>IF($J249="","",IF(OR(NOT(ISNUMBER($Q249)),NOT(ISNUMBER($N249)),$N249&lt;=0),"PENDIENTE",$Q249/$N249))</f>
        <v/>
      </c>
      <c r="S249" s="33" t="n"/>
      <c r="T249" s="33" t="n"/>
      <c r="U249" s="41" t="n"/>
      <c r="V249" s="36" t="n"/>
      <c r="W249" s="37">
        <f>IF(NOT(ISNUMBER($N249)),"",$N249-IF(ISNUMBER($V249),$V249,0))</f>
        <v/>
      </c>
      <c r="X249" s="33" t="n"/>
      <c r="Y249" s="51">
        <f>IF(COUNTA($B249,$C249,$D249,$E249,$F249,$I249)=0,"",IF(IF($B249=""," · Falta fecha","")&amp;IF($D249=""," · Falta cliente","")&amp;IF($E249=""," · Falta canal","")&amp;IF($F249=""," · Falta SKU","")&amp;IF(AND($F249&lt;&gt;"",COUNTIF(tblProductos[SKU],$F249)=0)," · SKU no existe","")&amp;IF(OR($I249="",NOT(ISNUMBER($I249)),$I249&lt;=0)," · Cantidad inválida","")&amp;IF($M249="PRECIO PENDIENTE"," · Falta precio de venta","")&amp;IF($P249="COSTO PENDIENTE"," · Falta costo del producto","")&amp;IF(AND(ISNUMBER($Q249),$Q249&lt;0)," · UTILIDAD NEGATIVA","")&amp;IF(AND($F249&lt;&gt;"",ISNUMBER(INDEX(tblInventario[Stock actual],MATCH($F249,tblInventario[SKU],0))),INDEX(tblInventario[Stock actual],MATCH($F249,tblInventario[SKU],0))&lt;0)," · Stock negativo del SKU","")&amp;IF(AND($T249="Cobrado",$U249="")," · Cobro sin fecha","")&amp;IF(AND(ISNUMBER($V249),ISNUMBER($N249),$V249&gt;N($N249)+0.01)," · Cobrado &gt; venta neta","")&amp;IF(AND(ISNUMBER($V249),$V249&gt;0,$U249="")," · Monto cobrado sin fecha","")="","OK",MID(IF($B249=""," · Falta fecha","")&amp;IF($D249=""," · Falta cliente","")&amp;IF($E249=""," · Falta canal","")&amp;IF($F249=""," · Falta SKU","")&amp;IF(AND($F249&lt;&gt;"",COUNTIF(tblProductos[SKU],$F249)=0)," · SKU no existe","")&amp;IF(OR($I249="",NOT(ISNUMBER($I249)),$I249&lt;=0)," · Cantidad inválida","")&amp;IF($M249="PRECIO PENDIENTE"," · Falta precio de venta","")&amp;IF($P249="COSTO PENDIENTE"," · Falta costo del producto","")&amp;IF(AND(ISNUMBER($Q249),$Q249&lt;0)," · UTILIDAD NEGATIVA","")&amp;IF(AND($F249&lt;&gt;"",ISNUMBER(INDEX(tblInventario[Stock actual],MATCH($F249,tblInventario[SKU],0))),INDEX(tblInventario[Stock actual],MATCH($F249,tblInventario[SKU],0))&lt;0)," · Stock negativo del SKU","")&amp;IF(AND($T249="Cobrado",$U249="")," · Cobro sin fecha","")&amp;IF(AND(ISNUMBER($V249),ISNUMBER($N249),$V249&gt;N($N249)+0.01)," · Cobrado &gt; venta neta","")&amp;IF(AND(ISNUMBER($V249),$V249&gt;0,$U249="")," · Monto cobrado sin fecha",""),4,900)))</f>
        <v/>
      </c>
    </row>
    <row r="250">
      <c r="A250" s="51">
        <f>IF(COUNTA($B250,$C250,$D250,$E250,$F250,$I250)=0,"","V-"&amp;TEXT(ROW()-6,"0000"))</f>
        <v/>
      </c>
      <c r="B250" s="41" t="n"/>
      <c r="C250" s="33" t="n"/>
      <c r="D250" s="33" t="n"/>
      <c r="E250" s="33" t="n"/>
      <c r="F250" s="33" t="n"/>
      <c r="G250" s="51">
        <f>IF($F250="","",IFERROR(IF(INDEX(tblProductos[Nombre del producto],MATCH($F250,tblProductos[SKU],0))="","",INDEX(tblProductos[Nombre del producto],MATCH($F250,tblProductos[SKU],0))),""))</f>
        <v/>
      </c>
      <c r="H250" s="51">
        <f>IF($F250="","",IFERROR(IF(INDEX(tblProductos[Categoría],MATCH($F250,tblProductos[SKU],0))="","",INDEX(tblProductos[Categoría],MATCH($F250,tblProductos[SKU],0))),""))</f>
        <v/>
      </c>
      <c r="I250" s="34" t="n"/>
      <c r="J250" s="39">
        <f>IF(OR($B250="",$F250="",$I250=""),"",IF($T250="Anulado",0,$I250))</f>
        <v/>
      </c>
      <c r="K250" s="54">
        <f>IF($F250="","",IFERROR(IF(INDEX(tblProductos[Precio de venta actual],MATCH($F250,tblProductos[SKU],0))="","",INDEX(tblProductos[Precio de venta actual],MATCH($F250,tblProductos[SKU],0))),""))</f>
        <v/>
      </c>
      <c r="L250" s="36" t="n"/>
      <c r="M250" s="37">
        <f>IF($J250="","",IF(NOT(ISNUMBER($K250)),"PRECIO PENDIENTE",$J250*$K250))</f>
        <v/>
      </c>
      <c r="N250" s="37">
        <f>IF($J250="","",IF(NOT(ISNUMBER($M250)),"PRECIO PENDIENTE",$M250-IF(ISNUMBER($L250),$L250,0)))</f>
        <v/>
      </c>
      <c r="O250" s="54">
        <f>IF($F250="","",IFERROR(INDEX(tblInventario[Costo unitario aplicado],MATCH($F250,tblInventario[SKU],0)),""))</f>
        <v/>
      </c>
      <c r="P250" s="37">
        <f>IF($J250="","",IF(NOT(ISNUMBER($O250)),"COSTO PENDIENTE",$J250*$O250))</f>
        <v/>
      </c>
      <c r="Q250" s="37">
        <f>IF($J250="","",IF(OR(NOT(ISNUMBER($N250)),NOT(ISNUMBER($P250))),"PENDIENTE",$N250-$P250))</f>
        <v/>
      </c>
      <c r="R250" s="38">
        <f>IF($J250="","",IF(OR(NOT(ISNUMBER($Q250)),NOT(ISNUMBER($N250)),$N250&lt;=0),"PENDIENTE",$Q250/$N250))</f>
        <v/>
      </c>
      <c r="S250" s="33" t="n"/>
      <c r="T250" s="33" t="n"/>
      <c r="U250" s="41" t="n"/>
      <c r="V250" s="36" t="n"/>
      <c r="W250" s="37">
        <f>IF(NOT(ISNUMBER($N250)),"",$N250-IF(ISNUMBER($V250),$V250,0))</f>
        <v/>
      </c>
      <c r="X250" s="33" t="n"/>
      <c r="Y250" s="51">
        <f>IF(COUNTA($B250,$C250,$D250,$E250,$F250,$I250)=0,"",IF(IF($B250=""," · Falta fecha","")&amp;IF($D250=""," · Falta cliente","")&amp;IF($E250=""," · Falta canal","")&amp;IF($F250=""," · Falta SKU","")&amp;IF(AND($F250&lt;&gt;"",COUNTIF(tblProductos[SKU],$F250)=0)," · SKU no existe","")&amp;IF(OR($I250="",NOT(ISNUMBER($I250)),$I250&lt;=0)," · Cantidad inválida","")&amp;IF($M250="PRECIO PENDIENTE"," · Falta precio de venta","")&amp;IF($P250="COSTO PENDIENTE"," · Falta costo del producto","")&amp;IF(AND(ISNUMBER($Q250),$Q250&lt;0)," · UTILIDAD NEGATIVA","")&amp;IF(AND($F250&lt;&gt;"",ISNUMBER(INDEX(tblInventario[Stock actual],MATCH($F250,tblInventario[SKU],0))),INDEX(tblInventario[Stock actual],MATCH($F250,tblInventario[SKU],0))&lt;0)," · Stock negativo del SKU","")&amp;IF(AND($T250="Cobrado",$U250="")," · Cobro sin fecha","")&amp;IF(AND(ISNUMBER($V250),ISNUMBER($N250),$V250&gt;N($N250)+0.01)," · Cobrado &gt; venta neta","")&amp;IF(AND(ISNUMBER($V250),$V250&gt;0,$U250="")," · Monto cobrado sin fecha","")="","OK",MID(IF($B250=""," · Falta fecha","")&amp;IF($D250=""," · Falta cliente","")&amp;IF($E250=""," · Falta canal","")&amp;IF($F250=""," · Falta SKU","")&amp;IF(AND($F250&lt;&gt;"",COUNTIF(tblProductos[SKU],$F250)=0)," · SKU no existe","")&amp;IF(OR($I250="",NOT(ISNUMBER($I250)),$I250&lt;=0)," · Cantidad inválida","")&amp;IF($M250="PRECIO PENDIENTE"," · Falta precio de venta","")&amp;IF($P250="COSTO PENDIENTE"," · Falta costo del producto","")&amp;IF(AND(ISNUMBER($Q250),$Q250&lt;0)," · UTILIDAD NEGATIVA","")&amp;IF(AND($F250&lt;&gt;"",ISNUMBER(INDEX(tblInventario[Stock actual],MATCH($F250,tblInventario[SKU],0))),INDEX(tblInventario[Stock actual],MATCH($F250,tblInventario[SKU],0))&lt;0)," · Stock negativo del SKU","")&amp;IF(AND($T250="Cobrado",$U250="")," · Cobro sin fecha","")&amp;IF(AND(ISNUMBER($V250),ISNUMBER($N250),$V250&gt;N($N250)+0.01)," · Cobrado &gt; venta neta","")&amp;IF(AND(ISNUMBER($V250),$V250&gt;0,$U250="")," · Monto cobrado sin fecha",""),4,900)))</f>
        <v/>
      </c>
    </row>
    <row r="251">
      <c r="A251" s="51">
        <f>IF(COUNTA($B251,$C251,$D251,$E251,$F251,$I251)=0,"","V-"&amp;TEXT(ROW()-6,"0000"))</f>
        <v/>
      </c>
      <c r="B251" s="41" t="n"/>
      <c r="C251" s="33" t="n"/>
      <c r="D251" s="33" t="n"/>
      <c r="E251" s="33" t="n"/>
      <c r="F251" s="33" t="n"/>
      <c r="G251" s="51">
        <f>IF($F251="","",IFERROR(IF(INDEX(tblProductos[Nombre del producto],MATCH($F251,tblProductos[SKU],0))="","",INDEX(tblProductos[Nombre del producto],MATCH($F251,tblProductos[SKU],0))),""))</f>
        <v/>
      </c>
      <c r="H251" s="51">
        <f>IF($F251="","",IFERROR(IF(INDEX(tblProductos[Categoría],MATCH($F251,tblProductos[SKU],0))="","",INDEX(tblProductos[Categoría],MATCH($F251,tblProductos[SKU],0))),""))</f>
        <v/>
      </c>
      <c r="I251" s="34" t="n"/>
      <c r="J251" s="39">
        <f>IF(OR($B251="",$F251="",$I251=""),"",IF($T251="Anulado",0,$I251))</f>
        <v/>
      </c>
      <c r="K251" s="54">
        <f>IF($F251="","",IFERROR(IF(INDEX(tblProductos[Precio de venta actual],MATCH($F251,tblProductos[SKU],0))="","",INDEX(tblProductos[Precio de venta actual],MATCH($F251,tblProductos[SKU],0))),""))</f>
        <v/>
      </c>
      <c r="L251" s="36" t="n"/>
      <c r="M251" s="37">
        <f>IF($J251="","",IF(NOT(ISNUMBER($K251)),"PRECIO PENDIENTE",$J251*$K251))</f>
        <v/>
      </c>
      <c r="N251" s="37">
        <f>IF($J251="","",IF(NOT(ISNUMBER($M251)),"PRECIO PENDIENTE",$M251-IF(ISNUMBER($L251),$L251,0)))</f>
        <v/>
      </c>
      <c r="O251" s="54">
        <f>IF($F251="","",IFERROR(INDEX(tblInventario[Costo unitario aplicado],MATCH($F251,tblInventario[SKU],0)),""))</f>
        <v/>
      </c>
      <c r="P251" s="37">
        <f>IF($J251="","",IF(NOT(ISNUMBER($O251)),"COSTO PENDIENTE",$J251*$O251))</f>
        <v/>
      </c>
      <c r="Q251" s="37">
        <f>IF($J251="","",IF(OR(NOT(ISNUMBER($N251)),NOT(ISNUMBER($P251))),"PENDIENTE",$N251-$P251))</f>
        <v/>
      </c>
      <c r="R251" s="38">
        <f>IF($J251="","",IF(OR(NOT(ISNUMBER($Q251)),NOT(ISNUMBER($N251)),$N251&lt;=0),"PENDIENTE",$Q251/$N251))</f>
        <v/>
      </c>
      <c r="S251" s="33" t="n"/>
      <c r="T251" s="33" t="n"/>
      <c r="U251" s="41" t="n"/>
      <c r="V251" s="36" t="n"/>
      <c r="W251" s="37">
        <f>IF(NOT(ISNUMBER($N251)),"",$N251-IF(ISNUMBER($V251),$V251,0))</f>
        <v/>
      </c>
      <c r="X251" s="33" t="n"/>
      <c r="Y251" s="51">
        <f>IF(COUNTA($B251,$C251,$D251,$E251,$F251,$I251)=0,"",IF(IF($B251=""," · Falta fecha","")&amp;IF($D251=""," · Falta cliente","")&amp;IF($E251=""," · Falta canal","")&amp;IF($F251=""," · Falta SKU","")&amp;IF(AND($F251&lt;&gt;"",COUNTIF(tblProductos[SKU],$F251)=0)," · SKU no existe","")&amp;IF(OR($I251="",NOT(ISNUMBER($I251)),$I251&lt;=0)," · Cantidad inválida","")&amp;IF($M251="PRECIO PENDIENTE"," · Falta precio de venta","")&amp;IF($P251="COSTO PENDIENTE"," · Falta costo del producto","")&amp;IF(AND(ISNUMBER($Q251),$Q251&lt;0)," · UTILIDAD NEGATIVA","")&amp;IF(AND($F251&lt;&gt;"",ISNUMBER(INDEX(tblInventario[Stock actual],MATCH($F251,tblInventario[SKU],0))),INDEX(tblInventario[Stock actual],MATCH($F251,tblInventario[SKU],0))&lt;0)," · Stock negativo del SKU","")&amp;IF(AND($T251="Cobrado",$U251="")," · Cobro sin fecha","")&amp;IF(AND(ISNUMBER($V251),ISNUMBER($N251),$V251&gt;N($N251)+0.01)," · Cobrado &gt; venta neta","")&amp;IF(AND(ISNUMBER($V251),$V251&gt;0,$U251="")," · Monto cobrado sin fecha","")="","OK",MID(IF($B251=""," · Falta fecha","")&amp;IF($D251=""," · Falta cliente","")&amp;IF($E251=""," · Falta canal","")&amp;IF($F251=""," · Falta SKU","")&amp;IF(AND($F251&lt;&gt;"",COUNTIF(tblProductos[SKU],$F251)=0)," · SKU no existe","")&amp;IF(OR($I251="",NOT(ISNUMBER($I251)),$I251&lt;=0)," · Cantidad inválida","")&amp;IF($M251="PRECIO PENDIENTE"," · Falta precio de venta","")&amp;IF($P251="COSTO PENDIENTE"," · Falta costo del producto","")&amp;IF(AND(ISNUMBER($Q251),$Q251&lt;0)," · UTILIDAD NEGATIVA","")&amp;IF(AND($F251&lt;&gt;"",ISNUMBER(INDEX(tblInventario[Stock actual],MATCH($F251,tblInventario[SKU],0))),INDEX(tblInventario[Stock actual],MATCH($F251,tblInventario[SKU],0))&lt;0)," · Stock negativo del SKU","")&amp;IF(AND($T251="Cobrado",$U251="")," · Cobro sin fecha","")&amp;IF(AND(ISNUMBER($V251),ISNUMBER($N251),$V251&gt;N($N251)+0.01)," · Cobrado &gt; venta neta","")&amp;IF(AND(ISNUMBER($V251),$V251&gt;0,$U251="")," · Monto cobrado sin fecha",""),4,900)))</f>
        <v/>
      </c>
    </row>
    <row r="252">
      <c r="A252" s="51">
        <f>IF(COUNTA($B252,$C252,$D252,$E252,$F252,$I252)=0,"","V-"&amp;TEXT(ROW()-6,"0000"))</f>
        <v/>
      </c>
      <c r="B252" s="41" t="n"/>
      <c r="C252" s="33" t="n"/>
      <c r="D252" s="33" t="n"/>
      <c r="E252" s="33" t="n"/>
      <c r="F252" s="33" t="n"/>
      <c r="G252" s="51">
        <f>IF($F252="","",IFERROR(IF(INDEX(tblProductos[Nombre del producto],MATCH($F252,tblProductos[SKU],0))="","",INDEX(tblProductos[Nombre del producto],MATCH($F252,tblProductos[SKU],0))),""))</f>
        <v/>
      </c>
      <c r="H252" s="51">
        <f>IF($F252="","",IFERROR(IF(INDEX(tblProductos[Categoría],MATCH($F252,tblProductos[SKU],0))="","",INDEX(tblProductos[Categoría],MATCH($F252,tblProductos[SKU],0))),""))</f>
        <v/>
      </c>
      <c r="I252" s="34" t="n"/>
      <c r="J252" s="39">
        <f>IF(OR($B252="",$F252="",$I252=""),"",IF($T252="Anulado",0,$I252))</f>
        <v/>
      </c>
      <c r="K252" s="54">
        <f>IF($F252="","",IFERROR(IF(INDEX(tblProductos[Precio de venta actual],MATCH($F252,tblProductos[SKU],0))="","",INDEX(tblProductos[Precio de venta actual],MATCH($F252,tblProductos[SKU],0))),""))</f>
        <v/>
      </c>
      <c r="L252" s="36" t="n"/>
      <c r="M252" s="37">
        <f>IF($J252="","",IF(NOT(ISNUMBER($K252)),"PRECIO PENDIENTE",$J252*$K252))</f>
        <v/>
      </c>
      <c r="N252" s="37">
        <f>IF($J252="","",IF(NOT(ISNUMBER($M252)),"PRECIO PENDIENTE",$M252-IF(ISNUMBER($L252),$L252,0)))</f>
        <v/>
      </c>
      <c r="O252" s="54">
        <f>IF($F252="","",IFERROR(INDEX(tblInventario[Costo unitario aplicado],MATCH($F252,tblInventario[SKU],0)),""))</f>
        <v/>
      </c>
      <c r="P252" s="37">
        <f>IF($J252="","",IF(NOT(ISNUMBER($O252)),"COSTO PENDIENTE",$J252*$O252))</f>
        <v/>
      </c>
      <c r="Q252" s="37">
        <f>IF($J252="","",IF(OR(NOT(ISNUMBER($N252)),NOT(ISNUMBER($P252))),"PENDIENTE",$N252-$P252))</f>
        <v/>
      </c>
      <c r="R252" s="38">
        <f>IF($J252="","",IF(OR(NOT(ISNUMBER($Q252)),NOT(ISNUMBER($N252)),$N252&lt;=0),"PENDIENTE",$Q252/$N252))</f>
        <v/>
      </c>
      <c r="S252" s="33" t="n"/>
      <c r="T252" s="33" t="n"/>
      <c r="U252" s="41" t="n"/>
      <c r="V252" s="36" t="n"/>
      <c r="W252" s="37">
        <f>IF(NOT(ISNUMBER($N252)),"",$N252-IF(ISNUMBER($V252),$V252,0))</f>
        <v/>
      </c>
      <c r="X252" s="33" t="n"/>
      <c r="Y252" s="51">
        <f>IF(COUNTA($B252,$C252,$D252,$E252,$F252,$I252)=0,"",IF(IF($B252=""," · Falta fecha","")&amp;IF($D252=""," · Falta cliente","")&amp;IF($E252=""," · Falta canal","")&amp;IF($F252=""," · Falta SKU","")&amp;IF(AND($F252&lt;&gt;"",COUNTIF(tblProductos[SKU],$F252)=0)," · SKU no existe","")&amp;IF(OR($I252="",NOT(ISNUMBER($I252)),$I252&lt;=0)," · Cantidad inválida","")&amp;IF($M252="PRECIO PENDIENTE"," · Falta precio de venta","")&amp;IF($P252="COSTO PENDIENTE"," · Falta costo del producto","")&amp;IF(AND(ISNUMBER($Q252),$Q252&lt;0)," · UTILIDAD NEGATIVA","")&amp;IF(AND($F252&lt;&gt;"",ISNUMBER(INDEX(tblInventario[Stock actual],MATCH($F252,tblInventario[SKU],0))),INDEX(tblInventario[Stock actual],MATCH($F252,tblInventario[SKU],0))&lt;0)," · Stock negativo del SKU","")&amp;IF(AND($T252="Cobrado",$U252="")," · Cobro sin fecha","")&amp;IF(AND(ISNUMBER($V252),ISNUMBER($N252),$V252&gt;N($N252)+0.01)," · Cobrado &gt; venta neta","")&amp;IF(AND(ISNUMBER($V252),$V252&gt;0,$U252="")," · Monto cobrado sin fecha","")="","OK",MID(IF($B252=""," · Falta fecha","")&amp;IF($D252=""," · Falta cliente","")&amp;IF($E252=""," · Falta canal","")&amp;IF($F252=""," · Falta SKU","")&amp;IF(AND($F252&lt;&gt;"",COUNTIF(tblProductos[SKU],$F252)=0)," · SKU no existe","")&amp;IF(OR($I252="",NOT(ISNUMBER($I252)),$I252&lt;=0)," · Cantidad inválida","")&amp;IF($M252="PRECIO PENDIENTE"," · Falta precio de venta","")&amp;IF($P252="COSTO PENDIENTE"," · Falta costo del producto","")&amp;IF(AND(ISNUMBER($Q252),$Q252&lt;0)," · UTILIDAD NEGATIVA","")&amp;IF(AND($F252&lt;&gt;"",ISNUMBER(INDEX(tblInventario[Stock actual],MATCH($F252,tblInventario[SKU],0))),INDEX(tblInventario[Stock actual],MATCH($F252,tblInventario[SKU],0))&lt;0)," · Stock negativo del SKU","")&amp;IF(AND($T252="Cobrado",$U252="")," · Cobro sin fecha","")&amp;IF(AND(ISNUMBER($V252),ISNUMBER($N252),$V252&gt;N($N252)+0.01)," · Cobrado &gt; venta neta","")&amp;IF(AND(ISNUMBER($V252),$V252&gt;0,$U252="")," · Monto cobrado sin fecha",""),4,900)))</f>
        <v/>
      </c>
    </row>
    <row r="253">
      <c r="A253" s="51">
        <f>IF(COUNTA($B253,$C253,$D253,$E253,$F253,$I253)=0,"","V-"&amp;TEXT(ROW()-6,"0000"))</f>
        <v/>
      </c>
      <c r="B253" s="41" t="n"/>
      <c r="C253" s="33" t="n"/>
      <c r="D253" s="33" t="n"/>
      <c r="E253" s="33" t="n"/>
      <c r="F253" s="33" t="n"/>
      <c r="G253" s="51">
        <f>IF($F253="","",IFERROR(IF(INDEX(tblProductos[Nombre del producto],MATCH($F253,tblProductos[SKU],0))="","",INDEX(tblProductos[Nombre del producto],MATCH($F253,tblProductos[SKU],0))),""))</f>
        <v/>
      </c>
      <c r="H253" s="51">
        <f>IF($F253="","",IFERROR(IF(INDEX(tblProductos[Categoría],MATCH($F253,tblProductos[SKU],0))="","",INDEX(tblProductos[Categoría],MATCH($F253,tblProductos[SKU],0))),""))</f>
        <v/>
      </c>
      <c r="I253" s="34" t="n"/>
      <c r="J253" s="39">
        <f>IF(OR($B253="",$F253="",$I253=""),"",IF($T253="Anulado",0,$I253))</f>
        <v/>
      </c>
      <c r="K253" s="54">
        <f>IF($F253="","",IFERROR(IF(INDEX(tblProductos[Precio de venta actual],MATCH($F253,tblProductos[SKU],0))="","",INDEX(tblProductos[Precio de venta actual],MATCH($F253,tblProductos[SKU],0))),""))</f>
        <v/>
      </c>
      <c r="L253" s="36" t="n"/>
      <c r="M253" s="37">
        <f>IF($J253="","",IF(NOT(ISNUMBER($K253)),"PRECIO PENDIENTE",$J253*$K253))</f>
        <v/>
      </c>
      <c r="N253" s="37">
        <f>IF($J253="","",IF(NOT(ISNUMBER($M253)),"PRECIO PENDIENTE",$M253-IF(ISNUMBER($L253),$L253,0)))</f>
        <v/>
      </c>
      <c r="O253" s="54">
        <f>IF($F253="","",IFERROR(INDEX(tblInventario[Costo unitario aplicado],MATCH($F253,tblInventario[SKU],0)),""))</f>
        <v/>
      </c>
      <c r="P253" s="37">
        <f>IF($J253="","",IF(NOT(ISNUMBER($O253)),"COSTO PENDIENTE",$J253*$O253))</f>
        <v/>
      </c>
      <c r="Q253" s="37">
        <f>IF($J253="","",IF(OR(NOT(ISNUMBER($N253)),NOT(ISNUMBER($P253))),"PENDIENTE",$N253-$P253))</f>
        <v/>
      </c>
      <c r="R253" s="38">
        <f>IF($J253="","",IF(OR(NOT(ISNUMBER($Q253)),NOT(ISNUMBER($N253)),$N253&lt;=0),"PENDIENTE",$Q253/$N253))</f>
        <v/>
      </c>
      <c r="S253" s="33" t="n"/>
      <c r="T253" s="33" t="n"/>
      <c r="U253" s="41" t="n"/>
      <c r="V253" s="36" t="n"/>
      <c r="W253" s="37">
        <f>IF(NOT(ISNUMBER($N253)),"",$N253-IF(ISNUMBER($V253),$V253,0))</f>
        <v/>
      </c>
      <c r="X253" s="33" t="n"/>
      <c r="Y253" s="51">
        <f>IF(COUNTA($B253,$C253,$D253,$E253,$F253,$I253)=0,"",IF(IF($B253=""," · Falta fecha","")&amp;IF($D253=""," · Falta cliente","")&amp;IF($E253=""," · Falta canal","")&amp;IF($F253=""," · Falta SKU","")&amp;IF(AND($F253&lt;&gt;"",COUNTIF(tblProductos[SKU],$F253)=0)," · SKU no existe","")&amp;IF(OR($I253="",NOT(ISNUMBER($I253)),$I253&lt;=0)," · Cantidad inválida","")&amp;IF($M253="PRECIO PENDIENTE"," · Falta precio de venta","")&amp;IF($P253="COSTO PENDIENTE"," · Falta costo del producto","")&amp;IF(AND(ISNUMBER($Q253),$Q253&lt;0)," · UTILIDAD NEGATIVA","")&amp;IF(AND($F253&lt;&gt;"",ISNUMBER(INDEX(tblInventario[Stock actual],MATCH($F253,tblInventario[SKU],0))),INDEX(tblInventario[Stock actual],MATCH($F253,tblInventario[SKU],0))&lt;0)," · Stock negativo del SKU","")&amp;IF(AND($T253="Cobrado",$U253="")," · Cobro sin fecha","")&amp;IF(AND(ISNUMBER($V253),ISNUMBER($N253),$V253&gt;N($N253)+0.01)," · Cobrado &gt; venta neta","")&amp;IF(AND(ISNUMBER($V253),$V253&gt;0,$U253="")," · Monto cobrado sin fecha","")="","OK",MID(IF($B253=""," · Falta fecha","")&amp;IF($D253=""," · Falta cliente","")&amp;IF($E253=""," · Falta canal","")&amp;IF($F253=""," · Falta SKU","")&amp;IF(AND($F253&lt;&gt;"",COUNTIF(tblProductos[SKU],$F253)=0)," · SKU no existe","")&amp;IF(OR($I253="",NOT(ISNUMBER($I253)),$I253&lt;=0)," · Cantidad inválida","")&amp;IF($M253="PRECIO PENDIENTE"," · Falta precio de venta","")&amp;IF($P253="COSTO PENDIENTE"," · Falta costo del producto","")&amp;IF(AND(ISNUMBER($Q253),$Q253&lt;0)," · UTILIDAD NEGATIVA","")&amp;IF(AND($F253&lt;&gt;"",ISNUMBER(INDEX(tblInventario[Stock actual],MATCH($F253,tblInventario[SKU],0))),INDEX(tblInventario[Stock actual],MATCH($F253,tblInventario[SKU],0))&lt;0)," · Stock negativo del SKU","")&amp;IF(AND($T253="Cobrado",$U253="")," · Cobro sin fecha","")&amp;IF(AND(ISNUMBER($V253),ISNUMBER($N253),$V253&gt;N($N253)+0.01)," · Cobrado &gt; venta neta","")&amp;IF(AND(ISNUMBER($V253),$V253&gt;0,$U253="")," · Monto cobrado sin fecha",""),4,900)))</f>
        <v/>
      </c>
    </row>
    <row r="254">
      <c r="A254" s="51">
        <f>IF(COUNTA($B254,$C254,$D254,$E254,$F254,$I254)=0,"","V-"&amp;TEXT(ROW()-6,"0000"))</f>
        <v/>
      </c>
      <c r="B254" s="41" t="n"/>
      <c r="C254" s="33" t="n"/>
      <c r="D254" s="33" t="n"/>
      <c r="E254" s="33" t="n"/>
      <c r="F254" s="33" t="n"/>
      <c r="G254" s="51">
        <f>IF($F254="","",IFERROR(IF(INDEX(tblProductos[Nombre del producto],MATCH($F254,tblProductos[SKU],0))="","",INDEX(tblProductos[Nombre del producto],MATCH($F254,tblProductos[SKU],0))),""))</f>
        <v/>
      </c>
      <c r="H254" s="51">
        <f>IF($F254="","",IFERROR(IF(INDEX(tblProductos[Categoría],MATCH($F254,tblProductos[SKU],0))="","",INDEX(tblProductos[Categoría],MATCH($F254,tblProductos[SKU],0))),""))</f>
        <v/>
      </c>
      <c r="I254" s="34" t="n"/>
      <c r="J254" s="39">
        <f>IF(OR($B254="",$F254="",$I254=""),"",IF($T254="Anulado",0,$I254))</f>
        <v/>
      </c>
      <c r="K254" s="54">
        <f>IF($F254="","",IFERROR(IF(INDEX(tblProductos[Precio de venta actual],MATCH($F254,tblProductos[SKU],0))="","",INDEX(tblProductos[Precio de venta actual],MATCH($F254,tblProductos[SKU],0))),""))</f>
        <v/>
      </c>
      <c r="L254" s="36" t="n"/>
      <c r="M254" s="37">
        <f>IF($J254="","",IF(NOT(ISNUMBER($K254)),"PRECIO PENDIENTE",$J254*$K254))</f>
        <v/>
      </c>
      <c r="N254" s="37">
        <f>IF($J254="","",IF(NOT(ISNUMBER($M254)),"PRECIO PENDIENTE",$M254-IF(ISNUMBER($L254),$L254,0)))</f>
        <v/>
      </c>
      <c r="O254" s="54">
        <f>IF($F254="","",IFERROR(INDEX(tblInventario[Costo unitario aplicado],MATCH($F254,tblInventario[SKU],0)),""))</f>
        <v/>
      </c>
      <c r="P254" s="37">
        <f>IF($J254="","",IF(NOT(ISNUMBER($O254)),"COSTO PENDIENTE",$J254*$O254))</f>
        <v/>
      </c>
      <c r="Q254" s="37">
        <f>IF($J254="","",IF(OR(NOT(ISNUMBER($N254)),NOT(ISNUMBER($P254))),"PENDIENTE",$N254-$P254))</f>
        <v/>
      </c>
      <c r="R254" s="38">
        <f>IF($J254="","",IF(OR(NOT(ISNUMBER($Q254)),NOT(ISNUMBER($N254)),$N254&lt;=0),"PENDIENTE",$Q254/$N254))</f>
        <v/>
      </c>
      <c r="S254" s="33" t="n"/>
      <c r="T254" s="33" t="n"/>
      <c r="U254" s="41" t="n"/>
      <c r="V254" s="36" t="n"/>
      <c r="W254" s="37">
        <f>IF(NOT(ISNUMBER($N254)),"",$N254-IF(ISNUMBER($V254),$V254,0))</f>
        <v/>
      </c>
      <c r="X254" s="33" t="n"/>
      <c r="Y254" s="51">
        <f>IF(COUNTA($B254,$C254,$D254,$E254,$F254,$I254)=0,"",IF(IF($B254=""," · Falta fecha","")&amp;IF($D254=""," · Falta cliente","")&amp;IF($E254=""," · Falta canal","")&amp;IF($F254=""," · Falta SKU","")&amp;IF(AND($F254&lt;&gt;"",COUNTIF(tblProductos[SKU],$F254)=0)," · SKU no existe","")&amp;IF(OR($I254="",NOT(ISNUMBER($I254)),$I254&lt;=0)," · Cantidad inválida","")&amp;IF($M254="PRECIO PENDIENTE"," · Falta precio de venta","")&amp;IF($P254="COSTO PENDIENTE"," · Falta costo del producto","")&amp;IF(AND(ISNUMBER($Q254),$Q254&lt;0)," · UTILIDAD NEGATIVA","")&amp;IF(AND($F254&lt;&gt;"",ISNUMBER(INDEX(tblInventario[Stock actual],MATCH($F254,tblInventario[SKU],0))),INDEX(tblInventario[Stock actual],MATCH($F254,tblInventario[SKU],0))&lt;0)," · Stock negativo del SKU","")&amp;IF(AND($T254="Cobrado",$U254="")," · Cobro sin fecha","")&amp;IF(AND(ISNUMBER($V254),ISNUMBER($N254),$V254&gt;N($N254)+0.01)," · Cobrado &gt; venta neta","")&amp;IF(AND(ISNUMBER($V254),$V254&gt;0,$U254="")," · Monto cobrado sin fecha","")="","OK",MID(IF($B254=""," · Falta fecha","")&amp;IF($D254=""," · Falta cliente","")&amp;IF($E254=""," · Falta canal","")&amp;IF($F254=""," · Falta SKU","")&amp;IF(AND($F254&lt;&gt;"",COUNTIF(tblProductos[SKU],$F254)=0)," · SKU no existe","")&amp;IF(OR($I254="",NOT(ISNUMBER($I254)),$I254&lt;=0)," · Cantidad inválida","")&amp;IF($M254="PRECIO PENDIENTE"," · Falta precio de venta","")&amp;IF($P254="COSTO PENDIENTE"," · Falta costo del producto","")&amp;IF(AND(ISNUMBER($Q254),$Q254&lt;0)," · UTILIDAD NEGATIVA","")&amp;IF(AND($F254&lt;&gt;"",ISNUMBER(INDEX(tblInventario[Stock actual],MATCH($F254,tblInventario[SKU],0))),INDEX(tblInventario[Stock actual],MATCH($F254,tblInventario[SKU],0))&lt;0)," · Stock negativo del SKU","")&amp;IF(AND($T254="Cobrado",$U254="")," · Cobro sin fecha","")&amp;IF(AND(ISNUMBER($V254),ISNUMBER($N254),$V254&gt;N($N254)+0.01)," · Cobrado &gt; venta neta","")&amp;IF(AND(ISNUMBER($V254),$V254&gt;0,$U254="")," · Monto cobrado sin fecha",""),4,900)))</f>
        <v/>
      </c>
    </row>
    <row r="255">
      <c r="A255" s="51">
        <f>IF(COUNTA($B255,$C255,$D255,$E255,$F255,$I255)=0,"","V-"&amp;TEXT(ROW()-6,"0000"))</f>
        <v/>
      </c>
      <c r="B255" s="41" t="n"/>
      <c r="C255" s="33" t="n"/>
      <c r="D255" s="33" t="n"/>
      <c r="E255" s="33" t="n"/>
      <c r="F255" s="33" t="n"/>
      <c r="G255" s="51">
        <f>IF($F255="","",IFERROR(IF(INDEX(tblProductos[Nombre del producto],MATCH($F255,tblProductos[SKU],0))="","",INDEX(tblProductos[Nombre del producto],MATCH($F255,tblProductos[SKU],0))),""))</f>
        <v/>
      </c>
      <c r="H255" s="51">
        <f>IF($F255="","",IFERROR(IF(INDEX(tblProductos[Categoría],MATCH($F255,tblProductos[SKU],0))="","",INDEX(tblProductos[Categoría],MATCH($F255,tblProductos[SKU],0))),""))</f>
        <v/>
      </c>
      <c r="I255" s="34" t="n"/>
      <c r="J255" s="39">
        <f>IF(OR($B255="",$F255="",$I255=""),"",IF($T255="Anulado",0,$I255))</f>
        <v/>
      </c>
      <c r="K255" s="54">
        <f>IF($F255="","",IFERROR(IF(INDEX(tblProductos[Precio de venta actual],MATCH($F255,tblProductos[SKU],0))="","",INDEX(tblProductos[Precio de venta actual],MATCH($F255,tblProductos[SKU],0))),""))</f>
        <v/>
      </c>
      <c r="L255" s="36" t="n"/>
      <c r="M255" s="37">
        <f>IF($J255="","",IF(NOT(ISNUMBER($K255)),"PRECIO PENDIENTE",$J255*$K255))</f>
        <v/>
      </c>
      <c r="N255" s="37">
        <f>IF($J255="","",IF(NOT(ISNUMBER($M255)),"PRECIO PENDIENTE",$M255-IF(ISNUMBER($L255),$L255,0)))</f>
        <v/>
      </c>
      <c r="O255" s="54">
        <f>IF($F255="","",IFERROR(INDEX(tblInventario[Costo unitario aplicado],MATCH($F255,tblInventario[SKU],0)),""))</f>
        <v/>
      </c>
      <c r="P255" s="37">
        <f>IF($J255="","",IF(NOT(ISNUMBER($O255)),"COSTO PENDIENTE",$J255*$O255))</f>
        <v/>
      </c>
      <c r="Q255" s="37">
        <f>IF($J255="","",IF(OR(NOT(ISNUMBER($N255)),NOT(ISNUMBER($P255))),"PENDIENTE",$N255-$P255))</f>
        <v/>
      </c>
      <c r="R255" s="38">
        <f>IF($J255="","",IF(OR(NOT(ISNUMBER($Q255)),NOT(ISNUMBER($N255)),$N255&lt;=0),"PENDIENTE",$Q255/$N255))</f>
        <v/>
      </c>
      <c r="S255" s="33" t="n"/>
      <c r="T255" s="33" t="n"/>
      <c r="U255" s="41" t="n"/>
      <c r="V255" s="36" t="n"/>
      <c r="W255" s="37">
        <f>IF(NOT(ISNUMBER($N255)),"",$N255-IF(ISNUMBER($V255),$V255,0))</f>
        <v/>
      </c>
      <c r="X255" s="33" t="n"/>
      <c r="Y255" s="51">
        <f>IF(COUNTA($B255,$C255,$D255,$E255,$F255,$I255)=0,"",IF(IF($B255=""," · Falta fecha","")&amp;IF($D255=""," · Falta cliente","")&amp;IF($E255=""," · Falta canal","")&amp;IF($F255=""," · Falta SKU","")&amp;IF(AND($F255&lt;&gt;"",COUNTIF(tblProductos[SKU],$F255)=0)," · SKU no existe","")&amp;IF(OR($I255="",NOT(ISNUMBER($I255)),$I255&lt;=0)," · Cantidad inválida","")&amp;IF($M255="PRECIO PENDIENTE"," · Falta precio de venta","")&amp;IF($P255="COSTO PENDIENTE"," · Falta costo del producto","")&amp;IF(AND(ISNUMBER($Q255),$Q255&lt;0)," · UTILIDAD NEGATIVA","")&amp;IF(AND($F255&lt;&gt;"",ISNUMBER(INDEX(tblInventario[Stock actual],MATCH($F255,tblInventario[SKU],0))),INDEX(tblInventario[Stock actual],MATCH($F255,tblInventario[SKU],0))&lt;0)," · Stock negativo del SKU","")&amp;IF(AND($T255="Cobrado",$U255="")," · Cobro sin fecha","")&amp;IF(AND(ISNUMBER($V255),ISNUMBER($N255),$V255&gt;N($N255)+0.01)," · Cobrado &gt; venta neta","")&amp;IF(AND(ISNUMBER($V255),$V255&gt;0,$U255="")," · Monto cobrado sin fecha","")="","OK",MID(IF($B255=""," · Falta fecha","")&amp;IF($D255=""," · Falta cliente","")&amp;IF($E255=""," · Falta canal","")&amp;IF($F255=""," · Falta SKU","")&amp;IF(AND($F255&lt;&gt;"",COUNTIF(tblProductos[SKU],$F255)=0)," · SKU no existe","")&amp;IF(OR($I255="",NOT(ISNUMBER($I255)),$I255&lt;=0)," · Cantidad inválida","")&amp;IF($M255="PRECIO PENDIENTE"," · Falta precio de venta","")&amp;IF($P255="COSTO PENDIENTE"," · Falta costo del producto","")&amp;IF(AND(ISNUMBER($Q255),$Q255&lt;0)," · UTILIDAD NEGATIVA","")&amp;IF(AND($F255&lt;&gt;"",ISNUMBER(INDEX(tblInventario[Stock actual],MATCH($F255,tblInventario[SKU],0))),INDEX(tblInventario[Stock actual],MATCH($F255,tblInventario[SKU],0))&lt;0)," · Stock negativo del SKU","")&amp;IF(AND($T255="Cobrado",$U255="")," · Cobro sin fecha","")&amp;IF(AND(ISNUMBER($V255),ISNUMBER($N255),$V255&gt;N($N255)+0.01)," · Cobrado &gt; venta neta","")&amp;IF(AND(ISNUMBER($V255),$V255&gt;0,$U255="")," · Monto cobrado sin fecha",""),4,900)))</f>
        <v/>
      </c>
    </row>
    <row r="256">
      <c r="A256" s="51">
        <f>IF(COUNTA($B256,$C256,$D256,$E256,$F256,$I256)=0,"","V-"&amp;TEXT(ROW()-6,"0000"))</f>
        <v/>
      </c>
      <c r="B256" s="41" t="n"/>
      <c r="C256" s="33" t="n"/>
      <c r="D256" s="33" t="n"/>
      <c r="E256" s="33" t="n"/>
      <c r="F256" s="33" t="n"/>
      <c r="G256" s="51">
        <f>IF($F256="","",IFERROR(IF(INDEX(tblProductos[Nombre del producto],MATCH($F256,tblProductos[SKU],0))="","",INDEX(tblProductos[Nombre del producto],MATCH($F256,tblProductos[SKU],0))),""))</f>
        <v/>
      </c>
      <c r="H256" s="51">
        <f>IF($F256="","",IFERROR(IF(INDEX(tblProductos[Categoría],MATCH($F256,tblProductos[SKU],0))="","",INDEX(tblProductos[Categoría],MATCH($F256,tblProductos[SKU],0))),""))</f>
        <v/>
      </c>
      <c r="I256" s="34" t="n"/>
      <c r="J256" s="39">
        <f>IF(OR($B256="",$F256="",$I256=""),"",IF($T256="Anulado",0,$I256))</f>
        <v/>
      </c>
      <c r="K256" s="54">
        <f>IF($F256="","",IFERROR(IF(INDEX(tblProductos[Precio de venta actual],MATCH($F256,tblProductos[SKU],0))="","",INDEX(tblProductos[Precio de venta actual],MATCH($F256,tblProductos[SKU],0))),""))</f>
        <v/>
      </c>
      <c r="L256" s="36" t="n"/>
      <c r="M256" s="37">
        <f>IF($J256="","",IF(NOT(ISNUMBER($K256)),"PRECIO PENDIENTE",$J256*$K256))</f>
        <v/>
      </c>
      <c r="N256" s="37">
        <f>IF($J256="","",IF(NOT(ISNUMBER($M256)),"PRECIO PENDIENTE",$M256-IF(ISNUMBER($L256),$L256,0)))</f>
        <v/>
      </c>
      <c r="O256" s="54">
        <f>IF($F256="","",IFERROR(INDEX(tblInventario[Costo unitario aplicado],MATCH($F256,tblInventario[SKU],0)),""))</f>
        <v/>
      </c>
      <c r="P256" s="37">
        <f>IF($J256="","",IF(NOT(ISNUMBER($O256)),"COSTO PENDIENTE",$J256*$O256))</f>
        <v/>
      </c>
      <c r="Q256" s="37">
        <f>IF($J256="","",IF(OR(NOT(ISNUMBER($N256)),NOT(ISNUMBER($P256))),"PENDIENTE",$N256-$P256))</f>
        <v/>
      </c>
      <c r="R256" s="38">
        <f>IF($J256="","",IF(OR(NOT(ISNUMBER($Q256)),NOT(ISNUMBER($N256)),$N256&lt;=0),"PENDIENTE",$Q256/$N256))</f>
        <v/>
      </c>
      <c r="S256" s="33" t="n"/>
      <c r="T256" s="33" t="n"/>
      <c r="U256" s="41" t="n"/>
      <c r="V256" s="36" t="n"/>
      <c r="W256" s="37">
        <f>IF(NOT(ISNUMBER($N256)),"",$N256-IF(ISNUMBER($V256),$V256,0))</f>
        <v/>
      </c>
      <c r="X256" s="33" t="n"/>
      <c r="Y256" s="51">
        <f>IF(COUNTA($B256,$C256,$D256,$E256,$F256,$I256)=0,"",IF(IF($B256=""," · Falta fecha","")&amp;IF($D256=""," · Falta cliente","")&amp;IF($E256=""," · Falta canal","")&amp;IF($F256=""," · Falta SKU","")&amp;IF(AND($F256&lt;&gt;"",COUNTIF(tblProductos[SKU],$F256)=0)," · SKU no existe","")&amp;IF(OR($I256="",NOT(ISNUMBER($I256)),$I256&lt;=0)," · Cantidad inválida","")&amp;IF($M256="PRECIO PENDIENTE"," · Falta precio de venta","")&amp;IF($P256="COSTO PENDIENTE"," · Falta costo del producto","")&amp;IF(AND(ISNUMBER($Q256),$Q256&lt;0)," · UTILIDAD NEGATIVA","")&amp;IF(AND($F256&lt;&gt;"",ISNUMBER(INDEX(tblInventario[Stock actual],MATCH($F256,tblInventario[SKU],0))),INDEX(tblInventario[Stock actual],MATCH($F256,tblInventario[SKU],0))&lt;0)," · Stock negativo del SKU","")&amp;IF(AND($T256="Cobrado",$U256="")," · Cobro sin fecha","")&amp;IF(AND(ISNUMBER($V256),ISNUMBER($N256),$V256&gt;N($N256)+0.01)," · Cobrado &gt; venta neta","")&amp;IF(AND(ISNUMBER($V256),$V256&gt;0,$U256="")," · Monto cobrado sin fecha","")="","OK",MID(IF($B256=""," · Falta fecha","")&amp;IF($D256=""," · Falta cliente","")&amp;IF($E256=""," · Falta canal","")&amp;IF($F256=""," · Falta SKU","")&amp;IF(AND($F256&lt;&gt;"",COUNTIF(tblProductos[SKU],$F256)=0)," · SKU no existe","")&amp;IF(OR($I256="",NOT(ISNUMBER($I256)),$I256&lt;=0)," · Cantidad inválida","")&amp;IF($M256="PRECIO PENDIENTE"," · Falta precio de venta","")&amp;IF($P256="COSTO PENDIENTE"," · Falta costo del producto","")&amp;IF(AND(ISNUMBER($Q256),$Q256&lt;0)," · UTILIDAD NEGATIVA","")&amp;IF(AND($F256&lt;&gt;"",ISNUMBER(INDEX(tblInventario[Stock actual],MATCH($F256,tblInventario[SKU],0))),INDEX(tblInventario[Stock actual],MATCH($F256,tblInventario[SKU],0))&lt;0)," · Stock negativo del SKU","")&amp;IF(AND($T256="Cobrado",$U256="")," · Cobro sin fecha","")&amp;IF(AND(ISNUMBER($V256),ISNUMBER($N256),$V256&gt;N($N256)+0.01)," · Cobrado &gt; venta neta","")&amp;IF(AND(ISNUMBER($V256),$V256&gt;0,$U256="")," · Monto cobrado sin fecha",""),4,900)))</f>
        <v/>
      </c>
    </row>
    <row r="257">
      <c r="A257" s="51">
        <f>IF(COUNTA($B257,$C257,$D257,$E257,$F257,$I257)=0,"","V-"&amp;TEXT(ROW()-6,"0000"))</f>
        <v/>
      </c>
      <c r="B257" s="41" t="n"/>
      <c r="C257" s="33" t="n"/>
      <c r="D257" s="33" t="n"/>
      <c r="E257" s="33" t="n"/>
      <c r="F257" s="33" t="n"/>
      <c r="G257" s="51">
        <f>IF($F257="","",IFERROR(IF(INDEX(tblProductos[Nombre del producto],MATCH($F257,tblProductos[SKU],0))="","",INDEX(tblProductos[Nombre del producto],MATCH($F257,tblProductos[SKU],0))),""))</f>
        <v/>
      </c>
      <c r="H257" s="51">
        <f>IF($F257="","",IFERROR(IF(INDEX(tblProductos[Categoría],MATCH($F257,tblProductos[SKU],0))="","",INDEX(tblProductos[Categoría],MATCH($F257,tblProductos[SKU],0))),""))</f>
        <v/>
      </c>
      <c r="I257" s="34" t="n"/>
      <c r="J257" s="39">
        <f>IF(OR($B257="",$F257="",$I257=""),"",IF($T257="Anulado",0,$I257))</f>
        <v/>
      </c>
      <c r="K257" s="54">
        <f>IF($F257="","",IFERROR(IF(INDEX(tblProductos[Precio de venta actual],MATCH($F257,tblProductos[SKU],0))="","",INDEX(tblProductos[Precio de venta actual],MATCH($F257,tblProductos[SKU],0))),""))</f>
        <v/>
      </c>
      <c r="L257" s="36" t="n"/>
      <c r="M257" s="37">
        <f>IF($J257="","",IF(NOT(ISNUMBER($K257)),"PRECIO PENDIENTE",$J257*$K257))</f>
        <v/>
      </c>
      <c r="N257" s="37">
        <f>IF($J257="","",IF(NOT(ISNUMBER($M257)),"PRECIO PENDIENTE",$M257-IF(ISNUMBER($L257),$L257,0)))</f>
        <v/>
      </c>
      <c r="O257" s="54">
        <f>IF($F257="","",IFERROR(INDEX(tblInventario[Costo unitario aplicado],MATCH($F257,tblInventario[SKU],0)),""))</f>
        <v/>
      </c>
      <c r="P257" s="37">
        <f>IF($J257="","",IF(NOT(ISNUMBER($O257)),"COSTO PENDIENTE",$J257*$O257))</f>
        <v/>
      </c>
      <c r="Q257" s="37">
        <f>IF($J257="","",IF(OR(NOT(ISNUMBER($N257)),NOT(ISNUMBER($P257))),"PENDIENTE",$N257-$P257))</f>
        <v/>
      </c>
      <c r="R257" s="38">
        <f>IF($J257="","",IF(OR(NOT(ISNUMBER($Q257)),NOT(ISNUMBER($N257)),$N257&lt;=0),"PENDIENTE",$Q257/$N257))</f>
        <v/>
      </c>
      <c r="S257" s="33" t="n"/>
      <c r="T257" s="33" t="n"/>
      <c r="U257" s="41" t="n"/>
      <c r="V257" s="36" t="n"/>
      <c r="W257" s="37">
        <f>IF(NOT(ISNUMBER($N257)),"",$N257-IF(ISNUMBER($V257),$V257,0))</f>
        <v/>
      </c>
      <c r="X257" s="33" t="n"/>
      <c r="Y257" s="51">
        <f>IF(COUNTA($B257,$C257,$D257,$E257,$F257,$I257)=0,"",IF(IF($B257=""," · Falta fecha","")&amp;IF($D257=""," · Falta cliente","")&amp;IF($E257=""," · Falta canal","")&amp;IF($F257=""," · Falta SKU","")&amp;IF(AND($F257&lt;&gt;"",COUNTIF(tblProductos[SKU],$F257)=0)," · SKU no existe","")&amp;IF(OR($I257="",NOT(ISNUMBER($I257)),$I257&lt;=0)," · Cantidad inválida","")&amp;IF($M257="PRECIO PENDIENTE"," · Falta precio de venta","")&amp;IF($P257="COSTO PENDIENTE"," · Falta costo del producto","")&amp;IF(AND(ISNUMBER($Q257),$Q257&lt;0)," · UTILIDAD NEGATIVA","")&amp;IF(AND($F257&lt;&gt;"",ISNUMBER(INDEX(tblInventario[Stock actual],MATCH($F257,tblInventario[SKU],0))),INDEX(tblInventario[Stock actual],MATCH($F257,tblInventario[SKU],0))&lt;0)," · Stock negativo del SKU","")&amp;IF(AND($T257="Cobrado",$U257="")," · Cobro sin fecha","")&amp;IF(AND(ISNUMBER($V257),ISNUMBER($N257),$V257&gt;N($N257)+0.01)," · Cobrado &gt; venta neta","")&amp;IF(AND(ISNUMBER($V257),$V257&gt;0,$U257="")," · Monto cobrado sin fecha","")="","OK",MID(IF($B257=""," · Falta fecha","")&amp;IF($D257=""," · Falta cliente","")&amp;IF($E257=""," · Falta canal","")&amp;IF($F257=""," · Falta SKU","")&amp;IF(AND($F257&lt;&gt;"",COUNTIF(tblProductos[SKU],$F257)=0)," · SKU no existe","")&amp;IF(OR($I257="",NOT(ISNUMBER($I257)),$I257&lt;=0)," · Cantidad inválida","")&amp;IF($M257="PRECIO PENDIENTE"," · Falta precio de venta","")&amp;IF($P257="COSTO PENDIENTE"," · Falta costo del producto","")&amp;IF(AND(ISNUMBER($Q257),$Q257&lt;0)," · UTILIDAD NEGATIVA","")&amp;IF(AND($F257&lt;&gt;"",ISNUMBER(INDEX(tblInventario[Stock actual],MATCH($F257,tblInventario[SKU],0))),INDEX(tblInventario[Stock actual],MATCH($F257,tblInventario[SKU],0))&lt;0)," · Stock negativo del SKU","")&amp;IF(AND($T257="Cobrado",$U257="")," · Cobro sin fecha","")&amp;IF(AND(ISNUMBER($V257),ISNUMBER($N257),$V257&gt;N($N257)+0.01)," · Cobrado &gt; venta neta","")&amp;IF(AND(ISNUMBER($V257),$V257&gt;0,$U257="")," · Monto cobrado sin fecha",""),4,900)))</f>
        <v/>
      </c>
    </row>
    <row r="258">
      <c r="A258" s="51">
        <f>IF(COUNTA($B258,$C258,$D258,$E258,$F258,$I258)=0,"","V-"&amp;TEXT(ROW()-6,"0000"))</f>
        <v/>
      </c>
      <c r="B258" s="41" t="n"/>
      <c r="C258" s="33" t="n"/>
      <c r="D258" s="33" t="n"/>
      <c r="E258" s="33" t="n"/>
      <c r="F258" s="33" t="n"/>
      <c r="G258" s="51">
        <f>IF($F258="","",IFERROR(IF(INDEX(tblProductos[Nombre del producto],MATCH($F258,tblProductos[SKU],0))="","",INDEX(tblProductos[Nombre del producto],MATCH($F258,tblProductos[SKU],0))),""))</f>
        <v/>
      </c>
      <c r="H258" s="51">
        <f>IF($F258="","",IFERROR(IF(INDEX(tblProductos[Categoría],MATCH($F258,tblProductos[SKU],0))="","",INDEX(tblProductos[Categoría],MATCH($F258,tblProductos[SKU],0))),""))</f>
        <v/>
      </c>
      <c r="I258" s="34" t="n"/>
      <c r="J258" s="39">
        <f>IF(OR($B258="",$F258="",$I258=""),"",IF($T258="Anulado",0,$I258))</f>
        <v/>
      </c>
      <c r="K258" s="54">
        <f>IF($F258="","",IFERROR(IF(INDEX(tblProductos[Precio de venta actual],MATCH($F258,tblProductos[SKU],0))="","",INDEX(tblProductos[Precio de venta actual],MATCH($F258,tblProductos[SKU],0))),""))</f>
        <v/>
      </c>
      <c r="L258" s="36" t="n"/>
      <c r="M258" s="37">
        <f>IF($J258="","",IF(NOT(ISNUMBER($K258)),"PRECIO PENDIENTE",$J258*$K258))</f>
        <v/>
      </c>
      <c r="N258" s="37">
        <f>IF($J258="","",IF(NOT(ISNUMBER($M258)),"PRECIO PENDIENTE",$M258-IF(ISNUMBER($L258),$L258,0)))</f>
        <v/>
      </c>
      <c r="O258" s="54">
        <f>IF($F258="","",IFERROR(INDEX(tblInventario[Costo unitario aplicado],MATCH($F258,tblInventario[SKU],0)),""))</f>
        <v/>
      </c>
      <c r="P258" s="37">
        <f>IF($J258="","",IF(NOT(ISNUMBER($O258)),"COSTO PENDIENTE",$J258*$O258))</f>
        <v/>
      </c>
      <c r="Q258" s="37">
        <f>IF($J258="","",IF(OR(NOT(ISNUMBER($N258)),NOT(ISNUMBER($P258))),"PENDIENTE",$N258-$P258))</f>
        <v/>
      </c>
      <c r="R258" s="38">
        <f>IF($J258="","",IF(OR(NOT(ISNUMBER($Q258)),NOT(ISNUMBER($N258)),$N258&lt;=0),"PENDIENTE",$Q258/$N258))</f>
        <v/>
      </c>
      <c r="S258" s="33" t="n"/>
      <c r="T258" s="33" t="n"/>
      <c r="U258" s="41" t="n"/>
      <c r="V258" s="36" t="n"/>
      <c r="W258" s="37">
        <f>IF(NOT(ISNUMBER($N258)),"",$N258-IF(ISNUMBER($V258),$V258,0))</f>
        <v/>
      </c>
      <c r="X258" s="33" t="n"/>
      <c r="Y258" s="51">
        <f>IF(COUNTA($B258,$C258,$D258,$E258,$F258,$I258)=0,"",IF(IF($B258=""," · Falta fecha","")&amp;IF($D258=""," · Falta cliente","")&amp;IF($E258=""," · Falta canal","")&amp;IF($F258=""," · Falta SKU","")&amp;IF(AND($F258&lt;&gt;"",COUNTIF(tblProductos[SKU],$F258)=0)," · SKU no existe","")&amp;IF(OR($I258="",NOT(ISNUMBER($I258)),$I258&lt;=0)," · Cantidad inválida","")&amp;IF($M258="PRECIO PENDIENTE"," · Falta precio de venta","")&amp;IF($P258="COSTO PENDIENTE"," · Falta costo del producto","")&amp;IF(AND(ISNUMBER($Q258),$Q258&lt;0)," · UTILIDAD NEGATIVA","")&amp;IF(AND($F258&lt;&gt;"",ISNUMBER(INDEX(tblInventario[Stock actual],MATCH($F258,tblInventario[SKU],0))),INDEX(tblInventario[Stock actual],MATCH($F258,tblInventario[SKU],0))&lt;0)," · Stock negativo del SKU","")&amp;IF(AND($T258="Cobrado",$U258="")," · Cobro sin fecha","")&amp;IF(AND(ISNUMBER($V258),ISNUMBER($N258),$V258&gt;N($N258)+0.01)," · Cobrado &gt; venta neta","")&amp;IF(AND(ISNUMBER($V258),$V258&gt;0,$U258="")," · Monto cobrado sin fecha","")="","OK",MID(IF($B258=""," · Falta fecha","")&amp;IF($D258=""," · Falta cliente","")&amp;IF($E258=""," · Falta canal","")&amp;IF($F258=""," · Falta SKU","")&amp;IF(AND($F258&lt;&gt;"",COUNTIF(tblProductos[SKU],$F258)=0)," · SKU no existe","")&amp;IF(OR($I258="",NOT(ISNUMBER($I258)),$I258&lt;=0)," · Cantidad inválida","")&amp;IF($M258="PRECIO PENDIENTE"," · Falta precio de venta","")&amp;IF($P258="COSTO PENDIENTE"," · Falta costo del producto","")&amp;IF(AND(ISNUMBER($Q258),$Q258&lt;0)," · UTILIDAD NEGATIVA","")&amp;IF(AND($F258&lt;&gt;"",ISNUMBER(INDEX(tblInventario[Stock actual],MATCH($F258,tblInventario[SKU],0))),INDEX(tblInventario[Stock actual],MATCH($F258,tblInventario[SKU],0))&lt;0)," · Stock negativo del SKU","")&amp;IF(AND($T258="Cobrado",$U258="")," · Cobro sin fecha","")&amp;IF(AND(ISNUMBER($V258),ISNUMBER($N258),$V258&gt;N($N258)+0.01)," · Cobrado &gt; venta neta","")&amp;IF(AND(ISNUMBER($V258),$V258&gt;0,$U258="")," · Monto cobrado sin fecha",""),4,900)))</f>
        <v/>
      </c>
    </row>
    <row r="259">
      <c r="A259" s="51">
        <f>IF(COUNTA($B259,$C259,$D259,$E259,$F259,$I259)=0,"","V-"&amp;TEXT(ROW()-6,"0000"))</f>
        <v/>
      </c>
      <c r="B259" s="41" t="n"/>
      <c r="C259" s="33" t="n"/>
      <c r="D259" s="33" t="n"/>
      <c r="E259" s="33" t="n"/>
      <c r="F259" s="33" t="n"/>
      <c r="G259" s="51">
        <f>IF($F259="","",IFERROR(IF(INDEX(tblProductos[Nombre del producto],MATCH($F259,tblProductos[SKU],0))="","",INDEX(tblProductos[Nombre del producto],MATCH($F259,tblProductos[SKU],0))),""))</f>
        <v/>
      </c>
      <c r="H259" s="51">
        <f>IF($F259="","",IFERROR(IF(INDEX(tblProductos[Categoría],MATCH($F259,tblProductos[SKU],0))="","",INDEX(tblProductos[Categoría],MATCH($F259,tblProductos[SKU],0))),""))</f>
        <v/>
      </c>
      <c r="I259" s="34" t="n"/>
      <c r="J259" s="39">
        <f>IF(OR($B259="",$F259="",$I259=""),"",IF($T259="Anulado",0,$I259))</f>
        <v/>
      </c>
      <c r="K259" s="54">
        <f>IF($F259="","",IFERROR(IF(INDEX(tblProductos[Precio de venta actual],MATCH($F259,tblProductos[SKU],0))="","",INDEX(tblProductos[Precio de venta actual],MATCH($F259,tblProductos[SKU],0))),""))</f>
        <v/>
      </c>
      <c r="L259" s="36" t="n"/>
      <c r="M259" s="37">
        <f>IF($J259="","",IF(NOT(ISNUMBER($K259)),"PRECIO PENDIENTE",$J259*$K259))</f>
        <v/>
      </c>
      <c r="N259" s="37">
        <f>IF($J259="","",IF(NOT(ISNUMBER($M259)),"PRECIO PENDIENTE",$M259-IF(ISNUMBER($L259),$L259,0)))</f>
        <v/>
      </c>
      <c r="O259" s="54">
        <f>IF($F259="","",IFERROR(INDEX(tblInventario[Costo unitario aplicado],MATCH($F259,tblInventario[SKU],0)),""))</f>
        <v/>
      </c>
      <c r="P259" s="37">
        <f>IF($J259="","",IF(NOT(ISNUMBER($O259)),"COSTO PENDIENTE",$J259*$O259))</f>
        <v/>
      </c>
      <c r="Q259" s="37">
        <f>IF($J259="","",IF(OR(NOT(ISNUMBER($N259)),NOT(ISNUMBER($P259))),"PENDIENTE",$N259-$P259))</f>
        <v/>
      </c>
      <c r="R259" s="38">
        <f>IF($J259="","",IF(OR(NOT(ISNUMBER($Q259)),NOT(ISNUMBER($N259)),$N259&lt;=0),"PENDIENTE",$Q259/$N259))</f>
        <v/>
      </c>
      <c r="S259" s="33" t="n"/>
      <c r="T259" s="33" t="n"/>
      <c r="U259" s="41" t="n"/>
      <c r="V259" s="36" t="n"/>
      <c r="W259" s="37">
        <f>IF(NOT(ISNUMBER($N259)),"",$N259-IF(ISNUMBER($V259),$V259,0))</f>
        <v/>
      </c>
      <c r="X259" s="33" t="n"/>
      <c r="Y259" s="51">
        <f>IF(COUNTA($B259,$C259,$D259,$E259,$F259,$I259)=0,"",IF(IF($B259=""," · Falta fecha","")&amp;IF($D259=""," · Falta cliente","")&amp;IF($E259=""," · Falta canal","")&amp;IF($F259=""," · Falta SKU","")&amp;IF(AND($F259&lt;&gt;"",COUNTIF(tblProductos[SKU],$F259)=0)," · SKU no existe","")&amp;IF(OR($I259="",NOT(ISNUMBER($I259)),$I259&lt;=0)," · Cantidad inválida","")&amp;IF($M259="PRECIO PENDIENTE"," · Falta precio de venta","")&amp;IF($P259="COSTO PENDIENTE"," · Falta costo del producto","")&amp;IF(AND(ISNUMBER($Q259),$Q259&lt;0)," · UTILIDAD NEGATIVA","")&amp;IF(AND($F259&lt;&gt;"",ISNUMBER(INDEX(tblInventario[Stock actual],MATCH($F259,tblInventario[SKU],0))),INDEX(tblInventario[Stock actual],MATCH($F259,tblInventario[SKU],0))&lt;0)," · Stock negativo del SKU","")&amp;IF(AND($T259="Cobrado",$U259="")," · Cobro sin fecha","")&amp;IF(AND(ISNUMBER($V259),ISNUMBER($N259),$V259&gt;N($N259)+0.01)," · Cobrado &gt; venta neta","")&amp;IF(AND(ISNUMBER($V259),$V259&gt;0,$U259="")," · Monto cobrado sin fecha","")="","OK",MID(IF($B259=""," · Falta fecha","")&amp;IF($D259=""," · Falta cliente","")&amp;IF($E259=""," · Falta canal","")&amp;IF($F259=""," · Falta SKU","")&amp;IF(AND($F259&lt;&gt;"",COUNTIF(tblProductos[SKU],$F259)=0)," · SKU no existe","")&amp;IF(OR($I259="",NOT(ISNUMBER($I259)),$I259&lt;=0)," · Cantidad inválida","")&amp;IF($M259="PRECIO PENDIENTE"," · Falta precio de venta","")&amp;IF($P259="COSTO PENDIENTE"," · Falta costo del producto","")&amp;IF(AND(ISNUMBER($Q259),$Q259&lt;0)," · UTILIDAD NEGATIVA","")&amp;IF(AND($F259&lt;&gt;"",ISNUMBER(INDEX(tblInventario[Stock actual],MATCH($F259,tblInventario[SKU],0))),INDEX(tblInventario[Stock actual],MATCH($F259,tblInventario[SKU],0))&lt;0)," · Stock negativo del SKU","")&amp;IF(AND($T259="Cobrado",$U259="")," · Cobro sin fecha","")&amp;IF(AND(ISNUMBER($V259),ISNUMBER($N259),$V259&gt;N($N259)+0.01)," · Cobrado &gt; venta neta","")&amp;IF(AND(ISNUMBER($V259),$V259&gt;0,$U259="")," · Monto cobrado sin fecha",""),4,900)))</f>
        <v/>
      </c>
    </row>
    <row r="260">
      <c r="A260" s="51">
        <f>IF(COUNTA($B260,$C260,$D260,$E260,$F260,$I260)=0,"","V-"&amp;TEXT(ROW()-6,"0000"))</f>
        <v/>
      </c>
      <c r="B260" s="41" t="n"/>
      <c r="C260" s="33" t="n"/>
      <c r="D260" s="33" t="n"/>
      <c r="E260" s="33" t="n"/>
      <c r="F260" s="33" t="n"/>
      <c r="G260" s="51">
        <f>IF($F260="","",IFERROR(IF(INDEX(tblProductos[Nombre del producto],MATCH($F260,tblProductos[SKU],0))="","",INDEX(tblProductos[Nombre del producto],MATCH($F260,tblProductos[SKU],0))),""))</f>
        <v/>
      </c>
      <c r="H260" s="51">
        <f>IF($F260="","",IFERROR(IF(INDEX(tblProductos[Categoría],MATCH($F260,tblProductos[SKU],0))="","",INDEX(tblProductos[Categoría],MATCH($F260,tblProductos[SKU],0))),""))</f>
        <v/>
      </c>
      <c r="I260" s="34" t="n"/>
      <c r="J260" s="39">
        <f>IF(OR($B260="",$F260="",$I260=""),"",IF($T260="Anulado",0,$I260))</f>
        <v/>
      </c>
      <c r="K260" s="54">
        <f>IF($F260="","",IFERROR(IF(INDEX(tblProductos[Precio de venta actual],MATCH($F260,tblProductos[SKU],0))="","",INDEX(tblProductos[Precio de venta actual],MATCH($F260,tblProductos[SKU],0))),""))</f>
        <v/>
      </c>
      <c r="L260" s="36" t="n"/>
      <c r="M260" s="37">
        <f>IF($J260="","",IF(NOT(ISNUMBER($K260)),"PRECIO PENDIENTE",$J260*$K260))</f>
        <v/>
      </c>
      <c r="N260" s="37">
        <f>IF($J260="","",IF(NOT(ISNUMBER($M260)),"PRECIO PENDIENTE",$M260-IF(ISNUMBER($L260),$L260,0)))</f>
        <v/>
      </c>
      <c r="O260" s="54">
        <f>IF($F260="","",IFERROR(INDEX(tblInventario[Costo unitario aplicado],MATCH($F260,tblInventario[SKU],0)),""))</f>
        <v/>
      </c>
      <c r="P260" s="37">
        <f>IF($J260="","",IF(NOT(ISNUMBER($O260)),"COSTO PENDIENTE",$J260*$O260))</f>
        <v/>
      </c>
      <c r="Q260" s="37">
        <f>IF($J260="","",IF(OR(NOT(ISNUMBER($N260)),NOT(ISNUMBER($P260))),"PENDIENTE",$N260-$P260))</f>
        <v/>
      </c>
      <c r="R260" s="38">
        <f>IF($J260="","",IF(OR(NOT(ISNUMBER($Q260)),NOT(ISNUMBER($N260)),$N260&lt;=0),"PENDIENTE",$Q260/$N260))</f>
        <v/>
      </c>
      <c r="S260" s="33" t="n"/>
      <c r="T260" s="33" t="n"/>
      <c r="U260" s="41" t="n"/>
      <c r="V260" s="36" t="n"/>
      <c r="W260" s="37">
        <f>IF(NOT(ISNUMBER($N260)),"",$N260-IF(ISNUMBER($V260),$V260,0))</f>
        <v/>
      </c>
      <c r="X260" s="33" t="n"/>
      <c r="Y260" s="51">
        <f>IF(COUNTA($B260,$C260,$D260,$E260,$F260,$I260)=0,"",IF(IF($B260=""," · Falta fecha","")&amp;IF($D260=""," · Falta cliente","")&amp;IF($E260=""," · Falta canal","")&amp;IF($F260=""," · Falta SKU","")&amp;IF(AND($F260&lt;&gt;"",COUNTIF(tblProductos[SKU],$F260)=0)," · SKU no existe","")&amp;IF(OR($I260="",NOT(ISNUMBER($I260)),$I260&lt;=0)," · Cantidad inválida","")&amp;IF($M260="PRECIO PENDIENTE"," · Falta precio de venta","")&amp;IF($P260="COSTO PENDIENTE"," · Falta costo del producto","")&amp;IF(AND(ISNUMBER($Q260),$Q260&lt;0)," · UTILIDAD NEGATIVA","")&amp;IF(AND($F260&lt;&gt;"",ISNUMBER(INDEX(tblInventario[Stock actual],MATCH($F260,tblInventario[SKU],0))),INDEX(tblInventario[Stock actual],MATCH($F260,tblInventario[SKU],0))&lt;0)," · Stock negativo del SKU","")&amp;IF(AND($T260="Cobrado",$U260="")," · Cobro sin fecha","")&amp;IF(AND(ISNUMBER($V260),ISNUMBER($N260),$V260&gt;N($N260)+0.01)," · Cobrado &gt; venta neta","")&amp;IF(AND(ISNUMBER($V260),$V260&gt;0,$U260="")," · Monto cobrado sin fecha","")="","OK",MID(IF($B260=""," · Falta fecha","")&amp;IF($D260=""," · Falta cliente","")&amp;IF($E260=""," · Falta canal","")&amp;IF($F260=""," · Falta SKU","")&amp;IF(AND($F260&lt;&gt;"",COUNTIF(tblProductos[SKU],$F260)=0)," · SKU no existe","")&amp;IF(OR($I260="",NOT(ISNUMBER($I260)),$I260&lt;=0)," · Cantidad inválida","")&amp;IF($M260="PRECIO PENDIENTE"," · Falta precio de venta","")&amp;IF($P260="COSTO PENDIENTE"," · Falta costo del producto","")&amp;IF(AND(ISNUMBER($Q260),$Q260&lt;0)," · UTILIDAD NEGATIVA","")&amp;IF(AND($F260&lt;&gt;"",ISNUMBER(INDEX(tblInventario[Stock actual],MATCH($F260,tblInventario[SKU],0))),INDEX(tblInventario[Stock actual],MATCH($F260,tblInventario[SKU],0))&lt;0)," · Stock negativo del SKU","")&amp;IF(AND($T260="Cobrado",$U260="")," · Cobro sin fecha","")&amp;IF(AND(ISNUMBER($V260),ISNUMBER($N260),$V260&gt;N($N260)+0.01)," · Cobrado &gt; venta neta","")&amp;IF(AND(ISNUMBER($V260),$V260&gt;0,$U260="")," · Monto cobrado sin fecha",""),4,900)))</f>
        <v/>
      </c>
    </row>
    <row r="261">
      <c r="A261" s="51">
        <f>IF(COUNTA($B261,$C261,$D261,$E261,$F261,$I261)=0,"","V-"&amp;TEXT(ROW()-6,"0000"))</f>
        <v/>
      </c>
      <c r="B261" s="41" t="n"/>
      <c r="C261" s="33" t="n"/>
      <c r="D261" s="33" t="n"/>
      <c r="E261" s="33" t="n"/>
      <c r="F261" s="33" t="n"/>
      <c r="G261" s="51">
        <f>IF($F261="","",IFERROR(IF(INDEX(tblProductos[Nombre del producto],MATCH($F261,tblProductos[SKU],0))="","",INDEX(tblProductos[Nombre del producto],MATCH($F261,tblProductos[SKU],0))),""))</f>
        <v/>
      </c>
      <c r="H261" s="51">
        <f>IF($F261="","",IFERROR(IF(INDEX(tblProductos[Categoría],MATCH($F261,tblProductos[SKU],0))="","",INDEX(tblProductos[Categoría],MATCH($F261,tblProductos[SKU],0))),""))</f>
        <v/>
      </c>
      <c r="I261" s="34" t="n"/>
      <c r="J261" s="39">
        <f>IF(OR($B261="",$F261="",$I261=""),"",IF($T261="Anulado",0,$I261))</f>
        <v/>
      </c>
      <c r="K261" s="54">
        <f>IF($F261="","",IFERROR(IF(INDEX(tblProductos[Precio de venta actual],MATCH($F261,tblProductos[SKU],0))="","",INDEX(tblProductos[Precio de venta actual],MATCH($F261,tblProductos[SKU],0))),""))</f>
        <v/>
      </c>
      <c r="L261" s="36" t="n"/>
      <c r="M261" s="37">
        <f>IF($J261="","",IF(NOT(ISNUMBER($K261)),"PRECIO PENDIENTE",$J261*$K261))</f>
        <v/>
      </c>
      <c r="N261" s="37">
        <f>IF($J261="","",IF(NOT(ISNUMBER($M261)),"PRECIO PENDIENTE",$M261-IF(ISNUMBER($L261),$L261,0)))</f>
        <v/>
      </c>
      <c r="O261" s="54">
        <f>IF($F261="","",IFERROR(INDEX(tblInventario[Costo unitario aplicado],MATCH($F261,tblInventario[SKU],0)),""))</f>
        <v/>
      </c>
      <c r="P261" s="37">
        <f>IF($J261="","",IF(NOT(ISNUMBER($O261)),"COSTO PENDIENTE",$J261*$O261))</f>
        <v/>
      </c>
      <c r="Q261" s="37">
        <f>IF($J261="","",IF(OR(NOT(ISNUMBER($N261)),NOT(ISNUMBER($P261))),"PENDIENTE",$N261-$P261))</f>
        <v/>
      </c>
      <c r="R261" s="38">
        <f>IF($J261="","",IF(OR(NOT(ISNUMBER($Q261)),NOT(ISNUMBER($N261)),$N261&lt;=0),"PENDIENTE",$Q261/$N261))</f>
        <v/>
      </c>
      <c r="S261" s="33" t="n"/>
      <c r="T261" s="33" t="n"/>
      <c r="U261" s="41" t="n"/>
      <c r="V261" s="36" t="n"/>
      <c r="W261" s="37">
        <f>IF(NOT(ISNUMBER($N261)),"",$N261-IF(ISNUMBER($V261),$V261,0))</f>
        <v/>
      </c>
      <c r="X261" s="33" t="n"/>
      <c r="Y261" s="51">
        <f>IF(COUNTA($B261,$C261,$D261,$E261,$F261,$I261)=0,"",IF(IF($B261=""," · Falta fecha","")&amp;IF($D261=""," · Falta cliente","")&amp;IF($E261=""," · Falta canal","")&amp;IF($F261=""," · Falta SKU","")&amp;IF(AND($F261&lt;&gt;"",COUNTIF(tblProductos[SKU],$F261)=0)," · SKU no existe","")&amp;IF(OR($I261="",NOT(ISNUMBER($I261)),$I261&lt;=0)," · Cantidad inválida","")&amp;IF($M261="PRECIO PENDIENTE"," · Falta precio de venta","")&amp;IF($P261="COSTO PENDIENTE"," · Falta costo del producto","")&amp;IF(AND(ISNUMBER($Q261),$Q261&lt;0)," · UTILIDAD NEGATIVA","")&amp;IF(AND($F261&lt;&gt;"",ISNUMBER(INDEX(tblInventario[Stock actual],MATCH($F261,tblInventario[SKU],0))),INDEX(tblInventario[Stock actual],MATCH($F261,tblInventario[SKU],0))&lt;0)," · Stock negativo del SKU","")&amp;IF(AND($T261="Cobrado",$U261="")," · Cobro sin fecha","")&amp;IF(AND(ISNUMBER($V261),ISNUMBER($N261),$V261&gt;N($N261)+0.01)," · Cobrado &gt; venta neta","")&amp;IF(AND(ISNUMBER($V261),$V261&gt;0,$U261="")," · Monto cobrado sin fecha","")="","OK",MID(IF($B261=""," · Falta fecha","")&amp;IF($D261=""," · Falta cliente","")&amp;IF($E261=""," · Falta canal","")&amp;IF($F261=""," · Falta SKU","")&amp;IF(AND($F261&lt;&gt;"",COUNTIF(tblProductos[SKU],$F261)=0)," · SKU no existe","")&amp;IF(OR($I261="",NOT(ISNUMBER($I261)),$I261&lt;=0)," · Cantidad inválida","")&amp;IF($M261="PRECIO PENDIENTE"," · Falta precio de venta","")&amp;IF($P261="COSTO PENDIENTE"," · Falta costo del producto","")&amp;IF(AND(ISNUMBER($Q261),$Q261&lt;0)," · UTILIDAD NEGATIVA","")&amp;IF(AND($F261&lt;&gt;"",ISNUMBER(INDEX(tblInventario[Stock actual],MATCH($F261,tblInventario[SKU],0))),INDEX(tblInventario[Stock actual],MATCH($F261,tblInventario[SKU],0))&lt;0)," · Stock negativo del SKU","")&amp;IF(AND($T261="Cobrado",$U261="")," · Cobro sin fecha","")&amp;IF(AND(ISNUMBER($V261),ISNUMBER($N261),$V261&gt;N($N261)+0.01)," · Cobrado &gt; venta neta","")&amp;IF(AND(ISNUMBER($V261),$V261&gt;0,$U261="")," · Monto cobrado sin fecha",""),4,900)))</f>
        <v/>
      </c>
    </row>
    <row r="262">
      <c r="A262" s="51">
        <f>IF(COUNTA($B262,$C262,$D262,$E262,$F262,$I262)=0,"","V-"&amp;TEXT(ROW()-6,"0000"))</f>
        <v/>
      </c>
      <c r="B262" s="41" t="n"/>
      <c r="C262" s="33" t="n"/>
      <c r="D262" s="33" t="n"/>
      <c r="E262" s="33" t="n"/>
      <c r="F262" s="33" t="n"/>
      <c r="G262" s="51">
        <f>IF($F262="","",IFERROR(IF(INDEX(tblProductos[Nombre del producto],MATCH($F262,tblProductos[SKU],0))="","",INDEX(tblProductos[Nombre del producto],MATCH($F262,tblProductos[SKU],0))),""))</f>
        <v/>
      </c>
      <c r="H262" s="51">
        <f>IF($F262="","",IFERROR(IF(INDEX(tblProductos[Categoría],MATCH($F262,tblProductos[SKU],0))="","",INDEX(tblProductos[Categoría],MATCH($F262,tblProductos[SKU],0))),""))</f>
        <v/>
      </c>
      <c r="I262" s="34" t="n"/>
      <c r="J262" s="39">
        <f>IF(OR($B262="",$F262="",$I262=""),"",IF($T262="Anulado",0,$I262))</f>
        <v/>
      </c>
      <c r="K262" s="54">
        <f>IF($F262="","",IFERROR(IF(INDEX(tblProductos[Precio de venta actual],MATCH($F262,tblProductos[SKU],0))="","",INDEX(tblProductos[Precio de venta actual],MATCH($F262,tblProductos[SKU],0))),""))</f>
        <v/>
      </c>
      <c r="L262" s="36" t="n"/>
      <c r="M262" s="37">
        <f>IF($J262="","",IF(NOT(ISNUMBER($K262)),"PRECIO PENDIENTE",$J262*$K262))</f>
        <v/>
      </c>
      <c r="N262" s="37">
        <f>IF($J262="","",IF(NOT(ISNUMBER($M262)),"PRECIO PENDIENTE",$M262-IF(ISNUMBER($L262),$L262,0)))</f>
        <v/>
      </c>
      <c r="O262" s="54">
        <f>IF($F262="","",IFERROR(INDEX(tblInventario[Costo unitario aplicado],MATCH($F262,tblInventario[SKU],0)),""))</f>
        <v/>
      </c>
      <c r="P262" s="37">
        <f>IF($J262="","",IF(NOT(ISNUMBER($O262)),"COSTO PENDIENTE",$J262*$O262))</f>
        <v/>
      </c>
      <c r="Q262" s="37">
        <f>IF($J262="","",IF(OR(NOT(ISNUMBER($N262)),NOT(ISNUMBER($P262))),"PENDIENTE",$N262-$P262))</f>
        <v/>
      </c>
      <c r="R262" s="38">
        <f>IF($J262="","",IF(OR(NOT(ISNUMBER($Q262)),NOT(ISNUMBER($N262)),$N262&lt;=0),"PENDIENTE",$Q262/$N262))</f>
        <v/>
      </c>
      <c r="S262" s="33" t="n"/>
      <c r="T262" s="33" t="n"/>
      <c r="U262" s="41" t="n"/>
      <c r="V262" s="36" t="n"/>
      <c r="W262" s="37">
        <f>IF(NOT(ISNUMBER($N262)),"",$N262-IF(ISNUMBER($V262),$V262,0))</f>
        <v/>
      </c>
      <c r="X262" s="33" t="n"/>
      <c r="Y262" s="51">
        <f>IF(COUNTA($B262,$C262,$D262,$E262,$F262,$I262)=0,"",IF(IF($B262=""," · Falta fecha","")&amp;IF($D262=""," · Falta cliente","")&amp;IF($E262=""," · Falta canal","")&amp;IF($F262=""," · Falta SKU","")&amp;IF(AND($F262&lt;&gt;"",COUNTIF(tblProductos[SKU],$F262)=0)," · SKU no existe","")&amp;IF(OR($I262="",NOT(ISNUMBER($I262)),$I262&lt;=0)," · Cantidad inválida","")&amp;IF($M262="PRECIO PENDIENTE"," · Falta precio de venta","")&amp;IF($P262="COSTO PENDIENTE"," · Falta costo del producto","")&amp;IF(AND(ISNUMBER($Q262),$Q262&lt;0)," · UTILIDAD NEGATIVA","")&amp;IF(AND($F262&lt;&gt;"",ISNUMBER(INDEX(tblInventario[Stock actual],MATCH($F262,tblInventario[SKU],0))),INDEX(tblInventario[Stock actual],MATCH($F262,tblInventario[SKU],0))&lt;0)," · Stock negativo del SKU","")&amp;IF(AND($T262="Cobrado",$U262="")," · Cobro sin fecha","")&amp;IF(AND(ISNUMBER($V262),ISNUMBER($N262),$V262&gt;N($N262)+0.01)," · Cobrado &gt; venta neta","")&amp;IF(AND(ISNUMBER($V262),$V262&gt;0,$U262="")," · Monto cobrado sin fecha","")="","OK",MID(IF($B262=""," · Falta fecha","")&amp;IF($D262=""," · Falta cliente","")&amp;IF($E262=""," · Falta canal","")&amp;IF($F262=""," · Falta SKU","")&amp;IF(AND($F262&lt;&gt;"",COUNTIF(tblProductos[SKU],$F262)=0)," · SKU no existe","")&amp;IF(OR($I262="",NOT(ISNUMBER($I262)),$I262&lt;=0)," · Cantidad inválida","")&amp;IF($M262="PRECIO PENDIENTE"," · Falta precio de venta","")&amp;IF($P262="COSTO PENDIENTE"," · Falta costo del producto","")&amp;IF(AND(ISNUMBER($Q262),$Q262&lt;0)," · UTILIDAD NEGATIVA","")&amp;IF(AND($F262&lt;&gt;"",ISNUMBER(INDEX(tblInventario[Stock actual],MATCH($F262,tblInventario[SKU],0))),INDEX(tblInventario[Stock actual],MATCH($F262,tblInventario[SKU],0))&lt;0)," · Stock negativo del SKU","")&amp;IF(AND($T262="Cobrado",$U262="")," · Cobro sin fecha","")&amp;IF(AND(ISNUMBER($V262),ISNUMBER($N262),$V262&gt;N($N262)+0.01)," · Cobrado &gt; venta neta","")&amp;IF(AND(ISNUMBER($V262),$V262&gt;0,$U262="")," · Monto cobrado sin fecha",""),4,900)))</f>
        <v/>
      </c>
    </row>
    <row r="263">
      <c r="A263" s="51">
        <f>IF(COUNTA($B263,$C263,$D263,$E263,$F263,$I263)=0,"","V-"&amp;TEXT(ROW()-6,"0000"))</f>
        <v/>
      </c>
      <c r="B263" s="41" t="n"/>
      <c r="C263" s="33" t="n"/>
      <c r="D263" s="33" t="n"/>
      <c r="E263" s="33" t="n"/>
      <c r="F263" s="33" t="n"/>
      <c r="G263" s="51">
        <f>IF($F263="","",IFERROR(IF(INDEX(tblProductos[Nombre del producto],MATCH($F263,tblProductos[SKU],0))="","",INDEX(tblProductos[Nombre del producto],MATCH($F263,tblProductos[SKU],0))),""))</f>
        <v/>
      </c>
      <c r="H263" s="51">
        <f>IF($F263="","",IFERROR(IF(INDEX(tblProductos[Categoría],MATCH($F263,tblProductos[SKU],0))="","",INDEX(tblProductos[Categoría],MATCH($F263,tblProductos[SKU],0))),""))</f>
        <v/>
      </c>
      <c r="I263" s="34" t="n"/>
      <c r="J263" s="39">
        <f>IF(OR($B263="",$F263="",$I263=""),"",IF($T263="Anulado",0,$I263))</f>
        <v/>
      </c>
      <c r="K263" s="54">
        <f>IF($F263="","",IFERROR(IF(INDEX(tblProductos[Precio de venta actual],MATCH($F263,tblProductos[SKU],0))="","",INDEX(tblProductos[Precio de venta actual],MATCH($F263,tblProductos[SKU],0))),""))</f>
        <v/>
      </c>
      <c r="L263" s="36" t="n"/>
      <c r="M263" s="37">
        <f>IF($J263="","",IF(NOT(ISNUMBER($K263)),"PRECIO PENDIENTE",$J263*$K263))</f>
        <v/>
      </c>
      <c r="N263" s="37">
        <f>IF($J263="","",IF(NOT(ISNUMBER($M263)),"PRECIO PENDIENTE",$M263-IF(ISNUMBER($L263),$L263,0)))</f>
        <v/>
      </c>
      <c r="O263" s="54">
        <f>IF($F263="","",IFERROR(INDEX(tblInventario[Costo unitario aplicado],MATCH($F263,tblInventario[SKU],0)),""))</f>
        <v/>
      </c>
      <c r="P263" s="37">
        <f>IF($J263="","",IF(NOT(ISNUMBER($O263)),"COSTO PENDIENTE",$J263*$O263))</f>
        <v/>
      </c>
      <c r="Q263" s="37">
        <f>IF($J263="","",IF(OR(NOT(ISNUMBER($N263)),NOT(ISNUMBER($P263))),"PENDIENTE",$N263-$P263))</f>
        <v/>
      </c>
      <c r="R263" s="38">
        <f>IF($J263="","",IF(OR(NOT(ISNUMBER($Q263)),NOT(ISNUMBER($N263)),$N263&lt;=0),"PENDIENTE",$Q263/$N263))</f>
        <v/>
      </c>
      <c r="S263" s="33" t="n"/>
      <c r="T263" s="33" t="n"/>
      <c r="U263" s="41" t="n"/>
      <c r="V263" s="36" t="n"/>
      <c r="W263" s="37">
        <f>IF(NOT(ISNUMBER($N263)),"",$N263-IF(ISNUMBER($V263),$V263,0))</f>
        <v/>
      </c>
      <c r="X263" s="33" t="n"/>
      <c r="Y263" s="51">
        <f>IF(COUNTA($B263,$C263,$D263,$E263,$F263,$I263)=0,"",IF(IF($B263=""," · Falta fecha","")&amp;IF($D263=""," · Falta cliente","")&amp;IF($E263=""," · Falta canal","")&amp;IF($F263=""," · Falta SKU","")&amp;IF(AND($F263&lt;&gt;"",COUNTIF(tblProductos[SKU],$F263)=0)," · SKU no existe","")&amp;IF(OR($I263="",NOT(ISNUMBER($I263)),$I263&lt;=0)," · Cantidad inválida","")&amp;IF($M263="PRECIO PENDIENTE"," · Falta precio de venta","")&amp;IF($P263="COSTO PENDIENTE"," · Falta costo del producto","")&amp;IF(AND(ISNUMBER($Q263),$Q263&lt;0)," · UTILIDAD NEGATIVA","")&amp;IF(AND($F263&lt;&gt;"",ISNUMBER(INDEX(tblInventario[Stock actual],MATCH($F263,tblInventario[SKU],0))),INDEX(tblInventario[Stock actual],MATCH($F263,tblInventario[SKU],0))&lt;0)," · Stock negativo del SKU","")&amp;IF(AND($T263="Cobrado",$U263="")," · Cobro sin fecha","")&amp;IF(AND(ISNUMBER($V263),ISNUMBER($N263),$V263&gt;N($N263)+0.01)," · Cobrado &gt; venta neta","")&amp;IF(AND(ISNUMBER($V263),$V263&gt;0,$U263="")," · Monto cobrado sin fecha","")="","OK",MID(IF($B263=""," · Falta fecha","")&amp;IF($D263=""," · Falta cliente","")&amp;IF($E263=""," · Falta canal","")&amp;IF($F263=""," · Falta SKU","")&amp;IF(AND($F263&lt;&gt;"",COUNTIF(tblProductos[SKU],$F263)=0)," · SKU no existe","")&amp;IF(OR($I263="",NOT(ISNUMBER($I263)),$I263&lt;=0)," · Cantidad inválida","")&amp;IF($M263="PRECIO PENDIENTE"," · Falta precio de venta","")&amp;IF($P263="COSTO PENDIENTE"," · Falta costo del producto","")&amp;IF(AND(ISNUMBER($Q263),$Q263&lt;0)," · UTILIDAD NEGATIVA","")&amp;IF(AND($F263&lt;&gt;"",ISNUMBER(INDEX(tblInventario[Stock actual],MATCH($F263,tblInventario[SKU],0))),INDEX(tblInventario[Stock actual],MATCH($F263,tblInventario[SKU],0))&lt;0)," · Stock negativo del SKU","")&amp;IF(AND($T263="Cobrado",$U263="")," · Cobro sin fecha","")&amp;IF(AND(ISNUMBER($V263),ISNUMBER($N263),$V263&gt;N($N263)+0.01)," · Cobrado &gt; venta neta","")&amp;IF(AND(ISNUMBER($V263),$V263&gt;0,$U263="")," · Monto cobrado sin fecha",""),4,900)))</f>
        <v/>
      </c>
    </row>
    <row r="264">
      <c r="A264" s="51">
        <f>IF(COUNTA($B264,$C264,$D264,$E264,$F264,$I264)=0,"","V-"&amp;TEXT(ROW()-6,"0000"))</f>
        <v/>
      </c>
      <c r="B264" s="41" t="n"/>
      <c r="C264" s="33" t="n"/>
      <c r="D264" s="33" t="n"/>
      <c r="E264" s="33" t="n"/>
      <c r="F264" s="33" t="n"/>
      <c r="G264" s="51">
        <f>IF($F264="","",IFERROR(IF(INDEX(tblProductos[Nombre del producto],MATCH($F264,tblProductos[SKU],0))="","",INDEX(tblProductos[Nombre del producto],MATCH($F264,tblProductos[SKU],0))),""))</f>
        <v/>
      </c>
      <c r="H264" s="51">
        <f>IF($F264="","",IFERROR(IF(INDEX(tblProductos[Categoría],MATCH($F264,tblProductos[SKU],0))="","",INDEX(tblProductos[Categoría],MATCH($F264,tblProductos[SKU],0))),""))</f>
        <v/>
      </c>
      <c r="I264" s="34" t="n"/>
      <c r="J264" s="39">
        <f>IF(OR($B264="",$F264="",$I264=""),"",IF($T264="Anulado",0,$I264))</f>
        <v/>
      </c>
      <c r="K264" s="54">
        <f>IF($F264="","",IFERROR(IF(INDEX(tblProductos[Precio de venta actual],MATCH($F264,tblProductos[SKU],0))="","",INDEX(tblProductos[Precio de venta actual],MATCH($F264,tblProductos[SKU],0))),""))</f>
        <v/>
      </c>
      <c r="L264" s="36" t="n"/>
      <c r="M264" s="37">
        <f>IF($J264="","",IF(NOT(ISNUMBER($K264)),"PRECIO PENDIENTE",$J264*$K264))</f>
        <v/>
      </c>
      <c r="N264" s="37">
        <f>IF($J264="","",IF(NOT(ISNUMBER($M264)),"PRECIO PENDIENTE",$M264-IF(ISNUMBER($L264),$L264,0)))</f>
        <v/>
      </c>
      <c r="O264" s="54">
        <f>IF($F264="","",IFERROR(INDEX(tblInventario[Costo unitario aplicado],MATCH($F264,tblInventario[SKU],0)),""))</f>
        <v/>
      </c>
      <c r="P264" s="37">
        <f>IF($J264="","",IF(NOT(ISNUMBER($O264)),"COSTO PENDIENTE",$J264*$O264))</f>
        <v/>
      </c>
      <c r="Q264" s="37">
        <f>IF($J264="","",IF(OR(NOT(ISNUMBER($N264)),NOT(ISNUMBER($P264))),"PENDIENTE",$N264-$P264))</f>
        <v/>
      </c>
      <c r="R264" s="38">
        <f>IF($J264="","",IF(OR(NOT(ISNUMBER($Q264)),NOT(ISNUMBER($N264)),$N264&lt;=0),"PENDIENTE",$Q264/$N264))</f>
        <v/>
      </c>
      <c r="S264" s="33" t="n"/>
      <c r="T264" s="33" t="n"/>
      <c r="U264" s="41" t="n"/>
      <c r="V264" s="36" t="n"/>
      <c r="W264" s="37">
        <f>IF(NOT(ISNUMBER($N264)),"",$N264-IF(ISNUMBER($V264),$V264,0))</f>
        <v/>
      </c>
      <c r="X264" s="33" t="n"/>
      <c r="Y264" s="51">
        <f>IF(COUNTA($B264,$C264,$D264,$E264,$F264,$I264)=0,"",IF(IF($B264=""," · Falta fecha","")&amp;IF($D264=""," · Falta cliente","")&amp;IF($E264=""," · Falta canal","")&amp;IF($F264=""," · Falta SKU","")&amp;IF(AND($F264&lt;&gt;"",COUNTIF(tblProductos[SKU],$F264)=0)," · SKU no existe","")&amp;IF(OR($I264="",NOT(ISNUMBER($I264)),$I264&lt;=0)," · Cantidad inválida","")&amp;IF($M264="PRECIO PENDIENTE"," · Falta precio de venta","")&amp;IF($P264="COSTO PENDIENTE"," · Falta costo del producto","")&amp;IF(AND(ISNUMBER($Q264),$Q264&lt;0)," · UTILIDAD NEGATIVA","")&amp;IF(AND($F264&lt;&gt;"",ISNUMBER(INDEX(tblInventario[Stock actual],MATCH($F264,tblInventario[SKU],0))),INDEX(tblInventario[Stock actual],MATCH($F264,tblInventario[SKU],0))&lt;0)," · Stock negativo del SKU","")&amp;IF(AND($T264="Cobrado",$U264="")," · Cobro sin fecha","")&amp;IF(AND(ISNUMBER($V264),ISNUMBER($N264),$V264&gt;N($N264)+0.01)," · Cobrado &gt; venta neta","")&amp;IF(AND(ISNUMBER($V264),$V264&gt;0,$U264="")," · Monto cobrado sin fecha","")="","OK",MID(IF($B264=""," · Falta fecha","")&amp;IF($D264=""," · Falta cliente","")&amp;IF($E264=""," · Falta canal","")&amp;IF($F264=""," · Falta SKU","")&amp;IF(AND($F264&lt;&gt;"",COUNTIF(tblProductos[SKU],$F264)=0)," · SKU no existe","")&amp;IF(OR($I264="",NOT(ISNUMBER($I264)),$I264&lt;=0)," · Cantidad inválida","")&amp;IF($M264="PRECIO PENDIENTE"," · Falta precio de venta","")&amp;IF($P264="COSTO PENDIENTE"," · Falta costo del producto","")&amp;IF(AND(ISNUMBER($Q264),$Q264&lt;0)," · UTILIDAD NEGATIVA","")&amp;IF(AND($F264&lt;&gt;"",ISNUMBER(INDEX(tblInventario[Stock actual],MATCH($F264,tblInventario[SKU],0))),INDEX(tblInventario[Stock actual],MATCH($F264,tblInventario[SKU],0))&lt;0)," · Stock negativo del SKU","")&amp;IF(AND($T264="Cobrado",$U264="")," · Cobro sin fecha","")&amp;IF(AND(ISNUMBER($V264),ISNUMBER($N264),$V264&gt;N($N264)+0.01)," · Cobrado &gt; venta neta","")&amp;IF(AND(ISNUMBER($V264),$V264&gt;0,$U264="")," · Monto cobrado sin fecha",""),4,900)))</f>
        <v/>
      </c>
    </row>
    <row r="265">
      <c r="A265" s="51">
        <f>IF(COUNTA($B265,$C265,$D265,$E265,$F265,$I265)=0,"","V-"&amp;TEXT(ROW()-6,"0000"))</f>
        <v/>
      </c>
      <c r="B265" s="41" t="n"/>
      <c r="C265" s="33" t="n"/>
      <c r="D265" s="33" t="n"/>
      <c r="E265" s="33" t="n"/>
      <c r="F265" s="33" t="n"/>
      <c r="G265" s="51">
        <f>IF($F265="","",IFERROR(IF(INDEX(tblProductos[Nombre del producto],MATCH($F265,tblProductos[SKU],0))="","",INDEX(tblProductos[Nombre del producto],MATCH($F265,tblProductos[SKU],0))),""))</f>
        <v/>
      </c>
      <c r="H265" s="51">
        <f>IF($F265="","",IFERROR(IF(INDEX(tblProductos[Categoría],MATCH($F265,tblProductos[SKU],0))="","",INDEX(tblProductos[Categoría],MATCH($F265,tblProductos[SKU],0))),""))</f>
        <v/>
      </c>
      <c r="I265" s="34" t="n"/>
      <c r="J265" s="39">
        <f>IF(OR($B265="",$F265="",$I265=""),"",IF($T265="Anulado",0,$I265))</f>
        <v/>
      </c>
      <c r="K265" s="54">
        <f>IF($F265="","",IFERROR(IF(INDEX(tblProductos[Precio de venta actual],MATCH($F265,tblProductos[SKU],0))="","",INDEX(tblProductos[Precio de venta actual],MATCH($F265,tblProductos[SKU],0))),""))</f>
        <v/>
      </c>
      <c r="L265" s="36" t="n"/>
      <c r="M265" s="37">
        <f>IF($J265="","",IF(NOT(ISNUMBER($K265)),"PRECIO PENDIENTE",$J265*$K265))</f>
        <v/>
      </c>
      <c r="N265" s="37">
        <f>IF($J265="","",IF(NOT(ISNUMBER($M265)),"PRECIO PENDIENTE",$M265-IF(ISNUMBER($L265),$L265,0)))</f>
        <v/>
      </c>
      <c r="O265" s="54">
        <f>IF($F265="","",IFERROR(INDEX(tblInventario[Costo unitario aplicado],MATCH($F265,tblInventario[SKU],0)),""))</f>
        <v/>
      </c>
      <c r="P265" s="37">
        <f>IF($J265="","",IF(NOT(ISNUMBER($O265)),"COSTO PENDIENTE",$J265*$O265))</f>
        <v/>
      </c>
      <c r="Q265" s="37">
        <f>IF($J265="","",IF(OR(NOT(ISNUMBER($N265)),NOT(ISNUMBER($P265))),"PENDIENTE",$N265-$P265))</f>
        <v/>
      </c>
      <c r="R265" s="38">
        <f>IF($J265="","",IF(OR(NOT(ISNUMBER($Q265)),NOT(ISNUMBER($N265)),$N265&lt;=0),"PENDIENTE",$Q265/$N265))</f>
        <v/>
      </c>
      <c r="S265" s="33" t="n"/>
      <c r="T265" s="33" t="n"/>
      <c r="U265" s="41" t="n"/>
      <c r="V265" s="36" t="n"/>
      <c r="W265" s="37">
        <f>IF(NOT(ISNUMBER($N265)),"",$N265-IF(ISNUMBER($V265),$V265,0))</f>
        <v/>
      </c>
      <c r="X265" s="33" t="n"/>
      <c r="Y265" s="51">
        <f>IF(COUNTA($B265,$C265,$D265,$E265,$F265,$I265)=0,"",IF(IF($B265=""," · Falta fecha","")&amp;IF($D265=""," · Falta cliente","")&amp;IF($E265=""," · Falta canal","")&amp;IF($F265=""," · Falta SKU","")&amp;IF(AND($F265&lt;&gt;"",COUNTIF(tblProductos[SKU],$F265)=0)," · SKU no existe","")&amp;IF(OR($I265="",NOT(ISNUMBER($I265)),$I265&lt;=0)," · Cantidad inválida","")&amp;IF($M265="PRECIO PENDIENTE"," · Falta precio de venta","")&amp;IF($P265="COSTO PENDIENTE"," · Falta costo del producto","")&amp;IF(AND(ISNUMBER($Q265),$Q265&lt;0)," · UTILIDAD NEGATIVA","")&amp;IF(AND($F265&lt;&gt;"",ISNUMBER(INDEX(tblInventario[Stock actual],MATCH($F265,tblInventario[SKU],0))),INDEX(tblInventario[Stock actual],MATCH($F265,tblInventario[SKU],0))&lt;0)," · Stock negativo del SKU","")&amp;IF(AND($T265="Cobrado",$U265="")," · Cobro sin fecha","")&amp;IF(AND(ISNUMBER($V265),ISNUMBER($N265),$V265&gt;N($N265)+0.01)," · Cobrado &gt; venta neta","")&amp;IF(AND(ISNUMBER($V265),$V265&gt;0,$U265="")," · Monto cobrado sin fecha","")="","OK",MID(IF($B265=""," · Falta fecha","")&amp;IF($D265=""," · Falta cliente","")&amp;IF($E265=""," · Falta canal","")&amp;IF($F265=""," · Falta SKU","")&amp;IF(AND($F265&lt;&gt;"",COUNTIF(tblProductos[SKU],$F265)=0)," · SKU no existe","")&amp;IF(OR($I265="",NOT(ISNUMBER($I265)),$I265&lt;=0)," · Cantidad inválida","")&amp;IF($M265="PRECIO PENDIENTE"," · Falta precio de venta","")&amp;IF($P265="COSTO PENDIENTE"," · Falta costo del producto","")&amp;IF(AND(ISNUMBER($Q265),$Q265&lt;0)," · UTILIDAD NEGATIVA","")&amp;IF(AND($F265&lt;&gt;"",ISNUMBER(INDEX(tblInventario[Stock actual],MATCH($F265,tblInventario[SKU],0))),INDEX(tblInventario[Stock actual],MATCH($F265,tblInventario[SKU],0))&lt;0)," · Stock negativo del SKU","")&amp;IF(AND($T265="Cobrado",$U265="")," · Cobro sin fecha","")&amp;IF(AND(ISNUMBER($V265),ISNUMBER($N265),$V265&gt;N($N265)+0.01)," · Cobrado &gt; venta neta","")&amp;IF(AND(ISNUMBER($V265),$V265&gt;0,$U265="")," · Monto cobrado sin fecha",""),4,900)))</f>
        <v/>
      </c>
    </row>
    <row r="266">
      <c r="A266" s="51">
        <f>IF(COUNTA($B266,$C266,$D266,$E266,$F266,$I266)=0,"","V-"&amp;TEXT(ROW()-6,"0000"))</f>
        <v/>
      </c>
      <c r="B266" s="41" t="n"/>
      <c r="C266" s="33" t="n"/>
      <c r="D266" s="33" t="n"/>
      <c r="E266" s="33" t="n"/>
      <c r="F266" s="33" t="n"/>
      <c r="G266" s="51">
        <f>IF($F266="","",IFERROR(IF(INDEX(tblProductos[Nombre del producto],MATCH($F266,tblProductos[SKU],0))="","",INDEX(tblProductos[Nombre del producto],MATCH($F266,tblProductos[SKU],0))),""))</f>
        <v/>
      </c>
      <c r="H266" s="51">
        <f>IF($F266="","",IFERROR(IF(INDEX(tblProductos[Categoría],MATCH($F266,tblProductos[SKU],0))="","",INDEX(tblProductos[Categoría],MATCH($F266,tblProductos[SKU],0))),""))</f>
        <v/>
      </c>
      <c r="I266" s="34" t="n"/>
      <c r="J266" s="39">
        <f>IF(OR($B266="",$F266="",$I266=""),"",IF($T266="Anulado",0,$I266))</f>
        <v/>
      </c>
      <c r="K266" s="54">
        <f>IF($F266="","",IFERROR(IF(INDEX(tblProductos[Precio de venta actual],MATCH($F266,tblProductos[SKU],0))="","",INDEX(tblProductos[Precio de venta actual],MATCH($F266,tblProductos[SKU],0))),""))</f>
        <v/>
      </c>
      <c r="L266" s="36" t="n"/>
      <c r="M266" s="37">
        <f>IF($J266="","",IF(NOT(ISNUMBER($K266)),"PRECIO PENDIENTE",$J266*$K266))</f>
        <v/>
      </c>
      <c r="N266" s="37">
        <f>IF($J266="","",IF(NOT(ISNUMBER($M266)),"PRECIO PENDIENTE",$M266-IF(ISNUMBER($L266),$L266,0)))</f>
        <v/>
      </c>
      <c r="O266" s="54">
        <f>IF($F266="","",IFERROR(INDEX(tblInventario[Costo unitario aplicado],MATCH($F266,tblInventario[SKU],0)),""))</f>
        <v/>
      </c>
      <c r="P266" s="37">
        <f>IF($J266="","",IF(NOT(ISNUMBER($O266)),"COSTO PENDIENTE",$J266*$O266))</f>
        <v/>
      </c>
      <c r="Q266" s="37">
        <f>IF($J266="","",IF(OR(NOT(ISNUMBER($N266)),NOT(ISNUMBER($P266))),"PENDIENTE",$N266-$P266))</f>
        <v/>
      </c>
      <c r="R266" s="38">
        <f>IF($J266="","",IF(OR(NOT(ISNUMBER($Q266)),NOT(ISNUMBER($N266)),$N266&lt;=0),"PENDIENTE",$Q266/$N266))</f>
        <v/>
      </c>
      <c r="S266" s="33" t="n"/>
      <c r="T266" s="33" t="n"/>
      <c r="U266" s="41" t="n"/>
      <c r="V266" s="36" t="n"/>
      <c r="W266" s="37">
        <f>IF(NOT(ISNUMBER($N266)),"",$N266-IF(ISNUMBER($V266),$V266,0))</f>
        <v/>
      </c>
      <c r="X266" s="33" t="n"/>
      <c r="Y266" s="51">
        <f>IF(COUNTA($B266,$C266,$D266,$E266,$F266,$I266)=0,"",IF(IF($B266=""," · Falta fecha","")&amp;IF($D266=""," · Falta cliente","")&amp;IF($E266=""," · Falta canal","")&amp;IF($F266=""," · Falta SKU","")&amp;IF(AND($F266&lt;&gt;"",COUNTIF(tblProductos[SKU],$F266)=0)," · SKU no existe","")&amp;IF(OR($I266="",NOT(ISNUMBER($I266)),$I266&lt;=0)," · Cantidad inválida","")&amp;IF($M266="PRECIO PENDIENTE"," · Falta precio de venta","")&amp;IF($P266="COSTO PENDIENTE"," · Falta costo del producto","")&amp;IF(AND(ISNUMBER($Q266),$Q266&lt;0)," · UTILIDAD NEGATIVA","")&amp;IF(AND($F266&lt;&gt;"",ISNUMBER(INDEX(tblInventario[Stock actual],MATCH($F266,tblInventario[SKU],0))),INDEX(tblInventario[Stock actual],MATCH($F266,tblInventario[SKU],0))&lt;0)," · Stock negativo del SKU","")&amp;IF(AND($T266="Cobrado",$U266="")," · Cobro sin fecha","")&amp;IF(AND(ISNUMBER($V266),ISNUMBER($N266),$V266&gt;N($N266)+0.01)," · Cobrado &gt; venta neta","")&amp;IF(AND(ISNUMBER($V266),$V266&gt;0,$U266="")," · Monto cobrado sin fecha","")="","OK",MID(IF($B266=""," · Falta fecha","")&amp;IF($D266=""," · Falta cliente","")&amp;IF($E266=""," · Falta canal","")&amp;IF($F266=""," · Falta SKU","")&amp;IF(AND($F266&lt;&gt;"",COUNTIF(tblProductos[SKU],$F266)=0)," · SKU no existe","")&amp;IF(OR($I266="",NOT(ISNUMBER($I266)),$I266&lt;=0)," · Cantidad inválida","")&amp;IF($M266="PRECIO PENDIENTE"," · Falta precio de venta","")&amp;IF($P266="COSTO PENDIENTE"," · Falta costo del producto","")&amp;IF(AND(ISNUMBER($Q266),$Q266&lt;0)," · UTILIDAD NEGATIVA","")&amp;IF(AND($F266&lt;&gt;"",ISNUMBER(INDEX(tblInventario[Stock actual],MATCH($F266,tblInventario[SKU],0))),INDEX(tblInventario[Stock actual],MATCH($F266,tblInventario[SKU],0))&lt;0)," · Stock negativo del SKU","")&amp;IF(AND($T266="Cobrado",$U266="")," · Cobro sin fecha","")&amp;IF(AND(ISNUMBER($V266),ISNUMBER($N266),$V266&gt;N($N266)+0.01)," · Cobrado &gt; venta neta","")&amp;IF(AND(ISNUMBER($V266),$V266&gt;0,$U266="")," · Monto cobrado sin fecha",""),4,900)))</f>
        <v/>
      </c>
    </row>
    <row r="267">
      <c r="A267" s="51">
        <f>IF(COUNTA($B267,$C267,$D267,$E267,$F267,$I267)=0,"","V-"&amp;TEXT(ROW()-6,"0000"))</f>
        <v/>
      </c>
      <c r="B267" s="41" t="n"/>
      <c r="C267" s="33" t="n"/>
      <c r="D267" s="33" t="n"/>
      <c r="E267" s="33" t="n"/>
      <c r="F267" s="33" t="n"/>
      <c r="G267" s="51">
        <f>IF($F267="","",IFERROR(IF(INDEX(tblProductos[Nombre del producto],MATCH($F267,tblProductos[SKU],0))="","",INDEX(tblProductos[Nombre del producto],MATCH($F267,tblProductos[SKU],0))),""))</f>
        <v/>
      </c>
      <c r="H267" s="51">
        <f>IF($F267="","",IFERROR(IF(INDEX(tblProductos[Categoría],MATCH($F267,tblProductos[SKU],0))="","",INDEX(tblProductos[Categoría],MATCH($F267,tblProductos[SKU],0))),""))</f>
        <v/>
      </c>
      <c r="I267" s="34" t="n"/>
      <c r="J267" s="39">
        <f>IF(OR($B267="",$F267="",$I267=""),"",IF($T267="Anulado",0,$I267))</f>
        <v/>
      </c>
      <c r="K267" s="54">
        <f>IF($F267="","",IFERROR(IF(INDEX(tblProductos[Precio de venta actual],MATCH($F267,tblProductos[SKU],0))="","",INDEX(tblProductos[Precio de venta actual],MATCH($F267,tblProductos[SKU],0))),""))</f>
        <v/>
      </c>
      <c r="L267" s="36" t="n"/>
      <c r="M267" s="37">
        <f>IF($J267="","",IF(NOT(ISNUMBER($K267)),"PRECIO PENDIENTE",$J267*$K267))</f>
        <v/>
      </c>
      <c r="N267" s="37">
        <f>IF($J267="","",IF(NOT(ISNUMBER($M267)),"PRECIO PENDIENTE",$M267-IF(ISNUMBER($L267),$L267,0)))</f>
        <v/>
      </c>
      <c r="O267" s="54">
        <f>IF($F267="","",IFERROR(INDEX(tblInventario[Costo unitario aplicado],MATCH($F267,tblInventario[SKU],0)),""))</f>
        <v/>
      </c>
      <c r="P267" s="37">
        <f>IF($J267="","",IF(NOT(ISNUMBER($O267)),"COSTO PENDIENTE",$J267*$O267))</f>
        <v/>
      </c>
      <c r="Q267" s="37">
        <f>IF($J267="","",IF(OR(NOT(ISNUMBER($N267)),NOT(ISNUMBER($P267))),"PENDIENTE",$N267-$P267))</f>
        <v/>
      </c>
      <c r="R267" s="38">
        <f>IF($J267="","",IF(OR(NOT(ISNUMBER($Q267)),NOT(ISNUMBER($N267)),$N267&lt;=0),"PENDIENTE",$Q267/$N267))</f>
        <v/>
      </c>
      <c r="S267" s="33" t="n"/>
      <c r="T267" s="33" t="n"/>
      <c r="U267" s="41" t="n"/>
      <c r="V267" s="36" t="n"/>
      <c r="W267" s="37">
        <f>IF(NOT(ISNUMBER($N267)),"",$N267-IF(ISNUMBER($V267),$V267,0))</f>
        <v/>
      </c>
      <c r="X267" s="33" t="n"/>
      <c r="Y267" s="51">
        <f>IF(COUNTA($B267,$C267,$D267,$E267,$F267,$I267)=0,"",IF(IF($B267=""," · Falta fecha","")&amp;IF($D267=""," · Falta cliente","")&amp;IF($E267=""," · Falta canal","")&amp;IF($F267=""," · Falta SKU","")&amp;IF(AND($F267&lt;&gt;"",COUNTIF(tblProductos[SKU],$F267)=0)," · SKU no existe","")&amp;IF(OR($I267="",NOT(ISNUMBER($I267)),$I267&lt;=0)," · Cantidad inválida","")&amp;IF($M267="PRECIO PENDIENTE"," · Falta precio de venta","")&amp;IF($P267="COSTO PENDIENTE"," · Falta costo del producto","")&amp;IF(AND(ISNUMBER($Q267),$Q267&lt;0)," · UTILIDAD NEGATIVA","")&amp;IF(AND($F267&lt;&gt;"",ISNUMBER(INDEX(tblInventario[Stock actual],MATCH($F267,tblInventario[SKU],0))),INDEX(tblInventario[Stock actual],MATCH($F267,tblInventario[SKU],0))&lt;0)," · Stock negativo del SKU","")&amp;IF(AND($T267="Cobrado",$U267="")," · Cobro sin fecha","")&amp;IF(AND(ISNUMBER($V267),ISNUMBER($N267),$V267&gt;N($N267)+0.01)," · Cobrado &gt; venta neta","")&amp;IF(AND(ISNUMBER($V267),$V267&gt;0,$U267="")," · Monto cobrado sin fecha","")="","OK",MID(IF($B267=""," · Falta fecha","")&amp;IF($D267=""," · Falta cliente","")&amp;IF($E267=""," · Falta canal","")&amp;IF($F267=""," · Falta SKU","")&amp;IF(AND($F267&lt;&gt;"",COUNTIF(tblProductos[SKU],$F267)=0)," · SKU no existe","")&amp;IF(OR($I267="",NOT(ISNUMBER($I267)),$I267&lt;=0)," · Cantidad inválida","")&amp;IF($M267="PRECIO PENDIENTE"," · Falta precio de venta","")&amp;IF($P267="COSTO PENDIENTE"," · Falta costo del producto","")&amp;IF(AND(ISNUMBER($Q267),$Q267&lt;0)," · UTILIDAD NEGATIVA","")&amp;IF(AND($F267&lt;&gt;"",ISNUMBER(INDEX(tblInventario[Stock actual],MATCH($F267,tblInventario[SKU],0))),INDEX(tblInventario[Stock actual],MATCH($F267,tblInventario[SKU],0))&lt;0)," · Stock negativo del SKU","")&amp;IF(AND($T267="Cobrado",$U267="")," · Cobro sin fecha","")&amp;IF(AND(ISNUMBER($V267),ISNUMBER($N267),$V267&gt;N($N267)+0.01)," · Cobrado &gt; venta neta","")&amp;IF(AND(ISNUMBER($V267),$V267&gt;0,$U267="")," · Monto cobrado sin fecha",""),4,900)))</f>
        <v/>
      </c>
    </row>
    <row r="268">
      <c r="A268" s="51">
        <f>IF(COUNTA($B268,$C268,$D268,$E268,$F268,$I268)=0,"","V-"&amp;TEXT(ROW()-6,"0000"))</f>
        <v/>
      </c>
      <c r="B268" s="41" t="n"/>
      <c r="C268" s="33" t="n"/>
      <c r="D268" s="33" t="n"/>
      <c r="E268" s="33" t="n"/>
      <c r="F268" s="33" t="n"/>
      <c r="G268" s="51">
        <f>IF($F268="","",IFERROR(IF(INDEX(tblProductos[Nombre del producto],MATCH($F268,tblProductos[SKU],0))="","",INDEX(tblProductos[Nombre del producto],MATCH($F268,tblProductos[SKU],0))),""))</f>
        <v/>
      </c>
      <c r="H268" s="51">
        <f>IF($F268="","",IFERROR(IF(INDEX(tblProductos[Categoría],MATCH($F268,tblProductos[SKU],0))="","",INDEX(tblProductos[Categoría],MATCH($F268,tblProductos[SKU],0))),""))</f>
        <v/>
      </c>
      <c r="I268" s="34" t="n"/>
      <c r="J268" s="39">
        <f>IF(OR($B268="",$F268="",$I268=""),"",IF($T268="Anulado",0,$I268))</f>
        <v/>
      </c>
      <c r="K268" s="54">
        <f>IF($F268="","",IFERROR(IF(INDEX(tblProductos[Precio de venta actual],MATCH($F268,tblProductos[SKU],0))="","",INDEX(tblProductos[Precio de venta actual],MATCH($F268,tblProductos[SKU],0))),""))</f>
        <v/>
      </c>
      <c r="L268" s="36" t="n"/>
      <c r="M268" s="37">
        <f>IF($J268="","",IF(NOT(ISNUMBER($K268)),"PRECIO PENDIENTE",$J268*$K268))</f>
        <v/>
      </c>
      <c r="N268" s="37">
        <f>IF($J268="","",IF(NOT(ISNUMBER($M268)),"PRECIO PENDIENTE",$M268-IF(ISNUMBER($L268),$L268,0)))</f>
        <v/>
      </c>
      <c r="O268" s="54">
        <f>IF($F268="","",IFERROR(INDEX(tblInventario[Costo unitario aplicado],MATCH($F268,tblInventario[SKU],0)),""))</f>
        <v/>
      </c>
      <c r="P268" s="37">
        <f>IF($J268="","",IF(NOT(ISNUMBER($O268)),"COSTO PENDIENTE",$J268*$O268))</f>
        <v/>
      </c>
      <c r="Q268" s="37">
        <f>IF($J268="","",IF(OR(NOT(ISNUMBER($N268)),NOT(ISNUMBER($P268))),"PENDIENTE",$N268-$P268))</f>
        <v/>
      </c>
      <c r="R268" s="38">
        <f>IF($J268="","",IF(OR(NOT(ISNUMBER($Q268)),NOT(ISNUMBER($N268)),$N268&lt;=0),"PENDIENTE",$Q268/$N268))</f>
        <v/>
      </c>
      <c r="S268" s="33" t="n"/>
      <c r="T268" s="33" t="n"/>
      <c r="U268" s="41" t="n"/>
      <c r="V268" s="36" t="n"/>
      <c r="W268" s="37">
        <f>IF(NOT(ISNUMBER($N268)),"",$N268-IF(ISNUMBER($V268),$V268,0))</f>
        <v/>
      </c>
      <c r="X268" s="33" t="n"/>
      <c r="Y268" s="51">
        <f>IF(COUNTA($B268,$C268,$D268,$E268,$F268,$I268)=0,"",IF(IF($B268=""," · Falta fecha","")&amp;IF($D268=""," · Falta cliente","")&amp;IF($E268=""," · Falta canal","")&amp;IF($F268=""," · Falta SKU","")&amp;IF(AND($F268&lt;&gt;"",COUNTIF(tblProductos[SKU],$F268)=0)," · SKU no existe","")&amp;IF(OR($I268="",NOT(ISNUMBER($I268)),$I268&lt;=0)," · Cantidad inválida","")&amp;IF($M268="PRECIO PENDIENTE"," · Falta precio de venta","")&amp;IF($P268="COSTO PENDIENTE"," · Falta costo del producto","")&amp;IF(AND(ISNUMBER($Q268),$Q268&lt;0)," · UTILIDAD NEGATIVA","")&amp;IF(AND($F268&lt;&gt;"",ISNUMBER(INDEX(tblInventario[Stock actual],MATCH($F268,tblInventario[SKU],0))),INDEX(tblInventario[Stock actual],MATCH($F268,tblInventario[SKU],0))&lt;0)," · Stock negativo del SKU","")&amp;IF(AND($T268="Cobrado",$U268="")," · Cobro sin fecha","")&amp;IF(AND(ISNUMBER($V268),ISNUMBER($N268),$V268&gt;N($N268)+0.01)," · Cobrado &gt; venta neta","")&amp;IF(AND(ISNUMBER($V268),$V268&gt;0,$U268="")," · Monto cobrado sin fecha","")="","OK",MID(IF($B268=""," · Falta fecha","")&amp;IF($D268=""," · Falta cliente","")&amp;IF($E268=""," · Falta canal","")&amp;IF($F268=""," · Falta SKU","")&amp;IF(AND($F268&lt;&gt;"",COUNTIF(tblProductos[SKU],$F268)=0)," · SKU no existe","")&amp;IF(OR($I268="",NOT(ISNUMBER($I268)),$I268&lt;=0)," · Cantidad inválida","")&amp;IF($M268="PRECIO PENDIENTE"," · Falta precio de venta","")&amp;IF($P268="COSTO PENDIENTE"," · Falta costo del producto","")&amp;IF(AND(ISNUMBER($Q268),$Q268&lt;0)," · UTILIDAD NEGATIVA","")&amp;IF(AND($F268&lt;&gt;"",ISNUMBER(INDEX(tblInventario[Stock actual],MATCH($F268,tblInventario[SKU],0))),INDEX(tblInventario[Stock actual],MATCH($F268,tblInventario[SKU],0))&lt;0)," · Stock negativo del SKU","")&amp;IF(AND($T268="Cobrado",$U268="")," · Cobro sin fecha","")&amp;IF(AND(ISNUMBER($V268),ISNUMBER($N268),$V268&gt;N($N268)+0.01)," · Cobrado &gt; venta neta","")&amp;IF(AND(ISNUMBER($V268),$V268&gt;0,$U268="")," · Monto cobrado sin fecha",""),4,900)))</f>
        <v/>
      </c>
    </row>
    <row r="269">
      <c r="A269" s="51">
        <f>IF(COUNTA($B269,$C269,$D269,$E269,$F269,$I269)=0,"","V-"&amp;TEXT(ROW()-6,"0000"))</f>
        <v/>
      </c>
      <c r="B269" s="41" t="n"/>
      <c r="C269" s="33" t="n"/>
      <c r="D269" s="33" t="n"/>
      <c r="E269" s="33" t="n"/>
      <c r="F269" s="33" t="n"/>
      <c r="G269" s="51">
        <f>IF($F269="","",IFERROR(IF(INDEX(tblProductos[Nombre del producto],MATCH($F269,tblProductos[SKU],0))="","",INDEX(tblProductos[Nombre del producto],MATCH($F269,tblProductos[SKU],0))),""))</f>
        <v/>
      </c>
      <c r="H269" s="51">
        <f>IF($F269="","",IFERROR(IF(INDEX(tblProductos[Categoría],MATCH($F269,tblProductos[SKU],0))="","",INDEX(tblProductos[Categoría],MATCH($F269,tblProductos[SKU],0))),""))</f>
        <v/>
      </c>
      <c r="I269" s="34" t="n"/>
      <c r="J269" s="39">
        <f>IF(OR($B269="",$F269="",$I269=""),"",IF($T269="Anulado",0,$I269))</f>
        <v/>
      </c>
      <c r="K269" s="54">
        <f>IF($F269="","",IFERROR(IF(INDEX(tblProductos[Precio de venta actual],MATCH($F269,tblProductos[SKU],0))="","",INDEX(tblProductos[Precio de venta actual],MATCH($F269,tblProductos[SKU],0))),""))</f>
        <v/>
      </c>
      <c r="L269" s="36" t="n"/>
      <c r="M269" s="37">
        <f>IF($J269="","",IF(NOT(ISNUMBER($K269)),"PRECIO PENDIENTE",$J269*$K269))</f>
        <v/>
      </c>
      <c r="N269" s="37">
        <f>IF($J269="","",IF(NOT(ISNUMBER($M269)),"PRECIO PENDIENTE",$M269-IF(ISNUMBER($L269),$L269,0)))</f>
        <v/>
      </c>
      <c r="O269" s="54">
        <f>IF($F269="","",IFERROR(INDEX(tblInventario[Costo unitario aplicado],MATCH($F269,tblInventario[SKU],0)),""))</f>
        <v/>
      </c>
      <c r="P269" s="37">
        <f>IF($J269="","",IF(NOT(ISNUMBER($O269)),"COSTO PENDIENTE",$J269*$O269))</f>
        <v/>
      </c>
      <c r="Q269" s="37">
        <f>IF($J269="","",IF(OR(NOT(ISNUMBER($N269)),NOT(ISNUMBER($P269))),"PENDIENTE",$N269-$P269))</f>
        <v/>
      </c>
      <c r="R269" s="38">
        <f>IF($J269="","",IF(OR(NOT(ISNUMBER($Q269)),NOT(ISNUMBER($N269)),$N269&lt;=0),"PENDIENTE",$Q269/$N269))</f>
        <v/>
      </c>
      <c r="S269" s="33" t="n"/>
      <c r="T269" s="33" t="n"/>
      <c r="U269" s="41" t="n"/>
      <c r="V269" s="36" t="n"/>
      <c r="W269" s="37">
        <f>IF(NOT(ISNUMBER($N269)),"",$N269-IF(ISNUMBER($V269),$V269,0))</f>
        <v/>
      </c>
      <c r="X269" s="33" t="n"/>
      <c r="Y269" s="51">
        <f>IF(COUNTA($B269,$C269,$D269,$E269,$F269,$I269)=0,"",IF(IF($B269=""," · Falta fecha","")&amp;IF($D269=""," · Falta cliente","")&amp;IF($E269=""," · Falta canal","")&amp;IF($F269=""," · Falta SKU","")&amp;IF(AND($F269&lt;&gt;"",COUNTIF(tblProductos[SKU],$F269)=0)," · SKU no existe","")&amp;IF(OR($I269="",NOT(ISNUMBER($I269)),$I269&lt;=0)," · Cantidad inválida","")&amp;IF($M269="PRECIO PENDIENTE"," · Falta precio de venta","")&amp;IF($P269="COSTO PENDIENTE"," · Falta costo del producto","")&amp;IF(AND(ISNUMBER($Q269),$Q269&lt;0)," · UTILIDAD NEGATIVA","")&amp;IF(AND($F269&lt;&gt;"",ISNUMBER(INDEX(tblInventario[Stock actual],MATCH($F269,tblInventario[SKU],0))),INDEX(tblInventario[Stock actual],MATCH($F269,tblInventario[SKU],0))&lt;0)," · Stock negativo del SKU","")&amp;IF(AND($T269="Cobrado",$U269="")," · Cobro sin fecha","")&amp;IF(AND(ISNUMBER($V269),ISNUMBER($N269),$V269&gt;N($N269)+0.01)," · Cobrado &gt; venta neta","")&amp;IF(AND(ISNUMBER($V269),$V269&gt;0,$U269="")," · Monto cobrado sin fecha","")="","OK",MID(IF($B269=""," · Falta fecha","")&amp;IF($D269=""," · Falta cliente","")&amp;IF($E269=""," · Falta canal","")&amp;IF($F269=""," · Falta SKU","")&amp;IF(AND($F269&lt;&gt;"",COUNTIF(tblProductos[SKU],$F269)=0)," · SKU no existe","")&amp;IF(OR($I269="",NOT(ISNUMBER($I269)),$I269&lt;=0)," · Cantidad inválida","")&amp;IF($M269="PRECIO PENDIENTE"," · Falta precio de venta","")&amp;IF($P269="COSTO PENDIENTE"," · Falta costo del producto","")&amp;IF(AND(ISNUMBER($Q269),$Q269&lt;0)," · UTILIDAD NEGATIVA","")&amp;IF(AND($F269&lt;&gt;"",ISNUMBER(INDEX(tblInventario[Stock actual],MATCH($F269,tblInventario[SKU],0))),INDEX(tblInventario[Stock actual],MATCH($F269,tblInventario[SKU],0))&lt;0)," · Stock negativo del SKU","")&amp;IF(AND($T269="Cobrado",$U269="")," · Cobro sin fecha","")&amp;IF(AND(ISNUMBER($V269),ISNUMBER($N269),$V269&gt;N($N269)+0.01)," · Cobrado &gt; venta neta","")&amp;IF(AND(ISNUMBER($V269),$V269&gt;0,$U269="")," · Monto cobrado sin fecha",""),4,900)))</f>
        <v/>
      </c>
    </row>
    <row r="270">
      <c r="A270" s="51">
        <f>IF(COUNTA($B270,$C270,$D270,$E270,$F270,$I270)=0,"","V-"&amp;TEXT(ROW()-6,"0000"))</f>
        <v/>
      </c>
      <c r="B270" s="41" t="n"/>
      <c r="C270" s="33" t="n"/>
      <c r="D270" s="33" t="n"/>
      <c r="E270" s="33" t="n"/>
      <c r="F270" s="33" t="n"/>
      <c r="G270" s="51">
        <f>IF($F270="","",IFERROR(IF(INDEX(tblProductos[Nombre del producto],MATCH($F270,tblProductos[SKU],0))="","",INDEX(tblProductos[Nombre del producto],MATCH($F270,tblProductos[SKU],0))),""))</f>
        <v/>
      </c>
      <c r="H270" s="51">
        <f>IF($F270="","",IFERROR(IF(INDEX(tblProductos[Categoría],MATCH($F270,tblProductos[SKU],0))="","",INDEX(tblProductos[Categoría],MATCH($F270,tblProductos[SKU],0))),""))</f>
        <v/>
      </c>
      <c r="I270" s="34" t="n"/>
      <c r="J270" s="39">
        <f>IF(OR($B270="",$F270="",$I270=""),"",IF($T270="Anulado",0,$I270))</f>
        <v/>
      </c>
      <c r="K270" s="54">
        <f>IF($F270="","",IFERROR(IF(INDEX(tblProductos[Precio de venta actual],MATCH($F270,tblProductos[SKU],0))="","",INDEX(tblProductos[Precio de venta actual],MATCH($F270,tblProductos[SKU],0))),""))</f>
        <v/>
      </c>
      <c r="L270" s="36" t="n"/>
      <c r="M270" s="37">
        <f>IF($J270="","",IF(NOT(ISNUMBER($K270)),"PRECIO PENDIENTE",$J270*$K270))</f>
        <v/>
      </c>
      <c r="N270" s="37">
        <f>IF($J270="","",IF(NOT(ISNUMBER($M270)),"PRECIO PENDIENTE",$M270-IF(ISNUMBER($L270),$L270,0)))</f>
        <v/>
      </c>
      <c r="O270" s="54">
        <f>IF($F270="","",IFERROR(INDEX(tblInventario[Costo unitario aplicado],MATCH($F270,tblInventario[SKU],0)),""))</f>
        <v/>
      </c>
      <c r="P270" s="37">
        <f>IF($J270="","",IF(NOT(ISNUMBER($O270)),"COSTO PENDIENTE",$J270*$O270))</f>
        <v/>
      </c>
      <c r="Q270" s="37">
        <f>IF($J270="","",IF(OR(NOT(ISNUMBER($N270)),NOT(ISNUMBER($P270))),"PENDIENTE",$N270-$P270))</f>
        <v/>
      </c>
      <c r="R270" s="38">
        <f>IF($J270="","",IF(OR(NOT(ISNUMBER($Q270)),NOT(ISNUMBER($N270)),$N270&lt;=0),"PENDIENTE",$Q270/$N270))</f>
        <v/>
      </c>
      <c r="S270" s="33" t="n"/>
      <c r="T270" s="33" t="n"/>
      <c r="U270" s="41" t="n"/>
      <c r="V270" s="36" t="n"/>
      <c r="W270" s="37">
        <f>IF(NOT(ISNUMBER($N270)),"",$N270-IF(ISNUMBER($V270),$V270,0))</f>
        <v/>
      </c>
      <c r="X270" s="33" t="n"/>
      <c r="Y270" s="51">
        <f>IF(COUNTA($B270,$C270,$D270,$E270,$F270,$I270)=0,"",IF(IF($B270=""," · Falta fecha","")&amp;IF($D270=""," · Falta cliente","")&amp;IF($E270=""," · Falta canal","")&amp;IF($F270=""," · Falta SKU","")&amp;IF(AND($F270&lt;&gt;"",COUNTIF(tblProductos[SKU],$F270)=0)," · SKU no existe","")&amp;IF(OR($I270="",NOT(ISNUMBER($I270)),$I270&lt;=0)," · Cantidad inválida","")&amp;IF($M270="PRECIO PENDIENTE"," · Falta precio de venta","")&amp;IF($P270="COSTO PENDIENTE"," · Falta costo del producto","")&amp;IF(AND(ISNUMBER($Q270),$Q270&lt;0)," · UTILIDAD NEGATIVA","")&amp;IF(AND($F270&lt;&gt;"",ISNUMBER(INDEX(tblInventario[Stock actual],MATCH($F270,tblInventario[SKU],0))),INDEX(tblInventario[Stock actual],MATCH($F270,tblInventario[SKU],0))&lt;0)," · Stock negativo del SKU","")&amp;IF(AND($T270="Cobrado",$U270="")," · Cobro sin fecha","")&amp;IF(AND(ISNUMBER($V270),ISNUMBER($N270),$V270&gt;N($N270)+0.01)," · Cobrado &gt; venta neta","")&amp;IF(AND(ISNUMBER($V270),$V270&gt;0,$U270="")," · Monto cobrado sin fecha","")="","OK",MID(IF($B270=""," · Falta fecha","")&amp;IF($D270=""," · Falta cliente","")&amp;IF($E270=""," · Falta canal","")&amp;IF($F270=""," · Falta SKU","")&amp;IF(AND($F270&lt;&gt;"",COUNTIF(tblProductos[SKU],$F270)=0)," · SKU no existe","")&amp;IF(OR($I270="",NOT(ISNUMBER($I270)),$I270&lt;=0)," · Cantidad inválida","")&amp;IF($M270="PRECIO PENDIENTE"," · Falta precio de venta","")&amp;IF($P270="COSTO PENDIENTE"," · Falta costo del producto","")&amp;IF(AND(ISNUMBER($Q270),$Q270&lt;0)," · UTILIDAD NEGATIVA","")&amp;IF(AND($F270&lt;&gt;"",ISNUMBER(INDEX(tblInventario[Stock actual],MATCH($F270,tblInventario[SKU],0))),INDEX(tblInventario[Stock actual],MATCH($F270,tblInventario[SKU],0))&lt;0)," · Stock negativo del SKU","")&amp;IF(AND($T270="Cobrado",$U270="")," · Cobro sin fecha","")&amp;IF(AND(ISNUMBER($V270),ISNUMBER($N270),$V270&gt;N($N270)+0.01)," · Cobrado &gt; venta neta","")&amp;IF(AND(ISNUMBER($V270),$V270&gt;0,$U270="")," · Monto cobrado sin fecha",""),4,900)))</f>
        <v/>
      </c>
    </row>
    <row r="271">
      <c r="A271" s="51">
        <f>IF(COUNTA($B271,$C271,$D271,$E271,$F271,$I271)=0,"","V-"&amp;TEXT(ROW()-6,"0000"))</f>
        <v/>
      </c>
      <c r="B271" s="41" t="n"/>
      <c r="C271" s="33" t="n"/>
      <c r="D271" s="33" t="n"/>
      <c r="E271" s="33" t="n"/>
      <c r="F271" s="33" t="n"/>
      <c r="G271" s="51">
        <f>IF($F271="","",IFERROR(IF(INDEX(tblProductos[Nombre del producto],MATCH($F271,tblProductos[SKU],0))="","",INDEX(tblProductos[Nombre del producto],MATCH($F271,tblProductos[SKU],0))),""))</f>
        <v/>
      </c>
      <c r="H271" s="51">
        <f>IF($F271="","",IFERROR(IF(INDEX(tblProductos[Categoría],MATCH($F271,tblProductos[SKU],0))="","",INDEX(tblProductos[Categoría],MATCH($F271,tblProductos[SKU],0))),""))</f>
        <v/>
      </c>
      <c r="I271" s="34" t="n"/>
      <c r="J271" s="39">
        <f>IF(OR($B271="",$F271="",$I271=""),"",IF($T271="Anulado",0,$I271))</f>
        <v/>
      </c>
      <c r="K271" s="54">
        <f>IF($F271="","",IFERROR(IF(INDEX(tblProductos[Precio de venta actual],MATCH($F271,tblProductos[SKU],0))="","",INDEX(tblProductos[Precio de venta actual],MATCH($F271,tblProductos[SKU],0))),""))</f>
        <v/>
      </c>
      <c r="L271" s="36" t="n"/>
      <c r="M271" s="37">
        <f>IF($J271="","",IF(NOT(ISNUMBER($K271)),"PRECIO PENDIENTE",$J271*$K271))</f>
        <v/>
      </c>
      <c r="N271" s="37">
        <f>IF($J271="","",IF(NOT(ISNUMBER($M271)),"PRECIO PENDIENTE",$M271-IF(ISNUMBER($L271),$L271,0)))</f>
        <v/>
      </c>
      <c r="O271" s="54">
        <f>IF($F271="","",IFERROR(INDEX(tblInventario[Costo unitario aplicado],MATCH($F271,tblInventario[SKU],0)),""))</f>
        <v/>
      </c>
      <c r="P271" s="37">
        <f>IF($J271="","",IF(NOT(ISNUMBER($O271)),"COSTO PENDIENTE",$J271*$O271))</f>
        <v/>
      </c>
      <c r="Q271" s="37">
        <f>IF($J271="","",IF(OR(NOT(ISNUMBER($N271)),NOT(ISNUMBER($P271))),"PENDIENTE",$N271-$P271))</f>
        <v/>
      </c>
      <c r="R271" s="38">
        <f>IF($J271="","",IF(OR(NOT(ISNUMBER($Q271)),NOT(ISNUMBER($N271)),$N271&lt;=0),"PENDIENTE",$Q271/$N271))</f>
        <v/>
      </c>
      <c r="S271" s="33" t="n"/>
      <c r="T271" s="33" t="n"/>
      <c r="U271" s="41" t="n"/>
      <c r="V271" s="36" t="n"/>
      <c r="W271" s="37">
        <f>IF(NOT(ISNUMBER($N271)),"",$N271-IF(ISNUMBER($V271),$V271,0))</f>
        <v/>
      </c>
      <c r="X271" s="33" t="n"/>
      <c r="Y271" s="51">
        <f>IF(COUNTA($B271,$C271,$D271,$E271,$F271,$I271)=0,"",IF(IF($B271=""," · Falta fecha","")&amp;IF($D271=""," · Falta cliente","")&amp;IF($E271=""," · Falta canal","")&amp;IF($F271=""," · Falta SKU","")&amp;IF(AND($F271&lt;&gt;"",COUNTIF(tblProductos[SKU],$F271)=0)," · SKU no existe","")&amp;IF(OR($I271="",NOT(ISNUMBER($I271)),$I271&lt;=0)," · Cantidad inválida","")&amp;IF($M271="PRECIO PENDIENTE"," · Falta precio de venta","")&amp;IF($P271="COSTO PENDIENTE"," · Falta costo del producto","")&amp;IF(AND(ISNUMBER($Q271),$Q271&lt;0)," · UTILIDAD NEGATIVA","")&amp;IF(AND($F271&lt;&gt;"",ISNUMBER(INDEX(tblInventario[Stock actual],MATCH($F271,tblInventario[SKU],0))),INDEX(tblInventario[Stock actual],MATCH($F271,tblInventario[SKU],0))&lt;0)," · Stock negativo del SKU","")&amp;IF(AND($T271="Cobrado",$U271="")," · Cobro sin fecha","")&amp;IF(AND(ISNUMBER($V271),ISNUMBER($N271),$V271&gt;N($N271)+0.01)," · Cobrado &gt; venta neta","")&amp;IF(AND(ISNUMBER($V271),$V271&gt;0,$U271="")," · Monto cobrado sin fecha","")="","OK",MID(IF($B271=""," · Falta fecha","")&amp;IF($D271=""," · Falta cliente","")&amp;IF($E271=""," · Falta canal","")&amp;IF($F271=""," · Falta SKU","")&amp;IF(AND($F271&lt;&gt;"",COUNTIF(tblProductos[SKU],$F271)=0)," · SKU no existe","")&amp;IF(OR($I271="",NOT(ISNUMBER($I271)),$I271&lt;=0)," · Cantidad inválida","")&amp;IF($M271="PRECIO PENDIENTE"," · Falta precio de venta","")&amp;IF($P271="COSTO PENDIENTE"," · Falta costo del producto","")&amp;IF(AND(ISNUMBER($Q271),$Q271&lt;0)," · UTILIDAD NEGATIVA","")&amp;IF(AND($F271&lt;&gt;"",ISNUMBER(INDEX(tblInventario[Stock actual],MATCH($F271,tblInventario[SKU],0))),INDEX(tblInventario[Stock actual],MATCH($F271,tblInventario[SKU],0))&lt;0)," · Stock negativo del SKU","")&amp;IF(AND($T271="Cobrado",$U271="")," · Cobro sin fecha","")&amp;IF(AND(ISNUMBER($V271),ISNUMBER($N271),$V271&gt;N($N271)+0.01)," · Cobrado &gt; venta neta","")&amp;IF(AND(ISNUMBER($V271),$V271&gt;0,$U271="")," · Monto cobrado sin fecha",""),4,900)))</f>
        <v/>
      </c>
    </row>
    <row r="272">
      <c r="A272" s="51">
        <f>IF(COUNTA($B272,$C272,$D272,$E272,$F272,$I272)=0,"","V-"&amp;TEXT(ROW()-6,"0000"))</f>
        <v/>
      </c>
      <c r="B272" s="41" t="n"/>
      <c r="C272" s="33" t="n"/>
      <c r="D272" s="33" t="n"/>
      <c r="E272" s="33" t="n"/>
      <c r="F272" s="33" t="n"/>
      <c r="G272" s="51">
        <f>IF($F272="","",IFERROR(IF(INDEX(tblProductos[Nombre del producto],MATCH($F272,tblProductos[SKU],0))="","",INDEX(tblProductos[Nombre del producto],MATCH($F272,tblProductos[SKU],0))),""))</f>
        <v/>
      </c>
      <c r="H272" s="51">
        <f>IF($F272="","",IFERROR(IF(INDEX(tblProductos[Categoría],MATCH($F272,tblProductos[SKU],0))="","",INDEX(tblProductos[Categoría],MATCH($F272,tblProductos[SKU],0))),""))</f>
        <v/>
      </c>
      <c r="I272" s="34" t="n"/>
      <c r="J272" s="39">
        <f>IF(OR($B272="",$F272="",$I272=""),"",IF($T272="Anulado",0,$I272))</f>
        <v/>
      </c>
      <c r="K272" s="54">
        <f>IF($F272="","",IFERROR(IF(INDEX(tblProductos[Precio de venta actual],MATCH($F272,tblProductos[SKU],0))="","",INDEX(tblProductos[Precio de venta actual],MATCH($F272,tblProductos[SKU],0))),""))</f>
        <v/>
      </c>
      <c r="L272" s="36" t="n"/>
      <c r="M272" s="37">
        <f>IF($J272="","",IF(NOT(ISNUMBER($K272)),"PRECIO PENDIENTE",$J272*$K272))</f>
        <v/>
      </c>
      <c r="N272" s="37">
        <f>IF($J272="","",IF(NOT(ISNUMBER($M272)),"PRECIO PENDIENTE",$M272-IF(ISNUMBER($L272),$L272,0)))</f>
        <v/>
      </c>
      <c r="O272" s="54">
        <f>IF($F272="","",IFERROR(INDEX(tblInventario[Costo unitario aplicado],MATCH($F272,tblInventario[SKU],0)),""))</f>
        <v/>
      </c>
      <c r="P272" s="37">
        <f>IF($J272="","",IF(NOT(ISNUMBER($O272)),"COSTO PENDIENTE",$J272*$O272))</f>
        <v/>
      </c>
      <c r="Q272" s="37">
        <f>IF($J272="","",IF(OR(NOT(ISNUMBER($N272)),NOT(ISNUMBER($P272))),"PENDIENTE",$N272-$P272))</f>
        <v/>
      </c>
      <c r="R272" s="38">
        <f>IF($J272="","",IF(OR(NOT(ISNUMBER($Q272)),NOT(ISNUMBER($N272)),$N272&lt;=0),"PENDIENTE",$Q272/$N272))</f>
        <v/>
      </c>
      <c r="S272" s="33" t="n"/>
      <c r="T272" s="33" t="n"/>
      <c r="U272" s="41" t="n"/>
      <c r="V272" s="36" t="n"/>
      <c r="W272" s="37">
        <f>IF(NOT(ISNUMBER($N272)),"",$N272-IF(ISNUMBER($V272),$V272,0))</f>
        <v/>
      </c>
      <c r="X272" s="33" t="n"/>
      <c r="Y272" s="51">
        <f>IF(COUNTA($B272,$C272,$D272,$E272,$F272,$I272)=0,"",IF(IF($B272=""," · Falta fecha","")&amp;IF($D272=""," · Falta cliente","")&amp;IF($E272=""," · Falta canal","")&amp;IF($F272=""," · Falta SKU","")&amp;IF(AND($F272&lt;&gt;"",COUNTIF(tblProductos[SKU],$F272)=0)," · SKU no existe","")&amp;IF(OR($I272="",NOT(ISNUMBER($I272)),$I272&lt;=0)," · Cantidad inválida","")&amp;IF($M272="PRECIO PENDIENTE"," · Falta precio de venta","")&amp;IF($P272="COSTO PENDIENTE"," · Falta costo del producto","")&amp;IF(AND(ISNUMBER($Q272),$Q272&lt;0)," · UTILIDAD NEGATIVA","")&amp;IF(AND($F272&lt;&gt;"",ISNUMBER(INDEX(tblInventario[Stock actual],MATCH($F272,tblInventario[SKU],0))),INDEX(tblInventario[Stock actual],MATCH($F272,tblInventario[SKU],0))&lt;0)," · Stock negativo del SKU","")&amp;IF(AND($T272="Cobrado",$U272="")," · Cobro sin fecha","")&amp;IF(AND(ISNUMBER($V272),ISNUMBER($N272),$V272&gt;N($N272)+0.01)," · Cobrado &gt; venta neta","")&amp;IF(AND(ISNUMBER($V272),$V272&gt;0,$U272="")," · Monto cobrado sin fecha","")="","OK",MID(IF($B272=""," · Falta fecha","")&amp;IF($D272=""," · Falta cliente","")&amp;IF($E272=""," · Falta canal","")&amp;IF($F272=""," · Falta SKU","")&amp;IF(AND($F272&lt;&gt;"",COUNTIF(tblProductos[SKU],$F272)=0)," · SKU no existe","")&amp;IF(OR($I272="",NOT(ISNUMBER($I272)),$I272&lt;=0)," · Cantidad inválida","")&amp;IF($M272="PRECIO PENDIENTE"," · Falta precio de venta","")&amp;IF($P272="COSTO PENDIENTE"," · Falta costo del producto","")&amp;IF(AND(ISNUMBER($Q272),$Q272&lt;0)," · UTILIDAD NEGATIVA","")&amp;IF(AND($F272&lt;&gt;"",ISNUMBER(INDEX(tblInventario[Stock actual],MATCH($F272,tblInventario[SKU],0))),INDEX(tblInventario[Stock actual],MATCH($F272,tblInventario[SKU],0))&lt;0)," · Stock negativo del SKU","")&amp;IF(AND($T272="Cobrado",$U272="")," · Cobro sin fecha","")&amp;IF(AND(ISNUMBER($V272),ISNUMBER($N272),$V272&gt;N($N272)+0.01)," · Cobrado &gt; venta neta","")&amp;IF(AND(ISNUMBER($V272),$V272&gt;0,$U272="")," · Monto cobrado sin fecha",""),4,900)))</f>
        <v/>
      </c>
    </row>
    <row r="273">
      <c r="A273" s="51">
        <f>IF(COUNTA($B273,$C273,$D273,$E273,$F273,$I273)=0,"","V-"&amp;TEXT(ROW()-6,"0000"))</f>
        <v/>
      </c>
      <c r="B273" s="41" t="n"/>
      <c r="C273" s="33" t="n"/>
      <c r="D273" s="33" t="n"/>
      <c r="E273" s="33" t="n"/>
      <c r="F273" s="33" t="n"/>
      <c r="G273" s="51">
        <f>IF($F273="","",IFERROR(IF(INDEX(tblProductos[Nombre del producto],MATCH($F273,tblProductos[SKU],0))="","",INDEX(tblProductos[Nombre del producto],MATCH($F273,tblProductos[SKU],0))),""))</f>
        <v/>
      </c>
      <c r="H273" s="51">
        <f>IF($F273="","",IFERROR(IF(INDEX(tblProductos[Categoría],MATCH($F273,tblProductos[SKU],0))="","",INDEX(tblProductos[Categoría],MATCH($F273,tblProductos[SKU],0))),""))</f>
        <v/>
      </c>
      <c r="I273" s="34" t="n"/>
      <c r="J273" s="39">
        <f>IF(OR($B273="",$F273="",$I273=""),"",IF($T273="Anulado",0,$I273))</f>
        <v/>
      </c>
      <c r="K273" s="54">
        <f>IF($F273="","",IFERROR(IF(INDEX(tblProductos[Precio de venta actual],MATCH($F273,tblProductos[SKU],0))="","",INDEX(tblProductos[Precio de venta actual],MATCH($F273,tblProductos[SKU],0))),""))</f>
        <v/>
      </c>
      <c r="L273" s="36" t="n"/>
      <c r="M273" s="37">
        <f>IF($J273="","",IF(NOT(ISNUMBER($K273)),"PRECIO PENDIENTE",$J273*$K273))</f>
        <v/>
      </c>
      <c r="N273" s="37">
        <f>IF($J273="","",IF(NOT(ISNUMBER($M273)),"PRECIO PENDIENTE",$M273-IF(ISNUMBER($L273),$L273,0)))</f>
        <v/>
      </c>
      <c r="O273" s="54">
        <f>IF($F273="","",IFERROR(INDEX(tblInventario[Costo unitario aplicado],MATCH($F273,tblInventario[SKU],0)),""))</f>
        <v/>
      </c>
      <c r="P273" s="37">
        <f>IF($J273="","",IF(NOT(ISNUMBER($O273)),"COSTO PENDIENTE",$J273*$O273))</f>
        <v/>
      </c>
      <c r="Q273" s="37">
        <f>IF($J273="","",IF(OR(NOT(ISNUMBER($N273)),NOT(ISNUMBER($P273))),"PENDIENTE",$N273-$P273))</f>
        <v/>
      </c>
      <c r="R273" s="38">
        <f>IF($J273="","",IF(OR(NOT(ISNUMBER($Q273)),NOT(ISNUMBER($N273)),$N273&lt;=0),"PENDIENTE",$Q273/$N273))</f>
        <v/>
      </c>
      <c r="S273" s="33" t="n"/>
      <c r="T273" s="33" t="n"/>
      <c r="U273" s="41" t="n"/>
      <c r="V273" s="36" t="n"/>
      <c r="W273" s="37">
        <f>IF(NOT(ISNUMBER($N273)),"",$N273-IF(ISNUMBER($V273),$V273,0))</f>
        <v/>
      </c>
      <c r="X273" s="33" t="n"/>
      <c r="Y273" s="51">
        <f>IF(COUNTA($B273,$C273,$D273,$E273,$F273,$I273)=0,"",IF(IF($B273=""," · Falta fecha","")&amp;IF($D273=""," · Falta cliente","")&amp;IF($E273=""," · Falta canal","")&amp;IF($F273=""," · Falta SKU","")&amp;IF(AND($F273&lt;&gt;"",COUNTIF(tblProductos[SKU],$F273)=0)," · SKU no existe","")&amp;IF(OR($I273="",NOT(ISNUMBER($I273)),$I273&lt;=0)," · Cantidad inválida","")&amp;IF($M273="PRECIO PENDIENTE"," · Falta precio de venta","")&amp;IF($P273="COSTO PENDIENTE"," · Falta costo del producto","")&amp;IF(AND(ISNUMBER($Q273),$Q273&lt;0)," · UTILIDAD NEGATIVA","")&amp;IF(AND($F273&lt;&gt;"",ISNUMBER(INDEX(tblInventario[Stock actual],MATCH($F273,tblInventario[SKU],0))),INDEX(tblInventario[Stock actual],MATCH($F273,tblInventario[SKU],0))&lt;0)," · Stock negativo del SKU","")&amp;IF(AND($T273="Cobrado",$U273="")," · Cobro sin fecha","")&amp;IF(AND(ISNUMBER($V273),ISNUMBER($N273),$V273&gt;N($N273)+0.01)," · Cobrado &gt; venta neta","")&amp;IF(AND(ISNUMBER($V273),$V273&gt;0,$U273="")," · Monto cobrado sin fecha","")="","OK",MID(IF($B273=""," · Falta fecha","")&amp;IF($D273=""," · Falta cliente","")&amp;IF($E273=""," · Falta canal","")&amp;IF($F273=""," · Falta SKU","")&amp;IF(AND($F273&lt;&gt;"",COUNTIF(tblProductos[SKU],$F273)=0)," · SKU no existe","")&amp;IF(OR($I273="",NOT(ISNUMBER($I273)),$I273&lt;=0)," · Cantidad inválida","")&amp;IF($M273="PRECIO PENDIENTE"," · Falta precio de venta","")&amp;IF($P273="COSTO PENDIENTE"," · Falta costo del producto","")&amp;IF(AND(ISNUMBER($Q273),$Q273&lt;0)," · UTILIDAD NEGATIVA","")&amp;IF(AND($F273&lt;&gt;"",ISNUMBER(INDEX(tblInventario[Stock actual],MATCH($F273,tblInventario[SKU],0))),INDEX(tblInventario[Stock actual],MATCH($F273,tblInventario[SKU],0))&lt;0)," · Stock negativo del SKU","")&amp;IF(AND($T273="Cobrado",$U273="")," · Cobro sin fecha","")&amp;IF(AND(ISNUMBER($V273),ISNUMBER($N273),$V273&gt;N($N273)+0.01)," · Cobrado &gt; venta neta","")&amp;IF(AND(ISNUMBER($V273),$V273&gt;0,$U273="")," · Monto cobrado sin fecha",""),4,900)))</f>
        <v/>
      </c>
    </row>
    <row r="274">
      <c r="A274" s="51">
        <f>IF(COUNTA($B274,$C274,$D274,$E274,$F274,$I274)=0,"","V-"&amp;TEXT(ROW()-6,"0000"))</f>
        <v/>
      </c>
      <c r="B274" s="41" t="n"/>
      <c r="C274" s="33" t="n"/>
      <c r="D274" s="33" t="n"/>
      <c r="E274" s="33" t="n"/>
      <c r="F274" s="33" t="n"/>
      <c r="G274" s="51">
        <f>IF($F274="","",IFERROR(IF(INDEX(tblProductos[Nombre del producto],MATCH($F274,tblProductos[SKU],0))="","",INDEX(tblProductos[Nombre del producto],MATCH($F274,tblProductos[SKU],0))),""))</f>
        <v/>
      </c>
      <c r="H274" s="51">
        <f>IF($F274="","",IFERROR(IF(INDEX(tblProductos[Categoría],MATCH($F274,tblProductos[SKU],0))="","",INDEX(tblProductos[Categoría],MATCH($F274,tblProductos[SKU],0))),""))</f>
        <v/>
      </c>
      <c r="I274" s="34" t="n"/>
      <c r="J274" s="39">
        <f>IF(OR($B274="",$F274="",$I274=""),"",IF($T274="Anulado",0,$I274))</f>
        <v/>
      </c>
      <c r="K274" s="54">
        <f>IF($F274="","",IFERROR(IF(INDEX(tblProductos[Precio de venta actual],MATCH($F274,tblProductos[SKU],0))="","",INDEX(tblProductos[Precio de venta actual],MATCH($F274,tblProductos[SKU],0))),""))</f>
        <v/>
      </c>
      <c r="L274" s="36" t="n"/>
      <c r="M274" s="37">
        <f>IF($J274="","",IF(NOT(ISNUMBER($K274)),"PRECIO PENDIENTE",$J274*$K274))</f>
        <v/>
      </c>
      <c r="N274" s="37">
        <f>IF($J274="","",IF(NOT(ISNUMBER($M274)),"PRECIO PENDIENTE",$M274-IF(ISNUMBER($L274),$L274,0)))</f>
        <v/>
      </c>
      <c r="O274" s="54">
        <f>IF($F274="","",IFERROR(INDEX(tblInventario[Costo unitario aplicado],MATCH($F274,tblInventario[SKU],0)),""))</f>
        <v/>
      </c>
      <c r="P274" s="37">
        <f>IF($J274="","",IF(NOT(ISNUMBER($O274)),"COSTO PENDIENTE",$J274*$O274))</f>
        <v/>
      </c>
      <c r="Q274" s="37">
        <f>IF($J274="","",IF(OR(NOT(ISNUMBER($N274)),NOT(ISNUMBER($P274))),"PENDIENTE",$N274-$P274))</f>
        <v/>
      </c>
      <c r="R274" s="38">
        <f>IF($J274="","",IF(OR(NOT(ISNUMBER($Q274)),NOT(ISNUMBER($N274)),$N274&lt;=0),"PENDIENTE",$Q274/$N274))</f>
        <v/>
      </c>
      <c r="S274" s="33" t="n"/>
      <c r="T274" s="33" t="n"/>
      <c r="U274" s="41" t="n"/>
      <c r="V274" s="36" t="n"/>
      <c r="W274" s="37">
        <f>IF(NOT(ISNUMBER($N274)),"",$N274-IF(ISNUMBER($V274),$V274,0))</f>
        <v/>
      </c>
      <c r="X274" s="33" t="n"/>
      <c r="Y274" s="51">
        <f>IF(COUNTA($B274,$C274,$D274,$E274,$F274,$I274)=0,"",IF(IF($B274=""," · Falta fecha","")&amp;IF($D274=""," · Falta cliente","")&amp;IF($E274=""," · Falta canal","")&amp;IF($F274=""," · Falta SKU","")&amp;IF(AND($F274&lt;&gt;"",COUNTIF(tblProductos[SKU],$F274)=0)," · SKU no existe","")&amp;IF(OR($I274="",NOT(ISNUMBER($I274)),$I274&lt;=0)," · Cantidad inválida","")&amp;IF($M274="PRECIO PENDIENTE"," · Falta precio de venta","")&amp;IF($P274="COSTO PENDIENTE"," · Falta costo del producto","")&amp;IF(AND(ISNUMBER($Q274),$Q274&lt;0)," · UTILIDAD NEGATIVA","")&amp;IF(AND($F274&lt;&gt;"",ISNUMBER(INDEX(tblInventario[Stock actual],MATCH($F274,tblInventario[SKU],0))),INDEX(tblInventario[Stock actual],MATCH($F274,tblInventario[SKU],0))&lt;0)," · Stock negativo del SKU","")&amp;IF(AND($T274="Cobrado",$U274="")," · Cobro sin fecha","")&amp;IF(AND(ISNUMBER($V274),ISNUMBER($N274),$V274&gt;N($N274)+0.01)," · Cobrado &gt; venta neta","")&amp;IF(AND(ISNUMBER($V274),$V274&gt;0,$U274="")," · Monto cobrado sin fecha","")="","OK",MID(IF($B274=""," · Falta fecha","")&amp;IF($D274=""," · Falta cliente","")&amp;IF($E274=""," · Falta canal","")&amp;IF($F274=""," · Falta SKU","")&amp;IF(AND($F274&lt;&gt;"",COUNTIF(tblProductos[SKU],$F274)=0)," · SKU no existe","")&amp;IF(OR($I274="",NOT(ISNUMBER($I274)),$I274&lt;=0)," · Cantidad inválida","")&amp;IF($M274="PRECIO PENDIENTE"," · Falta precio de venta","")&amp;IF($P274="COSTO PENDIENTE"," · Falta costo del producto","")&amp;IF(AND(ISNUMBER($Q274),$Q274&lt;0)," · UTILIDAD NEGATIVA","")&amp;IF(AND($F274&lt;&gt;"",ISNUMBER(INDEX(tblInventario[Stock actual],MATCH($F274,tblInventario[SKU],0))),INDEX(tblInventario[Stock actual],MATCH($F274,tblInventario[SKU],0))&lt;0)," · Stock negativo del SKU","")&amp;IF(AND($T274="Cobrado",$U274="")," · Cobro sin fecha","")&amp;IF(AND(ISNUMBER($V274),ISNUMBER($N274),$V274&gt;N($N274)+0.01)," · Cobrado &gt; venta neta","")&amp;IF(AND(ISNUMBER($V274),$V274&gt;0,$U274="")," · Monto cobrado sin fecha",""),4,900)))</f>
        <v/>
      </c>
    </row>
    <row r="275">
      <c r="A275" s="51">
        <f>IF(COUNTA($B275,$C275,$D275,$E275,$F275,$I275)=0,"","V-"&amp;TEXT(ROW()-6,"0000"))</f>
        <v/>
      </c>
      <c r="B275" s="41" t="n"/>
      <c r="C275" s="33" t="n"/>
      <c r="D275" s="33" t="n"/>
      <c r="E275" s="33" t="n"/>
      <c r="F275" s="33" t="n"/>
      <c r="G275" s="51">
        <f>IF($F275="","",IFERROR(IF(INDEX(tblProductos[Nombre del producto],MATCH($F275,tblProductos[SKU],0))="","",INDEX(tblProductos[Nombre del producto],MATCH($F275,tblProductos[SKU],0))),""))</f>
        <v/>
      </c>
      <c r="H275" s="51">
        <f>IF($F275="","",IFERROR(IF(INDEX(tblProductos[Categoría],MATCH($F275,tblProductos[SKU],0))="","",INDEX(tblProductos[Categoría],MATCH($F275,tblProductos[SKU],0))),""))</f>
        <v/>
      </c>
      <c r="I275" s="34" t="n"/>
      <c r="J275" s="39">
        <f>IF(OR($B275="",$F275="",$I275=""),"",IF($T275="Anulado",0,$I275))</f>
        <v/>
      </c>
      <c r="K275" s="54">
        <f>IF($F275="","",IFERROR(IF(INDEX(tblProductos[Precio de venta actual],MATCH($F275,tblProductos[SKU],0))="","",INDEX(tblProductos[Precio de venta actual],MATCH($F275,tblProductos[SKU],0))),""))</f>
        <v/>
      </c>
      <c r="L275" s="36" t="n"/>
      <c r="M275" s="37">
        <f>IF($J275="","",IF(NOT(ISNUMBER($K275)),"PRECIO PENDIENTE",$J275*$K275))</f>
        <v/>
      </c>
      <c r="N275" s="37">
        <f>IF($J275="","",IF(NOT(ISNUMBER($M275)),"PRECIO PENDIENTE",$M275-IF(ISNUMBER($L275),$L275,0)))</f>
        <v/>
      </c>
      <c r="O275" s="54">
        <f>IF($F275="","",IFERROR(INDEX(tblInventario[Costo unitario aplicado],MATCH($F275,tblInventario[SKU],0)),""))</f>
        <v/>
      </c>
      <c r="P275" s="37">
        <f>IF($J275="","",IF(NOT(ISNUMBER($O275)),"COSTO PENDIENTE",$J275*$O275))</f>
        <v/>
      </c>
      <c r="Q275" s="37">
        <f>IF($J275="","",IF(OR(NOT(ISNUMBER($N275)),NOT(ISNUMBER($P275))),"PENDIENTE",$N275-$P275))</f>
        <v/>
      </c>
      <c r="R275" s="38">
        <f>IF($J275="","",IF(OR(NOT(ISNUMBER($Q275)),NOT(ISNUMBER($N275)),$N275&lt;=0),"PENDIENTE",$Q275/$N275))</f>
        <v/>
      </c>
      <c r="S275" s="33" t="n"/>
      <c r="T275" s="33" t="n"/>
      <c r="U275" s="41" t="n"/>
      <c r="V275" s="36" t="n"/>
      <c r="W275" s="37">
        <f>IF(NOT(ISNUMBER($N275)),"",$N275-IF(ISNUMBER($V275),$V275,0))</f>
        <v/>
      </c>
      <c r="X275" s="33" t="n"/>
      <c r="Y275" s="51">
        <f>IF(COUNTA($B275,$C275,$D275,$E275,$F275,$I275)=0,"",IF(IF($B275=""," · Falta fecha","")&amp;IF($D275=""," · Falta cliente","")&amp;IF($E275=""," · Falta canal","")&amp;IF($F275=""," · Falta SKU","")&amp;IF(AND($F275&lt;&gt;"",COUNTIF(tblProductos[SKU],$F275)=0)," · SKU no existe","")&amp;IF(OR($I275="",NOT(ISNUMBER($I275)),$I275&lt;=0)," · Cantidad inválida","")&amp;IF($M275="PRECIO PENDIENTE"," · Falta precio de venta","")&amp;IF($P275="COSTO PENDIENTE"," · Falta costo del producto","")&amp;IF(AND(ISNUMBER($Q275),$Q275&lt;0)," · UTILIDAD NEGATIVA","")&amp;IF(AND($F275&lt;&gt;"",ISNUMBER(INDEX(tblInventario[Stock actual],MATCH($F275,tblInventario[SKU],0))),INDEX(tblInventario[Stock actual],MATCH($F275,tblInventario[SKU],0))&lt;0)," · Stock negativo del SKU","")&amp;IF(AND($T275="Cobrado",$U275="")," · Cobro sin fecha","")&amp;IF(AND(ISNUMBER($V275),ISNUMBER($N275),$V275&gt;N($N275)+0.01)," · Cobrado &gt; venta neta","")&amp;IF(AND(ISNUMBER($V275),$V275&gt;0,$U275="")," · Monto cobrado sin fecha","")="","OK",MID(IF($B275=""," · Falta fecha","")&amp;IF($D275=""," · Falta cliente","")&amp;IF($E275=""," · Falta canal","")&amp;IF($F275=""," · Falta SKU","")&amp;IF(AND($F275&lt;&gt;"",COUNTIF(tblProductos[SKU],$F275)=0)," · SKU no existe","")&amp;IF(OR($I275="",NOT(ISNUMBER($I275)),$I275&lt;=0)," · Cantidad inválida","")&amp;IF($M275="PRECIO PENDIENTE"," · Falta precio de venta","")&amp;IF($P275="COSTO PENDIENTE"," · Falta costo del producto","")&amp;IF(AND(ISNUMBER($Q275),$Q275&lt;0)," · UTILIDAD NEGATIVA","")&amp;IF(AND($F275&lt;&gt;"",ISNUMBER(INDEX(tblInventario[Stock actual],MATCH($F275,tblInventario[SKU],0))),INDEX(tblInventario[Stock actual],MATCH($F275,tblInventario[SKU],0))&lt;0)," · Stock negativo del SKU","")&amp;IF(AND($T275="Cobrado",$U275="")," · Cobro sin fecha","")&amp;IF(AND(ISNUMBER($V275),ISNUMBER($N275),$V275&gt;N($N275)+0.01)," · Cobrado &gt; venta neta","")&amp;IF(AND(ISNUMBER($V275),$V275&gt;0,$U275="")," · Monto cobrado sin fecha",""),4,900)))</f>
        <v/>
      </c>
    </row>
    <row r="276">
      <c r="A276" s="51">
        <f>IF(COUNTA($B276,$C276,$D276,$E276,$F276,$I276)=0,"","V-"&amp;TEXT(ROW()-6,"0000"))</f>
        <v/>
      </c>
      <c r="B276" s="41" t="n"/>
      <c r="C276" s="33" t="n"/>
      <c r="D276" s="33" t="n"/>
      <c r="E276" s="33" t="n"/>
      <c r="F276" s="33" t="n"/>
      <c r="G276" s="51">
        <f>IF($F276="","",IFERROR(IF(INDEX(tblProductos[Nombre del producto],MATCH($F276,tblProductos[SKU],0))="","",INDEX(tblProductos[Nombre del producto],MATCH($F276,tblProductos[SKU],0))),""))</f>
        <v/>
      </c>
      <c r="H276" s="51">
        <f>IF($F276="","",IFERROR(IF(INDEX(tblProductos[Categoría],MATCH($F276,tblProductos[SKU],0))="","",INDEX(tblProductos[Categoría],MATCH($F276,tblProductos[SKU],0))),""))</f>
        <v/>
      </c>
      <c r="I276" s="34" t="n"/>
      <c r="J276" s="39">
        <f>IF(OR($B276="",$F276="",$I276=""),"",IF($T276="Anulado",0,$I276))</f>
        <v/>
      </c>
      <c r="K276" s="54">
        <f>IF($F276="","",IFERROR(IF(INDEX(tblProductos[Precio de venta actual],MATCH($F276,tblProductos[SKU],0))="","",INDEX(tblProductos[Precio de venta actual],MATCH($F276,tblProductos[SKU],0))),""))</f>
        <v/>
      </c>
      <c r="L276" s="36" t="n"/>
      <c r="M276" s="37">
        <f>IF($J276="","",IF(NOT(ISNUMBER($K276)),"PRECIO PENDIENTE",$J276*$K276))</f>
        <v/>
      </c>
      <c r="N276" s="37">
        <f>IF($J276="","",IF(NOT(ISNUMBER($M276)),"PRECIO PENDIENTE",$M276-IF(ISNUMBER($L276),$L276,0)))</f>
        <v/>
      </c>
      <c r="O276" s="54">
        <f>IF($F276="","",IFERROR(INDEX(tblInventario[Costo unitario aplicado],MATCH($F276,tblInventario[SKU],0)),""))</f>
        <v/>
      </c>
      <c r="P276" s="37">
        <f>IF($J276="","",IF(NOT(ISNUMBER($O276)),"COSTO PENDIENTE",$J276*$O276))</f>
        <v/>
      </c>
      <c r="Q276" s="37">
        <f>IF($J276="","",IF(OR(NOT(ISNUMBER($N276)),NOT(ISNUMBER($P276))),"PENDIENTE",$N276-$P276))</f>
        <v/>
      </c>
      <c r="R276" s="38">
        <f>IF($J276="","",IF(OR(NOT(ISNUMBER($Q276)),NOT(ISNUMBER($N276)),$N276&lt;=0),"PENDIENTE",$Q276/$N276))</f>
        <v/>
      </c>
      <c r="S276" s="33" t="n"/>
      <c r="T276" s="33" t="n"/>
      <c r="U276" s="41" t="n"/>
      <c r="V276" s="36" t="n"/>
      <c r="W276" s="37">
        <f>IF(NOT(ISNUMBER($N276)),"",$N276-IF(ISNUMBER($V276),$V276,0))</f>
        <v/>
      </c>
      <c r="X276" s="33" t="n"/>
      <c r="Y276" s="51">
        <f>IF(COUNTA($B276,$C276,$D276,$E276,$F276,$I276)=0,"",IF(IF($B276=""," · Falta fecha","")&amp;IF($D276=""," · Falta cliente","")&amp;IF($E276=""," · Falta canal","")&amp;IF($F276=""," · Falta SKU","")&amp;IF(AND($F276&lt;&gt;"",COUNTIF(tblProductos[SKU],$F276)=0)," · SKU no existe","")&amp;IF(OR($I276="",NOT(ISNUMBER($I276)),$I276&lt;=0)," · Cantidad inválida","")&amp;IF($M276="PRECIO PENDIENTE"," · Falta precio de venta","")&amp;IF($P276="COSTO PENDIENTE"," · Falta costo del producto","")&amp;IF(AND(ISNUMBER($Q276),$Q276&lt;0)," · UTILIDAD NEGATIVA","")&amp;IF(AND($F276&lt;&gt;"",ISNUMBER(INDEX(tblInventario[Stock actual],MATCH($F276,tblInventario[SKU],0))),INDEX(tblInventario[Stock actual],MATCH($F276,tblInventario[SKU],0))&lt;0)," · Stock negativo del SKU","")&amp;IF(AND($T276="Cobrado",$U276="")," · Cobro sin fecha","")&amp;IF(AND(ISNUMBER($V276),ISNUMBER($N276),$V276&gt;N($N276)+0.01)," · Cobrado &gt; venta neta","")&amp;IF(AND(ISNUMBER($V276),$V276&gt;0,$U276="")," · Monto cobrado sin fecha","")="","OK",MID(IF($B276=""," · Falta fecha","")&amp;IF($D276=""," · Falta cliente","")&amp;IF($E276=""," · Falta canal","")&amp;IF($F276=""," · Falta SKU","")&amp;IF(AND($F276&lt;&gt;"",COUNTIF(tblProductos[SKU],$F276)=0)," · SKU no existe","")&amp;IF(OR($I276="",NOT(ISNUMBER($I276)),$I276&lt;=0)," · Cantidad inválida","")&amp;IF($M276="PRECIO PENDIENTE"," · Falta precio de venta","")&amp;IF($P276="COSTO PENDIENTE"," · Falta costo del producto","")&amp;IF(AND(ISNUMBER($Q276),$Q276&lt;0)," · UTILIDAD NEGATIVA","")&amp;IF(AND($F276&lt;&gt;"",ISNUMBER(INDEX(tblInventario[Stock actual],MATCH($F276,tblInventario[SKU],0))),INDEX(tblInventario[Stock actual],MATCH($F276,tblInventario[SKU],0))&lt;0)," · Stock negativo del SKU","")&amp;IF(AND($T276="Cobrado",$U276="")," · Cobro sin fecha","")&amp;IF(AND(ISNUMBER($V276),ISNUMBER($N276),$V276&gt;N($N276)+0.01)," · Cobrado &gt; venta neta","")&amp;IF(AND(ISNUMBER($V276),$V276&gt;0,$U276="")," · Monto cobrado sin fecha",""),4,900)))</f>
        <v/>
      </c>
    </row>
    <row r="277">
      <c r="A277" s="51">
        <f>IF(COUNTA($B277,$C277,$D277,$E277,$F277,$I277)=0,"","V-"&amp;TEXT(ROW()-6,"0000"))</f>
        <v/>
      </c>
      <c r="B277" s="41" t="n"/>
      <c r="C277" s="33" t="n"/>
      <c r="D277" s="33" t="n"/>
      <c r="E277" s="33" t="n"/>
      <c r="F277" s="33" t="n"/>
      <c r="G277" s="51">
        <f>IF($F277="","",IFERROR(IF(INDEX(tblProductos[Nombre del producto],MATCH($F277,tblProductos[SKU],0))="","",INDEX(tblProductos[Nombre del producto],MATCH($F277,tblProductos[SKU],0))),""))</f>
        <v/>
      </c>
      <c r="H277" s="51">
        <f>IF($F277="","",IFERROR(IF(INDEX(tblProductos[Categoría],MATCH($F277,tblProductos[SKU],0))="","",INDEX(tblProductos[Categoría],MATCH($F277,tblProductos[SKU],0))),""))</f>
        <v/>
      </c>
      <c r="I277" s="34" t="n"/>
      <c r="J277" s="39">
        <f>IF(OR($B277="",$F277="",$I277=""),"",IF($T277="Anulado",0,$I277))</f>
        <v/>
      </c>
      <c r="K277" s="54">
        <f>IF($F277="","",IFERROR(IF(INDEX(tblProductos[Precio de venta actual],MATCH($F277,tblProductos[SKU],0))="","",INDEX(tblProductos[Precio de venta actual],MATCH($F277,tblProductos[SKU],0))),""))</f>
        <v/>
      </c>
      <c r="L277" s="36" t="n"/>
      <c r="M277" s="37">
        <f>IF($J277="","",IF(NOT(ISNUMBER($K277)),"PRECIO PENDIENTE",$J277*$K277))</f>
        <v/>
      </c>
      <c r="N277" s="37">
        <f>IF($J277="","",IF(NOT(ISNUMBER($M277)),"PRECIO PENDIENTE",$M277-IF(ISNUMBER($L277),$L277,0)))</f>
        <v/>
      </c>
      <c r="O277" s="54">
        <f>IF($F277="","",IFERROR(INDEX(tblInventario[Costo unitario aplicado],MATCH($F277,tblInventario[SKU],0)),""))</f>
        <v/>
      </c>
      <c r="P277" s="37">
        <f>IF($J277="","",IF(NOT(ISNUMBER($O277)),"COSTO PENDIENTE",$J277*$O277))</f>
        <v/>
      </c>
      <c r="Q277" s="37">
        <f>IF($J277="","",IF(OR(NOT(ISNUMBER($N277)),NOT(ISNUMBER($P277))),"PENDIENTE",$N277-$P277))</f>
        <v/>
      </c>
      <c r="R277" s="38">
        <f>IF($J277="","",IF(OR(NOT(ISNUMBER($Q277)),NOT(ISNUMBER($N277)),$N277&lt;=0),"PENDIENTE",$Q277/$N277))</f>
        <v/>
      </c>
      <c r="S277" s="33" t="n"/>
      <c r="T277" s="33" t="n"/>
      <c r="U277" s="41" t="n"/>
      <c r="V277" s="36" t="n"/>
      <c r="W277" s="37">
        <f>IF(NOT(ISNUMBER($N277)),"",$N277-IF(ISNUMBER($V277),$V277,0))</f>
        <v/>
      </c>
      <c r="X277" s="33" t="n"/>
      <c r="Y277" s="51">
        <f>IF(COUNTA($B277,$C277,$D277,$E277,$F277,$I277)=0,"",IF(IF($B277=""," · Falta fecha","")&amp;IF($D277=""," · Falta cliente","")&amp;IF($E277=""," · Falta canal","")&amp;IF($F277=""," · Falta SKU","")&amp;IF(AND($F277&lt;&gt;"",COUNTIF(tblProductos[SKU],$F277)=0)," · SKU no existe","")&amp;IF(OR($I277="",NOT(ISNUMBER($I277)),$I277&lt;=0)," · Cantidad inválida","")&amp;IF($M277="PRECIO PENDIENTE"," · Falta precio de venta","")&amp;IF($P277="COSTO PENDIENTE"," · Falta costo del producto","")&amp;IF(AND(ISNUMBER($Q277),$Q277&lt;0)," · UTILIDAD NEGATIVA","")&amp;IF(AND($F277&lt;&gt;"",ISNUMBER(INDEX(tblInventario[Stock actual],MATCH($F277,tblInventario[SKU],0))),INDEX(tblInventario[Stock actual],MATCH($F277,tblInventario[SKU],0))&lt;0)," · Stock negativo del SKU","")&amp;IF(AND($T277="Cobrado",$U277="")," · Cobro sin fecha","")&amp;IF(AND(ISNUMBER($V277),ISNUMBER($N277),$V277&gt;N($N277)+0.01)," · Cobrado &gt; venta neta","")&amp;IF(AND(ISNUMBER($V277),$V277&gt;0,$U277="")," · Monto cobrado sin fecha","")="","OK",MID(IF($B277=""," · Falta fecha","")&amp;IF($D277=""," · Falta cliente","")&amp;IF($E277=""," · Falta canal","")&amp;IF($F277=""," · Falta SKU","")&amp;IF(AND($F277&lt;&gt;"",COUNTIF(tblProductos[SKU],$F277)=0)," · SKU no existe","")&amp;IF(OR($I277="",NOT(ISNUMBER($I277)),$I277&lt;=0)," · Cantidad inválida","")&amp;IF($M277="PRECIO PENDIENTE"," · Falta precio de venta","")&amp;IF($P277="COSTO PENDIENTE"," · Falta costo del producto","")&amp;IF(AND(ISNUMBER($Q277),$Q277&lt;0)," · UTILIDAD NEGATIVA","")&amp;IF(AND($F277&lt;&gt;"",ISNUMBER(INDEX(tblInventario[Stock actual],MATCH($F277,tblInventario[SKU],0))),INDEX(tblInventario[Stock actual],MATCH($F277,tblInventario[SKU],0))&lt;0)," · Stock negativo del SKU","")&amp;IF(AND($T277="Cobrado",$U277="")," · Cobro sin fecha","")&amp;IF(AND(ISNUMBER($V277),ISNUMBER($N277),$V277&gt;N($N277)+0.01)," · Cobrado &gt; venta neta","")&amp;IF(AND(ISNUMBER($V277),$V277&gt;0,$U277="")," · Monto cobrado sin fecha",""),4,900)))</f>
        <v/>
      </c>
    </row>
    <row r="278">
      <c r="A278" s="51">
        <f>IF(COUNTA($B278,$C278,$D278,$E278,$F278,$I278)=0,"","V-"&amp;TEXT(ROW()-6,"0000"))</f>
        <v/>
      </c>
      <c r="B278" s="41" t="n"/>
      <c r="C278" s="33" t="n"/>
      <c r="D278" s="33" t="n"/>
      <c r="E278" s="33" t="n"/>
      <c r="F278" s="33" t="n"/>
      <c r="G278" s="51">
        <f>IF($F278="","",IFERROR(IF(INDEX(tblProductos[Nombre del producto],MATCH($F278,tblProductos[SKU],0))="","",INDEX(tblProductos[Nombre del producto],MATCH($F278,tblProductos[SKU],0))),""))</f>
        <v/>
      </c>
      <c r="H278" s="51">
        <f>IF($F278="","",IFERROR(IF(INDEX(tblProductos[Categoría],MATCH($F278,tblProductos[SKU],0))="","",INDEX(tblProductos[Categoría],MATCH($F278,tblProductos[SKU],0))),""))</f>
        <v/>
      </c>
      <c r="I278" s="34" t="n"/>
      <c r="J278" s="39">
        <f>IF(OR($B278="",$F278="",$I278=""),"",IF($T278="Anulado",0,$I278))</f>
        <v/>
      </c>
      <c r="K278" s="54">
        <f>IF($F278="","",IFERROR(IF(INDEX(tblProductos[Precio de venta actual],MATCH($F278,tblProductos[SKU],0))="","",INDEX(tblProductos[Precio de venta actual],MATCH($F278,tblProductos[SKU],0))),""))</f>
        <v/>
      </c>
      <c r="L278" s="36" t="n"/>
      <c r="M278" s="37">
        <f>IF($J278="","",IF(NOT(ISNUMBER($K278)),"PRECIO PENDIENTE",$J278*$K278))</f>
        <v/>
      </c>
      <c r="N278" s="37">
        <f>IF($J278="","",IF(NOT(ISNUMBER($M278)),"PRECIO PENDIENTE",$M278-IF(ISNUMBER($L278),$L278,0)))</f>
        <v/>
      </c>
      <c r="O278" s="54">
        <f>IF($F278="","",IFERROR(INDEX(tblInventario[Costo unitario aplicado],MATCH($F278,tblInventario[SKU],0)),""))</f>
        <v/>
      </c>
      <c r="P278" s="37">
        <f>IF($J278="","",IF(NOT(ISNUMBER($O278)),"COSTO PENDIENTE",$J278*$O278))</f>
        <v/>
      </c>
      <c r="Q278" s="37">
        <f>IF($J278="","",IF(OR(NOT(ISNUMBER($N278)),NOT(ISNUMBER($P278))),"PENDIENTE",$N278-$P278))</f>
        <v/>
      </c>
      <c r="R278" s="38">
        <f>IF($J278="","",IF(OR(NOT(ISNUMBER($Q278)),NOT(ISNUMBER($N278)),$N278&lt;=0),"PENDIENTE",$Q278/$N278))</f>
        <v/>
      </c>
      <c r="S278" s="33" t="n"/>
      <c r="T278" s="33" t="n"/>
      <c r="U278" s="41" t="n"/>
      <c r="V278" s="36" t="n"/>
      <c r="W278" s="37">
        <f>IF(NOT(ISNUMBER($N278)),"",$N278-IF(ISNUMBER($V278),$V278,0))</f>
        <v/>
      </c>
      <c r="X278" s="33" t="n"/>
      <c r="Y278" s="51">
        <f>IF(COUNTA($B278,$C278,$D278,$E278,$F278,$I278)=0,"",IF(IF($B278=""," · Falta fecha","")&amp;IF($D278=""," · Falta cliente","")&amp;IF($E278=""," · Falta canal","")&amp;IF($F278=""," · Falta SKU","")&amp;IF(AND($F278&lt;&gt;"",COUNTIF(tblProductos[SKU],$F278)=0)," · SKU no existe","")&amp;IF(OR($I278="",NOT(ISNUMBER($I278)),$I278&lt;=0)," · Cantidad inválida","")&amp;IF($M278="PRECIO PENDIENTE"," · Falta precio de venta","")&amp;IF($P278="COSTO PENDIENTE"," · Falta costo del producto","")&amp;IF(AND(ISNUMBER($Q278),$Q278&lt;0)," · UTILIDAD NEGATIVA","")&amp;IF(AND($F278&lt;&gt;"",ISNUMBER(INDEX(tblInventario[Stock actual],MATCH($F278,tblInventario[SKU],0))),INDEX(tblInventario[Stock actual],MATCH($F278,tblInventario[SKU],0))&lt;0)," · Stock negativo del SKU","")&amp;IF(AND($T278="Cobrado",$U278="")," · Cobro sin fecha","")&amp;IF(AND(ISNUMBER($V278),ISNUMBER($N278),$V278&gt;N($N278)+0.01)," · Cobrado &gt; venta neta","")&amp;IF(AND(ISNUMBER($V278),$V278&gt;0,$U278="")," · Monto cobrado sin fecha","")="","OK",MID(IF($B278=""," · Falta fecha","")&amp;IF($D278=""," · Falta cliente","")&amp;IF($E278=""," · Falta canal","")&amp;IF($F278=""," · Falta SKU","")&amp;IF(AND($F278&lt;&gt;"",COUNTIF(tblProductos[SKU],$F278)=0)," · SKU no existe","")&amp;IF(OR($I278="",NOT(ISNUMBER($I278)),$I278&lt;=0)," · Cantidad inválida","")&amp;IF($M278="PRECIO PENDIENTE"," · Falta precio de venta","")&amp;IF($P278="COSTO PENDIENTE"," · Falta costo del producto","")&amp;IF(AND(ISNUMBER($Q278),$Q278&lt;0)," · UTILIDAD NEGATIVA","")&amp;IF(AND($F278&lt;&gt;"",ISNUMBER(INDEX(tblInventario[Stock actual],MATCH($F278,tblInventario[SKU],0))),INDEX(tblInventario[Stock actual],MATCH($F278,tblInventario[SKU],0))&lt;0)," · Stock negativo del SKU","")&amp;IF(AND($T278="Cobrado",$U278="")," · Cobro sin fecha","")&amp;IF(AND(ISNUMBER($V278),ISNUMBER($N278),$V278&gt;N($N278)+0.01)," · Cobrado &gt; venta neta","")&amp;IF(AND(ISNUMBER($V278),$V278&gt;0,$U278="")," · Monto cobrado sin fecha",""),4,900)))</f>
        <v/>
      </c>
    </row>
    <row r="279">
      <c r="A279" s="51">
        <f>IF(COUNTA($B279,$C279,$D279,$E279,$F279,$I279)=0,"","V-"&amp;TEXT(ROW()-6,"0000"))</f>
        <v/>
      </c>
      <c r="B279" s="41" t="n"/>
      <c r="C279" s="33" t="n"/>
      <c r="D279" s="33" t="n"/>
      <c r="E279" s="33" t="n"/>
      <c r="F279" s="33" t="n"/>
      <c r="G279" s="51">
        <f>IF($F279="","",IFERROR(IF(INDEX(tblProductos[Nombre del producto],MATCH($F279,tblProductos[SKU],0))="","",INDEX(tblProductos[Nombre del producto],MATCH($F279,tblProductos[SKU],0))),""))</f>
        <v/>
      </c>
      <c r="H279" s="51">
        <f>IF($F279="","",IFERROR(IF(INDEX(tblProductos[Categoría],MATCH($F279,tblProductos[SKU],0))="","",INDEX(tblProductos[Categoría],MATCH($F279,tblProductos[SKU],0))),""))</f>
        <v/>
      </c>
      <c r="I279" s="34" t="n"/>
      <c r="J279" s="39">
        <f>IF(OR($B279="",$F279="",$I279=""),"",IF($T279="Anulado",0,$I279))</f>
        <v/>
      </c>
      <c r="K279" s="54">
        <f>IF($F279="","",IFERROR(IF(INDEX(tblProductos[Precio de venta actual],MATCH($F279,tblProductos[SKU],0))="","",INDEX(tblProductos[Precio de venta actual],MATCH($F279,tblProductos[SKU],0))),""))</f>
        <v/>
      </c>
      <c r="L279" s="36" t="n"/>
      <c r="M279" s="37">
        <f>IF($J279="","",IF(NOT(ISNUMBER($K279)),"PRECIO PENDIENTE",$J279*$K279))</f>
        <v/>
      </c>
      <c r="N279" s="37">
        <f>IF($J279="","",IF(NOT(ISNUMBER($M279)),"PRECIO PENDIENTE",$M279-IF(ISNUMBER($L279),$L279,0)))</f>
        <v/>
      </c>
      <c r="O279" s="54">
        <f>IF($F279="","",IFERROR(INDEX(tblInventario[Costo unitario aplicado],MATCH($F279,tblInventario[SKU],0)),""))</f>
        <v/>
      </c>
      <c r="P279" s="37">
        <f>IF($J279="","",IF(NOT(ISNUMBER($O279)),"COSTO PENDIENTE",$J279*$O279))</f>
        <v/>
      </c>
      <c r="Q279" s="37">
        <f>IF($J279="","",IF(OR(NOT(ISNUMBER($N279)),NOT(ISNUMBER($P279))),"PENDIENTE",$N279-$P279))</f>
        <v/>
      </c>
      <c r="R279" s="38">
        <f>IF($J279="","",IF(OR(NOT(ISNUMBER($Q279)),NOT(ISNUMBER($N279)),$N279&lt;=0),"PENDIENTE",$Q279/$N279))</f>
        <v/>
      </c>
      <c r="S279" s="33" t="n"/>
      <c r="T279" s="33" t="n"/>
      <c r="U279" s="41" t="n"/>
      <c r="V279" s="36" t="n"/>
      <c r="W279" s="37">
        <f>IF(NOT(ISNUMBER($N279)),"",$N279-IF(ISNUMBER($V279),$V279,0))</f>
        <v/>
      </c>
      <c r="X279" s="33" t="n"/>
      <c r="Y279" s="51">
        <f>IF(COUNTA($B279,$C279,$D279,$E279,$F279,$I279)=0,"",IF(IF($B279=""," · Falta fecha","")&amp;IF($D279=""," · Falta cliente","")&amp;IF($E279=""," · Falta canal","")&amp;IF($F279=""," · Falta SKU","")&amp;IF(AND($F279&lt;&gt;"",COUNTIF(tblProductos[SKU],$F279)=0)," · SKU no existe","")&amp;IF(OR($I279="",NOT(ISNUMBER($I279)),$I279&lt;=0)," · Cantidad inválida","")&amp;IF($M279="PRECIO PENDIENTE"," · Falta precio de venta","")&amp;IF($P279="COSTO PENDIENTE"," · Falta costo del producto","")&amp;IF(AND(ISNUMBER($Q279),$Q279&lt;0)," · UTILIDAD NEGATIVA","")&amp;IF(AND($F279&lt;&gt;"",ISNUMBER(INDEX(tblInventario[Stock actual],MATCH($F279,tblInventario[SKU],0))),INDEX(tblInventario[Stock actual],MATCH($F279,tblInventario[SKU],0))&lt;0)," · Stock negativo del SKU","")&amp;IF(AND($T279="Cobrado",$U279="")," · Cobro sin fecha","")&amp;IF(AND(ISNUMBER($V279),ISNUMBER($N279),$V279&gt;N($N279)+0.01)," · Cobrado &gt; venta neta","")&amp;IF(AND(ISNUMBER($V279),$V279&gt;0,$U279="")," · Monto cobrado sin fecha","")="","OK",MID(IF($B279=""," · Falta fecha","")&amp;IF($D279=""," · Falta cliente","")&amp;IF($E279=""," · Falta canal","")&amp;IF($F279=""," · Falta SKU","")&amp;IF(AND($F279&lt;&gt;"",COUNTIF(tblProductos[SKU],$F279)=0)," · SKU no existe","")&amp;IF(OR($I279="",NOT(ISNUMBER($I279)),$I279&lt;=0)," · Cantidad inválida","")&amp;IF($M279="PRECIO PENDIENTE"," · Falta precio de venta","")&amp;IF($P279="COSTO PENDIENTE"," · Falta costo del producto","")&amp;IF(AND(ISNUMBER($Q279),$Q279&lt;0)," · UTILIDAD NEGATIVA","")&amp;IF(AND($F279&lt;&gt;"",ISNUMBER(INDEX(tblInventario[Stock actual],MATCH($F279,tblInventario[SKU],0))),INDEX(tblInventario[Stock actual],MATCH($F279,tblInventario[SKU],0))&lt;0)," · Stock negativo del SKU","")&amp;IF(AND($T279="Cobrado",$U279="")," · Cobro sin fecha","")&amp;IF(AND(ISNUMBER($V279),ISNUMBER($N279),$V279&gt;N($N279)+0.01)," · Cobrado &gt; venta neta","")&amp;IF(AND(ISNUMBER($V279),$V279&gt;0,$U279="")," · Monto cobrado sin fecha",""),4,900)))</f>
        <v/>
      </c>
    </row>
    <row r="280">
      <c r="A280" s="51">
        <f>IF(COUNTA($B280,$C280,$D280,$E280,$F280,$I280)=0,"","V-"&amp;TEXT(ROW()-6,"0000"))</f>
        <v/>
      </c>
      <c r="B280" s="41" t="n"/>
      <c r="C280" s="33" t="n"/>
      <c r="D280" s="33" t="n"/>
      <c r="E280" s="33" t="n"/>
      <c r="F280" s="33" t="n"/>
      <c r="G280" s="51">
        <f>IF($F280="","",IFERROR(IF(INDEX(tblProductos[Nombre del producto],MATCH($F280,tblProductos[SKU],0))="","",INDEX(tblProductos[Nombre del producto],MATCH($F280,tblProductos[SKU],0))),""))</f>
        <v/>
      </c>
      <c r="H280" s="51">
        <f>IF($F280="","",IFERROR(IF(INDEX(tblProductos[Categoría],MATCH($F280,tblProductos[SKU],0))="","",INDEX(tblProductos[Categoría],MATCH($F280,tblProductos[SKU],0))),""))</f>
        <v/>
      </c>
      <c r="I280" s="34" t="n"/>
      <c r="J280" s="39">
        <f>IF(OR($B280="",$F280="",$I280=""),"",IF($T280="Anulado",0,$I280))</f>
        <v/>
      </c>
      <c r="K280" s="54">
        <f>IF($F280="","",IFERROR(IF(INDEX(tblProductos[Precio de venta actual],MATCH($F280,tblProductos[SKU],0))="","",INDEX(tblProductos[Precio de venta actual],MATCH($F280,tblProductos[SKU],0))),""))</f>
        <v/>
      </c>
      <c r="L280" s="36" t="n"/>
      <c r="M280" s="37">
        <f>IF($J280="","",IF(NOT(ISNUMBER($K280)),"PRECIO PENDIENTE",$J280*$K280))</f>
        <v/>
      </c>
      <c r="N280" s="37">
        <f>IF($J280="","",IF(NOT(ISNUMBER($M280)),"PRECIO PENDIENTE",$M280-IF(ISNUMBER($L280),$L280,0)))</f>
        <v/>
      </c>
      <c r="O280" s="54">
        <f>IF($F280="","",IFERROR(INDEX(tblInventario[Costo unitario aplicado],MATCH($F280,tblInventario[SKU],0)),""))</f>
        <v/>
      </c>
      <c r="P280" s="37">
        <f>IF($J280="","",IF(NOT(ISNUMBER($O280)),"COSTO PENDIENTE",$J280*$O280))</f>
        <v/>
      </c>
      <c r="Q280" s="37">
        <f>IF($J280="","",IF(OR(NOT(ISNUMBER($N280)),NOT(ISNUMBER($P280))),"PENDIENTE",$N280-$P280))</f>
        <v/>
      </c>
      <c r="R280" s="38">
        <f>IF($J280="","",IF(OR(NOT(ISNUMBER($Q280)),NOT(ISNUMBER($N280)),$N280&lt;=0),"PENDIENTE",$Q280/$N280))</f>
        <v/>
      </c>
      <c r="S280" s="33" t="n"/>
      <c r="T280" s="33" t="n"/>
      <c r="U280" s="41" t="n"/>
      <c r="V280" s="36" t="n"/>
      <c r="W280" s="37">
        <f>IF(NOT(ISNUMBER($N280)),"",$N280-IF(ISNUMBER($V280),$V280,0))</f>
        <v/>
      </c>
      <c r="X280" s="33" t="n"/>
      <c r="Y280" s="51">
        <f>IF(COUNTA($B280,$C280,$D280,$E280,$F280,$I280)=0,"",IF(IF($B280=""," · Falta fecha","")&amp;IF($D280=""," · Falta cliente","")&amp;IF($E280=""," · Falta canal","")&amp;IF($F280=""," · Falta SKU","")&amp;IF(AND($F280&lt;&gt;"",COUNTIF(tblProductos[SKU],$F280)=0)," · SKU no existe","")&amp;IF(OR($I280="",NOT(ISNUMBER($I280)),$I280&lt;=0)," · Cantidad inválida","")&amp;IF($M280="PRECIO PENDIENTE"," · Falta precio de venta","")&amp;IF($P280="COSTO PENDIENTE"," · Falta costo del producto","")&amp;IF(AND(ISNUMBER($Q280),$Q280&lt;0)," · UTILIDAD NEGATIVA","")&amp;IF(AND($F280&lt;&gt;"",ISNUMBER(INDEX(tblInventario[Stock actual],MATCH($F280,tblInventario[SKU],0))),INDEX(tblInventario[Stock actual],MATCH($F280,tblInventario[SKU],0))&lt;0)," · Stock negativo del SKU","")&amp;IF(AND($T280="Cobrado",$U280="")," · Cobro sin fecha","")&amp;IF(AND(ISNUMBER($V280),ISNUMBER($N280),$V280&gt;N($N280)+0.01)," · Cobrado &gt; venta neta","")&amp;IF(AND(ISNUMBER($V280),$V280&gt;0,$U280="")," · Monto cobrado sin fecha","")="","OK",MID(IF($B280=""," · Falta fecha","")&amp;IF($D280=""," · Falta cliente","")&amp;IF($E280=""," · Falta canal","")&amp;IF($F280=""," · Falta SKU","")&amp;IF(AND($F280&lt;&gt;"",COUNTIF(tblProductos[SKU],$F280)=0)," · SKU no existe","")&amp;IF(OR($I280="",NOT(ISNUMBER($I280)),$I280&lt;=0)," · Cantidad inválida","")&amp;IF($M280="PRECIO PENDIENTE"," · Falta precio de venta","")&amp;IF($P280="COSTO PENDIENTE"," · Falta costo del producto","")&amp;IF(AND(ISNUMBER($Q280),$Q280&lt;0)," · UTILIDAD NEGATIVA","")&amp;IF(AND($F280&lt;&gt;"",ISNUMBER(INDEX(tblInventario[Stock actual],MATCH($F280,tblInventario[SKU],0))),INDEX(tblInventario[Stock actual],MATCH($F280,tblInventario[SKU],0))&lt;0)," · Stock negativo del SKU","")&amp;IF(AND($T280="Cobrado",$U280="")," · Cobro sin fecha","")&amp;IF(AND(ISNUMBER($V280),ISNUMBER($N280),$V280&gt;N($N280)+0.01)," · Cobrado &gt; venta neta","")&amp;IF(AND(ISNUMBER($V280),$V280&gt;0,$U280="")," · Monto cobrado sin fecha",""),4,900)))</f>
        <v/>
      </c>
    </row>
    <row r="281">
      <c r="A281" s="51">
        <f>IF(COUNTA($B281,$C281,$D281,$E281,$F281,$I281)=0,"","V-"&amp;TEXT(ROW()-6,"0000"))</f>
        <v/>
      </c>
      <c r="B281" s="41" t="n"/>
      <c r="C281" s="33" t="n"/>
      <c r="D281" s="33" t="n"/>
      <c r="E281" s="33" t="n"/>
      <c r="F281" s="33" t="n"/>
      <c r="G281" s="51">
        <f>IF($F281="","",IFERROR(IF(INDEX(tblProductos[Nombre del producto],MATCH($F281,tblProductos[SKU],0))="","",INDEX(tblProductos[Nombre del producto],MATCH($F281,tblProductos[SKU],0))),""))</f>
        <v/>
      </c>
      <c r="H281" s="51">
        <f>IF($F281="","",IFERROR(IF(INDEX(tblProductos[Categoría],MATCH($F281,tblProductos[SKU],0))="","",INDEX(tblProductos[Categoría],MATCH($F281,tblProductos[SKU],0))),""))</f>
        <v/>
      </c>
      <c r="I281" s="34" t="n"/>
      <c r="J281" s="39">
        <f>IF(OR($B281="",$F281="",$I281=""),"",IF($T281="Anulado",0,$I281))</f>
        <v/>
      </c>
      <c r="K281" s="54">
        <f>IF($F281="","",IFERROR(IF(INDEX(tblProductos[Precio de venta actual],MATCH($F281,tblProductos[SKU],0))="","",INDEX(tblProductos[Precio de venta actual],MATCH($F281,tblProductos[SKU],0))),""))</f>
        <v/>
      </c>
      <c r="L281" s="36" t="n"/>
      <c r="M281" s="37">
        <f>IF($J281="","",IF(NOT(ISNUMBER($K281)),"PRECIO PENDIENTE",$J281*$K281))</f>
        <v/>
      </c>
      <c r="N281" s="37">
        <f>IF($J281="","",IF(NOT(ISNUMBER($M281)),"PRECIO PENDIENTE",$M281-IF(ISNUMBER($L281),$L281,0)))</f>
        <v/>
      </c>
      <c r="O281" s="54">
        <f>IF($F281="","",IFERROR(INDEX(tblInventario[Costo unitario aplicado],MATCH($F281,tblInventario[SKU],0)),""))</f>
        <v/>
      </c>
      <c r="P281" s="37">
        <f>IF($J281="","",IF(NOT(ISNUMBER($O281)),"COSTO PENDIENTE",$J281*$O281))</f>
        <v/>
      </c>
      <c r="Q281" s="37">
        <f>IF($J281="","",IF(OR(NOT(ISNUMBER($N281)),NOT(ISNUMBER($P281))),"PENDIENTE",$N281-$P281))</f>
        <v/>
      </c>
      <c r="R281" s="38">
        <f>IF($J281="","",IF(OR(NOT(ISNUMBER($Q281)),NOT(ISNUMBER($N281)),$N281&lt;=0),"PENDIENTE",$Q281/$N281))</f>
        <v/>
      </c>
      <c r="S281" s="33" t="n"/>
      <c r="T281" s="33" t="n"/>
      <c r="U281" s="41" t="n"/>
      <c r="V281" s="36" t="n"/>
      <c r="W281" s="37">
        <f>IF(NOT(ISNUMBER($N281)),"",$N281-IF(ISNUMBER($V281),$V281,0))</f>
        <v/>
      </c>
      <c r="X281" s="33" t="n"/>
      <c r="Y281" s="51">
        <f>IF(COUNTA($B281,$C281,$D281,$E281,$F281,$I281)=0,"",IF(IF($B281=""," · Falta fecha","")&amp;IF($D281=""," · Falta cliente","")&amp;IF($E281=""," · Falta canal","")&amp;IF($F281=""," · Falta SKU","")&amp;IF(AND($F281&lt;&gt;"",COUNTIF(tblProductos[SKU],$F281)=0)," · SKU no existe","")&amp;IF(OR($I281="",NOT(ISNUMBER($I281)),$I281&lt;=0)," · Cantidad inválida","")&amp;IF($M281="PRECIO PENDIENTE"," · Falta precio de venta","")&amp;IF($P281="COSTO PENDIENTE"," · Falta costo del producto","")&amp;IF(AND(ISNUMBER($Q281),$Q281&lt;0)," · UTILIDAD NEGATIVA","")&amp;IF(AND($F281&lt;&gt;"",ISNUMBER(INDEX(tblInventario[Stock actual],MATCH($F281,tblInventario[SKU],0))),INDEX(tblInventario[Stock actual],MATCH($F281,tblInventario[SKU],0))&lt;0)," · Stock negativo del SKU","")&amp;IF(AND($T281="Cobrado",$U281="")," · Cobro sin fecha","")&amp;IF(AND(ISNUMBER($V281),ISNUMBER($N281),$V281&gt;N($N281)+0.01)," · Cobrado &gt; venta neta","")&amp;IF(AND(ISNUMBER($V281),$V281&gt;0,$U281="")," · Monto cobrado sin fecha","")="","OK",MID(IF($B281=""," · Falta fecha","")&amp;IF($D281=""," · Falta cliente","")&amp;IF($E281=""," · Falta canal","")&amp;IF($F281=""," · Falta SKU","")&amp;IF(AND($F281&lt;&gt;"",COUNTIF(tblProductos[SKU],$F281)=0)," · SKU no existe","")&amp;IF(OR($I281="",NOT(ISNUMBER($I281)),$I281&lt;=0)," · Cantidad inválida","")&amp;IF($M281="PRECIO PENDIENTE"," · Falta precio de venta","")&amp;IF($P281="COSTO PENDIENTE"," · Falta costo del producto","")&amp;IF(AND(ISNUMBER($Q281),$Q281&lt;0)," · UTILIDAD NEGATIVA","")&amp;IF(AND($F281&lt;&gt;"",ISNUMBER(INDEX(tblInventario[Stock actual],MATCH($F281,tblInventario[SKU],0))),INDEX(tblInventario[Stock actual],MATCH($F281,tblInventario[SKU],0))&lt;0)," · Stock negativo del SKU","")&amp;IF(AND($T281="Cobrado",$U281="")," · Cobro sin fecha","")&amp;IF(AND(ISNUMBER($V281),ISNUMBER($N281),$V281&gt;N($N281)+0.01)," · Cobrado &gt; venta neta","")&amp;IF(AND(ISNUMBER($V281),$V281&gt;0,$U281="")," · Monto cobrado sin fecha",""),4,900)))</f>
        <v/>
      </c>
    </row>
    <row r="282">
      <c r="A282" s="51">
        <f>IF(COUNTA($B282,$C282,$D282,$E282,$F282,$I282)=0,"","V-"&amp;TEXT(ROW()-6,"0000"))</f>
        <v/>
      </c>
      <c r="B282" s="41" t="n"/>
      <c r="C282" s="33" t="n"/>
      <c r="D282" s="33" t="n"/>
      <c r="E282" s="33" t="n"/>
      <c r="F282" s="33" t="n"/>
      <c r="G282" s="51">
        <f>IF($F282="","",IFERROR(IF(INDEX(tblProductos[Nombre del producto],MATCH($F282,tblProductos[SKU],0))="","",INDEX(tblProductos[Nombre del producto],MATCH($F282,tblProductos[SKU],0))),""))</f>
        <v/>
      </c>
      <c r="H282" s="51">
        <f>IF($F282="","",IFERROR(IF(INDEX(tblProductos[Categoría],MATCH($F282,tblProductos[SKU],0))="","",INDEX(tblProductos[Categoría],MATCH($F282,tblProductos[SKU],0))),""))</f>
        <v/>
      </c>
      <c r="I282" s="34" t="n"/>
      <c r="J282" s="39">
        <f>IF(OR($B282="",$F282="",$I282=""),"",IF($T282="Anulado",0,$I282))</f>
        <v/>
      </c>
      <c r="K282" s="54">
        <f>IF($F282="","",IFERROR(IF(INDEX(tblProductos[Precio de venta actual],MATCH($F282,tblProductos[SKU],0))="","",INDEX(tblProductos[Precio de venta actual],MATCH($F282,tblProductos[SKU],0))),""))</f>
        <v/>
      </c>
      <c r="L282" s="36" t="n"/>
      <c r="M282" s="37">
        <f>IF($J282="","",IF(NOT(ISNUMBER($K282)),"PRECIO PENDIENTE",$J282*$K282))</f>
        <v/>
      </c>
      <c r="N282" s="37">
        <f>IF($J282="","",IF(NOT(ISNUMBER($M282)),"PRECIO PENDIENTE",$M282-IF(ISNUMBER($L282),$L282,0)))</f>
        <v/>
      </c>
      <c r="O282" s="54">
        <f>IF($F282="","",IFERROR(INDEX(tblInventario[Costo unitario aplicado],MATCH($F282,tblInventario[SKU],0)),""))</f>
        <v/>
      </c>
      <c r="P282" s="37">
        <f>IF($J282="","",IF(NOT(ISNUMBER($O282)),"COSTO PENDIENTE",$J282*$O282))</f>
        <v/>
      </c>
      <c r="Q282" s="37">
        <f>IF($J282="","",IF(OR(NOT(ISNUMBER($N282)),NOT(ISNUMBER($P282))),"PENDIENTE",$N282-$P282))</f>
        <v/>
      </c>
      <c r="R282" s="38">
        <f>IF($J282="","",IF(OR(NOT(ISNUMBER($Q282)),NOT(ISNUMBER($N282)),$N282&lt;=0),"PENDIENTE",$Q282/$N282))</f>
        <v/>
      </c>
      <c r="S282" s="33" t="n"/>
      <c r="T282" s="33" t="n"/>
      <c r="U282" s="41" t="n"/>
      <c r="V282" s="36" t="n"/>
      <c r="W282" s="37">
        <f>IF(NOT(ISNUMBER($N282)),"",$N282-IF(ISNUMBER($V282),$V282,0))</f>
        <v/>
      </c>
      <c r="X282" s="33" t="n"/>
      <c r="Y282" s="51">
        <f>IF(COUNTA($B282,$C282,$D282,$E282,$F282,$I282)=0,"",IF(IF($B282=""," · Falta fecha","")&amp;IF($D282=""," · Falta cliente","")&amp;IF($E282=""," · Falta canal","")&amp;IF($F282=""," · Falta SKU","")&amp;IF(AND($F282&lt;&gt;"",COUNTIF(tblProductos[SKU],$F282)=0)," · SKU no existe","")&amp;IF(OR($I282="",NOT(ISNUMBER($I282)),$I282&lt;=0)," · Cantidad inválida","")&amp;IF($M282="PRECIO PENDIENTE"," · Falta precio de venta","")&amp;IF($P282="COSTO PENDIENTE"," · Falta costo del producto","")&amp;IF(AND(ISNUMBER($Q282),$Q282&lt;0)," · UTILIDAD NEGATIVA","")&amp;IF(AND($F282&lt;&gt;"",ISNUMBER(INDEX(tblInventario[Stock actual],MATCH($F282,tblInventario[SKU],0))),INDEX(tblInventario[Stock actual],MATCH($F282,tblInventario[SKU],0))&lt;0)," · Stock negativo del SKU","")&amp;IF(AND($T282="Cobrado",$U282="")," · Cobro sin fecha","")&amp;IF(AND(ISNUMBER($V282),ISNUMBER($N282),$V282&gt;N($N282)+0.01)," · Cobrado &gt; venta neta","")&amp;IF(AND(ISNUMBER($V282),$V282&gt;0,$U282="")," · Monto cobrado sin fecha","")="","OK",MID(IF($B282=""," · Falta fecha","")&amp;IF($D282=""," · Falta cliente","")&amp;IF($E282=""," · Falta canal","")&amp;IF($F282=""," · Falta SKU","")&amp;IF(AND($F282&lt;&gt;"",COUNTIF(tblProductos[SKU],$F282)=0)," · SKU no existe","")&amp;IF(OR($I282="",NOT(ISNUMBER($I282)),$I282&lt;=0)," · Cantidad inválida","")&amp;IF($M282="PRECIO PENDIENTE"," · Falta precio de venta","")&amp;IF($P282="COSTO PENDIENTE"," · Falta costo del producto","")&amp;IF(AND(ISNUMBER($Q282),$Q282&lt;0)," · UTILIDAD NEGATIVA","")&amp;IF(AND($F282&lt;&gt;"",ISNUMBER(INDEX(tblInventario[Stock actual],MATCH($F282,tblInventario[SKU],0))),INDEX(tblInventario[Stock actual],MATCH($F282,tblInventario[SKU],0))&lt;0)," · Stock negativo del SKU","")&amp;IF(AND($T282="Cobrado",$U282="")," · Cobro sin fecha","")&amp;IF(AND(ISNUMBER($V282),ISNUMBER($N282),$V282&gt;N($N282)+0.01)," · Cobrado &gt; venta neta","")&amp;IF(AND(ISNUMBER($V282),$V282&gt;0,$U282="")," · Monto cobrado sin fecha",""),4,900)))</f>
        <v/>
      </c>
    </row>
    <row r="283">
      <c r="A283" s="51">
        <f>IF(COUNTA($B283,$C283,$D283,$E283,$F283,$I283)=0,"","V-"&amp;TEXT(ROW()-6,"0000"))</f>
        <v/>
      </c>
      <c r="B283" s="41" t="n"/>
      <c r="C283" s="33" t="n"/>
      <c r="D283" s="33" t="n"/>
      <c r="E283" s="33" t="n"/>
      <c r="F283" s="33" t="n"/>
      <c r="G283" s="51">
        <f>IF($F283="","",IFERROR(IF(INDEX(tblProductos[Nombre del producto],MATCH($F283,tblProductos[SKU],0))="","",INDEX(tblProductos[Nombre del producto],MATCH($F283,tblProductos[SKU],0))),""))</f>
        <v/>
      </c>
      <c r="H283" s="51">
        <f>IF($F283="","",IFERROR(IF(INDEX(tblProductos[Categoría],MATCH($F283,tblProductos[SKU],0))="","",INDEX(tblProductos[Categoría],MATCH($F283,tblProductos[SKU],0))),""))</f>
        <v/>
      </c>
      <c r="I283" s="34" t="n"/>
      <c r="J283" s="39">
        <f>IF(OR($B283="",$F283="",$I283=""),"",IF($T283="Anulado",0,$I283))</f>
        <v/>
      </c>
      <c r="K283" s="54">
        <f>IF($F283="","",IFERROR(IF(INDEX(tblProductos[Precio de venta actual],MATCH($F283,tblProductos[SKU],0))="","",INDEX(tblProductos[Precio de venta actual],MATCH($F283,tblProductos[SKU],0))),""))</f>
        <v/>
      </c>
      <c r="L283" s="36" t="n"/>
      <c r="M283" s="37">
        <f>IF($J283="","",IF(NOT(ISNUMBER($K283)),"PRECIO PENDIENTE",$J283*$K283))</f>
        <v/>
      </c>
      <c r="N283" s="37">
        <f>IF($J283="","",IF(NOT(ISNUMBER($M283)),"PRECIO PENDIENTE",$M283-IF(ISNUMBER($L283),$L283,0)))</f>
        <v/>
      </c>
      <c r="O283" s="54">
        <f>IF($F283="","",IFERROR(INDEX(tblInventario[Costo unitario aplicado],MATCH($F283,tblInventario[SKU],0)),""))</f>
        <v/>
      </c>
      <c r="P283" s="37">
        <f>IF($J283="","",IF(NOT(ISNUMBER($O283)),"COSTO PENDIENTE",$J283*$O283))</f>
        <v/>
      </c>
      <c r="Q283" s="37">
        <f>IF($J283="","",IF(OR(NOT(ISNUMBER($N283)),NOT(ISNUMBER($P283))),"PENDIENTE",$N283-$P283))</f>
        <v/>
      </c>
      <c r="R283" s="38">
        <f>IF($J283="","",IF(OR(NOT(ISNUMBER($Q283)),NOT(ISNUMBER($N283)),$N283&lt;=0),"PENDIENTE",$Q283/$N283))</f>
        <v/>
      </c>
      <c r="S283" s="33" t="n"/>
      <c r="T283" s="33" t="n"/>
      <c r="U283" s="41" t="n"/>
      <c r="V283" s="36" t="n"/>
      <c r="W283" s="37">
        <f>IF(NOT(ISNUMBER($N283)),"",$N283-IF(ISNUMBER($V283),$V283,0))</f>
        <v/>
      </c>
      <c r="X283" s="33" t="n"/>
      <c r="Y283" s="51">
        <f>IF(COUNTA($B283,$C283,$D283,$E283,$F283,$I283)=0,"",IF(IF($B283=""," · Falta fecha","")&amp;IF($D283=""," · Falta cliente","")&amp;IF($E283=""," · Falta canal","")&amp;IF($F283=""," · Falta SKU","")&amp;IF(AND($F283&lt;&gt;"",COUNTIF(tblProductos[SKU],$F283)=0)," · SKU no existe","")&amp;IF(OR($I283="",NOT(ISNUMBER($I283)),$I283&lt;=0)," · Cantidad inválida","")&amp;IF($M283="PRECIO PENDIENTE"," · Falta precio de venta","")&amp;IF($P283="COSTO PENDIENTE"," · Falta costo del producto","")&amp;IF(AND(ISNUMBER($Q283),$Q283&lt;0)," · UTILIDAD NEGATIVA","")&amp;IF(AND($F283&lt;&gt;"",ISNUMBER(INDEX(tblInventario[Stock actual],MATCH($F283,tblInventario[SKU],0))),INDEX(tblInventario[Stock actual],MATCH($F283,tblInventario[SKU],0))&lt;0)," · Stock negativo del SKU","")&amp;IF(AND($T283="Cobrado",$U283="")," · Cobro sin fecha","")&amp;IF(AND(ISNUMBER($V283),ISNUMBER($N283),$V283&gt;N($N283)+0.01)," · Cobrado &gt; venta neta","")&amp;IF(AND(ISNUMBER($V283),$V283&gt;0,$U283="")," · Monto cobrado sin fecha","")="","OK",MID(IF($B283=""," · Falta fecha","")&amp;IF($D283=""," · Falta cliente","")&amp;IF($E283=""," · Falta canal","")&amp;IF($F283=""," · Falta SKU","")&amp;IF(AND($F283&lt;&gt;"",COUNTIF(tblProductos[SKU],$F283)=0)," · SKU no existe","")&amp;IF(OR($I283="",NOT(ISNUMBER($I283)),$I283&lt;=0)," · Cantidad inválida","")&amp;IF($M283="PRECIO PENDIENTE"," · Falta precio de venta","")&amp;IF($P283="COSTO PENDIENTE"," · Falta costo del producto","")&amp;IF(AND(ISNUMBER($Q283),$Q283&lt;0)," · UTILIDAD NEGATIVA","")&amp;IF(AND($F283&lt;&gt;"",ISNUMBER(INDEX(tblInventario[Stock actual],MATCH($F283,tblInventario[SKU],0))),INDEX(tblInventario[Stock actual],MATCH($F283,tblInventario[SKU],0))&lt;0)," · Stock negativo del SKU","")&amp;IF(AND($T283="Cobrado",$U283="")," · Cobro sin fecha","")&amp;IF(AND(ISNUMBER($V283),ISNUMBER($N283),$V283&gt;N($N283)+0.01)," · Cobrado &gt; venta neta","")&amp;IF(AND(ISNUMBER($V283),$V283&gt;0,$U283="")," · Monto cobrado sin fecha",""),4,900)))</f>
        <v/>
      </c>
    </row>
    <row r="284">
      <c r="A284" s="51">
        <f>IF(COUNTA($B284,$C284,$D284,$E284,$F284,$I284)=0,"","V-"&amp;TEXT(ROW()-6,"0000"))</f>
        <v/>
      </c>
      <c r="B284" s="41" t="n"/>
      <c r="C284" s="33" t="n"/>
      <c r="D284" s="33" t="n"/>
      <c r="E284" s="33" t="n"/>
      <c r="F284" s="33" t="n"/>
      <c r="G284" s="51">
        <f>IF($F284="","",IFERROR(IF(INDEX(tblProductos[Nombre del producto],MATCH($F284,tblProductos[SKU],0))="","",INDEX(tblProductos[Nombre del producto],MATCH($F284,tblProductos[SKU],0))),""))</f>
        <v/>
      </c>
      <c r="H284" s="51">
        <f>IF($F284="","",IFERROR(IF(INDEX(tblProductos[Categoría],MATCH($F284,tblProductos[SKU],0))="","",INDEX(tblProductos[Categoría],MATCH($F284,tblProductos[SKU],0))),""))</f>
        <v/>
      </c>
      <c r="I284" s="34" t="n"/>
      <c r="J284" s="39">
        <f>IF(OR($B284="",$F284="",$I284=""),"",IF($T284="Anulado",0,$I284))</f>
        <v/>
      </c>
      <c r="K284" s="54">
        <f>IF($F284="","",IFERROR(IF(INDEX(tblProductos[Precio de venta actual],MATCH($F284,tblProductos[SKU],0))="","",INDEX(tblProductos[Precio de venta actual],MATCH($F284,tblProductos[SKU],0))),""))</f>
        <v/>
      </c>
      <c r="L284" s="36" t="n"/>
      <c r="M284" s="37">
        <f>IF($J284="","",IF(NOT(ISNUMBER($K284)),"PRECIO PENDIENTE",$J284*$K284))</f>
        <v/>
      </c>
      <c r="N284" s="37">
        <f>IF($J284="","",IF(NOT(ISNUMBER($M284)),"PRECIO PENDIENTE",$M284-IF(ISNUMBER($L284),$L284,0)))</f>
        <v/>
      </c>
      <c r="O284" s="54">
        <f>IF($F284="","",IFERROR(INDEX(tblInventario[Costo unitario aplicado],MATCH($F284,tblInventario[SKU],0)),""))</f>
        <v/>
      </c>
      <c r="P284" s="37">
        <f>IF($J284="","",IF(NOT(ISNUMBER($O284)),"COSTO PENDIENTE",$J284*$O284))</f>
        <v/>
      </c>
      <c r="Q284" s="37">
        <f>IF($J284="","",IF(OR(NOT(ISNUMBER($N284)),NOT(ISNUMBER($P284))),"PENDIENTE",$N284-$P284))</f>
        <v/>
      </c>
      <c r="R284" s="38">
        <f>IF($J284="","",IF(OR(NOT(ISNUMBER($Q284)),NOT(ISNUMBER($N284)),$N284&lt;=0),"PENDIENTE",$Q284/$N284))</f>
        <v/>
      </c>
      <c r="S284" s="33" t="n"/>
      <c r="T284" s="33" t="n"/>
      <c r="U284" s="41" t="n"/>
      <c r="V284" s="36" t="n"/>
      <c r="W284" s="37">
        <f>IF(NOT(ISNUMBER($N284)),"",$N284-IF(ISNUMBER($V284),$V284,0))</f>
        <v/>
      </c>
      <c r="X284" s="33" t="n"/>
      <c r="Y284" s="51">
        <f>IF(COUNTA($B284,$C284,$D284,$E284,$F284,$I284)=0,"",IF(IF($B284=""," · Falta fecha","")&amp;IF($D284=""," · Falta cliente","")&amp;IF($E284=""," · Falta canal","")&amp;IF($F284=""," · Falta SKU","")&amp;IF(AND($F284&lt;&gt;"",COUNTIF(tblProductos[SKU],$F284)=0)," · SKU no existe","")&amp;IF(OR($I284="",NOT(ISNUMBER($I284)),$I284&lt;=0)," · Cantidad inválida","")&amp;IF($M284="PRECIO PENDIENTE"," · Falta precio de venta","")&amp;IF($P284="COSTO PENDIENTE"," · Falta costo del producto","")&amp;IF(AND(ISNUMBER($Q284),$Q284&lt;0)," · UTILIDAD NEGATIVA","")&amp;IF(AND($F284&lt;&gt;"",ISNUMBER(INDEX(tblInventario[Stock actual],MATCH($F284,tblInventario[SKU],0))),INDEX(tblInventario[Stock actual],MATCH($F284,tblInventario[SKU],0))&lt;0)," · Stock negativo del SKU","")&amp;IF(AND($T284="Cobrado",$U284="")," · Cobro sin fecha","")&amp;IF(AND(ISNUMBER($V284),ISNUMBER($N284),$V284&gt;N($N284)+0.01)," · Cobrado &gt; venta neta","")&amp;IF(AND(ISNUMBER($V284),$V284&gt;0,$U284="")," · Monto cobrado sin fecha","")="","OK",MID(IF($B284=""," · Falta fecha","")&amp;IF($D284=""," · Falta cliente","")&amp;IF($E284=""," · Falta canal","")&amp;IF($F284=""," · Falta SKU","")&amp;IF(AND($F284&lt;&gt;"",COUNTIF(tblProductos[SKU],$F284)=0)," · SKU no existe","")&amp;IF(OR($I284="",NOT(ISNUMBER($I284)),$I284&lt;=0)," · Cantidad inválida","")&amp;IF($M284="PRECIO PENDIENTE"," · Falta precio de venta","")&amp;IF($P284="COSTO PENDIENTE"," · Falta costo del producto","")&amp;IF(AND(ISNUMBER($Q284),$Q284&lt;0)," · UTILIDAD NEGATIVA","")&amp;IF(AND($F284&lt;&gt;"",ISNUMBER(INDEX(tblInventario[Stock actual],MATCH($F284,tblInventario[SKU],0))),INDEX(tblInventario[Stock actual],MATCH($F284,tblInventario[SKU],0))&lt;0)," · Stock negativo del SKU","")&amp;IF(AND($T284="Cobrado",$U284="")," · Cobro sin fecha","")&amp;IF(AND(ISNUMBER($V284),ISNUMBER($N284),$V284&gt;N($N284)+0.01)," · Cobrado &gt; venta neta","")&amp;IF(AND(ISNUMBER($V284),$V284&gt;0,$U284="")," · Monto cobrado sin fecha",""),4,900)))</f>
        <v/>
      </c>
    </row>
    <row r="285">
      <c r="A285" s="51">
        <f>IF(COUNTA($B285,$C285,$D285,$E285,$F285,$I285)=0,"","V-"&amp;TEXT(ROW()-6,"0000"))</f>
        <v/>
      </c>
      <c r="B285" s="41" t="n"/>
      <c r="C285" s="33" t="n"/>
      <c r="D285" s="33" t="n"/>
      <c r="E285" s="33" t="n"/>
      <c r="F285" s="33" t="n"/>
      <c r="G285" s="51">
        <f>IF($F285="","",IFERROR(IF(INDEX(tblProductos[Nombre del producto],MATCH($F285,tblProductos[SKU],0))="","",INDEX(tblProductos[Nombre del producto],MATCH($F285,tblProductos[SKU],0))),""))</f>
        <v/>
      </c>
      <c r="H285" s="51">
        <f>IF($F285="","",IFERROR(IF(INDEX(tblProductos[Categoría],MATCH($F285,tblProductos[SKU],0))="","",INDEX(tblProductos[Categoría],MATCH($F285,tblProductos[SKU],0))),""))</f>
        <v/>
      </c>
      <c r="I285" s="34" t="n"/>
      <c r="J285" s="39">
        <f>IF(OR($B285="",$F285="",$I285=""),"",IF($T285="Anulado",0,$I285))</f>
        <v/>
      </c>
      <c r="K285" s="54">
        <f>IF($F285="","",IFERROR(IF(INDEX(tblProductos[Precio de venta actual],MATCH($F285,tblProductos[SKU],0))="","",INDEX(tblProductos[Precio de venta actual],MATCH($F285,tblProductos[SKU],0))),""))</f>
        <v/>
      </c>
      <c r="L285" s="36" t="n"/>
      <c r="M285" s="37">
        <f>IF($J285="","",IF(NOT(ISNUMBER($K285)),"PRECIO PENDIENTE",$J285*$K285))</f>
        <v/>
      </c>
      <c r="N285" s="37">
        <f>IF($J285="","",IF(NOT(ISNUMBER($M285)),"PRECIO PENDIENTE",$M285-IF(ISNUMBER($L285),$L285,0)))</f>
        <v/>
      </c>
      <c r="O285" s="54">
        <f>IF($F285="","",IFERROR(INDEX(tblInventario[Costo unitario aplicado],MATCH($F285,tblInventario[SKU],0)),""))</f>
        <v/>
      </c>
      <c r="P285" s="37">
        <f>IF($J285="","",IF(NOT(ISNUMBER($O285)),"COSTO PENDIENTE",$J285*$O285))</f>
        <v/>
      </c>
      <c r="Q285" s="37">
        <f>IF($J285="","",IF(OR(NOT(ISNUMBER($N285)),NOT(ISNUMBER($P285))),"PENDIENTE",$N285-$P285))</f>
        <v/>
      </c>
      <c r="R285" s="38">
        <f>IF($J285="","",IF(OR(NOT(ISNUMBER($Q285)),NOT(ISNUMBER($N285)),$N285&lt;=0),"PENDIENTE",$Q285/$N285))</f>
        <v/>
      </c>
      <c r="S285" s="33" t="n"/>
      <c r="T285" s="33" t="n"/>
      <c r="U285" s="41" t="n"/>
      <c r="V285" s="36" t="n"/>
      <c r="W285" s="37">
        <f>IF(NOT(ISNUMBER($N285)),"",$N285-IF(ISNUMBER($V285),$V285,0))</f>
        <v/>
      </c>
      <c r="X285" s="33" t="n"/>
      <c r="Y285" s="51">
        <f>IF(COUNTA($B285,$C285,$D285,$E285,$F285,$I285)=0,"",IF(IF($B285=""," · Falta fecha","")&amp;IF($D285=""," · Falta cliente","")&amp;IF($E285=""," · Falta canal","")&amp;IF($F285=""," · Falta SKU","")&amp;IF(AND($F285&lt;&gt;"",COUNTIF(tblProductos[SKU],$F285)=0)," · SKU no existe","")&amp;IF(OR($I285="",NOT(ISNUMBER($I285)),$I285&lt;=0)," · Cantidad inválida","")&amp;IF($M285="PRECIO PENDIENTE"," · Falta precio de venta","")&amp;IF($P285="COSTO PENDIENTE"," · Falta costo del producto","")&amp;IF(AND(ISNUMBER($Q285),$Q285&lt;0)," · UTILIDAD NEGATIVA","")&amp;IF(AND($F285&lt;&gt;"",ISNUMBER(INDEX(tblInventario[Stock actual],MATCH($F285,tblInventario[SKU],0))),INDEX(tblInventario[Stock actual],MATCH($F285,tblInventario[SKU],0))&lt;0)," · Stock negativo del SKU","")&amp;IF(AND($T285="Cobrado",$U285="")," · Cobro sin fecha","")&amp;IF(AND(ISNUMBER($V285),ISNUMBER($N285),$V285&gt;N($N285)+0.01)," · Cobrado &gt; venta neta","")&amp;IF(AND(ISNUMBER($V285),$V285&gt;0,$U285="")," · Monto cobrado sin fecha","")="","OK",MID(IF($B285=""," · Falta fecha","")&amp;IF($D285=""," · Falta cliente","")&amp;IF($E285=""," · Falta canal","")&amp;IF($F285=""," · Falta SKU","")&amp;IF(AND($F285&lt;&gt;"",COUNTIF(tblProductos[SKU],$F285)=0)," · SKU no existe","")&amp;IF(OR($I285="",NOT(ISNUMBER($I285)),$I285&lt;=0)," · Cantidad inválida","")&amp;IF($M285="PRECIO PENDIENTE"," · Falta precio de venta","")&amp;IF($P285="COSTO PENDIENTE"," · Falta costo del producto","")&amp;IF(AND(ISNUMBER($Q285),$Q285&lt;0)," · UTILIDAD NEGATIVA","")&amp;IF(AND($F285&lt;&gt;"",ISNUMBER(INDEX(tblInventario[Stock actual],MATCH($F285,tblInventario[SKU],0))),INDEX(tblInventario[Stock actual],MATCH($F285,tblInventario[SKU],0))&lt;0)," · Stock negativo del SKU","")&amp;IF(AND($T285="Cobrado",$U285="")," · Cobro sin fecha","")&amp;IF(AND(ISNUMBER($V285),ISNUMBER($N285),$V285&gt;N($N285)+0.01)," · Cobrado &gt; venta neta","")&amp;IF(AND(ISNUMBER($V285),$V285&gt;0,$U285="")," · Monto cobrado sin fecha",""),4,900)))</f>
        <v/>
      </c>
    </row>
    <row r="286">
      <c r="A286" s="51">
        <f>IF(COUNTA($B286,$C286,$D286,$E286,$F286,$I286)=0,"","V-"&amp;TEXT(ROW()-6,"0000"))</f>
        <v/>
      </c>
      <c r="B286" s="41" t="n"/>
      <c r="C286" s="33" t="n"/>
      <c r="D286" s="33" t="n"/>
      <c r="E286" s="33" t="n"/>
      <c r="F286" s="33" t="n"/>
      <c r="G286" s="51">
        <f>IF($F286="","",IFERROR(IF(INDEX(tblProductos[Nombre del producto],MATCH($F286,tblProductos[SKU],0))="","",INDEX(tblProductos[Nombre del producto],MATCH($F286,tblProductos[SKU],0))),""))</f>
        <v/>
      </c>
      <c r="H286" s="51">
        <f>IF($F286="","",IFERROR(IF(INDEX(tblProductos[Categoría],MATCH($F286,tblProductos[SKU],0))="","",INDEX(tblProductos[Categoría],MATCH($F286,tblProductos[SKU],0))),""))</f>
        <v/>
      </c>
      <c r="I286" s="34" t="n"/>
      <c r="J286" s="39">
        <f>IF(OR($B286="",$F286="",$I286=""),"",IF($T286="Anulado",0,$I286))</f>
        <v/>
      </c>
      <c r="K286" s="54">
        <f>IF($F286="","",IFERROR(IF(INDEX(tblProductos[Precio de venta actual],MATCH($F286,tblProductos[SKU],0))="","",INDEX(tblProductos[Precio de venta actual],MATCH($F286,tblProductos[SKU],0))),""))</f>
        <v/>
      </c>
      <c r="L286" s="36" t="n"/>
      <c r="M286" s="37">
        <f>IF($J286="","",IF(NOT(ISNUMBER($K286)),"PRECIO PENDIENTE",$J286*$K286))</f>
        <v/>
      </c>
      <c r="N286" s="37">
        <f>IF($J286="","",IF(NOT(ISNUMBER($M286)),"PRECIO PENDIENTE",$M286-IF(ISNUMBER($L286),$L286,0)))</f>
        <v/>
      </c>
      <c r="O286" s="54">
        <f>IF($F286="","",IFERROR(INDEX(tblInventario[Costo unitario aplicado],MATCH($F286,tblInventario[SKU],0)),""))</f>
        <v/>
      </c>
      <c r="P286" s="37">
        <f>IF($J286="","",IF(NOT(ISNUMBER($O286)),"COSTO PENDIENTE",$J286*$O286))</f>
        <v/>
      </c>
      <c r="Q286" s="37">
        <f>IF($J286="","",IF(OR(NOT(ISNUMBER($N286)),NOT(ISNUMBER($P286))),"PENDIENTE",$N286-$P286))</f>
        <v/>
      </c>
      <c r="R286" s="38">
        <f>IF($J286="","",IF(OR(NOT(ISNUMBER($Q286)),NOT(ISNUMBER($N286)),$N286&lt;=0),"PENDIENTE",$Q286/$N286))</f>
        <v/>
      </c>
      <c r="S286" s="33" t="n"/>
      <c r="T286" s="33" t="n"/>
      <c r="U286" s="41" t="n"/>
      <c r="V286" s="36" t="n"/>
      <c r="W286" s="37">
        <f>IF(NOT(ISNUMBER($N286)),"",$N286-IF(ISNUMBER($V286),$V286,0))</f>
        <v/>
      </c>
      <c r="X286" s="33" t="n"/>
      <c r="Y286" s="51">
        <f>IF(COUNTA($B286,$C286,$D286,$E286,$F286,$I286)=0,"",IF(IF($B286=""," · Falta fecha","")&amp;IF($D286=""," · Falta cliente","")&amp;IF($E286=""," · Falta canal","")&amp;IF($F286=""," · Falta SKU","")&amp;IF(AND($F286&lt;&gt;"",COUNTIF(tblProductos[SKU],$F286)=0)," · SKU no existe","")&amp;IF(OR($I286="",NOT(ISNUMBER($I286)),$I286&lt;=0)," · Cantidad inválida","")&amp;IF($M286="PRECIO PENDIENTE"," · Falta precio de venta","")&amp;IF($P286="COSTO PENDIENTE"," · Falta costo del producto","")&amp;IF(AND(ISNUMBER($Q286),$Q286&lt;0)," · UTILIDAD NEGATIVA","")&amp;IF(AND($F286&lt;&gt;"",ISNUMBER(INDEX(tblInventario[Stock actual],MATCH($F286,tblInventario[SKU],0))),INDEX(tblInventario[Stock actual],MATCH($F286,tblInventario[SKU],0))&lt;0)," · Stock negativo del SKU","")&amp;IF(AND($T286="Cobrado",$U286="")," · Cobro sin fecha","")&amp;IF(AND(ISNUMBER($V286),ISNUMBER($N286),$V286&gt;N($N286)+0.01)," · Cobrado &gt; venta neta","")&amp;IF(AND(ISNUMBER($V286),$V286&gt;0,$U286="")," · Monto cobrado sin fecha","")="","OK",MID(IF($B286=""," · Falta fecha","")&amp;IF($D286=""," · Falta cliente","")&amp;IF($E286=""," · Falta canal","")&amp;IF($F286=""," · Falta SKU","")&amp;IF(AND($F286&lt;&gt;"",COUNTIF(tblProductos[SKU],$F286)=0)," · SKU no existe","")&amp;IF(OR($I286="",NOT(ISNUMBER($I286)),$I286&lt;=0)," · Cantidad inválida","")&amp;IF($M286="PRECIO PENDIENTE"," · Falta precio de venta","")&amp;IF($P286="COSTO PENDIENTE"," · Falta costo del producto","")&amp;IF(AND(ISNUMBER($Q286),$Q286&lt;0)," · UTILIDAD NEGATIVA","")&amp;IF(AND($F286&lt;&gt;"",ISNUMBER(INDEX(tblInventario[Stock actual],MATCH($F286,tblInventario[SKU],0))),INDEX(tblInventario[Stock actual],MATCH($F286,tblInventario[SKU],0))&lt;0)," · Stock negativo del SKU","")&amp;IF(AND($T286="Cobrado",$U286="")," · Cobro sin fecha","")&amp;IF(AND(ISNUMBER($V286),ISNUMBER($N286),$V286&gt;N($N286)+0.01)," · Cobrado &gt; venta neta","")&amp;IF(AND(ISNUMBER($V286),$V286&gt;0,$U286="")," · Monto cobrado sin fecha",""),4,900)))</f>
        <v/>
      </c>
    </row>
    <row r="287">
      <c r="A287" s="51">
        <f>IF(COUNTA($B287,$C287,$D287,$E287,$F287,$I287)=0,"","V-"&amp;TEXT(ROW()-6,"0000"))</f>
        <v/>
      </c>
      <c r="B287" s="41" t="n"/>
      <c r="C287" s="33" t="n"/>
      <c r="D287" s="33" t="n"/>
      <c r="E287" s="33" t="n"/>
      <c r="F287" s="33" t="n"/>
      <c r="G287" s="51">
        <f>IF($F287="","",IFERROR(IF(INDEX(tblProductos[Nombre del producto],MATCH($F287,tblProductos[SKU],0))="","",INDEX(tblProductos[Nombre del producto],MATCH($F287,tblProductos[SKU],0))),""))</f>
        <v/>
      </c>
      <c r="H287" s="51">
        <f>IF($F287="","",IFERROR(IF(INDEX(tblProductos[Categoría],MATCH($F287,tblProductos[SKU],0))="","",INDEX(tblProductos[Categoría],MATCH($F287,tblProductos[SKU],0))),""))</f>
        <v/>
      </c>
      <c r="I287" s="34" t="n"/>
      <c r="J287" s="39">
        <f>IF(OR($B287="",$F287="",$I287=""),"",IF($T287="Anulado",0,$I287))</f>
        <v/>
      </c>
      <c r="K287" s="54">
        <f>IF($F287="","",IFERROR(IF(INDEX(tblProductos[Precio de venta actual],MATCH($F287,tblProductos[SKU],0))="","",INDEX(tblProductos[Precio de venta actual],MATCH($F287,tblProductos[SKU],0))),""))</f>
        <v/>
      </c>
      <c r="L287" s="36" t="n"/>
      <c r="M287" s="37">
        <f>IF($J287="","",IF(NOT(ISNUMBER($K287)),"PRECIO PENDIENTE",$J287*$K287))</f>
        <v/>
      </c>
      <c r="N287" s="37">
        <f>IF($J287="","",IF(NOT(ISNUMBER($M287)),"PRECIO PENDIENTE",$M287-IF(ISNUMBER($L287),$L287,0)))</f>
        <v/>
      </c>
      <c r="O287" s="54">
        <f>IF($F287="","",IFERROR(INDEX(tblInventario[Costo unitario aplicado],MATCH($F287,tblInventario[SKU],0)),""))</f>
        <v/>
      </c>
      <c r="P287" s="37">
        <f>IF($J287="","",IF(NOT(ISNUMBER($O287)),"COSTO PENDIENTE",$J287*$O287))</f>
        <v/>
      </c>
      <c r="Q287" s="37">
        <f>IF($J287="","",IF(OR(NOT(ISNUMBER($N287)),NOT(ISNUMBER($P287))),"PENDIENTE",$N287-$P287))</f>
        <v/>
      </c>
      <c r="R287" s="38">
        <f>IF($J287="","",IF(OR(NOT(ISNUMBER($Q287)),NOT(ISNUMBER($N287)),$N287&lt;=0),"PENDIENTE",$Q287/$N287))</f>
        <v/>
      </c>
      <c r="S287" s="33" t="n"/>
      <c r="T287" s="33" t="n"/>
      <c r="U287" s="41" t="n"/>
      <c r="V287" s="36" t="n"/>
      <c r="W287" s="37">
        <f>IF(NOT(ISNUMBER($N287)),"",$N287-IF(ISNUMBER($V287),$V287,0))</f>
        <v/>
      </c>
      <c r="X287" s="33" t="n"/>
      <c r="Y287" s="51">
        <f>IF(COUNTA($B287,$C287,$D287,$E287,$F287,$I287)=0,"",IF(IF($B287=""," · Falta fecha","")&amp;IF($D287=""," · Falta cliente","")&amp;IF($E287=""," · Falta canal","")&amp;IF($F287=""," · Falta SKU","")&amp;IF(AND($F287&lt;&gt;"",COUNTIF(tblProductos[SKU],$F287)=0)," · SKU no existe","")&amp;IF(OR($I287="",NOT(ISNUMBER($I287)),$I287&lt;=0)," · Cantidad inválida","")&amp;IF($M287="PRECIO PENDIENTE"," · Falta precio de venta","")&amp;IF($P287="COSTO PENDIENTE"," · Falta costo del producto","")&amp;IF(AND(ISNUMBER($Q287),$Q287&lt;0)," · UTILIDAD NEGATIVA","")&amp;IF(AND($F287&lt;&gt;"",ISNUMBER(INDEX(tblInventario[Stock actual],MATCH($F287,tblInventario[SKU],0))),INDEX(tblInventario[Stock actual],MATCH($F287,tblInventario[SKU],0))&lt;0)," · Stock negativo del SKU","")&amp;IF(AND($T287="Cobrado",$U287="")," · Cobro sin fecha","")&amp;IF(AND(ISNUMBER($V287),ISNUMBER($N287),$V287&gt;N($N287)+0.01)," · Cobrado &gt; venta neta","")&amp;IF(AND(ISNUMBER($V287),$V287&gt;0,$U287="")," · Monto cobrado sin fecha","")="","OK",MID(IF($B287=""," · Falta fecha","")&amp;IF($D287=""," · Falta cliente","")&amp;IF($E287=""," · Falta canal","")&amp;IF($F287=""," · Falta SKU","")&amp;IF(AND($F287&lt;&gt;"",COUNTIF(tblProductos[SKU],$F287)=0)," · SKU no existe","")&amp;IF(OR($I287="",NOT(ISNUMBER($I287)),$I287&lt;=0)," · Cantidad inválida","")&amp;IF($M287="PRECIO PENDIENTE"," · Falta precio de venta","")&amp;IF($P287="COSTO PENDIENTE"," · Falta costo del producto","")&amp;IF(AND(ISNUMBER($Q287),$Q287&lt;0)," · UTILIDAD NEGATIVA","")&amp;IF(AND($F287&lt;&gt;"",ISNUMBER(INDEX(tblInventario[Stock actual],MATCH($F287,tblInventario[SKU],0))),INDEX(tblInventario[Stock actual],MATCH($F287,tblInventario[SKU],0))&lt;0)," · Stock negativo del SKU","")&amp;IF(AND($T287="Cobrado",$U287="")," · Cobro sin fecha","")&amp;IF(AND(ISNUMBER($V287),ISNUMBER($N287),$V287&gt;N($N287)+0.01)," · Cobrado &gt; venta neta","")&amp;IF(AND(ISNUMBER($V287),$V287&gt;0,$U287="")," · Monto cobrado sin fecha",""),4,900)))</f>
        <v/>
      </c>
    </row>
    <row r="288">
      <c r="A288" s="51">
        <f>IF(COUNTA($B288,$C288,$D288,$E288,$F288,$I288)=0,"","V-"&amp;TEXT(ROW()-6,"0000"))</f>
        <v/>
      </c>
      <c r="B288" s="41" t="n"/>
      <c r="C288" s="33" t="n"/>
      <c r="D288" s="33" t="n"/>
      <c r="E288" s="33" t="n"/>
      <c r="F288" s="33" t="n"/>
      <c r="G288" s="51">
        <f>IF($F288="","",IFERROR(IF(INDEX(tblProductos[Nombre del producto],MATCH($F288,tblProductos[SKU],0))="","",INDEX(tblProductos[Nombre del producto],MATCH($F288,tblProductos[SKU],0))),""))</f>
        <v/>
      </c>
      <c r="H288" s="51">
        <f>IF($F288="","",IFERROR(IF(INDEX(tblProductos[Categoría],MATCH($F288,tblProductos[SKU],0))="","",INDEX(tblProductos[Categoría],MATCH($F288,tblProductos[SKU],0))),""))</f>
        <v/>
      </c>
      <c r="I288" s="34" t="n"/>
      <c r="J288" s="39">
        <f>IF(OR($B288="",$F288="",$I288=""),"",IF($T288="Anulado",0,$I288))</f>
        <v/>
      </c>
      <c r="K288" s="54">
        <f>IF($F288="","",IFERROR(IF(INDEX(tblProductos[Precio de venta actual],MATCH($F288,tblProductos[SKU],0))="","",INDEX(tblProductos[Precio de venta actual],MATCH($F288,tblProductos[SKU],0))),""))</f>
        <v/>
      </c>
      <c r="L288" s="36" t="n"/>
      <c r="M288" s="37">
        <f>IF($J288="","",IF(NOT(ISNUMBER($K288)),"PRECIO PENDIENTE",$J288*$K288))</f>
        <v/>
      </c>
      <c r="N288" s="37">
        <f>IF($J288="","",IF(NOT(ISNUMBER($M288)),"PRECIO PENDIENTE",$M288-IF(ISNUMBER($L288),$L288,0)))</f>
        <v/>
      </c>
      <c r="O288" s="54">
        <f>IF($F288="","",IFERROR(INDEX(tblInventario[Costo unitario aplicado],MATCH($F288,tblInventario[SKU],0)),""))</f>
        <v/>
      </c>
      <c r="P288" s="37">
        <f>IF($J288="","",IF(NOT(ISNUMBER($O288)),"COSTO PENDIENTE",$J288*$O288))</f>
        <v/>
      </c>
      <c r="Q288" s="37">
        <f>IF($J288="","",IF(OR(NOT(ISNUMBER($N288)),NOT(ISNUMBER($P288))),"PENDIENTE",$N288-$P288))</f>
        <v/>
      </c>
      <c r="R288" s="38">
        <f>IF($J288="","",IF(OR(NOT(ISNUMBER($Q288)),NOT(ISNUMBER($N288)),$N288&lt;=0),"PENDIENTE",$Q288/$N288))</f>
        <v/>
      </c>
      <c r="S288" s="33" t="n"/>
      <c r="T288" s="33" t="n"/>
      <c r="U288" s="41" t="n"/>
      <c r="V288" s="36" t="n"/>
      <c r="W288" s="37">
        <f>IF(NOT(ISNUMBER($N288)),"",$N288-IF(ISNUMBER($V288),$V288,0))</f>
        <v/>
      </c>
      <c r="X288" s="33" t="n"/>
      <c r="Y288" s="51">
        <f>IF(COUNTA($B288,$C288,$D288,$E288,$F288,$I288)=0,"",IF(IF($B288=""," · Falta fecha","")&amp;IF($D288=""," · Falta cliente","")&amp;IF($E288=""," · Falta canal","")&amp;IF($F288=""," · Falta SKU","")&amp;IF(AND($F288&lt;&gt;"",COUNTIF(tblProductos[SKU],$F288)=0)," · SKU no existe","")&amp;IF(OR($I288="",NOT(ISNUMBER($I288)),$I288&lt;=0)," · Cantidad inválida","")&amp;IF($M288="PRECIO PENDIENTE"," · Falta precio de venta","")&amp;IF($P288="COSTO PENDIENTE"," · Falta costo del producto","")&amp;IF(AND(ISNUMBER($Q288),$Q288&lt;0)," · UTILIDAD NEGATIVA","")&amp;IF(AND($F288&lt;&gt;"",ISNUMBER(INDEX(tblInventario[Stock actual],MATCH($F288,tblInventario[SKU],0))),INDEX(tblInventario[Stock actual],MATCH($F288,tblInventario[SKU],0))&lt;0)," · Stock negativo del SKU","")&amp;IF(AND($T288="Cobrado",$U288="")," · Cobro sin fecha","")&amp;IF(AND(ISNUMBER($V288),ISNUMBER($N288),$V288&gt;N($N288)+0.01)," · Cobrado &gt; venta neta","")&amp;IF(AND(ISNUMBER($V288),$V288&gt;0,$U288="")," · Monto cobrado sin fecha","")="","OK",MID(IF($B288=""," · Falta fecha","")&amp;IF($D288=""," · Falta cliente","")&amp;IF($E288=""," · Falta canal","")&amp;IF($F288=""," · Falta SKU","")&amp;IF(AND($F288&lt;&gt;"",COUNTIF(tblProductos[SKU],$F288)=0)," · SKU no existe","")&amp;IF(OR($I288="",NOT(ISNUMBER($I288)),$I288&lt;=0)," · Cantidad inválida","")&amp;IF($M288="PRECIO PENDIENTE"," · Falta precio de venta","")&amp;IF($P288="COSTO PENDIENTE"," · Falta costo del producto","")&amp;IF(AND(ISNUMBER($Q288),$Q288&lt;0)," · UTILIDAD NEGATIVA","")&amp;IF(AND($F288&lt;&gt;"",ISNUMBER(INDEX(tblInventario[Stock actual],MATCH($F288,tblInventario[SKU],0))),INDEX(tblInventario[Stock actual],MATCH($F288,tblInventario[SKU],0))&lt;0)," · Stock negativo del SKU","")&amp;IF(AND($T288="Cobrado",$U288="")," · Cobro sin fecha","")&amp;IF(AND(ISNUMBER($V288),ISNUMBER($N288),$V288&gt;N($N288)+0.01)," · Cobrado &gt; venta neta","")&amp;IF(AND(ISNUMBER($V288),$V288&gt;0,$U288="")," · Monto cobrado sin fecha",""),4,900)))</f>
        <v/>
      </c>
    </row>
    <row r="289">
      <c r="A289" s="51">
        <f>IF(COUNTA($B289,$C289,$D289,$E289,$F289,$I289)=0,"","V-"&amp;TEXT(ROW()-6,"0000"))</f>
        <v/>
      </c>
      <c r="B289" s="41" t="n"/>
      <c r="C289" s="33" t="n"/>
      <c r="D289" s="33" t="n"/>
      <c r="E289" s="33" t="n"/>
      <c r="F289" s="33" t="n"/>
      <c r="G289" s="51">
        <f>IF($F289="","",IFERROR(IF(INDEX(tblProductos[Nombre del producto],MATCH($F289,tblProductos[SKU],0))="","",INDEX(tblProductos[Nombre del producto],MATCH($F289,tblProductos[SKU],0))),""))</f>
        <v/>
      </c>
      <c r="H289" s="51">
        <f>IF($F289="","",IFERROR(IF(INDEX(tblProductos[Categoría],MATCH($F289,tblProductos[SKU],0))="","",INDEX(tblProductos[Categoría],MATCH($F289,tblProductos[SKU],0))),""))</f>
        <v/>
      </c>
      <c r="I289" s="34" t="n"/>
      <c r="J289" s="39">
        <f>IF(OR($B289="",$F289="",$I289=""),"",IF($T289="Anulado",0,$I289))</f>
        <v/>
      </c>
      <c r="K289" s="54">
        <f>IF($F289="","",IFERROR(IF(INDEX(tblProductos[Precio de venta actual],MATCH($F289,tblProductos[SKU],0))="","",INDEX(tblProductos[Precio de venta actual],MATCH($F289,tblProductos[SKU],0))),""))</f>
        <v/>
      </c>
      <c r="L289" s="36" t="n"/>
      <c r="M289" s="37">
        <f>IF($J289="","",IF(NOT(ISNUMBER($K289)),"PRECIO PENDIENTE",$J289*$K289))</f>
        <v/>
      </c>
      <c r="N289" s="37">
        <f>IF($J289="","",IF(NOT(ISNUMBER($M289)),"PRECIO PENDIENTE",$M289-IF(ISNUMBER($L289),$L289,0)))</f>
        <v/>
      </c>
      <c r="O289" s="54">
        <f>IF($F289="","",IFERROR(INDEX(tblInventario[Costo unitario aplicado],MATCH($F289,tblInventario[SKU],0)),""))</f>
        <v/>
      </c>
      <c r="P289" s="37">
        <f>IF($J289="","",IF(NOT(ISNUMBER($O289)),"COSTO PENDIENTE",$J289*$O289))</f>
        <v/>
      </c>
      <c r="Q289" s="37">
        <f>IF($J289="","",IF(OR(NOT(ISNUMBER($N289)),NOT(ISNUMBER($P289))),"PENDIENTE",$N289-$P289))</f>
        <v/>
      </c>
      <c r="R289" s="38">
        <f>IF($J289="","",IF(OR(NOT(ISNUMBER($Q289)),NOT(ISNUMBER($N289)),$N289&lt;=0),"PENDIENTE",$Q289/$N289))</f>
        <v/>
      </c>
      <c r="S289" s="33" t="n"/>
      <c r="T289" s="33" t="n"/>
      <c r="U289" s="41" t="n"/>
      <c r="V289" s="36" t="n"/>
      <c r="W289" s="37">
        <f>IF(NOT(ISNUMBER($N289)),"",$N289-IF(ISNUMBER($V289),$V289,0))</f>
        <v/>
      </c>
      <c r="X289" s="33" t="n"/>
      <c r="Y289" s="51">
        <f>IF(COUNTA($B289,$C289,$D289,$E289,$F289,$I289)=0,"",IF(IF($B289=""," · Falta fecha","")&amp;IF($D289=""," · Falta cliente","")&amp;IF($E289=""," · Falta canal","")&amp;IF($F289=""," · Falta SKU","")&amp;IF(AND($F289&lt;&gt;"",COUNTIF(tblProductos[SKU],$F289)=0)," · SKU no existe","")&amp;IF(OR($I289="",NOT(ISNUMBER($I289)),$I289&lt;=0)," · Cantidad inválida","")&amp;IF($M289="PRECIO PENDIENTE"," · Falta precio de venta","")&amp;IF($P289="COSTO PENDIENTE"," · Falta costo del producto","")&amp;IF(AND(ISNUMBER($Q289),$Q289&lt;0)," · UTILIDAD NEGATIVA","")&amp;IF(AND($F289&lt;&gt;"",ISNUMBER(INDEX(tblInventario[Stock actual],MATCH($F289,tblInventario[SKU],0))),INDEX(tblInventario[Stock actual],MATCH($F289,tblInventario[SKU],0))&lt;0)," · Stock negativo del SKU","")&amp;IF(AND($T289="Cobrado",$U289="")," · Cobro sin fecha","")&amp;IF(AND(ISNUMBER($V289),ISNUMBER($N289),$V289&gt;N($N289)+0.01)," · Cobrado &gt; venta neta","")&amp;IF(AND(ISNUMBER($V289),$V289&gt;0,$U289="")," · Monto cobrado sin fecha","")="","OK",MID(IF($B289=""," · Falta fecha","")&amp;IF($D289=""," · Falta cliente","")&amp;IF($E289=""," · Falta canal","")&amp;IF($F289=""," · Falta SKU","")&amp;IF(AND($F289&lt;&gt;"",COUNTIF(tblProductos[SKU],$F289)=0)," · SKU no existe","")&amp;IF(OR($I289="",NOT(ISNUMBER($I289)),$I289&lt;=0)," · Cantidad inválida","")&amp;IF($M289="PRECIO PENDIENTE"," · Falta precio de venta","")&amp;IF($P289="COSTO PENDIENTE"," · Falta costo del producto","")&amp;IF(AND(ISNUMBER($Q289),$Q289&lt;0)," · UTILIDAD NEGATIVA","")&amp;IF(AND($F289&lt;&gt;"",ISNUMBER(INDEX(tblInventario[Stock actual],MATCH($F289,tblInventario[SKU],0))),INDEX(tblInventario[Stock actual],MATCH($F289,tblInventario[SKU],0))&lt;0)," · Stock negativo del SKU","")&amp;IF(AND($T289="Cobrado",$U289="")," · Cobro sin fecha","")&amp;IF(AND(ISNUMBER($V289),ISNUMBER($N289),$V289&gt;N($N289)+0.01)," · Cobrado &gt; venta neta","")&amp;IF(AND(ISNUMBER($V289),$V289&gt;0,$U289="")," · Monto cobrado sin fecha",""),4,900)))</f>
        <v/>
      </c>
    </row>
    <row r="290">
      <c r="A290" s="51">
        <f>IF(COUNTA($B290,$C290,$D290,$E290,$F290,$I290)=0,"","V-"&amp;TEXT(ROW()-6,"0000"))</f>
        <v/>
      </c>
      <c r="B290" s="41" t="n"/>
      <c r="C290" s="33" t="n"/>
      <c r="D290" s="33" t="n"/>
      <c r="E290" s="33" t="n"/>
      <c r="F290" s="33" t="n"/>
      <c r="G290" s="51">
        <f>IF($F290="","",IFERROR(IF(INDEX(tblProductos[Nombre del producto],MATCH($F290,tblProductos[SKU],0))="","",INDEX(tblProductos[Nombre del producto],MATCH($F290,tblProductos[SKU],0))),""))</f>
        <v/>
      </c>
      <c r="H290" s="51">
        <f>IF($F290="","",IFERROR(IF(INDEX(tblProductos[Categoría],MATCH($F290,tblProductos[SKU],0))="","",INDEX(tblProductos[Categoría],MATCH($F290,tblProductos[SKU],0))),""))</f>
        <v/>
      </c>
      <c r="I290" s="34" t="n"/>
      <c r="J290" s="39">
        <f>IF(OR($B290="",$F290="",$I290=""),"",IF($T290="Anulado",0,$I290))</f>
        <v/>
      </c>
      <c r="K290" s="54">
        <f>IF($F290="","",IFERROR(IF(INDEX(tblProductos[Precio de venta actual],MATCH($F290,tblProductos[SKU],0))="","",INDEX(tblProductos[Precio de venta actual],MATCH($F290,tblProductos[SKU],0))),""))</f>
        <v/>
      </c>
      <c r="L290" s="36" t="n"/>
      <c r="M290" s="37">
        <f>IF($J290="","",IF(NOT(ISNUMBER($K290)),"PRECIO PENDIENTE",$J290*$K290))</f>
        <v/>
      </c>
      <c r="N290" s="37">
        <f>IF($J290="","",IF(NOT(ISNUMBER($M290)),"PRECIO PENDIENTE",$M290-IF(ISNUMBER($L290),$L290,0)))</f>
        <v/>
      </c>
      <c r="O290" s="54">
        <f>IF($F290="","",IFERROR(INDEX(tblInventario[Costo unitario aplicado],MATCH($F290,tblInventario[SKU],0)),""))</f>
        <v/>
      </c>
      <c r="P290" s="37">
        <f>IF($J290="","",IF(NOT(ISNUMBER($O290)),"COSTO PENDIENTE",$J290*$O290))</f>
        <v/>
      </c>
      <c r="Q290" s="37">
        <f>IF($J290="","",IF(OR(NOT(ISNUMBER($N290)),NOT(ISNUMBER($P290))),"PENDIENTE",$N290-$P290))</f>
        <v/>
      </c>
      <c r="R290" s="38">
        <f>IF($J290="","",IF(OR(NOT(ISNUMBER($Q290)),NOT(ISNUMBER($N290)),$N290&lt;=0),"PENDIENTE",$Q290/$N290))</f>
        <v/>
      </c>
      <c r="S290" s="33" t="n"/>
      <c r="T290" s="33" t="n"/>
      <c r="U290" s="41" t="n"/>
      <c r="V290" s="36" t="n"/>
      <c r="W290" s="37">
        <f>IF(NOT(ISNUMBER($N290)),"",$N290-IF(ISNUMBER($V290),$V290,0))</f>
        <v/>
      </c>
      <c r="X290" s="33" t="n"/>
      <c r="Y290" s="51">
        <f>IF(COUNTA($B290,$C290,$D290,$E290,$F290,$I290)=0,"",IF(IF($B290=""," · Falta fecha","")&amp;IF($D290=""," · Falta cliente","")&amp;IF($E290=""," · Falta canal","")&amp;IF($F290=""," · Falta SKU","")&amp;IF(AND($F290&lt;&gt;"",COUNTIF(tblProductos[SKU],$F290)=0)," · SKU no existe","")&amp;IF(OR($I290="",NOT(ISNUMBER($I290)),$I290&lt;=0)," · Cantidad inválida","")&amp;IF($M290="PRECIO PENDIENTE"," · Falta precio de venta","")&amp;IF($P290="COSTO PENDIENTE"," · Falta costo del producto","")&amp;IF(AND(ISNUMBER($Q290),$Q290&lt;0)," · UTILIDAD NEGATIVA","")&amp;IF(AND($F290&lt;&gt;"",ISNUMBER(INDEX(tblInventario[Stock actual],MATCH($F290,tblInventario[SKU],0))),INDEX(tblInventario[Stock actual],MATCH($F290,tblInventario[SKU],0))&lt;0)," · Stock negativo del SKU","")&amp;IF(AND($T290="Cobrado",$U290="")," · Cobro sin fecha","")&amp;IF(AND(ISNUMBER($V290),ISNUMBER($N290),$V290&gt;N($N290)+0.01)," · Cobrado &gt; venta neta","")&amp;IF(AND(ISNUMBER($V290),$V290&gt;0,$U290="")," · Monto cobrado sin fecha","")="","OK",MID(IF($B290=""," · Falta fecha","")&amp;IF($D290=""," · Falta cliente","")&amp;IF($E290=""," · Falta canal","")&amp;IF($F290=""," · Falta SKU","")&amp;IF(AND($F290&lt;&gt;"",COUNTIF(tblProductos[SKU],$F290)=0)," · SKU no existe","")&amp;IF(OR($I290="",NOT(ISNUMBER($I290)),$I290&lt;=0)," · Cantidad inválida","")&amp;IF($M290="PRECIO PENDIENTE"," · Falta precio de venta","")&amp;IF($P290="COSTO PENDIENTE"," · Falta costo del producto","")&amp;IF(AND(ISNUMBER($Q290),$Q290&lt;0)," · UTILIDAD NEGATIVA","")&amp;IF(AND($F290&lt;&gt;"",ISNUMBER(INDEX(tblInventario[Stock actual],MATCH($F290,tblInventario[SKU],0))),INDEX(tblInventario[Stock actual],MATCH($F290,tblInventario[SKU],0))&lt;0)," · Stock negativo del SKU","")&amp;IF(AND($T290="Cobrado",$U290="")," · Cobro sin fecha","")&amp;IF(AND(ISNUMBER($V290),ISNUMBER($N290),$V290&gt;N($N290)+0.01)," · Cobrado &gt; venta neta","")&amp;IF(AND(ISNUMBER($V290),$V290&gt;0,$U290="")," · Monto cobrado sin fecha",""),4,900)))</f>
        <v/>
      </c>
    </row>
    <row r="291">
      <c r="A291" s="51">
        <f>IF(COUNTA($B291,$C291,$D291,$E291,$F291,$I291)=0,"","V-"&amp;TEXT(ROW()-6,"0000"))</f>
        <v/>
      </c>
      <c r="B291" s="41" t="n"/>
      <c r="C291" s="33" t="n"/>
      <c r="D291" s="33" t="n"/>
      <c r="E291" s="33" t="n"/>
      <c r="F291" s="33" t="n"/>
      <c r="G291" s="51">
        <f>IF($F291="","",IFERROR(IF(INDEX(tblProductos[Nombre del producto],MATCH($F291,tblProductos[SKU],0))="","",INDEX(tblProductos[Nombre del producto],MATCH($F291,tblProductos[SKU],0))),""))</f>
        <v/>
      </c>
      <c r="H291" s="51">
        <f>IF($F291="","",IFERROR(IF(INDEX(tblProductos[Categoría],MATCH($F291,tblProductos[SKU],0))="","",INDEX(tblProductos[Categoría],MATCH($F291,tblProductos[SKU],0))),""))</f>
        <v/>
      </c>
      <c r="I291" s="34" t="n"/>
      <c r="J291" s="39">
        <f>IF(OR($B291="",$F291="",$I291=""),"",IF($T291="Anulado",0,$I291))</f>
        <v/>
      </c>
      <c r="K291" s="54">
        <f>IF($F291="","",IFERROR(IF(INDEX(tblProductos[Precio de venta actual],MATCH($F291,tblProductos[SKU],0))="","",INDEX(tblProductos[Precio de venta actual],MATCH($F291,tblProductos[SKU],0))),""))</f>
        <v/>
      </c>
      <c r="L291" s="36" t="n"/>
      <c r="M291" s="37">
        <f>IF($J291="","",IF(NOT(ISNUMBER($K291)),"PRECIO PENDIENTE",$J291*$K291))</f>
        <v/>
      </c>
      <c r="N291" s="37">
        <f>IF($J291="","",IF(NOT(ISNUMBER($M291)),"PRECIO PENDIENTE",$M291-IF(ISNUMBER($L291),$L291,0)))</f>
        <v/>
      </c>
      <c r="O291" s="54">
        <f>IF($F291="","",IFERROR(INDEX(tblInventario[Costo unitario aplicado],MATCH($F291,tblInventario[SKU],0)),""))</f>
        <v/>
      </c>
      <c r="P291" s="37">
        <f>IF($J291="","",IF(NOT(ISNUMBER($O291)),"COSTO PENDIENTE",$J291*$O291))</f>
        <v/>
      </c>
      <c r="Q291" s="37">
        <f>IF($J291="","",IF(OR(NOT(ISNUMBER($N291)),NOT(ISNUMBER($P291))),"PENDIENTE",$N291-$P291))</f>
        <v/>
      </c>
      <c r="R291" s="38">
        <f>IF($J291="","",IF(OR(NOT(ISNUMBER($Q291)),NOT(ISNUMBER($N291)),$N291&lt;=0),"PENDIENTE",$Q291/$N291))</f>
        <v/>
      </c>
      <c r="S291" s="33" t="n"/>
      <c r="T291" s="33" t="n"/>
      <c r="U291" s="41" t="n"/>
      <c r="V291" s="36" t="n"/>
      <c r="W291" s="37">
        <f>IF(NOT(ISNUMBER($N291)),"",$N291-IF(ISNUMBER($V291),$V291,0))</f>
        <v/>
      </c>
      <c r="X291" s="33" t="n"/>
      <c r="Y291" s="51">
        <f>IF(COUNTA($B291,$C291,$D291,$E291,$F291,$I291)=0,"",IF(IF($B291=""," · Falta fecha","")&amp;IF($D291=""," · Falta cliente","")&amp;IF($E291=""," · Falta canal","")&amp;IF($F291=""," · Falta SKU","")&amp;IF(AND($F291&lt;&gt;"",COUNTIF(tblProductos[SKU],$F291)=0)," · SKU no existe","")&amp;IF(OR($I291="",NOT(ISNUMBER($I291)),$I291&lt;=0)," · Cantidad inválida","")&amp;IF($M291="PRECIO PENDIENTE"," · Falta precio de venta","")&amp;IF($P291="COSTO PENDIENTE"," · Falta costo del producto","")&amp;IF(AND(ISNUMBER($Q291),$Q291&lt;0)," · UTILIDAD NEGATIVA","")&amp;IF(AND($F291&lt;&gt;"",ISNUMBER(INDEX(tblInventario[Stock actual],MATCH($F291,tblInventario[SKU],0))),INDEX(tblInventario[Stock actual],MATCH($F291,tblInventario[SKU],0))&lt;0)," · Stock negativo del SKU","")&amp;IF(AND($T291="Cobrado",$U291="")," · Cobro sin fecha","")&amp;IF(AND(ISNUMBER($V291),ISNUMBER($N291),$V291&gt;N($N291)+0.01)," · Cobrado &gt; venta neta","")&amp;IF(AND(ISNUMBER($V291),$V291&gt;0,$U291="")," · Monto cobrado sin fecha","")="","OK",MID(IF($B291=""," · Falta fecha","")&amp;IF($D291=""," · Falta cliente","")&amp;IF($E291=""," · Falta canal","")&amp;IF($F291=""," · Falta SKU","")&amp;IF(AND($F291&lt;&gt;"",COUNTIF(tblProductos[SKU],$F291)=0)," · SKU no existe","")&amp;IF(OR($I291="",NOT(ISNUMBER($I291)),$I291&lt;=0)," · Cantidad inválida","")&amp;IF($M291="PRECIO PENDIENTE"," · Falta precio de venta","")&amp;IF($P291="COSTO PENDIENTE"," · Falta costo del producto","")&amp;IF(AND(ISNUMBER($Q291),$Q291&lt;0)," · UTILIDAD NEGATIVA","")&amp;IF(AND($F291&lt;&gt;"",ISNUMBER(INDEX(tblInventario[Stock actual],MATCH($F291,tblInventario[SKU],0))),INDEX(tblInventario[Stock actual],MATCH($F291,tblInventario[SKU],0))&lt;0)," · Stock negativo del SKU","")&amp;IF(AND($T291="Cobrado",$U291="")," · Cobro sin fecha","")&amp;IF(AND(ISNUMBER($V291),ISNUMBER($N291),$V291&gt;N($N291)+0.01)," · Cobrado &gt; venta neta","")&amp;IF(AND(ISNUMBER($V291),$V291&gt;0,$U291="")," · Monto cobrado sin fecha",""),4,900)))</f>
        <v/>
      </c>
    </row>
    <row r="292">
      <c r="A292" s="51">
        <f>IF(COUNTA($B292,$C292,$D292,$E292,$F292,$I292)=0,"","V-"&amp;TEXT(ROW()-6,"0000"))</f>
        <v/>
      </c>
      <c r="B292" s="41" t="n"/>
      <c r="C292" s="33" t="n"/>
      <c r="D292" s="33" t="n"/>
      <c r="E292" s="33" t="n"/>
      <c r="F292" s="33" t="n"/>
      <c r="G292" s="51">
        <f>IF($F292="","",IFERROR(IF(INDEX(tblProductos[Nombre del producto],MATCH($F292,tblProductos[SKU],0))="","",INDEX(tblProductos[Nombre del producto],MATCH($F292,tblProductos[SKU],0))),""))</f>
        <v/>
      </c>
      <c r="H292" s="51">
        <f>IF($F292="","",IFERROR(IF(INDEX(tblProductos[Categoría],MATCH($F292,tblProductos[SKU],0))="","",INDEX(tblProductos[Categoría],MATCH($F292,tblProductos[SKU],0))),""))</f>
        <v/>
      </c>
      <c r="I292" s="34" t="n"/>
      <c r="J292" s="39">
        <f>IF(OR($B292="",$F292="",$I292=""),"",IF($T292="Anulado",0,$I292))</f>
        <v/>
      </c>
      <c r="K292" s="54">
        <f>IF($F292="","",IFERROR(IF(INDEX(tblProductos[Precio de venta actual],MATCH($F292,tblProductos[SKU],0))="","",INDEX(tblProductos[Precio de venta actual],MATCH($F292,tblProductos[SKU],0))),""))</f>
        <v/>
      </c>
      <c r="L292" s="36" t="n"/>
      <c r="M292" s="37">
        <f>IF($J292="","",IF(NOT(ISNUMBER($K292)),"PRECIO PENDIENTE",$J292*$K292))</f>
        <v/>
      </c>
      <c r="N292" s="37">
        <f>IF($J292="","",IF(NOT(ISNUMBER($M292)),"PRECIO PENDIENTE",$M292-IF(ISNUMBER($L292),$L292,0)))</f>
        <v/>
      </c>
      <c r="O292" s="54">
        <f>IF($F292="","",IFERROR(INDEX(tblInventario[Costo unitario aplicado],MATCH($F292,tblInventario[SKU],0)),""))</f>
        <v/>
      </c>
      <c r="P292" s="37">
        <f>IF($J292="","",IF(NOT(ISNUMBER($O292)),"COSTO PENDIENTE",$J292*$O292))</f>
        <v/>
      </c>
      <c r="Q292" s="37">
        <f>IF($J292="","",IF(OR(NOT(ISNUMBER($N292)),NOT(ISNUMBER($P292))),"PENDIENTE",$N292-$P292))</f>
        <v/>
      </c>
      <c r="R292" s="38">
        <f>IF($J292="","",IF(OR(NOT(ISNUMBER($Q292)),NOT(ISNUMBER($N292)),$N292&lt;=0),"PENDIENTE",$Q292/$N292))</f>
        <v/>
      </c>
      <c r="S292" s="33" t="n"/>
      <c r="T292" s="33" t="n"/>
      <c r="U292" s="41" t="n"/>
      <c r="V292" s="36" t="n"/>
      <c r="W292" s="37">
        <f>IF(NOT(ISNUMBER($N292)),"",$N292-IF(ISNUMBER($V292),$V292,0))</f>
        <v/>
      </c>
      <c r="X292" s="33" t="n"/>
      <c r="Y292" s="51">
        <f>IF(COUNTA($B292,$C292,$D292,$E292,$F292,$I292)=0,"",IF(IF($B292=""," · Falta fecha","")&amp;IF($D292=""," · Falta cliente","")&amp;IF($E292=""," · Falta canal","")&amp;IF($F292=""," · Falta SKU","")&amp;IF(AND($F292&lt;&gt;"",COUNTIF(tblProductos[SKU],$F292)=0)," · SKU no existe","")&amp;IF(OR($I292="",NOT(ISNUMBER($I292)),$I292&lt;=0)," · Cantidad inválida","")&amp;IF($M292="PRECIO PENDIENTE"," · Falta precio de venta","")&amp;IF($P292="COSTO PENDIENTE"," · Falta costo del producto","")&amp;IF(AND(ISNUMBER($Q292),$Q292&lt;0)," · UTILIDAD NEGATIVA","")&amp;IF(AND($F292&lt;&gt;"",ISNUMBER(INDEX(tblInventario[Stock actual],MATCH($F292,tblInventario[SKU],0))),INDEX(tblInventario[Stock actual],MATCH($F292,tblInventario[SKU],0))&lt;0)," · Stock negativo del SKU","")&amp;IF(AND($T292="Cobrado",$U292="")," · Cobro sin fecha","")&amp;IF(AND(ISNUMBER($V292),ISNUMBER($N292),$V292&gt;N($N292)+0.01)," · Cobrado &gt; venta neta","")&amp;IF(AND(ISNUMBER($V292),$V292&gt;0,$U292="")," · Monto cobrado sin fecha","")="","OK",MID(IF($B292=""," · Falta fecha","")&amp;IF($D292=""," · Falta cliente","")&amp;IF($E292=""," · Falta canal","")&amp;IF($F292=""," · Falta SKU","")&amp;IF(AND($F292&lt;&gt;"",COUNTIF(tblProductos[SKU],$F292)=0)," · SKU no existe","")&amp;IF(OR($I292="",NOT(ISNUMBER($I292)),$I292&lt;=0)," · Cantidad inválida","")&amp;IF($M292="PRECIO PENDIENTE"," · Falta precio de venta","")&amp;IF($P292="COSTO PENDIENTE"," · Falta costo del producto","")&amp;IF(AND(ISNUMBER($Q292),$Q292&lt;0)," · UTILIDAD NEGATIVA","")&amp;IF(AND($F292&lt;&gt;"",ISNUMBER(INDEX(tblInventario[Stock actual],MATCH($F292,tblInventario[SKU],0))),INDEX(tblInventario[Stock actual],MATCH($F292,tblInventario[SKU],0))&lt;0)," · Stock negativo del SKU","")&amp;IF(AND($T292="Cobrado",$U292="")," · Cobro sin fecha","")&amp;IF(AND(ISNUMBER($V292),ISNUMBER($N292),$V292&gt;N($N292)+0.01)," · Cobrado &gt; venta neta","")&amp;IF(AND(ISNUMBER($V292),$V292&gt;0,$U292="")," · Monto cobrado sin fecha",""),4,900)))</f>
        <v/>
      </c>
    </row>
    <row r="293">
      <c r="A293" s="51">
        <f>IF(COUNTA($B293,$C293,$D293,$E293,$F293,$I293)=0,"","V-"&amp;TEXT(ROW()-6,"0000"))</f>
        <v/>
      </c>
      <c r="B293" s="41" t="n"/>
      <c r="C293" s="33" t="n"/>
      <c r="D293" s="33" t="n"/>
      <c r="E293" s="33" t="n"/>
      <c r="F293" s="33" t="n"/>
      <c r="G293" s="51">
        <f>IF($F293="","",IFERROR(IF(INDEX(tblProductos[Nombre del producto],MATCH($F293,tblProductos[SKU],0))="","",INDEX(tblProductos[Nombre del producto],MATCH($F293,tblProductos[SKU],0))),""))</f>
        <v/>
      </c>
      <c r="H293" s="51">
        <f>IF($F293="","",IFERROR(IF(INDEX(tblProductos[Categoría],MATCH($F293,tblProductos[SKU],0))="","",INDEX(tblProductos[Categoría],MATCH($F293,tblProductos[SKU],0))),""))</f>
        <v/>
      </c>
      <c r="I293" s="34" t="n"/>
      <c r="J293" s="39">
        <f>IF(OR($B293="",$F293="",$I293=""),"",IF($T293="Anulado",0,$I293))</f>
        <v/>
      </c>
      <c r="K293" s="54">
        <f>IF($F293="","",IFERROR(IF(INDEX(tblProductos[Precio de venta actual],MATCH($F293,tblProductos[SKU],0))="","",INDEX(tblProductos[Precio de venta actual],MATCH($F293,tblProductos[SKU],0))),""))</f>
        <v/>
      </c>
      <c r="L293" s="36" t="n"/>
      <c r="M293" s="37">
        <f>IF($J293="","",IF(NOT(ISNUMBER($K293)),"PRECIO PENDIENTE",$J293*$K293))</f>
        <v/>
      </c>
      <c r="N293" s="37">
        <f>IF($J293="","",IF(NOT(ISNUMBER($M293)),"PRECIO PENDIENTE",$M293-IF(ISNUMBER($L293),$L293,0)))</f>
        <v/>
      </c>
      <c r="O293" s="54">
        <f>IF($F293="","",IFERROR(INDEX(tblInventario[Costo unitario aplicado],MATCH($F293,tblInventario[SKU],0)),""))</f>
        <v/>
      </c>
      <c r="P293" s="37">
        <f>IF($J293="","",IF(NOT(ISNUMBER($O293)),"COSTO PENDIENTE",$J293*$O293))</f>
        <v/>
      </c>
      <c r="Q293" s="37">
        <f>IF($J293="","",IF(OR(NOT(ISNUMBER($N293)),NOT(ISNUMBER($P293))),"PENDIENTE",$N293-$P293))</f>
        <v/>
      </c>
      <c r="R293" s="38">
        <f>IF($J293="","",IF(OR(NOT(ISNUMBER($Q293)),NOT(ISNUMBER($N293)),$N293&lt;=0),"PENDIENTE",$Q293/$N293))</f>
        <v/>
      </c>
      <c r="S293" s="33" t="n"/>
      <c r="T293" s="33" t="n"/>
      <c r="U293" s="41" t="n"/>
      <c r="V293" s="36" t="n"/>
      <c r="W293" s="37">
        <f>IF(NOT(ISNUMBER($N293)),"",$N293-IF(ISNUMBER($V293),$V293,0))</f>
        <v/>
      </c>
      <c r="X293" s="33" t="n"/>
      <c r="Y293" s="51">
        <f>IF(COUNTA($B293,$C293,$D293,$E293,$F293,$I293)=0,"",IF(IF($B293=""," · Falta fecha","")&amp;IF($D293=""," · Falta cliente","")&amp;IF($E293=""," · Falta canal","")&amp;IF($F293=""," · Falta SKU","")&amp;IF(AND($F293&lt;&gt;"",COUNTIF(tblProductos[SKU],$F293)=0)," · SKU no existe","")&amp;IF(OR($I293="",NOT(ISNUMBER($I293)),$I293&lt;=0)," · Cantidad inválida","")&amp;IF($M293="PRECIO PENDIENTE"," · Falta precio de venta","")&amp;IF($P293="COSTO PENDIENTE"," · Falta costo del producto","")&amp;IF(AND(ISNUMBER($Q293),$Q293&lt;0)," · UTILIDAD NEGATIVA","")&amp;IF(AND($F293&lt;&gt;"",ISNUMBER(INDEX(tblInventario[Stock actual],MATCH($F293,tblInventario[SKU],0))),INDEX(tblInventario[Stock actual],MATCH($F293,tblInventario[SKU],0))&lt;0)," · Stock negativo del SKU","")&amp;IF(AND($T293="Cobrado",$U293="")," · Cobro sin fecha","")&amp;IF(AND(ISNUMBER($V293),ISNUMBER($N293),$V293&gt;N($N293)+0.01)," · Cobrado &gt; venta neta","")&amp;IF(AND(ISNUMBER($V293),$V293&gt;0,$U293="")," · Monto cobrado sin fecha","")="","OK",MID(IF($B293=""," · Falta fecha","")&amp;IF($D293=""," · Falta cliente","")&amp;IF($E293=""," · Falta canal","")&amp;IF($F293=""," · Falta SKU","")&amp;IF(AND($F293&lt;&gt;"",COUNTIF(tblProductos[SKU],$F293)=0)," · SKU no existe","")&amp;IF(OR($I293="",NOT(ISNUMBER($I293)),$I293&lt;=0)," · Cantidad inválida","")&amp;IF($M293="PRECIO PENDIENTE"," · Falta precio de venta","")&amp;IF($P293="COSTO PENDIENTE"," · Falta costo del producto","")&amp;IF(AND(ISNUMBER($Q293),$Q293&lt;0)," · UTILIDAD NEGATIVA","")&amp;IF(AND($F293&lt;&gt;"",ISNUMBER(INDEX(tblInventario[Stock actual],MATCH($F293,tblInventario[SKU],0))),INDEX(tblInventario[Stock actual],MATCH($F293,tblInventario[SKU],0))&lt;0)," · Stock negativo del SKU","")&amp;IF(AND($T293="Cobrado",$U293="")," · Cobro sin fecha","")&amp;IF(AND(ISNUMBER($V293),ISNUMBER($N293),$V293&gt;N($N293)+0.01)," · Cobrado &gt; venta neta","")&amp;IF(AND(ISNUMBER($V293),$V293&gt;0,$U293="")," · Monto cobrado sin fecha",""),4,900)))</f>
        <v/>
      </c>
    </row>
    <row r="294">
      <c r="A294" s="51">
        <f>IF(COUNTA($B294,$C294,$D294,$E294,$F294,$I294)=0,"","V-"&amp;TEXT(ROW()-6,"0000"))</f>
        <v/>
      </c>
      <c r="B294" s="41" t="n"/>
      <c r="C294" s="33" t="n"/>
      <c r="D294" s="33" t="n"/>
      <c r="E294" s="33" t="n"/>
      <c r="F294" s="33" t="n"/>
      <c r="G294" s="51">
        <f>IF($F294="","",IFERROR(IF(INDEX(tblProductos[Nombre del producto],MATCH($F294,tblProductos[SKU],0))="","",INDEX(tblProductos[Nombre del producto],MATCH($F294,tblProductos[SKU],0))),""))</f>
        <v/>
      </c>
      <c r="H294" s="51">
        <f>IF($F294="","",IFERROR(IF(INDEX(tblProductos[Categoría],MATCH($F294,tblProductos[SKU],0))="","",INDEX(tblProductos[Categoría],MATCH($F294,tblProductos[SKU],0))),""))</f>
        <v/>
      </c>
      <c r="I294" s="34" t="n"/>
      <c r="J294" s="39">
        <f>IF(OR($B294="",$F294="",$I294=""),"",IF($T294="Anulado",0,$I294))</f>
        <v/>
      </c>
      <c r="K294" s="54">
        <f>IF($F294="","",IFERROR(IF(INDEX(tblProductos[Precio de venta actual],MATCH($F294,tblProductos[SKU],0))="","",INDEX(tblProductos[Precio de venta actual],MATCH($F294,tblProductos[SKU],0))),""))</f>
        <v/>
      </c>
      <c r="L294" s="36" t="n"/>
      <c r="M294" s="37">
        <f>IF($J294="","",IF(NOT(ISNUMBER($K294)),"PRECIO PENDIENTE",$J294*$K294))</f>
        <v/>
      </c>
      <c r="N294" s="37">
        <f>IF($J294="","",IF(NOT(ISNUMBER($M294)),"PRECIO PENDIENTE",$M294-IF(ISNUMBER($L294),$L294,0)))</f>
        <v/>
      </c>
      <c r="O294" s="54">
        <f>IF($F294="","",IFERROR(INDEX(tblInventario[Costo unitario aplicado],MATCH($F294,tblInventario[SKU],0)),""))</f>
        <v/>
      </c>
      <c r="P294" s="37">
        <f>IF($J294="","",IF(NOT(ISNUMBER($O294)),"COSTO PENDIENTE",$J294*$O294))</f>
        <v/>
      </c>
      <c r="Q294" s="37">
        <f>IF($J294="","",IF(OR(NOT(ISNUMBER($N294)),NOT(ISNUMBER($P294))),"PENDIENTE",$N294-$P294))</f>
        <v/>
      </c>
      <c r="R294" s="38">
        <f>IF($J294="","",IF(OR(NOT(ISNUMBER($Q294)),NOT(ISNUMBER($N294)),$N294&lt;=0),"PENDIENTE",$Q294/$N294))</f>
        <v/>
      </c>
      <c r="S294" s="33" t="n"/>
      <c r="T294" s="33" t="n"/>
      <c r="U294" s="41" t="n"/>
      <c r="V294" s="36" t="n"/>
      <c r="W294" s="37">
        <f>IF(NOT(ISNUMBER($N294)),"",$N294-IF(ISNUMBER($V294),$V294,0))</f>
        <v/>
      </c>
      <c r="X294" s="33" t="n"/>
      <c r="Y294" s="51">
        <f>IF(COUNTA($B294,$C294,$D294,$E294,$F294,$I294)=0,"",IF(IF($B294=""," · Falta fecha","")&amp;IF($D294=""," · Falta cliente","")&amp;IF($E294=""," · Falta canal","")&amp;IF($F294=""," · Falta SKU","")&amp;IF(AND($F294&lt;&gt;"",COUNTIF(tblProductos[SKU],$F294)=0)," · SKU no existe","")&amp;IF(OR($I294="",NOT(ISNUMBER($I294)),$I294&lt;=0)," · Cantidad inválida","")&amp;IF($M294="PRECIO PENDIENTE"," · Falta precio de venta","")&amp;IF($P294="COSTO PENDIENTE"," · Falta costo del producto","")&amp;IF(AND(ISNUMBER($Q294),$Q294&lt;0)," · UTILIDAD NEGATIVA","")&amp;IF(AND($F294&lt;&gt;"",ISNUMBER(INDEX(tblInventario[Stock actual],MATCH($F294,tblInventario[SKU],0))),INDEX(tblInventario[Stock actual],MATCH($F294,tblInventario[SKU],0))&lt;0)," · Stock negativo del SKU","")&amp;IF(AND($T294="Cobrado",$U294="")," · Cobro sin fecha","")&amp;IF(AND(ISNUMBER($V294),ISNUMBER($N294),$V294&gt;N($N294)+0.01)," · Cobrado &gt; venta neta","")&amp;IF(AND(ISNUMBER($V294),$V294&gt;0,$U294="")," · Monto cobrado sin fecha","")="","OK",MID(IF($B294=""," · Falta fecha","")&amp;IF($D294=""," · Falta cliente","")&amp;IF($E294=""," · Falta canal","")&amp;IF($F294=""," · Falta SKU","")&amp;IF(AND($F294&lt;&gt;"",COUNTIF(tblProductos[SKU],$F294)=0)," · SKU no existe","")&amp;IF(OR($I294="",NOT(ISNUMBER($I294)),$I294&lt;=0)," · Cantidad inválida","")&amp;IF($M294="PRECIO PENDIENTE"," · Falta precio de venta","")&amp;IF($P294="COSTO PENDIENTE"," · Falta costo del producto","")&amp;IF(AND(ISNUMBER($Q294),$Q294&lt;0)," · UTILIDAD NEGATIVA","")&amp;IF(AND($F294&lt;&gt;"",ISNUMBER(INDEX(tblInventario[Stock actual],MATCH($F294,tblInventario[SKU],0))),INDEX(tblInventario[Stock actual],MATCH($F294,tblInventario[SKU],0))&lt;0)," · Stock negativo del SKU","")&amp;IF(AND($T294="Cobrado",$U294="")," · Cobro sin fecha","")&amp;IF(AND(ISNUMBER($V294),ISNUMBER($N294),$V294&gt;N($N294)+0.01)," · Cobrado &gt; venta neta","")&amp;IF(AND(ISNUMBER($V294),$V294&gt;0,$U294="")," · Monto cobrado sin fecha",""),4,900)))</f>
        <v/>
      </c>
    </row>
    <row r="295">
      <c r="A295" s="51">
        <f>IF(COUNTA($B295,$C295,$D295,$E295,$F295,$I295)=0,"","V-"&amp;TEXT(ROW()-6,"0000"))</f>
        <v/>
      </c>
      <c r="B295" s="41" t="n"/>
      <c r="C295" s="33" t="n"/>
      <c r="D295" s="33" t="n"/>
      <c r="E295" s="33" t="n"/>
      <c r="F295" s="33" t="n"/>
      <c r="G295" s="51">
        <f>IF($F295="","",IFERROR(IF(INDEX(tblProductos[Nombre del producto],MATCH($F295,tblProductos[SKU],0))="","",INDEX(tblProductos[Nombre del producto],MATCH($F295,tblProductos[SKU],0))),""))</f>
        <v/>
      </c>
      <c r="H295" s="51">
        <f>IF($F295="","",IFERROR(IF(INDEX(tblProductos[Categoría],MATCH($F295,tblProductos[SKU],0))="","",INDEX(tblProductos[Categoría],MATCH($F295,tblProductos[SKU],0))),""))</f>
        <v/>
      </c>
      <c r="I295" s="34" t="n"/>
      <c r="J295" s="39">
        <f>IF(OR($B295="",$F295="",$I295=""),"",IF($T295="Anulado",0,$I295))</f>
        <v/>
      </c>
      <c r="K295" s="54">
        <f>IF($F295="","",IFERROR(IF(INDEX(tblProductos[Precio de venta actual],MATCH($F295,tblProductos[SKU],0))="","",INDEX(tblProductos[Precio de venta actual],MATCH($F295,tblProductos[SKU],0))),""))</f>
        <v/>
      </c>
      <c r="L295" s="36" t="n"/>
      <c r="M295" s="37">
        <f>IF($J295="","",IF(NOT(ISNUMBER($K295)),"PRECIO PENDIENTE",$J295*$K295))</f>
        <v/>
      </c>
      <c r="N295" s="37">
        <f>IF($J295="","",IF(NOT(ISNUMBER($M295)),"PRECIO PENDIENTE",$M295-IF(ISNUMBER($L295),$L295,0)))</f>
        <v/>
      </c>
      <c r="O295" s="54">
        <f>IF($F295="","",IFERROR(INDEX(tblInventario[Costo unitario aplicado],MATCH($F295,tblInventario[SKU],0)),""))</f>
        <v/>
      </c>
      <c r="P295" s="37">
        <f>IF($J295="","",IF(NOT(ISNUMBER($O295)),"COSTO PENDIENTE",$J295*$O295))</f>
        <v/>
      </c>
      <c r="Q295" s="37">
        <f>IF($J295="","",IF(OR(NOT(ISNUMBER($N295)),NOT(ISNUMBER($P295))),"PENDIENTE",$N295-$P295))</f>
        <v/>
      </c>
      <c r="R295" s="38">
        <f>IF($J295="","",IF(OR(NOT(ISNUMBER($Q295)),NOT(ISNUMBER($N295)),$N295&lt;=0),"PENDIENTE",$Q295/$N295))</f>
        <v/>
      </c>
      <c r="S295" s="33" t="n"/>
      <c r="T295" s="33" t="n"/>
      <c r="U295" s="41" t="n"/>
      <c r="V295" s="36" t="n"/>
      <c r="W295" s="37">
        <f>IF(NOT(ISNUMBER($N295)),"",$N295-IF(ISNUMBER($V295),$V295,0))</f>
        <v/>
      </c>
      <c r="X295" s="33" t="n"/>
      <c r="Y295" s="51">
        <f>IF(COUNTA($B295,$C295,$D295,$E295,$F295,$I295)=0,"",IF(IF($B295=""," · Falta fecha","")&amp;IF($D295=""," · Falta cliente","")&amp;IF($E295=""," · Falta canal","")&amp;IF($F295=""," · Falta SKU","")&amp;IF(AND($F295&lt;&gt;"",COUNTIF(tblProductos[SKU],$F295)=0)," · SKU no existe","")&amp;IF(OR($I295="",NOT(ISNUMBER($I295)),$I295&lt;=0)," · Cantidad inválida","")&amp;IF($M295="PRECIO PENDIENTE"," · Falta precio de venta","")&amp;IF($P295="COSTO PENDIENTE"," · Falta costo del producto","")&amp;IF(AND(ISNUMBER($Q295),$Q295&lt;0)," · UTILIDAD NEGATIVA","")&amp;IF(AND($F295&lt;&gt;"",ISNUMBER(INDEX(tblInventario[Stock actual],MATCH($F295,tblInventario[SKU],0))),INDEX(tblInventario[Stock actual],MATCH($F295,tblInventario[SKU],0))&lt;0)," · Stock negativo del SKU","")&amp;IF(AND($T295="Cobrado",$U295="")," · Cobro sin fecha","")&amp;IF(AND(ISNUMBER($V295),ISNUMBER($N295),$V295&gt;N($N295)+0.01)," · Cobrado &gt; venta neta","")&amp;IF(AND(ISNUMBER($V295),$V295&gt;0,$U295="")," · Monto cobrado sin fecha","")="","OK",MID(IF($B295=""," · Falta fecha","")&amp;IF($D295=""," · Falta cliente","")&amp;IF($E295=""," · Falta canal","")&amp;IF($F295=""," · Falta SKU","")&amp;IF(AND($F295&lt;&gt;"",COUNTIF(tblProductos[SKU],$F295)=0)," · SKU no existe","")&amp;IF(OR($I295="",NOT(ISNUMBER($I295)),$I295&lt;=0)," · Cantidad inválida","")&amp;IF($M295="PRECIO PENDIENTE"," · Falta precio de venta","")&amp;IF($P295="COSTO PENDIENTE"," · Falta costo del producto","")&amp;IF(AND(ISNUMBER($Q295),$Q295&lt;0)," · UTILIDAD NEGATIVA","")&amp;IF(AND($F295&lt;&gt;"",ISNUMBER(INDEX(tblInventario[Stock actual],MATCH($F295,tblInventario[SKU],0))),INDEX(tblInventario[Stock actual],MATCH($F295,tblInventario[SKU],0))&lt;0)," · Stock negativo del SKU","")&amp;IF(AND($T295="Cobrado",$U295="")," · Cobro sin fecha","")&amp;IF(AND(ISNUMBER($V295),ISNUMBER($N295),$V295&gt;N($N295)+0.01)," · Cobrado &gt; venta neta","")&amp;IF(AND(ISNUMBER($V295),$V295&gt;0,$U295="")," · Monto cobrado sin fecha",""),4,900)))</f>
        <v/>
      </c>
    </row>
    <row r="296">
      <c r="A296" s="51">
        <f>IF(COUNTA($B296,$C296,$D296,$E296,$F296,$I296)=0,"","V-"&amp;TEXT(ROW()-6,"0000"))</f>
        <v/>
      </c>
      <c r="B296" s="41" t="n"/>
      <c r="C296" s="33" t="n"/>
      <c r="D296" s="33" t="n"/>
      <c r="E296" s="33" t="n"/>
      <c r="F296" s="33" t="n"/>
      <c r="G296" s="51">
        <f>IF($F296="","",IFERROR(IF(INDEX(tblProductos[Nombre del producto],MATCH($F296,tblProductos[SKU],0))="","",INDEX(tblProductos[Nombre del producto],MATCH($F296,tblProductos[SKU],0))),""))</f>
        <v/>
      </c>
      <c r="H296" s="51">
        <f>IF($F296="","",IFERROR(IF(INDEX(tblProductos[Categoría],MATCH($F296,tblProductos[SKU],0))="","",INDEX(tblProductos[Categoría],MATCH($F296,tblProductos[SKU],0))),""))</f>
        <v/>
      </c>
      <c r="I296" s="34" t="n"/>
      <c r="J296" s="39">
        <f>IF(OR($B296="",$F296="",$I296=""),"",IF($T296="Anulado",0,$I296))</f>
        <v/>
      </c>
      <c r="K296" s="54">
        <f>IF($F296="","",IFERROR(IF(INDEX(tblProductos[Precio de venta actual],MATCH($F296,tblProductos[SKU],0))="","",INDEX(tblProductos[Precio de venta actual],MATCH($F296,tblProductos[SKU],0))),""))</f>
        <v/>
      </c>
      <c r="L296" s="36" t="n"/>
      <c r="M296" s="37">
        <f>IF($J296="","",IF(NOT(ISNUMBER($K296)),"PRECIO PENDIENTE",$J296*$K296))</f>
        <v/>
      </c>
      <c r="N296" s="37">
        <f>IF($J296="","",IF(NOT(ISNUMBER($M296)),"PRECIO PENDIENTE",$M296-IF(ISNUMBER($L296),$L296,0)))</f>
        <v/>
      </c>
      <c r="O296" s="54">
        <f>IF($F296="","",IFERROR(INDEX(tblInventario[Costo unitario aplicado],MATCH($F296,tblInventario[SKU],0)),""))</f>
        <v/>
      </c>
      <c r="P296" s="37">
        <f>IF($J296="","",IF(NOT(ISNUMBER($O296)),"COSTO PENDIENTE",$J296*$O296))</f>
        <v/>
      </c>
      <c r="Q296" s="37">
        <f>IF($J296="","",IF(OR(NOT(ISNUMBER($N296)),NOT(ISNUMBER($P296))),"PENDIENTE",$N296-$P296))</f>
        <v/>
      </c>
      <c r="R296" s="38">
        <f>IF($J296="","",IF(OR(NOT(ISNUMBER($Q296)),NOT(ISNUMBER($N296)),$N296&lt;=0),"PENDIENTE",$Q296/$N296))</f>
        <v/>
      </c>
      <c r="S296" s="33" t="n"/>
      <c r="T296" s="33" t="n"/>
      <c r="U296" s="41" t="n"/>
      <c r="V296" s="36" t="n"/>
      <c r="W296" s="37">
        <f>IF(NOT(ISNUMBER($N296)),"",$N296-IF(ISNUMBER($V296),$V296,0))</f>
        <v/>
      </c>
      <c r="X296" s="33" t="n"/>
      <c r="Y296" s="51">
        <f>IF(COUNTA($B296,$C296,$D296,$E296,$F296,$I296)=0,"",IF(IF($B296=""," · Falta fecha","")&amp;IF($D296=""," · Falta cliente","")&amp;IF($E296=""," · Falta canal","")&amp;IF($F296=""," · Falta SKU","")&amp;IF(AND($F296&lt;&gt;"",COUNTIF(tblProductos[SKU],$F296)=0)," · SKU no existe","")&amp;IF(OR($I296="",NOT(ISNUMBER($I296)),$I296&lt;=0)," · Cantidad inválida","")&amp;IF($M296="PRECIO PENDIENTE"," · Falta precio de venta","")&amp;IF($P296="COSTO PENDIENTE"," · Falta costo del producto","")&amp;IF(AND(ISNUMBER($Q296),$Q296&lt;0)," · UTILIDAD NEGATIVA","")&amp;IF(AND($F296&lt;&gt;"",ISNUMBER(INDEX(tblInventario[Stock actual],MATCH($F296,tblInventario[SKU],0))),INDEX(tblInventario[Stock actual],MATCH($F296,tblInventario[SKU],0))&lt;0)," · Stock negativo del SKU","")&amp;IF(AND($T296="Cobrado",$U296="")," · Cobro sin fecha","")&amp;IF(AND(ISNUMBER($V296),ISNUMBER($N296),$V296&gt;N($N296)+0.01)," · Cobrado &gt; venta neta","")&amp;IF(AND(ISNUMBER($V296),$V296&gt;0,$U296="")," · Monto cobrado sin fecha","")="","OK",MID(IF($B296=""," · Falta fecha","")&amp;IF($D296=""," · Falta cliente","")&amp;IF($E296=""," · Falta canal","")&amp;IF($F296=""," · Falta SKU","")&amp;IF(AND($F296&lt;&gt;"",COUNTIF(tblProductos[SKU],$F296)=0)," · SKU no existe","")&amp;IF(OR($I296="",NOT(ISNUMBER($I296)),$I296&lt;=0)," · Cantidad inválida","")&amp;IF($M296="PRECIO PENDIENTE"," · Falta precio de venta","")&amp;IF($P296="COSTO PENDIENTE"," · Falta costo del producto","")&amp;IF(AND(ISNUMBER($Q296),$Q296&lt;0)," · UTILIDAD NEGATIVA","")&amp;IF(AND($F296&lt;&gt;"",ISNUMBER(INDEX(tblInventario[Stock actual],MATCH($F296,tblInventario[SKU],0))),INDEX(tblInventario[Stock actual],MATCH($F296,tblInventario[SKU],0))&lt;0)," · Stock negativo del SKU","")&amp;IF(AND($T296="Cobrado",$U296="")," · Cobro sin fecha","")&amp;IF(AND(ISNUMBER($V296),ISNUMBER($N296),$V296&gt;N($N296)+0.01)," · Cobrado &gt; venta neta","")&amp;IF(AND(ISNUMBER($V296),$V296&gt;0,$U296="")," · Monto cobrado sin fecha",""),4,900)))</f>
        <v/>
      </c>
    </row>
    <row r="297">
      <c r="A297" s="51">
        <f>IF(COUNTA($B297,$C297,$D297,$E297,$F297,$I297)=0,"","V-"&amp;TEXT(ROW()-6,"0000"))</f>
        <v/>
      </c>
      <c r="B297" s="41" t="n"/>
      <c r="C297" s="33" t="n"/>
      <c r="D297" s="33" t="n"/>
      <c r="E297" s="33" t="n"/>
      <c r="F297" s="33" t="n"/>
      <c r="G297" s="51">
        <f>IF($F297="","",IFERROR(IF(INDEX(tblProductos[Nombre del producto],MATCH($F297,tblProductos[SKU],0))="","",INDEX(tblProductos[Nombre del producto],MATCH($F297,tblProductos[SKU],0))),""))</f>
        <v/>
      </c>
      <c r="H297" s="51">
        <f>IF($F297="","",IFERROR(IF(INDEX(tblProductos[Categoría],MATCH($F297,tblProductos[SKU],0))="","",INDEX(tblProductos[Categoría],MATCH($F297,tblProductos[SKU],0))),""))</f>
        <v/>
      </c>
      <c r="I297" s="34" t="n"/>
      <c r="J297" s="39">
        <f>IF(OR($B297="",$F297="",$I297=""),"",IF($T297="Anulado",0,$I297))</f>
        <v/>
      </c>
      <c r="K297" s="54">
        <f>IF($F297="","",IFERROR(IF(INDEX(tblProductos[Precio de venta actual],MATCH($F297,tblProductos[SKU],0))="","",INDEX(tblProductos[Precio de venta actual],MATCH($F297,tblProductos[SKU],0))),""))</f>
        <v/>
      </c>
      <c r="L297" s="36" t="n"/>
      <c r="M297" s="37">
        <f>IF($J297="","",IF(NOT(ISNUMBER($K297)),"PRECIO PENDIENTE",$J297*$K297))</f>
        <v/>
      </c>
      <c r="N297" s="37">
        <f>IF($J297="","",IF(NOT(ISNUMBER($M297)),"PRECIO PENDIENTE",$M297-IF(ISNUMBER($L297),$L297,0)))</f>
        <v/>
      </c>
      <c r="O297" s="54">
        <f>IF($F297="","",IFERROR(INDEX(tblInventario[Costo unitario aplicado],MATCH($F297,tblInventario[SKU],0)),""))</f>
        <v/>
      </c>
      <c r="P297" s="37">
        <f>IF($J297="","",IF(NOT(ISNUMBER($O297)),"COSTO PENDIENTE",$J297*$O297))</f>
        <v/>
      </c>
      <c r="Q297" s="37">
        <f>IF($J297="","",IF(OR(NOT(ISNUMBER($N297)),NOT(ISNUMBER($P297))),"PENDIENTE",$N297-$P297))</f>
        <v/>
      </c>
      <c r="R297" s="38">
        <f>IF($J297="","",IF(OR(NOT(ISNUMBER($Q297)),NOT(ISNUMBER($N297)),$N297&lt;=0),"PENDIENTE",$Q297/$N297))</f>
        <v/>
      </c>
      <c r="S297" s="33" t="n"/>
      <c r="T297" s="33" t="n"/>
      <c r="U297" s="41" t="n"/>
      <c r="V297" s="36" t="n"/>
      <c r="W297" s="37">
        <f>IF(NOT(ISNUMBER($N297)),"",$N297-IF(ISNUMBER($V297),$V297,0))</f>
        <v/>
      </c>
      <c r="X297" s="33" t="n"/>
      <c r="Y297" s="51">
        <f>IF(COUNTA($B297,$C297,$D297,$E297,$F297,$I297)=0,"",IF(IF($B297=""," · Falta fecha","")&amp;IF($D297=""," · Falta cliente","")&amp;IF($E297=""," · Falta canal","")&amp;IF($F297=""," · Falta SKU","")&amp;IF(AND($F297&lt;&gt;"",COUNTIF(tblProductos[SKU],$F297)=0)," · SKU no existe","")&amp;IF(OR($I297="",NOT(ISNUMBER($I297)),$I297&lt;=0)," · Cantidad inválida","")&amp;IF($M297="PRECIO PENDIENTE"," · Falta precio de venta","")&amp;IF($P297="COSTO PENDIENTE"," · Falta costo del producto","")&amp;IF(AND(ISNUMBER($Q297),$Q297&lt;0)," · UTILIDAD NEGATIVA","")&amp;IF(AND($F297&lt;&gt;"",ISNUMBER(INDEX(tblInventario[Stock actual],MATCH($F297,tblInventario[SKU],0))),INDEX(tblInventario[Stock actual],MATCH($F297,tblInventario[SKU],0))&lt;0)," · Stock negativo del SKU","")&amp;IF(AND($T297="Cobrado",$U297="")," · Cobro sin fecha","")&amp;IF(AND(ISNUMBER($V297),ISNUMBER($N297),$V297&gt;N($N297)+0.01)," · Cobrado &gt; venta neta","")&amp;IF(AND(ISNUMBER($V297),$V297&gt;0,$U297="")," · Monto cobrado sin fecha","")="","OK",MID(IF($B297=""," · Falta fecha","")&amp;IF($D297=""," · Falta cliente","")&amp;IF($E297=""," · Falta canal","")&amp;IF($F297=""," · Falta SKU","")&amp;IF(AND($F297&lt;&gt;"",COUNTIF(tblProductos[SKU],$F297)=0)," · SKU no existe","")&amp;IF(OR($I297="",NOT(ISNUMBER($I297)),$I297&lt;=0)," · Cantidad inválida","")&amp;IF($M297="PRECIO PENDIENTE"," · Falta precio de venta","")&amp;IF($P297="COSTO PENDIENTE"," · Falta costo del producto","")&amp;IF(AND(ISNUMBER($Q297),$Q297&lt;0)," · UTILIDAD NEGATIVA","")&amp;IF(AND($F297&lt;&gt;"",ISNUMBER(INDEX(tblInventario[Stock actual],MATCH($F297,tblInventario[SKU],0))),INDEX(tblInventario[Stock actual],MATCH($F297,tblInventario[SKU],0))&lt;0)," · Stock negativo del SKU","")&amp;IF(AND($T297="Cobrado",$U297="")," · Cobro sin fecha","")&amp;IF(AND(ISNUMBER($V297),ISNUMBER($N297),$V297&gt;N($N297)+0.01)," · Cobrado &gt; venta neta","")&amp;IF(AND(ISNUMBER($V297),$V297&gt;0,$U297="")," · Monto cobrado sin fecha",""),4,900)))</f>
        <v/>
      </c>
    </row>
    <row r="298">
      <c r="A298" s="51">
        <f>IF(COUNTA($B298,$C298,$D298,$E298,$F298,$I298)=0,"","V-"&amp;TEXT(ROW()-6,"0000"))</f>
        <v/>
      </c>
      <c r="B298" s="41" t="n"/>
      <c r="C298" s="33" t="n"/>
      <c r="D298" s="33" t="n"/>
      <c r="E298" s="33" t="n"/>
      <c r="F298" s="33" t="n"/>
      <c r="G298" s="51">
        <f>IF($F298="","",IFERROR(IF(INDEX(tblProductos[Nombre del producto],MATCH($F298,tblProductos[SKU],0))="","",INDEX(tblProductos[Nombre del producto],MATCH($F298,tblProductos[SKU],0))),""))</f>
        <v/>
      </c>
      <c r="H298" s="51">
        <f>IF($F298="","",IFERROR(IF(INDEX(tblProductos[Categoría],MATCH($F298,tblProductos[SKU],0))="","",INDEX(tblProductos[Categoría],MATCH($F298,tblProductos[SKU],0))),""))</f>
        <v/>
      </c>
      <c r="I298" s="34" t="n"/>
      <c r="J298" s="39">
        <f>IF(OR($B298="",$F298="",$I298=""),"",IF($T298="Anulado",0,$I298))</f>
        <v/>
      </c>
      <c r="K298" s="54">
        <f>IF($F298="","",IFERROR(IF(INDEX(tblProductos[Precio de venta actual],MATCH($F298,tblProductos[SKU],0))="","",INDEX(tblProductos[Precio de venta actual],MATCH($F298,tblProductos[SKU],0))),""))</f>
        <v/>
      </c>
      <c r="L298" s="36" t="n"/>
      <c r="M298" s="37">
        <f>IF($J298="","",IF(NOT(ISNUMBER($K298)),"PRECIO PENDIENTE",$J298*$K298))</f>
        <v/>
      </c>
      <c r="N298" s="37">
        <f>IF($J298="","",IF(NOT(ISNUMBER($M298)),"PRECIO PENDIENTE",$M298-IF(ISNUMBER($L298),$L298,0)))</f>
        <v/>
      </c>
      <c r="O298" s="54">
        <f>IF($F298="","",IFERROR(INDEX(tblInventario[Costo unitario aplicado],MATCH($F298,tblInventario[SKU],0)),""))</f>
        <v/>
      </c>
      <c r="P298" s="37">
        <f>IF($J298="","",IF(NOT(ISNUMBER($O298)),"COSTO PENDIENTE",$J298*$O298))</f>
        <v/>
      </c>
      <c r="Q298" s="37">
        <f>IF($J298="","",IF(OR(NOT(ISNUMBER($N298)),NOT(ISNUMBER($P298))),"PENDIENTE",$N298-$P298))</f>
        <v/>
      </c>
      <c r="R298" s="38">
        <f>IF($J298="","",IF(OR(NOT(ISNUMBER($Q298)),NOT(ISNUMBER($N298)),$N298&lt;=0),"PENDIENTE",$Q298/$N298))</f>
        <v/>
      </c>
      <c r="S298" s="33" t="n"/>
      <c r="T298" s="33" t="n"/>
      <c r="U298" s="41" t="n"/>
      <c r="V298" s="36" t="n"/>
      <c r="W298" s="37">
        <f>IF(NOT(ISNUMBER($N298)),"",$N298-IF(ISNUMBER($V298),$V298,0))</f>
        <v/>
      </c>
      <c r="X298" s="33" t="n"/>
      <c r="Y298" s="51">
        <f>IF(COUNTA($B298,$C298,$D298,$E298,$F298,$I298)=0,"",IF(IF($B298=""," · Falta fecha","")&amp;IF($D298=""," · Falta cliente","")&amp;IF($E298=""," · Falta canal","")&amp;IF($F298=""," · Falta SKU","")&amp;IF(AND($F298&lt;&gt;"",COUNTIF(tblProductos[SKU],$F298)=0)," · SKU no existe","")&amp;IF(OR($I298="",NOT(ISNUMBER($I298)),$I298&lt;=0)," · Cantidad inválida","")&amp;IF($M298="PRECIO PENDIENTE"," · Falta precio de venta","")&amp;IF($P298="COSTO PENDIENTE"," · Falta costo del producto","")&amp;IF(AND(ISNUMBER($Q298),$Q298&lt;0)," · UTILIDAD NEGATIVA","")&amp;IF(AND($F298&lt;&gt;"",ISNUMBER(INDEX(tblInventario[Stock actual],MATCH($F298,tblInventario[SKU],0))),INDEX(tblInventario[Stock actual],MATCH($F298,tblInventario[SKU],0))&lt;0)," · Stock negativo del SKU","")&amp;IF(AND($T298="Cobrado",$U298="")," · Cobro sin fecha","")&amp;IF(AND(ISNUMBER($V298),ISNUMBER($N298),$V298&gt;N($N298)+0.01)," · Cobrado &gt; venta neta","")&amp;IF(AND(ISNUMBER($V298),$V298&gt;0,$U298="")," · Monto cobrado sin fecha","")="","OK",MID(IF($B298=""," · Falta fecha","")&amp;IF($D298=""," · Falta cliente","")&amp;IF($E298=""," · Falta canal","")&amp;IF($F298=""," · Falta SKU","")&amp;IF(AND($F298&lt;&gt;"",COUNTIF(tblProductos[SKU],$F298)=0)," · SKU no existe","")&amp;IF(OR($I298="",NOT(ISNUMBER($I298)),$I298&lt;=0)," · Cantidad inválida","")&amp;IF($M298="PRECIO PENDIENTE"," · Falta precio de venta","")&amp;IF($P298="COSTO PENDIENTE"," · Falta costo del producto","")&amp;IF(AND(ISNUMBER($Q298),$Q298&lt;0)," · UTILIDAD NEGATIVA","")&amp;IF(AND($F298&lt;&gt;"",ISNUMBER(INDEX(tblInventario[Stock actual],MATCH($F298,tblInventario[SKU],0))),INDEX(tblInventario[Stock actual],MATCH($F298,tblInventario[SKU],0))&lt;0)," · Stock negativo del SKU","")&amp;IF(AND($T298="Cobrado",$U298="")," · Cobro sin fecha","")&amp;IF(AND(ISNUMBER($V298),ISNUMBER($N298),$V298&gt;N($N298)+0.01)," · Cobrado &gt; venta neta","")&amp;IF(AND(ISNUMBER($V298),$V298&gt;0,$U298="")," · Monto cobrado sin fecha",""),4,900)))</f>
        <v/>
      </c>
    </row>
    <row r="299">
      <c r="A299" s="51">
        <f>IF(COUNTA($B299,$C299,$D299,$E299,$F299,$I299)=0,"","V-"&amp;TEXT(ROW()-6,"0000"))</f>
        <v/>
      </c>
      <c r="B299" s="41" t="n"/>
      <c r="C299" s="33" t="n"/>
      <c r="D299" s="33" t="n"/>
      <c r="E299" s="33" t="n"/>
      <c r="F299" s="33" t="n"/>
      <c r="G299" s="51">
        <f>IF($F299="","",IFERROR(IF(INDEX(tblProductos[Nombre del producto],MATCH($F299,tblProductos[SKU],0))="","",INDEX(tblProductos[Nombre del producto],MATCH($F299,tblProductos[SKU],0))),""))</f>
        <v/>
      </c>
      <c r="H299" s="51">
        <f>IF($F299="","",IFERROR(IF(INDEX(tblProductos[Categoría],MATCH($F299,tblProductos[SKU],0))="","",INDEX(tblProductos[Categoría],MATCH($F299,tblProductos[SKU],0))),""))</f>
        <v/>
      </c>
      <c r="I299" s="34" t="n"/>
      <c r="J299" s="39">
        <f>IF(OR($B299="",$F299="",$I299=""),"",IF($T299="Anulado",0,$I299))</f>
        <v/>
      </c>
      <c r="K299" s="54">
        <f>IF($F299="","",IFERROR(IF(INDEX(tblProductos[Precio de venta actual],MATCH($F299,tblProductos[SKU],0))="","",INDEX(tblProductos[Precio de venta actual],MATCH($F299,tblProductos[SKU],0))),""))</f>
        <v/>
      </c>
      <c r="L299" s="36" t="n"/>
      <c r="M299" s="37">
        <f>IF($J299="","",IF(NOT(ISNUMBER($K299)),"PRECIO PENDIENTE",$J299*$K299))</f>
        <v/>
      </c>
      <c r="N299" s="37">
        <f>IF($J299="","",IF(NOT(ISNUMBER($M299)),"PRECIO PENDIENTE",$M299-IF(ISNUMBER($L299),$L299,0)))</f>
        <v/>
      </c>
      <c r="O299" s="54">
        <f>IF($F299="","",IFERROR(INDEX(tblInventario[Costo unitario aplicado],MATCH($F299,tblInventario[SKU],0)),""))</f>
        <v/>
      </c>
      <c r="P299" s="37">
        <f>IF($J299="","",IF(NOT(ISNUMBER($O299)),"COSTO PENDIENTE",$J299*$O299))</f>
        <v/>
      </c>
      <c r="Q299" s="37">
        <f>IF($J299="","",IF(OR(NOT(ISNUMBER($N299)),NOT(ISNUMBER($P299))),"PENDIENTE",$N299-$P299))</f>
        <v/>
      </c>
      <c r="R299" s="38">
        <f>IF($J299="","",IF(OR(NOT(ISNUMBER($Q299)),NOT(ISNUMBER($N299)),$N299&lt;=0),"PENDIENTE",$Q299/$N299))</f>
        <v/>
      </c>
      <c r="S299" s="33" t="n"/>
      <c r="T299" s="33" t="n"/>
      <c r="U299" s="41" t="n"/>
      <c r="V299" s="36" t="n"/>
      <c r="W299" s="37">
        <f>IF(NOT(ISNUMBER($N299)),"",$N299-IF(ISNUMBER($V299),$V299,0))</f>
        <v/>
      </c>
      <c r="X299" s="33" t="n"/>
      <c r="Y299" s="51">
        <f>IF(COUNTA($B299,$C299,$D299,$E299,$F299,$I299)=0,"",IF(IF($B299=""," · Falta fecha","")&amp;IF($D299=""," · Falta cliente","")&amp;IF($E299=""," · Falta canal","")&amp;IF($F299=""," · Falta SKU","")&amp;IF(AND($F299&lt;&gt;"",COUNTIF(tblProductos[SKU],$F299)=0)," · SKU no existe","")&amp;IF(OR($I299="",NOT(ISNUMBER($I299)),$I299&lt;=0)," · Cantidad inválida","")&amp;IF($M299="PRECIO PENDIENTE"," · Falta precio de venta","")&amp;IF($P299="COSTO PENDIENTE"," · Falta costo del producto","")&amp;IF(AND(ISNUMBER($Q299),$Q299&lt;0)," · UTILIDAD NEGATIVA","")&amp;IF(AND($F299&lt;&gt;"",ISNUMBER(INDEX(tblInventario[Stock actual],MATCH($F299,tblInventario[SKU],0))),INDEX(tblInventario[Stock actual],MATCH($F299,tblInventario[SKU],0))&lt;0)," · Stock negativo del SKU","")&amp;IF(AND($T299="Cobrado",$U299="")," · Cobro sin fecha","")&amp;IF(AND(ISNUMBER($V299),ISNUMBER($N299),$V299&gt;N($N299)+0.01)," · Cobrado &gt; venta neta","")&amp;IF(AND(ISNUMBER($V299),$V299&gt;0,$U299="")," · Monto cobrado sin fecha","")="","OK",MID(IF($B299=""," · Falta fecha","")&amp;IF($D299=""," · Falta cliente","")&amp;IF($E299=""," · Falta canal","")&amp;IF($F299=""," · Falta SKU","")&amp;IF(AND($F299&lt;&gt;"",COUNTIF(tblProductos[SKU],$F299)=0)," · SKU no existe","")&amp;IF(OR($I299="",NOT(ISNUMBER($I299)),$I299&lt;=0)," · Cantidad inválida","")&amp;IF($M299="PRECIO PENDIENTE"," · Falta precio de venta","")&amp;IF($P299="COSTO PENDIENTE"," · Falta costo del producto","")&amp;IF(AND(ISNUMBER($Q299),$Q299&lt;0)," · UTILIDAD NEGATIVA","")&amp;IF(AND($F299&lt;&gt;"",ISNUMBER(INDEX(tblInventario[Stock actual],MATCH($F299,tblInventario[SKU],0))),INDEX(tblInventario[Stock actual],MATCH($F299,tblInventario[SKU],0))&lt;0)," · Stock negativo del SKU","")&amp;IF(AND($T299="Cobrado",$U299="")," · Cobro sin fecha","")&amp;IF(AND(ISNUMBER($V299),ISNUMBER($N299),$V299&gt;N($N299)+0.01)," · Cobrado &gt; venta neta","")&amp;IF(AND(ISNUMBER($V299),$V299&gt;0,$U299="")," · Monto cobrado sin fecha",""),4,900)))</f>
        <v/>
      </c>
    </row>
    <row r="300">
      <c r="A300" s="51">
        <f>IF(COUNTA($B300,$C300,$D300,$E300,$F300,$I300)=0,"","V-"&amp;TEXT(ROW()-6,"0000"))</f>
        <v/>
      </c>
      <c r="B300" s="41" t="n"/>
      <c r="C300" s="33" t="n"/>
      <c r="D300" s="33" t="n"/>
      <c r="E300" s="33" t="n"/>
      <c r="F300" s="33" t="n"/>
      <c r="G300" s="51">
        <f>IF($F300="","",IFERROR(IF(INDEX(tblProductos[Nombre del producto],MATCH($F300,tblProductos[SKU],0))="","",INDEX(tblProductos[Nombre del producto],MATCH($F300,tblProductos[SKU],0))),""))</f>
        <v/>
      </c>
      <c r="H300" s="51">
        <f>IF($F300="","",IFERROR(IF(INDEX(tblProductos[Categoría],MATCH($F300,tblProductos[SKU],0))="","",INDEX(tblProductos[Categoría],MATCH($F300,tblProductos[SKU],0))),""))</f>
        <v/>
      </c>
      <c r="I300" s="34" t="n"/>
      <c r="J300" s="39">
        <f>IF(OR($B300="",$F300="",$I300=""),"",IF($T300="Anulado",0,$I300))</f>
        <v/>
      </c>
      <c r="K300" s="54">
        <f>IF($F300="","",IFERROR(IF(INDEX(tblProductos[Precio de venta actual],MATCH($F300,tblProductos[SKU],0))="","",INDEX(tblProductos[Precio de venta actual],MATCH($F300,tblProductos[SKU],0))),""))</f>
        <v/>
      </c>
      <c r="L300" s="36" t="n"/>
      <c r="M300" s="37">
        <f>IF($J300="","",IF(NOT(ISNUMBER($K300)),"PRECIO PENDIENTE",$J300*$K300))</f>
        <v/>
      </c>
      <c r="N300" s="37">
        <f>IF($J300="","",IF(NOT(ISNUMBER($M300)),"PRECIO PENDIENTE",$M300-IF(ISNUMBER($L300),$L300,0)))</f>
        <v/>
      </c>
      <c r="O300" s="54">
        <f>IF($F300="","",IFERROR(INDEX(tblInventario[Costo unitario aplicado],MATCH($F300,tblInventario[SKU],0)),""))</f>
        <v/>
      </c>
      <c r="P300" s="37">
        <f>IF($J300="","",IF(NOT(ISNUMBER($O300)),"COSTO PENDIENTE",$J300*$O300))</f>
        <v/>
      </c>
      <c r="Q300" s="37">
        <f>IF($J300="","",IF(OR(NOT(ISNUMBER($N300)),NOT(ISNUMBER($P300))),"PENDIENTE",$N300-$P300))</f>
        <v/>
      </c>
      <c r="R300" s="38">
        <f>IF($J300="","",IF(OR(NOT(ISNUMBER($Q300)),NOT(ISNUMBER($N300)),$N300&lt;=0),"PENDIENTE",$Q300/$N300))</f>
        <v/>
      </c>
      <c r="S300" s="33" t="n"/>
      <c r="T300" s="33" t="n"/>
      <c r="U300" s="41" t="n"/>
      <c r="V300" s="36" t="n"/>
      <c r="W300" s="37">
        <f>IF(NOT(ISNUMBER($N300)),"",$N300-IF(ISNUMBER($V300),$V300,0))</f>
        <v/>
      </c>
      <c r="X300" s="33" t="n"/>
      <c r="Y300" s="51">
        <f>IF(COUNTA($B300,$C300,$D300,$E300,$F300,$I300)=0,"",IF(IF($B300=""," · Falta fecha","")&amp;IF($D300=""," · Falta cliente","")&amp;IF($E300=""," · Falta canal","")&amp;IF($F300=""," · Falta SKU","")&amp;IF(AND($F300&lt;&gt;"",COUNTIF(tblProductos[SKU],$F300)=0)," · SKU no existe","")&amp;IF(OR($I300="",NOT(ISNUMBER($I300)),$I300&lt;=0)," · Cantidad inválida","")&amp;IF($M300="PRECIO PENDIENTE"," · Falta precio de venta","")&amp;IF($P300="COSTO PENDIENTE"," · Falta costo del producto","")&amp;IF(AND(ISNUMBER($Q300),$Q300&lt;0)," · UTILIDAD NEGATIVA","")&amp;IF(AND($F300&lt;&gt;"",ISNUMBER(INDEX(tblInventario[Stock actual],MATCH($F300,tblInventario[SKU],0))),INDEX(tblInventario[Stock actual],MATCH($F300,tblInventario[SKU],0))&lt;0)," · Stock negativo del SKU","")&amp;IF(AND($T300="Cobrado",$U300="")," · Cobro sin fecha","")&amp;IF(AND(ISNUMBER($V300),ISNUMBER($N300),$V300&gt;N($N300)+0.01)," · Cobrado &gt; venta neta","")&amp;IF(AND(ISNUMBER($V300),$V300&gt;0,$U300="")," · Monto cobrado sin fecha","")="","OK",MID(IF($B300=""," · Falta fecha","")&amp;IF($D300=""," · Falta cliente","")&amp;IF($E300=""," · Falta canal","")&amp;IF($F300=""," · Falta SKU","")&amp;IF(AND($F300&lt;&gt;"",COUNTIF(tblProductos[SKU],$F300)=0)," · SKU no existe","")&amp;IF(OR($I300="",NOT(ISNUMBER($I300)),$I300&lt;=0)," · Cantidad inválida","")&amp;IF($M300="PRECIO PENDIENTE"," · Falta precio de venta","")&amp;IF($P300="COSTO PENDIENTE"," · Falta costo del producto","")&amp;IF(AND(ISNUMBER($Q300),$Q300&lt;0)," · UTILIDAD NEGATIVA","")&amp;IF(AND($F300&lt;&gt;"",ISNUMBER(INDEX(tblInventario[Stock actual],MATCH($F300,tblInventario[SKU],0))),INDEX(tblInventario[Stock actual],MATCH($F300,tblInventario[SKU],0))&lt;0)," · Stock negativo del SKU","")&amp;IF(AND($T300="Cobrado",$U300="")," · Cobro sin fecha","")&amp;IF(AND(ISNUMBER($V300),ISNUMBER($N300),$V300&gt;N($N300)+0.01)," · Cobrado &gt; venta neta","")&amp;IF(AND(ISNUMBER($V300),$V300&gt;0,$U300="")," · Monto cobrado sin fecha",""),4,900)))</f>
        <v/>
      </c>
    </row>
    <row r="301">
      <c r="A301" s="51">
        <f>IF(COUNTA($B301,$C301,$D301,$E301,$F301,$I301)=0,"","V-"&amp;TEXT(ROW()-6,"0000"))</f>
        <v/>
      </c>
      <c r="B301" s="41" t="n"/>
      <c r="C301" s="33" t="n"/>
      <c r="D301" s="33" t="n"/>
      <c r="E301" s="33" t="n"/>
      <c r="F301" s="33" t="n"/>
      <c r="G301" s="51">
        <f>IF($F301="","",IFERROR(IF(INDEX(tblProductos[Nombre del producto],MATCH($F301,tblProductos[SKU],0))="","",INDEX(tblProductos[Nombre del producto],MATCH($F301,tblProductos[SKU],0))),""))</f>
        <v/>
      </c>
      <c r="H301" s="51">
        <f>IF($F301="","",IFERROR(IF(INDEX(tblProductos[Categoría],MATCH($F301,tblProductos[SKU],0))="","",INDEX(tblProductos[Categoría],MATCH($F301,tblProductos[SKU],0))),""))</f>
        <v/>
      </c>
      <c r="I301" s="34" t="n"/>
      <c r="J301" s="39">
        <f>IF(OR($B301="",$F301="",$I301=""),"",IF($T301="Anulado",0,$I301))</f>
        <v/>
      </c>
      <c r="K301" s="54">
        <f>IF($F301="","",IFERROR(IF(INDEX(tblProductos[Precio de venta actual],MATCH($F301,tblProductos[SKU],0))="","",INDEX(tblProductos[Precio de venta actual],MATCH($F301,tblProductos[SKU],0))),""))</f>
        <v/>
      </c>
      <c r="L301" s="36" t="n"/>
      <c r="M301" s="37">
        <f>IF($J301="","",IF(NOT(ISNUMBER($K301)),"PRECIO PENDIENTE",$J301*$K301))</f>
        <v/>
      </c>
      <c r="N301" s="37">
        <f>IF($J301="","",IF(NOT(ISNUMBER($M301)),"PRECIO PENDIENTE",$M301-IF(ISNUMBER($L301),$L301,0)))</f>
        <v/>
      </c>
      <c r="O301" s="54">
        <f>IF($F301="","",IFERROR(INDEX(tblInventario[Costo unitario aplicado],MATCH($F301,tblInventario[SKU],0)),""))</f>
        <v/>
      </c>
      <c r="P301" s="37">
        <f>IF($J301="","",IF(NOT(ISNUMBER($O301)),"COSTO PENDIENTE",$J301*$O301))</f>
        <v/>
      </c>
      <c r="Q301" s="37">
        <f>IF($J301="","",IF(OR(NOT(ISNUMBER($N301)),NOT(ISNUMBER($P301))),"PENDIENTE",$N301-$P301))</f>
        <v/>
      </c>
      <c r="R301" s="38">
        <f>IF($J301="","",IF(OR(NOT(ISNUMBER($Q301)),NOT(ISNUMBER($N301)),$N301&lt;=0),"PENDIENTE",$Q301/$N301))</f>
        <v/>
      </c>
      <c r="S301" s="33" t="n"/>
      <c r="T301" s="33" t="n"/>
      <c r="U301" s="41" t="n"/>
      <c r="V301" s="36" t="n"/>
      <c r="W301" s="37">
        <f>IF(NOT(ISNUMBER($N301)),"",$N301-IF(ISNUMBER($V301),$V301,0))</f>
        <v/>
      </c>
      <c r="X301" s="33" t="n"/>
      <c r="Y301" s="51">
        <f>IF(COUNTA($B301,$C301,$D301,$E301,$F301,$I301)=0,"",IF(IF($B301=""," · Falta fecha","")&amp;IF($D301=""," · Falta cliente","")&amp;IF($E301=""," · Falta canal","")&amp;IF($F301=""," · Falta SKU","")&amp;IF(AND($F301&lt;&gt;"",COUNTIF(tblProductos[SKU],$F301)=0)," · SKU no existe","")&amp;IF(OR($I301="",NOT(ISNUMBER($I301)),$I301&lt;=0)," · Cantidad inválida","")&amp;IF($M301="PRECIO PENDIENTE"," · Falta precio de venta","")&amp;IF($P301="COSTO PENDIENTE"," · Falta costo del producto","")&amp;IF(AND(ISNUMBER($Q301),$Q301&lt;0)," · UTILIDAD NEGATIVA","")&amp;IF(AND($F301&lt;&gt;"",ISNUMBER(INDEX(tblInventario[Stock actual],MATCH($F301,tblInventario[SKU],0))),INDEX(tblInventario[Stock actual],MATCH($F301,tblInventario[SKU],0))&lt;0)," · Stock negativo del SKU","")&amp;IF(AND($T301="Cobrado",$U301="")," · Cobro sin fecha","")&amp;IF(AND(ISNUMBER($V301),ISNUMBER($N301),$V301&gt;N($N301)+0.01)," · Cobrado &gt; venta neta","")&amp;IF(AND(ISNUMBER($V301),$V301&gt;0,$U301="")," · Monto cobrado sin fecha","")="","OK",MID(IF($B301=""," · Falta fecha","")&amp;IF($D301=""," · Falta cliente","")&amp;IF($E301=""," · Falta canal","")&amp;IF($F301=""," · Falta SKU","")&amp;IF(AND($F301&lt;&gt;"",COUNTIF(tblProductos[SKU],$F301)=0)," · SKU no existe","")&amp;IF(OR($I301="",NOT(ISNUMBER($I301)),$I301&lt;=0)," · Cantidad inválida","")&amp;IF($M301="PRECIO PENDIENTE"," · Falta precio de venta","")&amp;IF($P301="COSTO PENDIENTE"," · Falta costo del producto","")&amp;IF(AND(ISNUMBER($Q301),$Q301&lt;0)," · UTILIDAD NEGATIVA","")&amp;IF(AND($F301&lt;&gt;"",ISNUMBER(INDEX(tblInventario[Stock actual],MATCH($F301,tblInventario[SKU],0))),INDEX(tblInventario[Stock actual],MATCH($F301,tblInventario[SKU],0))&lt;0)," · Stock negativo del SKU","")&amp;IF(AND($T301="Cobrado",$U301="")," · Cobro sin fecha","")&amp;IF(AND(ISNUMBER($V301),ISNUMBER($N301),$V301&gt;N($N301)+0.01)," · Cobrado &gt; venta neta","")&amp;IF(AND(ISNUMBER($V301),$V301&gt;0,$U301="")," · Monto cobrado sin fecha",""),4,900)))</f>
        <v/>
      </c>
    </row>
    <row r="302">
      <c r="A302" s="51">
        <f>IF(COUNTA($B302,$C302,$D302,$E302,$F302,$I302)=0,"","V-"&amp;TEXT(ROW()-6,"0000"))</f>
        <v/>
      </c>
      <c r="B302" s="41" t="n"/>
      <c r="C302" s="33" t="n"/>
      <c r="D302" s="33" t="n"/>
      <c r="E302" s="33" t="n"/>
      <c r="F302" s="33" t="n"/>
      <c r="G302" s="51">
        <f>IF($F302="","",IFERROR(IF(INDEX(tblProductos[Nombre del producto],MATCH($F302,tblProductos[SKU],0))="","",INDEX(tblProductos[Nombre del producto],MATCH($F302,tblProductos[SKU],0))),""))</f>
        <v/>
      </c>
      <c r="H302" s="51">
        <f>IF($F302="","",IFERROR(IF(INDEX(tblProductos[Categoría],MATCH($F302,tblProductos[SKU],0))="","",INDEX(tblProductos[Categoría],MATCH($F302,tblProductos[SKU],0))),""))</f>
        <v/>
      </c>
      <c r="I302" s="34" t="n"/>
      <c r="J302" s="39">
        <f>IF(OR($B302="",$F302="",$I302=""),"",IF($T302="Anulado",0,$I302))</f>
        <v/>
      </c>
      <c r="K302" s="54">
        <f>IF($F302="","",IFERROR(IF(INDEX(tblProductos[Precio de venta actual],MATCH($F302,tblProductos[SKU],0))="","",INDEX(tblProductos[Precio de venta actual],MATCH($F302,tblProductos[SKU],0))),""))</f>
        <v/>
      </c>
      <c r="L302" s="36" t="n"/>
      <c r="M302" s="37">
        <f>IF($J302="","",IF(NOT(ISNUMBER($K302)),"PRECIO PENDIENTE",$J302*$K302))</f>
        <v/>
      </c>
      <c r="N302" s="37">
        <f>IF($J302="","",IF(NOT(ISNUMBER($M302)),"PRECIO PENDIENTE",$M302-IF(ISNUMBER($L302),$L302,0)))</f>
        <v/>
      </c>
      <c r="O302" s="54">
        <f>IF($F302="","",IFERROR(INDEX(tblInventario[Costo unitario aplicado],MATCH($F302,tblInventario[SKU],0)),""))</f>
        <v/>
      </c>
      <c r="P302" s="37">
        <f>IF($J302="","",IF(NOT(ISNUMBER($O302)),"COSTO PENDIENTE",$J302*$O302))</f>
        <v/>
      </c>
      <c r="Q302" s="37">
        <f>IF($J302="","",IF(OR(NOT(ISNUMBER($N302)),NOT(ISNUMBER($P302))),"PENDIENTE",$N302-$P302))</f>
        <v/>
      </c>
      <c r="R302" s="38">
        <f>IF($J302="","",IF(OR(NOT(ISNUMBER($Q302)),NOT(ISNUMBER($N302)),$N302&lt;=0),"PENDIENTE",$Q302/$N302))</f>
        <v/>
      </c>
      <c r="S302" s="33" t="n"/>
      <c r="T302" s="33" t="n"/>
      <c r="U302" s="41" t="n"/>
      <c r="V302" s="36" t="n"/>
      <c r="W302" s="37">
        <f>IF(NOT(ISNUMBER($N302)),"",$N302-IF(ISNUMBER($V302),$V302,0))</f>
        <v/>
      </c>
      <c r="X302" s="33" t="n"/>
      <c r="Y302" s="51">
        <f>IF(COUNTA($B302,$C302,$D302,$E302,$F302,$I302)=0,"",IF(IF($B302=""," · Falta fecha","")&amp;IF($D302=""," · Falta cliente","")&amp;IF($E302=""," · Falta canal","")&amp;IF($F302=""," · Falta SKU","")&amp;IF(AND($F302&lt;&gt;"",COUNTIF(tblProductos[SKU],$F302)=0)," · SKU no existe","")&amp;IF(OR($I302="",NOT(ISNUMBER($I302)),$I302&lt;=0)," · Cantidad inválida","")&amp;IF($M302="PRECIO PENDIENTE"," · Falta precio de venta","")&amp;IF($P302="COSTO PENDIENTE"," · Falta costo del producto","")&amp;IF(AND(ISNUMBER($Q302),$Q302&lt;0)," · UTILIDAD NEGATIVA","")&amp;IF(AND($F302&lt;&gt;"",ISNUMBER(INDEX(tblInventario[Stock actual],MATCH($F302,tblInventario[SKU],0))),INDEX(tblInventario[Stock actual],MATCH($F302,tblInventario[SKU],0))&lt;0)," · Stock negativo del SKU","")&amp;IF(AND($T302="Cobrado",$U302="")," · Cobro sin fecha","")&amp;IF(AND(ISNUMBER($V302),ISNUMBER($N302),$V302&gt;N($N302)+0.01)," · Cobrado &gt; venta neta","")&amp;IF(AND(ISNUMBER($V302),$V302&gt;0,$U302="")," · Monto cobrado sin fecha","")="","OK",MID(IF($B302=""," · Falta fecha","")&amp;IF($D302=""," · Falta cliente","")&amp;IF($E302=""," · Falta canal","")&amp;IF($F302=""," · Falta SKU","")&amp;IF(AND($F302&lt;&gt;"",COUNTIF(tblProductos[SKU],$F302)=0)," · SKU no existe","")&amp;IF(OR($I302="",NOT(ISNUMBER($I302)),$I302&lt;=0)," · Cantidad inválida","")&amp;IF($M302="PRECIO PENDIENTE"," · Falta precio de venta","")&amp;IF($P302="COSTO PENDIENTE"," · Falta costo del producto","")&amp;IF(AND(ISNUMBER($Q302),$Q302&lt;0)," · UTILIDAD NEGATIVA","")&amp;IF(AND($F302&lt;&gt;"",ISNUMBER(INDEX(tblInventario[Stock actual],MATCH($F302,tblInventario[SKU],0))),INDEX(tblInventario[Stock actual],MATCH($F302,tblInventario[SKU],0))&lt;0)," · Stock negativo del SKU","")&amp;IF(AND($T302="Cobrado",$U302="")," · Cobro sin fecha","")&amp;IF(AND(ISNUMBER($V302),ISNUMBER($N302),$V302&gt;N($N302)+0.01)," · Cobrado &gt; venta neta","")&amp;IF(AND(ISNUMBER($V302),$V302&gt;0,$U302="")," · Monto cobrado sin fecha",""),4,900)))</f>
        <v/>
      </c>
    </row>
    <row r="303">
      <c r="A303" s="51">
        <f>IF(COUNTA($B303,$C303,$D303,$E303,$F303,$I303)=0,"","V-"&amp;TEXT(ROW()-6,"0000"))</f>
        <v/>
      </c>
      <c r="B303" s="41" t="n"/>
      <c r="C303" s="33" t="n"/>
      <c r="D303" s="33" t="n"/>
      <c r="E303" s="33" t="n"/>
      <c r="F303" s="33" t="n"/>
      <c r="G303" s="51">
        <f>IF($F303="","",IFERROR(IF(INDEX(tblProductos[Nombre del producto],MATCH($F303,tblProductos[SKU],0))="","",INDEX(tblProductos[Nombre del producto],MATCH($F303,tblProductos[SKU],0))),""))</f>
        <v/>
      </c>
      <c r="H303" s="51">
        <f>IF($F303="","",IFERROR(IF(INDEX(tblProductos[Categoría],MATCH($F303,tblProductos[SKU],0))="","",INDEX(tblProductos[Categoría],MATCH($F303,tblProductos[SKU],0))),""))</f>
        <v/>
      </c>
      <c r="I303" s="34" t="n"/>
      <c r="J303" s="39">
        <f>IF(OR($B303="",$F303="",$I303=""),"",IF($T303="Anulado",0,$I303))</f>
        <v/>
      </c>
      <c r="K303" s="54">
        <f>IF($F303="","",IFERROR(IF(INDEX(tblProductos[Precio de venta actual],MATCH($F303,tblProductos[SKU],0))="","",INDEX(tblProductos[Precio de venta actual],MATCH($F303,tblProductos[SKU],0))),""))</f>
        <v/>
      </c>
      <c r="L303" s="36" t="n"/>
      <c r="M303" s="37">
        <f>IF($J303="","",IF(NOT(ISNUMBER($K303)),"PRECIO PENDIENTE",$J303*$K303))</f>
        <v/>
      </c>
      <c r="N303" s="37">
        <f>IF($J303="","",IF(NOT(ISNUMBER($M303)),"PRECIO PENDIENTE",$M303-IF(ISNUMBER($L303),$L303,0)))</f>
        <v/>
      </c>
      <c r="O303" s="54">
        <f>IF($F303="","",IFERROR(INDEX(tblInventario[Costo unitario aplicado],MATCH($F303,tblInventario[SKU],0)),""))</f>
        <v/>
      </c>
      <c r="P303" s="37">
        <f>IF($J303="","",IF(NOT(ISNUMBER($O303)),"COSTO PENDIENTE",$J303*$O303))</f>
        <v/>
      </c>
      <c r="Q303" s="37">
        <f>IF($J303="","",IF(OR(NOT(ISNUMBER($N303)),NOT(ISNUMBER($P303))),"PENDIENTE",$N303-$P303))</f>
        <v/>
      </c>
      <c r="R303" s="38">
        <f>IF($J303="","",IF(OR(NOT(ISNUMBER($Q303)),NOT(ISNUMBER($N303)),$N303&lt;=0),"PENDIENTE",$Q303/$N303))</f>
        <v/>
      </c>
      <c r="S303" s="33" t="n"/>
      <c r="T303" s="33" t="n"/>
      <c r="U303" s="41" t="n"/>
      <c r="V303" s="36" t="n"/>
      <c r="W303" s="37">
        <f>IF(NOT(ISNUMBER($N303)),"",$N303-IF(ISNUMBER($V303),$V303,0))</f>
        <v/>
      </c>
      <c r="X303" s="33" t="n"/>
      <c r="Y303" s="51">
        <f>IF(COUNTA($B303,$C303,$D303,$E303,$F303,$I303)=0,"",IF(IF($B303=""," · Falta fecha","")&amp;IF($D303=""," · Falta cliente","")&amp;IF($E303=""," · Falta canal","")&amp;IF($F303=""," · Falta SKU","")&amp;IF(AND($F303&lt;&gt;"",COUNTIF(tblProductos[SKU],$F303)=0)," · SKU no existe","")&amp;IF(OR($I303="",NOT(ISNUMBER($I303)),$I303&lt;=0)," · Cantidad inválida","")&amp;IF($M303="PRECIO PENDIENTE"," · Falta precio de venta","")&amp;IF($P303="COSTO PENDIENTE"," · Falta costo del producto","")&amp;IF(AND(ISNUMBER($Q303),$Q303&lt;0)," · UTILIDAD NEGATIVA","")&amp;IF(AND($F303&lt;&gt;"",ISNUMBER(INDEX(tblInventario[Stock actual],MATCH($F303,tblInventario[SKU],0))),INDEX(tblInventario[Stock actual],MATCH($F303,tblInventario[SKU],0))&lt;0)," · Stock negativo del SKU","")&amp;IF(AND($T303="Cobrado",$U303="")," · Cobro sin fecha","")&amp;IF(AND(ISNUMBER($V303),ISNUMBER($N303),$V303&gt;N($N303)+0.01)," · Cobrado &gt; venta neta","")&amp;IF(AND(ISNUMBER($V303),$V303&gt;0,$U303="")," · Monto cobrado sin fecha","")="","OK",MID(IF($B303=""," · Falta fecha","")&amp;IF($D303=""," · Falta cliente","")&amp;IF($E303=""," · Falta canal","")&amp;IF($F303=""," · Falta SKU","")&amp;IF(AND($F303&lt;&gt;"",COUNTIF(tblProductos[SKU],$F303)=0)," · SKU no existe","")&amp;IF(OR($I303="",NOT(ISNUMBER($I303)),$I303&lt;=0)," · Cantidad inválida","")&amp;IF($M303="PRECIO PENDIENTE"," · Falta precio de venta","")&amp;IF($P303="COSTO PENDIENTE"," · Falta costo del producto","")&amp;IF(AND(ISNUMBER($Q303),$Q303&lt;0)," · UTILIDAD NEGATIVA","")&amp;IF(AND($F303&lt;&gt;"",ISNUMBER(INDEX(tblInventario[Stock actual],MATCH($F303,tblInventario[SKU],0))),INDEX(tblInventario[Stock actual],MATCH($F303,tblInventario[SKU],0))&lt;0)," · Stock negativo del SKU","")&amp;IF(AND($T303="Cobrado",$U303="")," · Cobro sin fecha","")&amp;IF(AND(ISNUMBER($V303),ISNUMBER($N303),$V303&gt;N($N303)+0.01)," · Cobrado &gt; venta neta","")&amp;IF(AND(ISNUMBER($V303),$V303&gt;0,$U303="")," · Monto cobrado sin fecha",""),4,900)))</f>
        <v/>
      </c>
    </row>
    <row r="304">
      <c r="A304" s="51">
        <f>IF(COUNTA($B304,$C304,$D304,$E304,$F304,$I304)=0,"","V-"&amp;TEXT(ROW()-6,"0000"))</f>
        <v/>
      </c>
      <c r="B304" s="41" t="n"/>
      <c r="C304" s="33" t="n"/>
      <c r="D304" s="33" t="n"/>
      <c r="E304" s="33" t="n"/>
      <c r="F304" s="33" t="n"/>
      <c r="G304" s="51">
        <f>IF($F304="","",IFERROR(IF(INDEX(tblProductos[Nombre del producto],MATCH($F304,tblProductos[SKU],0))="","",INDEX(tblProductos[Nombre del producto],MATCH($F304,tblProductos[SKU],0))),""))</f>
        <v/>
      </c>
      <c r="H304" s="51">
        <f>IF($F304="","",IFERROR(IF(INDEX(tblProductos[Categoría],MATCH($F304,tblProductos[SKU],0))="","",INDEX(tblProductos[Categoría],MATCH($F304,tblProductos[SKU],0))),""))</f>
        <v/>
      </c>
      <c r="I304" s="34" t="n"/>
      <c r="J304" s="39">
        <f>IF(OR($B304="",$F304="",$I304=""),"",IF($T304="Anulado",0,$I304))</f>
        <v/>
      </c>
      <c r="K304" s="54">
        <f>IF($F304="","",IFERROR(IF(INDEX(tblProductos[Precio de venta actual],MATCH($F304,tblProductos[SKU],0))="","",INDEX(tblProductos[Precio de venta actual],MATCH($F304,tblProductos[SKU],0))),""))</f>
        <v/>
      </c>
      <c r="L304" s="36" t="n"/>
      <c r="M304" s="37">
        <f>IF($J304="","",IF(NOT(ISNUMBER($K304)),"PRECIO PENDIENTE",$J304*$K304))</f>
        <v/>
      </c>
      <c r="N304" s="37">
        <f>IF($J304="","",IF(NOT(ISNUMBER($M304)),"PRECIO PENDIENTE",$M304-IF(ISNUMBER($L304),$L304,0)))</f>
        <v/>
      </c>
      <c r="O304" s="54">
        <f>IF($F304="","",IFERROR(INDEX(tblInventario[Costo unitario aplicado],MATCH($F304,tblInventario[SKU],0)),""))</f>
        <v/>
      </c>
      <c r="P304" s="37">
        <f>IF($J304="","",IF(NOT(ISNUMBER($O304)),"COSTO PENDIENTE",$J304*$O304))</f>
        <v/>
      </c>
      <c r="Q304" s="37">
        <f>IF($J304="","",IF(OR(NOT(ISNUMBER($N304)),NOT(ISNUMBER($P304))),"PENDIENTE",$N304-$P304))</f>
        <v/>
      </c>
      <c r="R304" s="38">
        <f>IF($J304="","",IF(OR(NOT(ISNUMBER($Q304)),NOT(ISNUMBER($N304)),$N304&lt;=0),"PENDIENTE",$Q304/$N304))</f>
        <v/>
      </c>
      <c r="S304" s="33" t="n"/>
      <c r="T304" s="33" t="n"/>
      <c r="U304" s="41" t="n"/>
      <c r="V304" s="36" t="n"/>
      <c r="W304" s="37">
        <f>IF(NOT(ISNUMBER($N304)),"",$N304-IF(ISNUMBER($V304),$V304,0))</f>
        <v/>
      </c>
      <c r="X304" s="33" t="n"/>
      <c r="Y304" s="51">
        <f>IF(COUNTA($B304,$C304,$D304,$E304,$F304,$I304)=0,"",IF(IF($B304=""," · Falta fecha","")&amp;IF($D304=""," · Falta cliente","")&amp;IF($E304=""," · Falta canal","")&amp;IF($F304=""," · Falta SKU","")&amp;IF(AND($F304&lt;&gt;"",COUNTIF(tblProductos[SKU],$F304)=0)," · SKU no existe","")&amp;IF(OR($I304="",NOT(ISNUMBER($I304)),$I304&lt;=0)," · Cantidad inválida","")&amp;IF($M304="PRECIO PENDIENTE"," · Falta precio de venta","")&amp;IF($P304="COSTO PENDIENTE"," · Falta costo del producto","")&amp;IF(AND(ISNUMBER($Q304),$Q304&lt;0)," · UTILIDAD NEGATIVA","")&amp;IF(AND($F304&lt;&gt;"",ISNUMBER(INDEX(tblInventario[Stock actual],MATCH($F304,tblInventario[SKU],0))),INDEX(tblInventario[Stock actual],MATCH($F304,tblInventario[SKU],0))&lt;0)," · Stock negativo del SKU","")&amp;IF(AND($T304="Cobrado",$U304="")," · Cobro sin fecha","")&amp;IF(AND(ISNUMBER($V304),ISNUMBER($N304),$V304&gt;N($N304)+0.01)," · Cobrado &gt; venta neta","")&amp;IF(AND(ISNUMBER($V304),$V304&gt;0,$U304="")," · Monto cobrado sin fecha","")="","OK",MID(IF($B304=""," · Falta fecha","")&amp;IF($D304=""," · Falta cliente","")&amp;IF($E304=""," · Falta canal","")&amp;IF($F304=""," · Falta SKU","")&amp;IF(AND($F304&lt;&gt;"",COUNTIF(tblProductos[SKU],$F304)=0)," · SKU no existe","")&amp;IF(OR($I304="",NOT(ISNUMBER($I304)),$I304&lt;=0)," · Cantidad inválida","")&amp;IF($M304="PRECIO PENDIENTE"," · Falta precio de venta","")&amp;IF($P304="COSTO PENDIENTE"," · Falta costo del producto","")&amp;IF(AND(ISNUMBER($Q304),$Q304&lt;0)," · UTILIDAD NEGATIVA","")&amp;IF(AND($F304&lt;&gt;"",ISNUMBER(INDEX(tblInventario[Stock actual],MATCH($F304,tblInventario[SKU],0))),INDEX(tblInventario[Stock actual],MATCH($F304,tblInventario[SKU],0))&lt;0)," · Stock negativo del SKU","")&amp;IF(AND($T304="Cobrado",$U304="")," · Cobro sin fecha","")&amp;IF(AND(ISNUMBER($V304),ISNUMBER($N304),$V304&gt;N($N304)+0.01)," · Cobrado &gt; venta neta","")&amp;IF(AND(ISNUMBER($V304),$V304&gt;0,$U304="")," · Monto cobrado sin fecha",""),4,900)))</f>
        <v/>
      </c>
    </row>
    <row r="305">
      <c r="A305" s="51">
        <f>IF(COUNTA($B305,$C305,$D305,$E305,$F305,$I305)=0,"","V-"&amp;TEXT(ROW()-6,"0000"))</f>
        <v/>
      </c>
      <c r="B305" s="41" t="n"/>
      <c r="C305" s="33" t="n"/>
      <c r="D305" s="33" t="n"/>
      <c r="E305" s="33" t="n"/>
      <c r="F305" s="33" t="n"/>
      <c r="G305" s="51">
        <f>IF($F305="","",IFERROR(IF(INDEX(tblProductos[Nombre del producto],MATCH($F305,tblProductos[SKU],0))="","",INDEX(tblProductos[Nombre del producto],MATCH($F305,tblProductos[SKU],0))),""))</f>
        <v/>
      </c>
      <c r="H305" s="51">
        <f>IF($F305="","",IFERROR(IF(INDEX(tblProductos[Categoría],MATCH($F305,tblProductos[SKU],0))="","",INDEX(tblProductos[Categoría],MATCH($F305,tblProductos[SKU],0))),""))</f>
        <v/>
      </c>
      <c r="I305" s="34" t="n"/>
      <c r="J305" s="39">
        <f>IF(OR($B305="",$F305="",$I305=""),"",IF($T305="Anulado",0,$I305))</f>
        <v/>
      </c>
      <c r="K305" s="54">
        <f>IF($F305="","",IFERROR(IF(INDEX(tblProductos[Precio de venta actual],MATCH($F305,tblProductos[SKU],0))="","",INDEX(tblProductos[Precio de venta actual],MATCH($F305,tblProductos[SKU],0))),""))</f>
        <v/>
      </c>
      <c r="L305" s="36" t="n"/>
      <c r="M305" s="37">
        <f>IF($J305="","",IF(NOT(ISNUMBER($K305)),"PRECIO PENDIENTE",$J305*$K305))</f>
        <v/>
      </c>
      <c r="N305" s="37">
        <f>IF($J305="","",IF(NOT(ISNUMBER($M305)),"PRECIO PENDIENTE",$M305-IF(ISNUMBER($L305),$L305,0)))</f>
        <v/>
      </c>
      <c r="O305" s="54">
        <f>IF($F305="","",IFERROR(INDEX(tblInventario[Costo unitario aplicado],MATCH($F305,tblInventario[SKU],0)),""))</f>
        <v/>
      </c>
      <c r="P305" s="37">
        <f>IF($J305="","",IF(NOT(ISNUMBER($O305)),"COSTO PENDIENTE",$J305*$O305))</f>
        <v/>
      </c>
      <c r="Q305" s="37">
        <f>IF($J305="","",IF(OR(NOT(ISNUMBER($N305)),NOT(ISNUMBER($P305))),"PENDIENTE",$N305-$P305))</f>
        <v/>
      </c>
      <c r="R305" s="38">
        <f>IF($J305="","",IF(OR(NOT(ISNUMBER($Q305)),NOT(ISNUMBER($N305)),$N305&lt;=0),"PENDIENTE",$Q305/$N305))</f>
        <v/>
      </c>
      <c r="S305" s="33" t="n"/>
      <c r="T305" s="33" t="n"/>
      <c r="U305" s="41" t="n"/>
      <c r="V305" s="36" t="n"/>
      <c r="W305" s="37">
        <f>IF(NOT(ISNUMBER($N305)),"",$N305-IF(ISNUMBER($V305),$V305,0))</f>
        <v/>
      </c>
      <c r="X305" s="33" t="n"/>
      <c r="Y305" s="51">
        <f>IF(COUNTA($B305,$C305,$D305,$E305,$F305,$I305)=0,"",IF(IF($B305=""," · Falta fecha","")&amp;IF($D305=""," · Falta cliente","")&amp;IF($E305=""," · Falta canal","")&amp;IF($F305=""," · Falta SKU","")&amp;IF(AND($F305&lt;&gt;"",COUNTIF(tblProductos[SKU],$F305)=0)," · SKU no existe","")&amp;IF(OR($I305="",NOT(ISNUMBER($I305)),$I305&lt;=0)," · Cantidad inválida","")&amp;IF($M305="PRECIO PENDIENTE"," · Falta precio de venta","")&amp;IF($P305="COSTO PENDIENTE"," · Falta costo del producto","")&amp;IF(AND(ISNUMBER($Q305),$Q305&lt;0)," · UTILIDAD NEGATIVA","")&amp;IF(AND($F305&lt;&gt;"",ISNUMBER(INDEX(tblInventario[Stock actual],MATCH($F305,tblInventario[SKU],0))),INDEX(tblInventario[Stock actual],MATCH($F305,tblInventario[SKU],0))&lt;0)," · Stock negativo del SKU","")&amp;IF(AND($T305="Cobrado",$U305="")," · Cobro sin fecha","")&amp;IF(AND(ISNUMBER($V305),ISNUMBER($N305),$V305&gt;N($N305)+0.01)," · Cobrado &gt; venta neta","")&amp;IF(AND(ISNUMBER($V305),$V305&gt;0,$U305="")," · Monto cobrado sin fecha","")="","OK",MID(IF($B305=""," · Falta fecha","")&amp;IF($D305=""," · Falta cliente","")&amp;IF($E305=""," · Falta canal","")&amp;IF($F305=""," · Falta SKU","")&amp;IF(AND($F305&lt;&gt;"",COUNTIF(tblProductos[SKU],$F305)=0)," · SKU no existe","")&amp;IF(OR($I305="",NOT(ISNUMBER($I305)),$I305&lt;=0)," · Cantidad inválida","")&amp;IF($M305="PRECIO PENDIENTE"," · Falta precio de venta","")&amp;IF($P305="COSTO PENDIENTE"," · Falta costo del producto","")&amp;IF(AND(ISNUMBER($Q305),$Q305&lt;0)," · UTILIDAD NEGATIVA","")&amp;IF(AND($F305&lt;&gt;"",ISNUMBER(INDEX(tblInventario[Stock actual],MATCH($F305,tblInventario[SKU],0))),INDEX(tblInventario[Stock actual],MATCH($F305,tblInventario[SKU],0))&lt;0)," · Stock negativo del SKU","")&amp;IF(AND($T305="Cobrado",$U305="")," · Cobro sin fecha","")&amp;IF(AND(ISNUMBER($V305),ISNUMBER($N305),$V305&gt;N($N305)+0.01)," · Cobrado &gt; venta neta","")&amp;IF(AND(ISNUMBER($V305),$V305&gt;0,$U305="")," · Monto cobrado sin fecha",""),4,900)))</f>
        <v/>
      </c>
    </row>
    <row r="306">
      <c r="A306" s="51">
        <f>IF(COUNTA($B306,$C306,$D306,$E306,$F306,$I306)=0,"","V-"&amp;TEXT(ROW()-6,"0000"))</f>
        <v/>
      </c>
      <c r="B306" s="41" t="n"/>
      <c r="C306" s="33" t="n"/>
      <c r="D306" s="33" t="n"/>
      <c r="E306" s="33" t="n"/>
      <c r="F306" s="33" t="n"/>
      <c r="G306" s="51">
        <f>IF($F306="","",IFERROR(IF(INDEX(tblProductos[Nombre del producto],MATCH($F306,tblProductos[SKU],0))="","",INDEX(tblProductos[Nombre del producto],MATCH($F306,tblProductos[SKU],0))),""))</f>
        <v/>
      </c>
      <c r="H306" s="51">
        <f>IF($F306="","",IFERROR(IF(INDEX(tblProductos[Categoría],MATCH($F306,tblProductos[SKU],0))="","",INDEX(tblProductos[Categoría],MATCH($F306,tblProductos[SKU],0))),""))</f>
        <v/>
      </c>
      <c r="I306" s="34" t="n"/>
      <c r="J306" s="39">
        <f>IF(OR($B306="",$F306="",$I306=""),"",IF($T306="Anulado",0,$I306))</f>
        <v/>
      </c>
      <c r="K306" s="54">
        <f>IF($F306="","",IFERROR(IF(INDEX(tblProductos[Precio de venta actual],MATCH($F306,tblProductos[SKU],0))="","",INDEX(tblProductos[Precio de venta actual],MATCH($F306,tblProductos[SKU],0))),""))</f>
        <v/>
      </c>
      <c r="L306" s="36" t="n"/>
      <c r="M306" s="37">
        <f>IF($J306="","",IF(NOT(ISNUMBER($K306)),"PRECIO PENDIENTE",$J306*$K306))</f>
        <v/>
      </c>
      <c r="N306" s="37">
        <f>IF($J306="","",IF(NOT(ISNUMBER($M306)),"PRECIO PENDIENTE",$M306-IF(ISNUMBER($L306),$L306,0)))</f>
        <v/>
      </c>
      <c r="O306" s="54">
        <f>IF($F306="","",IFERROR(INDEX(tblInventario[Costo unitario aplicado],MATCH($F306,tblInventario[SKU],0)),""))</f>
        <v/>
      </c>
      <c r="P306" s="37">
        <f>IF($J306="","",IF(NOT(ISNUMBER($O306)),"COSTO PENDIENTE",$J306*$O306))</f>
        <v/>
      </c>
      <c r="Q306" s="37">
        <f>IF($J306="","",IF(OR(NOT(ISNUMBER($N306)),NOT(ISNUMBER($P306))),"PENDIENTE",$N306-$P306))</f>
        <v/>
      </c>
      <c r="R306" s="38">
        <f>IF($J306="","",IF(OR(NOT(ISNUMBER($Q306)),NOT(ISNUMBER($N306)),$N306&lt;=0),"PENDIENTE",$Q306/$N306))</f>
        <v/>
      </c>
      <c r="S306" s="33" t="n"/>
      <c r="T306" s="33" t="n"/>
      <c r="U306" s="41" t="n"/>
      <c r="V306" s="36" t="n"/>
      <c r="W306" s="37">
        <f>IF(NOT(ISNUMBER($N306)),"",$N306-IF(ISNUMBER($V306),$V306,0))</f>
        <v/>
      </c>
      <c r="X306" s="33" t="n"/>
      <c r="Y306" s="51">
        <f>IF(COUNTA($B306,$C306,$D306,$E306,$F306,$I306)=0,"",IF(IF($B306=""," · Falta fecha","")&amp;IF($D306=""," · Falta cliente","")&amp;IF($E306=""," · Falta canal","")&amp;IF($F306=""," · Falta SKU","")&amp;IF(AND($F306&lt;&gt;"",COUNTIF(tblProductos[SKU],$F306)=0)," · SKU no existe","")&amp;IF(OR($I306="",NOT(ISNUMBER($I306)),$I306&lt;=0)," · Cantidad inválida","")&amp;IF($M306="PRECIO PENDIENTE"," · Falta precio de venta","")&amp;IF($P306="COSTO PENDIENTE"," · Falta costo del producto","")&amp;IF(AND(ISNUMBER($Q306),$Q306&lt;0)," · UTILIDAD NEGATIVA","")&amp;IF(AND($F306&lt;&gt;"",ISNUMBER(INDEX(tblInventario[Stock actual],MATCH($F306,tblInventario[SKU],0))),INDEX(tblInventario[Stock actual],MATCH($F306,tblInventario[SKU],0))&lt;0)," · Stock negativo del SKU","")&amp;IF(AND($T306="Cobrado",$U306="")," · Cobro sin fecha","")&amp;IF(AND(ISNUMBER($V306),ISNUMBER($N306),$V306&gt;N($N306)+0.01)," · Cobrado &gt; venta neta","")&amp;IF(AND(ISNUMBER($V306),$V306&gt;0,$U306="")," · Monto cobrado sin fecha","")="","OK",MID(IF($B306=""," · Falta fecha","")&amp;IF($D306=""," · Falta cliente","")&amp;IF($E306=""," · Falta canal","")&amp;IF($F306=""," · Falta SKU","")&amp;IF(AND($F306&lt;&gt;"",COUNTIF(tblProductos[SKU],$F306)=0)," · SKU no existe","")&amp;IF(OR($I306="",NOT(ISNUMBER($I306)),$I306&lt;=0)," · Cantidad inválida","")&amp;IF($M306="PRECIO PENDIENTE"," · Falta precio de venta","")&amp;IF($P306="COSTO PENDIENTE"," · Falta costo del producto","")&amp;IF(AND(ISNUMBER($Q306),$Q306&lt;0)," · UTILIDAD NEGATIVA","")&amp;IF(AND($F306&lt;&gt;"",ISNUMBER(INDEX(tblInventario[Stock actual],MATCH($F306,tblInventario[SKU],0))),INDEX(tblInventario[Stock actual],MATCH($F306,tblInventario[SKU],0))&lt;0)," · Stock negativo del SKU","")&amp;IF(AND($T306="Cobrado",$U306="")," · Cobro sin fecha","")&amp;IF(AND(ISNUMBER($V306),ISNUMBER($N306),$V306&gt;N($N306)+0.01)," · Cobrado &gt; venta neta","")&amp;IF(AND(ISNUMBER($V306),$V306&gt;0,$U306="")," · Monto cobrado sin fecha",""),4,900)))</f>
        <v/>
      </c>
    </row>
    <row r="307">
      <c r="A307" s="51">
        <f>IF(COUNTA($B307,$C307,$D307,$E307,$F307,$I307)=0,"","V-"&amp;TEXT(ROW()-6,"0000"))</f>
        <v/>
      </c>
      <c r="B307" s="41" t="n"/>
      <c r="C307" s="33" t="n"/>
      <c r="D307" s="33" t="n"/>
      <c r="E307" s="33" t="n"/>
      <c r="F307" s="33" t="n"/>
      <c r="G307" s="51">
        <f>IF($F307="","",IFERROR(IF(INDEX(tblProductos[Nombre del producto],MATCH($F307,tblProductos[SKU],0))="","",INDEX(tblProductos[Nombre del producto],MATCH($F307,tblProductos[SKU],0))),""))</f>
        <v/>
      </c>
      <c r="H307" s="51">
        <f>IF($F307="","",IFERROR(IF(INDEX(tblProductos[Categoría],MATCH($F307,tblProductos[SKU],0))="","",INDEX(tblProductos[Categoría],MATCH($F307,tblProductos[SKU],0))),""))</f>
        <v/>
      </c>
      <c r="I307" s="34" t="n"/>
      <c r="J307" s="39">
        <f>IF(OR($B307="",$F307="",$I307=""),"",IF($T307="Anulado",0,$I307))</f>
        <v/>
      </c>
      <c r="K307" s="54">
        <f>IF($F307="","",IFERROR(IF(INDEX(tblProductos[Precio de venta actual],MATCH($F307,tblProductos[SKU],0))="","",INDEX(tblProductos[Precio de venta actual],MATCH($F307,tblProductos[SKU],0))),""))</f>
        <v/>
      </c>
      <c r="L307" s="36" t="n"/>
      <c r="M307" s="37">
        <f>IF($J307="","",IF(NOT(ISNUMBER($K307)),"PRECIO PENDIENTE",$J307*$K307))</f>
        <v/>
      </c>
      <c r="N307" s="37">
        <f>IF($J307="","",IF(NOT(ISNUMBER($M307)),"PRECIO PENDIENTE",$M307-IF(ISNUMBER($L307),$L307,0)))</f>
        <v/>
      </c>
      <c r="O307" s="54">
        <f>IF($F307="","",IFERROR(INDEX(tblInventario[Costo unitario aplicado],MATCH($F307,tblInventario[SKU],0)),""))</f>
        <v/>
      </c>
      <c r="P307" s="37">
        <f>IF($J307="","",IF(NOT(ISNUMBER($O307)),"COSTO PENDIENTE",$J307*$O307))</f>
        <v/>
      </c>
      <c r="Q307" s="37">
        <f>IF($J307="","",IF(OR(NOT(ISNUMBER($N307)),NOT(ISNUMBER($P307))),"PENDIENTE",$N307-$P307))</f>
        <v/>
      </c>
      <c r="R307" s="38">
        <f>IF($J307="","",IF(OR(NOT(ISNUMBER($Q307)),NOT(ISNUMBER($N307)),$N307&lt;=0),"PENDIENTE",$Q307/$N307))</f>
        <v/>
      </c>
      <c r="S307" s="33" t="n"/>
      <c r="T307" s="33" t="n"/>
      <c r="U307" s="41" t="n"/>
      <c r="V307" s="36" t="n"/>
      <c r="W307" s="37">
        <f>IF(NOT(ISNUMBER($N307)),"",$N307-IF(ISNUMBER($V307),$V307,0))</f>
        <v/>
      </c>
      <c r="X307" s="33" t="n"/>
      <c r="Y307" s="51">
        <f>IF(COUNTA($B307,$C307,$D307,$E307,$F307,$I307)=0,"",IF(IF($B307=""," · Falta fecha","")&amp;IF($D307=""," · Falta cliente","")&amp;IF($E307=""," · Falta canal","")&amp;IF($F307=""," · Falta SKU","")&amp;IF(AND($F307&lt;&gt;"",COUNTIF(tblProductos[SKU],$F307)=0)," · SKU no existe","")&amp;IF(OR($I307="",NOT(ISNUMBER($I307)),$I307&lt;=0)," · Cantidad inválida","")&amp;IF($M307="PRECIO PENDIENTE"," · Falta precio de venta","")&amp;IF($P307="COSTO PENDIENTE"," · Falta costo del producto","")&amp;IF(AND(ISNUMBER($Q307),$Q307&lt;0)," · UTILIDAD NEGATIVA","")&amp;IF(AND($F307&lt;&gt;"",ISNUMBER(INDEX(tblInventario[Stock actual],MATCH($F307,tblInventario[SKU],0))),INDEX(tblInventario[Stock actual],MATCH($F307,tblInventario[SKU],0))&lt;0)," · Stock negativo del SKU","")&amp;IF(AND($T307="Cobrado",$U307="")," · Cobro sin fecha","")&amp;IF(AND(ISNUMBER($V307),ISNUMBER($N307),$V307&gt;N($N307)+0.01)," · Cobrado &gt; venta neta","")&amp;IF(AND(ISNUMBER($V307),$V307&gt;0,$U307="")," · Monto cobrado sin fecha","")="","OK",MID(IF($B307=""," · Falta fecha","")&amp;IF($D307=""," · Falta cliente","")&amp;IF($E307=""," · Falta canal","")&amp;IF($F307=""," · Falta SKU","")&amp;IF(AND($F307&lt;&gt;"",COUNTIF(tblProductos[SKU],$F307)=0)," · SKU no existe","")&amp;IF(OR($I307="",NOT(ISNUMBER($I307)),$I307&lt;=0)," · Cantidad inválida","")&amp;IF($M307="PRECIO PENDIENTE"," · Falta precio de venta","")&amp;IF($P307="COSTO PENDIENTE"," · Falta costo del producto","")&amp;IF(AND(ISNUMBER($Q307),$Q307&lt;0)," · UTILIDAD NEGATIVA","")&amp;IF(AND($F307&lt;&gt;"",ISNUMBER(INDEX(tblInventario[Stock actual],MATCH($F307,tblInventario[SKU],0))),INDEX(tblInventario[Stock actual],MATCH($F307,tblInventario[SKU],0))&lt;0)," · Stock negativo del SKU","")&amp;IF(AND($T307="Cobrado",$U307="")," · Cobro sin fecha","")&amp;IF(AND(ISNUMBER($V307),ISNUMBER($N307),$V307&gt;N($N307)+0.01)," · Cobrado &gt; venta neta","")&amp;IF(AND(ISNUMBER($V307),$V307&gt;0,$U307="")," · Monto cobrado sin fecha",""),4,900)))</f>
        <v/>
      </c>
    </row>
    <row r="308">
      <c r="A308" s="51">
        <f>IF(COUNTA($B308,$C308,$D308,$E308,$F308,$I308)=0,"","V-"&amp;TEXT(ROW()-6,"0000"))</f>
        <v/>
      </c>
      <c r="B308" s="41" t="n"/>
      <c r="C308" s="33" t="n"/>
      <c r="D308" s="33" t="n"/>
      <c r="E308" s="33" t="n"/>
      <c r="F308" s="33" t="n"/>
      <c r="G308" s="51">
        <f>IF($F308="","",IFERROR(IF(INDEX(tblProductos[Nombre del producto],MATCH($F308,tblProductos[SKU],0))="","",INDEX(tblProductos[Nombre del producto],MATCH($F308,tblProductos[SKU],0))),""))</f>
        <v/>
      </c>
      <c r="H308" s="51">
        <f>IF($F308="","",IFERROR(IF(INDEX(tblProductos[Categoría],MATCH($F308,tblProductos[SKU],0))="","",INDEX(tblProductos[Categoría],MATCH($F308,tblProductos[SKU],0))),""))</f>
        <v/>
      </c>
      <c r="I308" s="34" t="n"/>
      <c r="J308" s="39">
        <f>IF(OR($B308="",$F308="",$I308=""),"",IF($T308="Anulado",0,$I308))</f>
        <v/>
      </c>
      <c r="K308" s="54">
        <f>IF($F308="","",IFERROR(IF(INDEX(tblProductos[Precio de venta actual],MATCH($F308,tblProductos[SKU],0))="","",INDEX(tblProductos[Precio de venta actual],MATCH($F308,tblProductos[SKU],0))),""))</f>
        <v/>
      </c>
      <c r="L308" s="36" t="n"/>
      <c r="M308" s="37">
        <f>IF($J308="","",IF(NOT(ISNUMBER($K308)),"PRECIO PENDIENTE",$J308*$K308))</f>
        <v/>
      </c>
      <c r="N308" s="37">
        <f>IF($J308="","",IF(NOT(ISNUMBER($M308)),"PRECIO PENDIENTE",$M308-IF(ISNUMBER($L308),$L308,0)))</f>
        <v/>
      </c>
      <c r="O308" s="54">
        <f>IF($F308="","",IFERROR(INDEX(tblInventario[Costo unitario aplicado],MATCH($F308,tblInventario[SKU],0)),""))</f>
        <v/>
      </c>
      <c r="P308" s="37">
        <f>IF($J308="","",IF(NOT(ISNUMBER($O308)),"COSTO PENDIENTE",$J308*$O308))</f>
        <v/>
      </c>
      <c r="Q308" s="37">
        <f>IF($J308="","",IF(OR(NOT(ISNUMBER($N308)),NOT(ISNUMBER($P308))),"PENDIENTE",$N308-$P308))</f>
        <v/>
      </c>
      <c r="R308" s="38">
        <f>IF($J308="","",IF(OR(NOT(ISNUMBER($Q308)),NOT(ISNUMBER($N308)),$N308&lt;=0),"PENDIENTE",$Q308/$N308))</f>
        <v/>
      </c>
      <c r="S308" s="33" t="n"/>
      <c r="T308" s="33" t="n"/>
      <c r="U308" s="41" t="n"/>
      <c r="V308" s="36" t="n"/>
      <c r="W308" s="37">
        <f>IF(NOT(ISNUMBER($N308)),"",$N308-IF(ISNUMBER($V308),$V308,0))</f>
        <v/>
      </c>
      <c r="X308" s="33" t="n"/>
      <c r="Y308" s="51">
        <f>IF(COUNTA($B308,$C308,$D308,$E308,$F308,$I308)=0,"",IF(IF($B308=""," · Falta fecha","")&amp;IF($D308=""," · Falta cliente","")&amp;IF($E308=""," · Falta canal","")&amp;IF($F308=""," · Falta SKU","")&amp;IF(AND($F308&lt;&gt;"",COUNTIF(tblProductos[SKU],$F308)=0)," · SKU no existe","")&amp;IF(OR($I308="",NOT(ISNUMBER($I308)),$I308&lt;=0)," · Cantidad inválida","")&amp;IF($M308="PRECIO PENDIENTE"," · Falta precio de venta","")&amp;IF($P308="COSTO PENDIENTE"," · Falta costo del producto","")&amp;IF(AND(ISNUMBER($Q308),$Q308&lt;0)," · UTILIDAD NEGATIVA","")&amp;IF(AND($F308&lt;&gt;"",ISNUMBER(INDEX(tblInventario[Stock actual],MATCH($F308,tblInventario[SKU],0))),INDEX(tblInventario[Stock actual],MATCH($F308,tblInventario[SKU],0))&lt;0)," · Stock negativo del SKU","")&amp;IF(AND($T308="Cobrado",$U308="")," · Cobro sin fecha","")&amp;IF(AND(ISNUMBER($V308),ISNUMBER($N308),$V308&gt;N($N308)+0.01)," · Cobrado &gt; venta neta","")&amp;IF(AND(ISNUMBER($V308),$V308&gt;0,$U308="")," · Monto cobrado sin fecha","")="","OK",MID(IF($B308=""," · Falta fecha","")&amp;IF($D308=""," · Falta cliente","")&amp;IF($E308=""," · Falta canal","")&amp;IF($F308=""," · Falta SKU","")&amp;IF(AND($F308&lt;&gt;"",COUNTIF(tblProductos[SKU],$F308)=0)," · SKU no existe","")&amp;IF(OR($I308="",NOT(ISNUMBER($I308)),$I308&lt;=0)," · Cantidad inválida","")&amp;IF($M308="PRECIO PENDIENTE"," · Falta precio de venta","")&amp;IF($P308="COSTO PENDIENTE"," · Falta costo del producto","")&amp;IF(AND(ISNUMBER($Q308),$Q308&lt;0)," · UTILIDAD NEGATIVA","")&amp;IF(AND($F308&lt;&gt;"",ISNUMBER(INDEX(tblInventario[Stock actual],MATCH($F308,tblInventario[SKU],0))),INDEX(tblInventario[Stock actual],MATCH($F308,tblInventario[SKU],0))&lt;0)," · Stock negativo del SKU","")&amp;IF(AND($T308="Cobrado",$U308="")," · Cobro sin fecha","")&amp;IF(AND(ISNUMBER($V308),ISNUMBER($N308),$V308&gt;N($N308)+0.01)," · Cobrado &gt; venta neta","")&amp;IF(AND(ISNUMBER($V308),$V308&gt;0,$U308="")," · Monto cobrado sin fecha",""),4,900)))</f>
        <v/>
      </c>
    </row>
    <row r="309">
      <c r="A309" s="51">
        <f>IF(COUNTA($B309,$C309,$D309,$E309,$F309,$I309)=0,"","V-"&amp;TEXT(ROW()-6,"0000"))</f>
        <v/>
      </c>
      <c r="B309" s="41" t="n"/>
      <c r="C309" s="33" t="n"/>
      <c r="D309" s="33" t="n"/>
      <c r="E309" s="33" t="n"/>
      <c r="F309" s="33" t="n"/>
      <c r="G309" s="51">
        <f>IF($F309="","",IFERROR(IF(INDEX(tblProductos[Nombre del producto],MATCH($F309,tblProductos[SKU],0))="","",INDEX(tblProductos[Nombre del producto],MATCH($F309,tblProductos[SKU],0))),""))</f>
        <v/>
      </c>
      <c r="H309" s="51">
        <f>IF($F309="","",IFERROR(IF(INDEX(tblProductos[Categoría],MATCH($F309,tblProductos[SKU],0))="","",INDEX(tblProductos[Categoría],MATCH($F309,tblProductos[SKU],0))),""))</f>
        <v/>
      </c>
      <c r="I309" s="34" t="n"/>
      <c r="J309" s="39">
        <f>IF(OR($B309="",$F309="",$I309=""),"",IF($T309="Anulado",0,$I309))</f>
        <v/>
      </c>
      <c r="K309" s="54">
        <f>IF($F309="","",IFERROR(IF(INDEX(tblProductos[Precio de venta actual],MATCH($F309,tblProductos[SKU],0))="","",INDEX(tblProductos[Precio de venta actual],MATCH($F309,tblProductos[SKU],0))),""))</f>
        <v/>
      </c>
      <c r="L309" s="36" t="n"/>
      <c r="M309" s="37">
        <f>IF($J309="","",IF(NOT(ISNUMBER($K309)),"PRECIO PENDIENTE",$J309*$K309))</f>
        <v/>
      </c>
      <c r="N309" s="37">
        <f>IF($J309="","",IF(NOT(ISNUMBER($M309)),"PRECIO PENDIENTE",$M309-IF(ISNUMBER($L309),$L309,0)))</f>
        <v/>
      </c>
      <c r="O309" s="54">
        <f>IF($F309="","",IFERROR(INDEX(tblInventario[Costo unitario aplicado],MATCH($F309,tblInventario[SKU],0)),""))</f>
        <v/>
      </c>
      <c r="P309" s="37">
        <f>IF($J309="","",IF(NOT(ISNUMBER($O309)),"COSTO PENDIENTE",$J309*$O309))</f>
        <v/>
      </c>
      <c r="Q309" s="37">
        <f>IF($J309="","",IF(OR(NOT(ISNUMBER($N309)),NOT(ISNUMBER($P309))),"PENDIENTE",$N309-$P309))</f>
        <v/>
      </c>
      <c r="R309" s="38">
        <f>IF($J309="","",IF(OR(NOT(ISNUMBER($Q309)),NOT(ISNUMBER($N309)),$N309&lt;=0),"PENDIENTE",$Q309/$N309))</f>
        <v/>
      </c>
      <c r="S309" s="33" t="n"/>
      <c r="T309" s="33" t="n"/>
      <c r="U309" s="41" t="n"/>
      <c r="V309" s="36" t="n"/>
      <c r="W309" s="37">
        <f>IF(NOT(ISNUMBER($N309)),"",$N309-IF(ISNUMBER($V309),$V309,0))</f>
        <v/>
      </c>
      <c r="X309" s="33" t="n"/>
      <c r="Y309" s="51">
        <f>IF(COUNTA($B309,$C309,$D309,$E309,$F309,$I309)=0,"",IF(IF($B309=""," · Falta fecha","")&amp;IF($D309=""," · Falta cliente","")&amp;IF($E309=""," · Falta canal","")&amp;IF($F309=""," · Falta SKU","")&amp;IF(AND($F309&lt;&gt;"",COUNTIF(tblProductos[SKU],$F309)=0)," · SKU no existe","")&amp;IF(OR($I309="",NOT(ISNUMBER($I309)),$I309&lt;=0)," · Cantidad inválida","")&amp;IF($M309="PRECIO PENDIENTE"," · Falta precio de venta","")&amp;IF($P309="COSTO PENDIENTE"," · Falta costo del producto","")&amp;IF(AND(ISNUMBER($Q309),$Q309&lt;0)," · UTILIDAD NEGATIVA","")&amp;IF(AND($F309&lt;&gt;"",ISNUMBER(INDEX(tblInventario[Stock actual],MATCH($F309,tblInventario[SKU],0))),INDEX(tblInventario[Stock actual],MATCH($F309,tblInventario[SKU],0))&lt;0)," · Stock negativo del SKU","")&amp;IF(AND($T309="Cobrado",$U309="")," · Cobro sin fecha","")&amp;IF(AND(ISNUMBER($V309),ISNUMBER($N309),$V309&gt;N($N309)+0.01)," · Cobrado &gt; venta neta","")&amp;IF(AND(ISNUMBER($V309),$V309&gt;0,$U309="")," · Monto cobrado sin fecha","")="","OK",MID(IF($B309=""," · Falta fecha","")&amp;IF($D309=""," · Falta cliente","")&amp;IF($E309=""," · Falta canal","")&amp;IF($F309=""," · Falta SKU","")&amp;IF(AND($F309&lt;&gt;"",COUNTIF(tblProductos[SKU],$F309)=0)," · SKU no existe","")&amp;IF(OR($I309="",NOT(ISNUMBER($I309)),$I309&lt;=0)," · Cantidad inválida","")&amp;IF($M309="PRECIO PENDIENTE"," · Falta precio de venta","")&amp;IF($P309="COSTO PENDIENTE"," · Falta costo del producto","")&amp;IF(AND(ISNUMBER($Q309),$Q309&lt;0)," · UTILIDAD NEGATIVA","")&amp;IF(AND($F309&lt;&gt;"",ISNUMBER(INDEX(tblInventario[Stock actual],MATCH($F309,tblInventario[SKU],0))),INDEX(tblInventario[Stock actual],MATCH($F309,tblInventario[SKU],0))&lt;0)," · Stock negativo del SKU","")&amp;IF(AND($T309="Cobrado",$U309="")," · Cobro sin fecha","")&amp;IF(AND(ISNUMBER($V309),ISNUMBER($N309),$V309&gt;N($N309)+0.01)," · Cobrado &gt; venta neta","")&amp;IF(AND(ISNUMBER($V309),$V309&gt;0,$U309="")," · Monto cobrado sin fecha",""),4,900)))</f>
        <v/>
      </c>
    </row>
    <row r="310">
      <c r="A310" s="51">
        <f>IF(COUNTA($B310,$C310,$D310,$E310,$F310,$I310)=0,"","V-"&amp;TEXT(ROW()-6,"0000"))</f>
        <v/>
      </c>
      <c r="B310" s="41" t="n"/>
      <c r="C310" s="33" t="n"/>
      <c r="D310" s="33" t="n"/>
      <c r="E310" s="33" t="n"/>
      <c r="F310" s="33" t="n"/>
      <c r="G310" s="51">
        <f>IF($F310="","",IFERROR(IF(INDEX(tblProductos[Nombre del producto],MATCH($F310,tblProductos[SKU],0))="","",INDEX(tblProductos[Nombre del producto],MATCH($F310,tblProductos[SKU],0))),""))</f>
        <v/>
      </c>
      <c r="H310" s="51">
        <f>IF($F310="","",IFERROR(IF(INDEX(tblProductos[Categoría],MATCH($F310,tblProductos[SKU],0))="","",INDEX(tblProductos[Categoría],MATCH($F310,tblProductos[SKU],0))),""))</f>
        <v/>
      </c>
      <c r="I310" s="34" t="n"/>
      <c r="J310" s="39">
        <f>IF(OR($B310="",$F310="",$I310=""),"",IF($T310="Anulado",0,$I310))</f>
        <v/>
      </c>
      <c r="K310" s="54">
        <f>IF($F310="","",IFERROR(IF(INDEX(tblProductos[Precio de venta actual],MATCH($F310,tblProductos[SKU],0))="","",INDEX(tblProductos[Precio de venta actual],MATCH($F310,tblProductos[SKU],0))),""))</f>
        <v/>
      </c>
      <c r="L310" s="36" t="n"/>
      <c r="M310" s="37">
        <f>IF($J310="","",IF(NOT(ISNUMBER($K310)),"PRECIO PENDIENTE",$J310*$K310))</f>
        <v/>
      </c>
      <c r="N310" s="37">
        <f>IF($J310="","",IF(NOT(ISNUMBER($M310)),"PRECIO PENDIENTE",$M310-IF(ISNUMBER($L310),$L310,0)))</f>
        <v/>
      </c>
      <c r="O310" s="54">
        <f>IF($F310="","",IFERROR(INDEX(tblInventario[Costo unitario aplicado],MATCH($F310,tblInventario[SKU],0)),""))</f>
        <v/>
      </c>
      <c r="P310" s="37">
        <f>IF($J310="","",IF(NOT(ISNUMBER($O310)),"COSTO PENDIENTE",$J310*$O310))</f>
        <v/>
      </c>
      <c r="Q310" s="37">
        <f>IF($J310="","",IF(OR(NOT(ISNUMBER($N310)),NOT(ISNUMBER($P310))),"PENDIENTE",$N310-$P310))</f>
        <v/>
      </c>
      <c r="R310" s="38">
        <f>IF($J310="","",IF(OR(NOT(ISNUMBER($Q310)),NOT(ISNUMBER($N310)),$N310&lt;=0),"PENDIENTE",$Q310/$N310))</f>
        <v/>
      </c>
      <c r="S310" s="33" t="n"/>
      <c r="T310" s="33" t="n"/>
      <c r="U310" s="41" t="n"/>
      <c r="V310" s="36" t="n"/>
      <c r="W310" s="37">
        <f>IF(NOT(ISNUMBER($N310)),"",$N310-IF(ISNUMBER($V310),$V310,0))</f>
        <v/>
      </c>
      <c r="X310" s="33" t="n"/>
      <c r="Y310" s="51">
        <f>IF(COUNTA($B310,$C310,$D310,$E310,$F310,$I310)=0,"",IF(IF($B310=""," · Falta fecha","")&amp;IF($D310=""," · Falta cliente","")&amp;IF($E310=""," · Falta canal","")&amp;IF($F310=""," · Falta SKU","")&amp;IF(AND($F310&lt;&gt;"",COUNTIF(tblProductos[SKU],$F310)=0)," · SKU no existe","")&amp;IF(OR($I310="",NOT(ISNUMBER($I310)),$I310&lt;=0)," · Cantidad inválida","")&amp;IF($M310="PRECIO PENDIENTE"," · Falta precio de venta","")&amp;IF($P310="COSTO PENDIENTE"," · Falta costo del producto","")&amp;IF(AND(ISNUMBER($Q310),$Q310&lt;0)," · UTILIDAD NEGATIVA","")&amp;IF(AND($F310&lt;&gt;"",ISNUMBER(INDEX(tblInventario[Stock actual],MATCH($F310,tblInventario[SKU],0))),INDEX(tblInventario[Stock actual],MATCH($F310,tblInventario[SKU],0))&lt;0)," · Stock negativo del SKU","")&amp;IF(AND($T310="Cobrado",$U310="")," · Cobro sin fecha","")&amp;IF(AND(ISNUMBER($V310),ISNUMBER($N310),$V310&gt;N($N310)+0.01)," · Cobrado &gt; venta neta","")&amp;IF(AND(ISNUMBER($V310),$V310&gt;0,$U310="")," · Monto cobrado sin fecha","")="","OK",MID(IF($B310=""," · Falta fecha","")&amp;IF($D310=""," · Falta cliente","")&amp;IF($E310=""," · Falta canal","")&amp;IF($F310=""," · Falta SKU","")&amp;IF(AND($F310&lt;&gt;"",COUNTIF(tblProductos[SKU],$F310)=0)," · SKU no existe","")&amp;IF(OR($I310="",NOT(ISNUMBER($I310)),$I310&lt;=0)," · Cantidad inválida","")&amp;IF($M310="PRECIO PENDIENTE"," · Falta precio de venta","")&amp;IF($P310="COSTO PENDIENTE"," · Falta costo del producto","")&amp;IF(AND(ISNUMBER($Q310),$Q310&lt;0)," · UTILIDAD NEGATIVA","")&amp;IF(AND($F310&lt;&gt;"",ISNUMBER(INDEX(tblInventario[Stock actual],MATCH($F310,tblInventario[SKU],0))),INDEX(tblInventario[Stock actual],MATCH($F310,tblInventario[SKU],0))&lt;0)," · Stock negativo del SKU","")&amp;IF(AND($T310="Cobrado",$U310="")," · Cobro sin fecha","")&amp;IF(AND(ISNUMBER($V310),ISNUMBER($N310),$V310&gt;N($N310)+0.01)," · Cobrado &gt; venta neta","")&amp;IF(AND(ISNUMBER($V310),$V310&gt;0,$U310="")," · Monto cobrado sin fecha",""),4,900)))</f>
        <v/>
      </c>
    </row>
    <row r="311">
      <c r="A311" s="51">
        <f>IF(COUNTA($B311,$C311,$D311,$E311,$F311,$I311)=0,"","V-"&amp;TEXT(ROW()-6,"0000"))</f>
        <v/>
      </c>
      <c r="B311" s="41" t="n"/>
      <c r="C311" s="33" t="n"/>
      <c r="D311" s="33" t="n"/>
      <c r="E311" s="33" t="n"/>
      <c r="F311" s="33" t="n"/>
      <c r="G311" s="51">
        <f>IF($F311="","",IFERROR(IF(INDEX(tblProductos[Nombre del producto],MATCH($F311,tblProductos[SKU],0))="","",INDEX(tblProductos[Nombre del producto],MATCH($F311,tblProductos[SKU],0))),""))</f>
        <v/>
      </c>
      <c r="H311" s="51">
        <f>IF($F311="","",IFERROR(IF(INDEX(tblProductos[Categoría],MATCH($F311,tblProductos[SKU],0))="","",INDEX(tblProductos[Categoría],MATCH($F311,tblProductos[SKU],0))),""))</f>
        <v/>
      </c>
      <c r="I311" s="34" t="n"/>
      <c r="J311" s="39">
        <f>IF(OR($B311="",$F311="",$I311=""),"",IF($T311="Anulado",0,$I311))</f>
        <v/>
      </c>
      <c r="K311" s="54">
        <f>IF($F311="","",IFERROR(IF(INDEX(tblProductos[Precio de venta actual],MATCH($F311,tblProductos[SKU],0))="","",INDEX(tblProductos[Precio de venta actual],MATCH($F311,tblProductos[SKU],0))),""))</f>
        <v/>
      </c>
      <c r="L311" s="36" t="n"/>
      <c r="M311" s="37">
        <f>IF($J311="","",IF(NOT(ISNUMBER($K311)),"PRECIO PENDIENTE",$J311*$K311))</f>
        <v/>
      </c>
      <c r="N311" s="37">
        <f>IF($J311="","",IF(NOT(ISNUMBER($M311)),"PRECIO PENDIENTE",$M311-IF(ISNUMBER($L311),$L311,0)))</f>
        <v/>
      </c>
      <c r="O311" s="54">
        <f>IF($F311="","",IFERROR(INDEX(tblInventario[Costo unitario aplicado],MATCH($F311,tblInventario[SKU],0)),""))</f>
        <v/>
      </c>
      <c r="P311" s="37">
        <f>IF($J311="","",IF(NOT(ISNUMBER($O311)),"COSTO PENDIENTE",$J311*$O311))</f>
        <v/>
      </c>
      <c r="Q311" s="37">
        <f>IF($J311="","",IF(OR(NOT(ISNUMBER($N311)),NOT(ISNUMBER($P311))),"PENDIENTE",$N311-$P311))</f>
        <v/>
      </c>
      <c r="R311" s="38">
        <f>IF($J311="","",IF(OR(NOT(ISNUMBER($Q311)),NOT(ISNUMBER($N311)),$N311&lt;=0),"PENDIENTE",$Q311/$N311))</f>
        <v/>
      </c>
      <c r="S311" s="33" t="n"/>
      <c r="T311" s="33" t="n"/>
      <c r="U311" s="41" t="n"/>
      <c r="V311" s="36" t="n"/>
      <c r="W311" s="37">
        <f>IF(NOT(ISNUMBER($N311)),"",$N311-IF(ISNUMBER($V311),$V311,0))</f>
        <v/>
      </c>
      <c r="X311" s="33" t="n"/>
      <c r="Y311" s="51">
        <f>IF(COUNTA($B311,$C311,$D311,$E311,$F311,$I311)=0,"",IF(IF($B311=""," · Falta fecha","")&amp;IF($D311=""," · Falta cliente","")&amp;IF($E311=""," · Falta canal","")&amp;IF($F311=""," · Falta SKU","")&amp;IF(AND($F311&lt;&gt;"",COUNTIF(tblProductos[SKU],$F311)=0)," · SKU no existe","")&amp;IF(OR($I311="",NOT(ISNUMBER($I311)),$I311&lt;=0)," · Cantidad inválida","")&amp;IF($M311="PRECIO PENDIENTE"," · Falta precio de venta","")&amp;IF($P311="COSTO PENDIENTE"," · Falta costo del producto","")&amp;IF(AND(ISNUMBER($Q311),$Q311&lt;0)," · UTILIDAD NEGATIVA","")&amp;IF(AND($F311&lt;&gt;"",ISNUMBER(INDEX(tblInventario[Stock actual],MATCH($F311,tblInventario[SKU],0))),INDEX(tblInventario[Stock actual],MATCH($F311,tblInventario[SKU],0))&lt;0)," · Stock negativo del SKU","")&amp;IF(AND($T311="Cobrado",$U311="")," · Cobro sin fecha","")&amp;IF(AND(ISNUMBER($V311),ISNUMBER($N311),$V311&gt;N($N311)+0.01)," · Cobrado &gt; venta neta","")&amp;IF(AND(ISNUMBER($V311),$V311&gt;0,$U311="")," · Monto cobrado sin fecha","")="","OK",MID(IF($B311=""," · Falta fecha","")&amp;IF($D311=""," · Falta cliente","")&amp;IF($E311=""," · Falta canal","")&amp;IF($F311=""," · Falta SKU","")&amp;IF(AND($F311&lt;&gt;"",COUNTIF(tblProductos[SKU],$F311)=0)," · SKU no existe","")&amp;IF(OR($I311="",NOT(ISNUMBER($I311)),$I311&lt;=0)," · Cantidad inválida","")&amp;IF($M311="PRECIO PENDIENTE"," · Falta precio de venta","")&amp;IF($P311="COSTO PENDIENTE"," · Falta costo del producto","")&amp;IF(AND(ISNUMBER($Q311),$Q311&lt;0)," · UTILIDAD NEGATIVA","")&amp;IF(AND($F311&lt;&gt;"",ISNUMBER(INDEX(tblInventario[Stock actual],MATCH($F311,tblInventario[SKU],0))),INDEX(tblInventario[Stock actual],MATCH($F311,tblInventario[SKU],0))&lt;0)," · Stock negativo del SKU","")&amp;IF(AND($T311="Cobrado",$U311="")," · Cobro sin fecha","")&amp;IF(AND(ISNUMBER($V311),ISNUMBER($N311),$V311&gt;N($N311)+0.01)," · Cobrado &gt; venta neta","")&amp;IF(AND(ISNUMBER($V311),$V311&gt;0,$U311="")," · Monto cobrado sin fecha",""),4,900)))</f>
        <v/>
      </c>
    </row>
    <row r="312">
      <c r="A312" s="51">
        <f>IF(COUNTA($B312,$C312,$D312,$E312,$F312,$I312)=0,"","V-"&amp;TEXT(ROW()-6,"0000"))</f>
        <v/>
      </c>
      <c r="B312" s="41" t="n"/>
      <c r="C312" s="33" t="n"/>
      <c r="D312" s="33" t="n"/>
      <c r="E312" s="33" t="n"/>
      <c r="F312" s="33" t="n"/>
      <c r="G312" s="51">
        <f>IF($F312="","",IFERROR(IF(INDEX(tblProductos[Nombre del producto],MATCH($F312,tblProductos[SKU],0))="","",INDEX(tblProductos[Nombre del producto],MATCH($F312,tblProductos[SKU],0))),""))</f>
        <v/>
      </c>
      <c r="H312" s="51">
        <f>IF($F312="","",IFERROR(IF(INDEX(tblProductos[Categoría],MATCH($F312,tblProductos[SKU],0))="","",INDEX(tblProductos[Categoría],MATCH($F312,tblProductos[SKU],0))),""))</f>
        <v/>
      </c>
      <c r="I312" s="34" t="n"/>
      <c r="J312" s="39">
        <f>IF(OR($B312="",$F312="",$I312=""),"",IF($T312="Anulado",0,$I312))</f>
        <v/>
      </c>
      <c r="K312" s="54">
        <f>IF($F312="","",IFERROR(IF(INDEX(tblProductos[Precio de venta actual],MATCH($F312,tblProductos[SKU],0))="","",INDEX(tblProductos[Precio de venta actual],MATCH($F312,tblProductos[SKU],0))),""))</f>
        <v/>
      </c>
      <c r="L312" s="36" t="n"/>
      <c r="M312" s="37">
        <f>IF($J312="","",IF(NOT(ISNUMBER($K312)),"PRECIO PENDIENTE",$J312*$K312))</f>
        <v/>
      </c>
      <c r="N312" s="37">
        <f>IF($J312="","",IF(NOT(ISNUMBER($M312)),"PRECIO PENDIENTE",$M312-IF(ISNUMBER($L312),$L312,0)))</f>
        <v/>
      </c>
      <c r="O312" s="54">
        <f>IF($F312="","",IFERROR(INDEX(tblInventario[Costo unitario aplicado],MATCH($F312,tblInventario[SKU],0)),""))</f>
        <v/>
      </c>
      <c r="P312" s="37">
        <f>IF($J312="","",IF(NOT(ISNUMBER($O312)),"COSTO PENDIENTE",$J312*$O312))</f>
        <v/>
      </c>
      <c r="Q312" s="37">
        <f>IF($J312="","",IF(OR(NOT(ISNUMBER($N312)),NOT(ISNUMBER($P312))),"PENDIENTE",$N312-$P312))</f>
        <v/>
      </c>
      <c r="R312" s="38">
        <f>IF($J312="","",IF(OR(NOT(ISNUMBER($Q312)),NOT(ISNUMBER($N312)),$N312&lt;=0),"PENDIENTE",$Q312/$N312))</f>
        <v/>
      </c>
      <c r="S312" s="33" t="n"/>
      <c r="T312" s="33" t="n"/>
      <c r="U312" s="41" t="n"/>
      <c r="V312" s="36" t="n"/>
      <c r="W312" s="37">
        <f>IF(NOT(ISNUMBER($N312)),"",$N312-IF(ISNUMBER($V312),$V312,0))</f>
        <v/>
      </c>
      <c r="X312" s="33" t="n"/>
      <c r="Y312" s="51">
        <f>IF(COUNTA($B312,$C312,$D312,$E312,$F312,$I312)=0,"",IF(IF($B312=""," · Falta fecha","")&amp;IF($D312=""," · Falta cliente","")&amp;IF($E312=""," · Falta canal","")&amp;IF($F312=""," · Falta SKU","")&amp;IF(AND($F312&lt;&gt;"",COUNTIF(tblProductos[SKU],$F312)=0)," · SKU no existe","")&amp;IF(OR($I312="",NOT(ISNUMBER($I312)),$I312&lt;=0)," · Cantidad inválida","")&amp;IF($M312="PRECIO PENDIENTE"," · Falta precio de venta","")&amp;IF($P312="COSTO PENDIENTE"," · Falta costo del producto","")&amp;IF(AND(ISNUMBER($Q312),$Q312&lt;0)," · UTILIDAD NEGATIVA","")&amp;IF(AND($F312&lt;&gt;"",ISNUMBER(INDEX(tblInventario[Stock actual],MATCH($F312,tblInventario[SKU],0))),INDEX(tblInventario[Stock actual],MATCH($F312,tblInventario[SKU],0))&lt;0)," · Stock negativo del SKU","")&amp;IF(AND($T312="Cobrado",$U312="")," · Cobro sin fecha","")&amp;IF(AND(ISNUMBER($V312),ISNUMBER($N312),$V312&gt;N($N312)+0.01)," · Cobrado &gt; venta neta","")&amp;IF(AND(ISNUMBER($V312),$V312&gt;0,$U312="")," · Monto cobrado sin fecha","")="","OK",MID(IF($B312=""," · Falta fecha","")&amp;IF($D312=""," · Falta cliente","")&amp;IF($E312=""," · Falta canal","")&amp;IF($F312=""," · Falta SKU","")&amp;IF(AND($F312&lt;&gt;"",COUNTIF(tblProductos[SKU],$F312)=0)," · SKU no existe","")&amp;IF(OR($I312="",NOT(ISNUMBER($I312)),$I312&lt;=0)," · Cantidad inválida","")&amp;IF($M312="PRECIO PENDIENTE"," · Falta precio de venta","")&amp;IF($P312="COSTO PENDIENTE"," · Falta costo del producto","")&amp;IF(AND(ISNUMBER($Q312),$Q312&lt;0)," · UTILIDAD NEGATIVA","")&amp;IF(AND($F312&lt;&gt;"",ISNUMBER(INDEX(tblInventario[Stock actual],MATCH($F312,tblInventario[SKU],0))),INDEX(tblInventario[Stock actual],MATCH($F312,tblInventario[SKU],0))&lt;0)," · Stock negativo del SKU","")&amp;IF(AND($T312="Cobrado",$U312="")," · Cobro sin fecha","")&amp;IF(AND(ISNUMBER($V312),ISNUMBER($N312),$V312&gt;N($N312)+0.01)," · Cobrado &gt; venta neta","")&amp;IF(AND(ISNUMBER($V312),$V312&gt;0,$U312="")," · Monto cobrado sin fecha",""),4,900)))</f>
        <v/>
      </c>
    </row>
    <row r="313">
      <c r="A313" s="51">
        <f>IF(COUNTA($B313,$C313,$D313,$E313,$F313,$I313)=0,"","V-"&amp;TEXT(ROW()-6,"0000"))</f>
        <v/>
      </c>
      <c r="B313" s="41" t="n"/>
      <c r="C313" s="33" t="n"/>
      <c r="D313" s="33" t="n"/>
      <c r="E313" s="33" t="n"/>
      <c r="F313" s="33" t="n"/>
      <c r="G313" s="51">
        <f>IF($F313="","",IFERROR(IF(INDEX(tblProductos[Nombre del producto],MATCH($F313,tblProductos[SKU],0))="","",INDEX(tblProductos[Nombre del producto],MATCH($F313,tblProductos[SKU],0))),""))</f>
        <v/>
      </c>
      <c r="H313" s="51">
        <f>IF($F313="","",IFERROR(IF(INDEX(tblProductos[Categoría],MATCH($F313,tblProductos[SKU],0))="","",INDEX(tblProductos[Categoría],MATCH($F313,tblProductos[SKU],0))),""))</f>
        <v/>
      </c>
      <c r="I313" s="34" t="n"/>
      <c r="J313" s="39">
        <f>IF(OR($B313="",$F313="",$I313=""),"",IF($T313="Anulado",0,$I313))</f>
        <v/>
      </c>
      <c r="K313" s="54">
        <f>IF($F313="","",IFERROR(IF(INDEX(tblProductos[Precio de venta actual],MATCH($F313,tblProductos[SKU],0))="","",INDEX(tblProductos[Precio de venta actual],MATCH($F313,tblProductos[SKU],0))),""))</f>
        <v/>
      </c>
      <c r="L313" s="36" t="n"/>
      <c r="M313" s="37">
        <f>IF($J313="","",IF(NOT(ISNUMBER($K313)),"PRECIO PENDIENTE",$J313*$K313))</f>
        <v/>
      </c>
      <c r="N313" s="37">
        <f>IF($J313="","",IF(NOT(ISNUMBER($M313)),"PRECIO PENDIENTE",$M313-IF(ISNUMBER($L313),$L313,0)))</f>
        <v/>
      </c>
      <c r="O313" s="54">
        <f>IF($F313="","",IFERROR(INDEX(tblInventario[Costo unitario aplicado],MATCH($F313,tblInventario[SKU],0)),""))</f>
        <v/>
      </c>
      <c r="P313" s="37">
        <f>IF($J313="","",IF(NOT(ISNUMBER($O313)),"COSTO PENDIENTE",$J313*$O313))</f>
        <v/>
      </c>
      <c r="Q313" s="37">
        <f>IF($J313="","",IF(OR(NOT(ISNUMBER($N313)),NOT(ISNUMBER($P313))),"PENDIENTE",$N313-$P313))</f>
        <v/>
      </c>
      <c r="R313" s="38">
        <f>IF($J313="","",IF(OR(NOT(ISNUMBER($Q313)),NOT(ISNUMBER($N313)),$N313&lt;=0),"PENDIENTE",$Q313/$N313))</f>
        <v/>
      </c>
      <c r="S313" s="33" t="n"/>
      <c r="T313" s="33" t="n"/>
      <c r="U313" s="41" t="n"/>
      <c r="V313" s="36" t="n"/>
      <c r="W313" s="37">
        <f>IF(NOT(ISNUMBER($N313)),"",$N313-IF(ISNUMBER($V313),$V313,0))</f>
        <v/>
      </c>
      <c r="X313" s="33" t="n"/>
      <c r="Y313" s="51">
        <f>IF(COUNTA($B313,$C313,$D313,$E313,$F313,$I313)=0,"",IF(IF($B313=""," · Falta fecha","")&amp;IF($D313=""," · Falta cliente","")&amp;IF($E313=""," · Falta canal","")&amp;IF($F313=""," · Falta SKU","")&amp;IF(AND($F313&lt;&gt;"",COUNTIF(tblProductos[SKU],$F313)=0)," · SKU no existe","")&amp;IF(OR($I313="",NOT(ISNUMBER($I313)),$I313&lt;=0)," · Cantidad inválida","")&amp;IF($M313="PRECIO PENDIENTE"," · Falta precio de venta","")&amp;IF($P313="COSTO PENDIENTE"," · Falta costo del producto","")&amp;IF(AND(ISNUMBER($Q313),$Q313&lt;0)," · UTILIDAD NEGATIVA","")&amp;IF(AND($F313&lt;&gt;"",ISNUMBER(INDEX(tblInventario[Stock actual],MATCH($F313,tblInventario[SKU],0))),INDEX(tblInventario[Stock actual],MATCH($F313,tblInventario[SKU],0))&lt;0)," · Stock negativo del SKU","")&amp;IF(AND($T313="Cobrado",$U313="")," · Cobro sin fecha","")&amp;IF(AND(ISNUMBER($V313),ISNUMBER($N313),$V313&gt;N($N313)+0.01)," · Cobrado &gt; venta neta","")&amp;IF(AND(ISNUMBER($V313),$V313&gt;0,$U313="")," · Monto cobrado sin fecha","")="","OK",MID(IF($B313=""," · Falta fecha","")&amp;IF($D313=""," · Falta cliente","")&amp;IF($E313=""," · Falta canal","")&amp;IF($F313=""," · Falta SKU","")&amp;IF(AND($F313&lt;&gt;"",COUNTIF(tblProductos[SKU],$F313)=0)," · SKU no existe","")&amp;IF(OR($I313="",NOT(ISNUMBER($I313)),$I313&lt;=0)," · Cantidad inválida","")&amp;IF($M313="PRECIO PENDIENTE"," · Falta precio de venta","")&amp;IF($P313="COSTO PENDIENTE"," · Falta costo del producto","")&amp;IF(AND(ISNUMBER($Q313),$Q313&lt;0)," · UTILIDAD NEGATIVA","")&amp;IF(AND($F313&lt;&gt;"",ISNUMBER(INDEX(tblInventario[Stock actual],MATCH($F313,tblInventario[SKU],0))),INDEX(tblInventario[Stock actual],MATCH($F313,tblInventario[SKU],0))&lt;0)," · Stock negativo del SKU","")&amp;IF(AND($T313="Cobrado",$U313="")," · Cobro sin fecha","")&amp;IF(AND(ISNUMBER($V313),ISNUMBER($N313),$V313&gt;N($N313)+0.01)," · Cobrado &gt; venta neta","")&amp;IF(AND(ISNUMBER($V313),$V313&gt;0,$U313="")," · Monto cobrado sin fecha",""),4,900)))</f>
        <v/>
      </c>
    </row>
    <row r="314">
      <c r="A314" s="51">
        <f>IF(COUNTA($B314,$C314,$D314,$E314,$F314,$I314)=0,"","V-"&amp;TEXT(ROW()-6,"0000"))</f>
        <v/>
      </c>
      <c r="B314" s="41" t="n"/>
      <c r="C314" s="33" t="n"/>
      <c r="D314" s="33" t="n"/>
      <c r="E314" s="33" t="n"/>
      <c r="F314" s="33" t="n"/>
      <c r="G314" s="51">
        <f>IF($F314="","",IFERROR(IF(INDEX(tblProductos[Nombre del producto],MATCH($F314,tblProductos[SKU],0))="","",INDEX(tblProductos[Nombre del producto],MATCH($F314,tblProductos[SKU],0))),""))</f>
        <v/>
      </c>
      <c r="H314" s="51">
        <f>IF($F314="","",IFERROR(IF(INDEX(tblProductos[Categoría],MATCH($F314,tblProductos[SKU],0))="","",INDEX(tblProductos[Categoría],MATCH($F314,tblProductos[SKU],0))),""))</f>
        <v/>
      </c>
      <c r="I314" s="34" t="n"/>
      <c r="J314" s="39">
        <f>IF(OR($B314="",$F314="",$I314=""),"",IF($T314="Anulado",0,$I314))</f>
        <v/>
      </c>
      <c r="K314" s="54">
        <f>IF($F314="","",IFERROR(IF(INDEX(tblProductos[Precio de venta actual],MATCH($F314,tblProductos[SKU],0))="","",INDEX(tblProductos[Precio de venta actual],MATCH($F314,tblProductos[SKU],0))),""))</f>
        <v/>
      </c>
      <c r="L314" s="36" t="n"/>
      <c r="M314" s="37">
        <f>IF($J314="","",IF(NOT(ISNUMBER($K314)),"PRECIO PENDIENTE",$J314*$K314))</f>
        <v/>
      </c>
      <c r="N314" s="37">
        <f>IF($J314="","",IF(NOT(ISNUMBER($M314)),"PRECIO PENDIENTE",$M314-IF(ISNUMBER($L314),$L314,0)))</f>
        <v/>
      </c>
      <c r="O314" s="54">
        <f>IF($F314="","",IFERROR(INDEX(tblInventario[Costo unitario aplicado],MATCH($F314,tblInventario[SKU],0)),""))</f>
        <v/>
      </c>
      <c r="P314" s="37">
        <f>IF($J314="","",IF(NOT(ISNUMBER($O314)),"COSTO PENDIENTE",$J314*$O314))</f>
        <v/>
      </c>
      <c r="Q314" s="37">
        <f>IF($J314="","",IF(OR(NOT(ISNUMBER($N314)),NOT(ISNUMBER($P314))),"PENDIENTE",$N314-$P314))</f>
        <v/>
      </c>
      <c r="R314" s="38">
        <f>IF($J314="","",IF(OR(NOT(ISNUMBER($Q314)),NOT(ISNUMBER($N314)),$N314&lt;=0),"PENDIENTE",$Q314/$N314))</f>
        <v/>
      </c>
      <c r="S314" s="33" t="n"/>
      <c r="T314" s="33" t="n"/>
      <c r="U314" s="41" t="n"/>
      <c r="V314" s="36" t="n"/>
      <c r="W314" s="37">
        <f>IF(NOT(ISNUMBER($N314)),"",$N314-IF(ISNUMBER($V314),$V314,0))</f>
        <v/>
      </c>
      <c r="X314" s="33" t="n"/>
      <c r="Y314" s="51">
        <f>IF(COUNTA($B314,$C314,$D314,$E314,$F314,$I314)=0,"",IF(IF($B314=""," · Falta fecha","")&amp;IF($D314=""," · Falta cliente","")&amp;IF($E314=""," · Falta canal","")&amp;IF($F314=""," · Falta SKU","")&amp;IF(AND($F314&lt;&gt;"",COUNTIF(tblProductos[SKU],$F314)=0)," · SKU no existe","")&amp;IF(OR($I314="",NOT(ISNUMBER($I314)),$I314&lt;=0)," · Cantidad inválida","")&amp;IF($M314="PRECIO PENDIENTE"," · Falta precio de venta","")&amp;IF($P314="COSTO PENDIENTE"," · Falta costo del producto","")&amp;IF(AND(ISNUMBER($Q314),$Q314&lt;0)," · UTILIDAD NEGATIVA","")&amp;IF(AND($F314&lt;&gt;"",ISNUMBER(INDEX(tblInventario[Stock actual],MATCH($F314,tblInventario[SKU],0))),INDEX(tblInventario[Stock actual],MATCH($F314,tblInventario[SKU],0))&lt;0)," · Stock negativo del SKU","")&amp;IF(AND($T314="Cobrado",$U314="")," · Cobro sin fecha","")&amp;IF(AND(ISNUMBER($V314),ISNUMBER($N314),$V314&gt;N($N314)+0.01)," · Cobrado &gt; venta neta","")&amp;IF(AND(ISNUMBER($V314),$V314&gt;0,$U314="")," · Monto cobrado sin fecha","")="","OK",MID(IF($B314=""," · Falta fecha","")&amp;IF($D314=""," · Falta cliente","")&amp;IF($E314=""," · Falta canal","")&amp;IF($F314=""," · Falta SKU","")&amp;IF(AND($F314&lt;&gt;"",COUNTIF(tblProductos[SKU],$F314)=0)," · SKU no existe","")&amp;IF(OR($I314="",NOT(ISNUMBER($I314)),$I314&lt;=0)," · Cantidad inválida","")&amp;IF($M314="PRECIO PENDIENTE"," · Falta precio de venta","")&amp;IF($P314="COSTO PENDIENTE"," · Falta costo del producto","")&amp;IF(AND(ISNUMBER($Q314),$Q314&lt;0)," · UTILIDAD NEGATIVA","")&amp;IF(AND($F314&lt;&gt;"",ISNUMBER(INDEX(tblInventario[Stock actual],MATCH($F314,tblInventario[SKU],0))),INDEX(tblInventario[Stock actual],MATCH($F314,tblInventario[SKU],0))&lt;0)," · Stock negativo del SKU","")&amp;IF(AND($T314="Cobrado",$U314="")," · Cobro sin fecha","")&amp;IF(AND(ISNUMBER($V314),ISNUMBER($N314),$V314&gt;N($N314)+0.01)," · Cobrado &gt; venta neta","")&amp;IF(AND(ISNUMBER($V314),$V314&gt;0,$U314="")," · Monto cobrado sin fecha",""),4,900)))</f>
        <v/>
      </c>
    </row>
    <row r="315">
      <c r="A315" s="51">
        <f>IF(COUNTA($B315,$C315,$D315,$E315,$F315,$I315)=0,"","V-"&amp;TEXT(ROW()-6,"0000"))</f>
        <v/>
      </c>
      <c r="B315" s="41" t="n"/>
      <c r="C315" s="33" t="n"/>
      <c r="D315" s="33" t="n"/>
      <c r="E315" s="33" t="n"/>
      <c r="F315" s="33" t="n"/>
      <c r="G315" s="51">
        <f>IF($F315="","",IFERROR(IF(INDEX(tblProductos[Nombre del producto],MATCH($F315,tblProductos[SKU],0))="","",INDEX(tblProductos[Nombre del producto],MATCH($F315,tblProductos[SKU],0))),""))</f>
        <v/>
      </c>
      <c r="H315" s="51">
        <f>IF($F315="","",IFERROR(IF(INDEX(tblProductos[Categoría],MATCH($F315,tblProductos[SKU],0))="","",INDEX(tblProductos[Categoría],MATCH($F315,tblProductos[SKU],0))),""))</f>
        <v/>
      </c>
      <c r="I315" s="34" t="n"/>
      <c r="J315" s="39">
        <f>IF(OR($B315="",$F315="",$I315=""),"",IF($T315="Anulado",0,$I315))</f>
        <v/>
      </c>
      <c r="K315" s="54">
        <f>IF($F315="","",IFERROR(IF(INDEX(tblProductos[Precio de venta actual],MATCH($F315,tblProductos[SKU],0))="","",INDEX(tblProductos[Precio de venta actual],MATCH($F315,tblProductos[SKU],0))),""))</f>
        <v/>
      </c>
      <c r="L315" s="36" t="n"/>
      <c r="M315" s="37">
        <f>IF($J315="","",IF(NOT(ISNUMBER($K315)),"PRECIO PENDIENTE",$J315*$K315))</f>
        <v/>
      </c>
      <c r="N315" s="37">
        <f>IF($J315="","",IF(NOT(ISNUMBER($M315)),"PRECIO PENDIENTE",$M315-IF(ISNUMBER($L315),$L315,0)))</f>
        <v/>
      </c>
      <c r="O315" s="54">
        <f>IF($F315="","",IFERROR(INDEX(tblInventario[Costo unitario aplicado],MATCH($F315,tblInventario[SKU],0)),""))</f>
        <v/>
      </c>
      <c r="P315" s="37">
        <f>IF($J315="","",IF(NOT(ISNUMBER($O315)),"COSTO PENDIENTE",$J315*$O315))</f>
        <v/>
      </c>
      <c r="Q315" s="37">
        <f>IF($J315="","",IF(OR(NOT(ISNUMBER($N315)),NOT(ISNUMBER($P315))),"PENDIENTE",$N315-$P315))</f>
        <v/>
      </c>
      <c r="R315" s="38">
        <f>IF($J315="","",IF(OR(NOT(ISNUMBER($Q315)),NOT(ISNUMBER($N315)),$N315&lt;=0),"PENDIENTE",$Q315/$N315))</f>
        <v/>
      </c>
      <c r="S315" s="33" t="n"/>
      <c r="T315" s="33" t="n"/>
      <c r="U315" s="41" t="n"/>
      <c r="V315" s="36" t="n"/>
      <c r="W315" s="37">
        <f>IF(NOT(ISNUMBER($N315)),"",$N315-IF(ISNUMBER($V315),$V315,0))</f>
        <v/>
      </c>
      <c r="X315" s="33" t="n"/>
      <c r="Y315" s="51">
        <f>IF(COUNTA($B315,$C315,$D315,$E315,$F315,$I315)=0,"",IF(IF($B315=""," · Falta fecha","")&amp;IF($D315=""," · Falta cliente","")&amp;IF($E315=""," · Falta canal","")&amp;IF($F315=""," · Falta SKU","")&amp;IF(AND($F315&lt;&gt;"",COUNTIF(tblProductos[SKU],$F315)=0)," · SKU no existe","")&amp;IF(OR($I315="",NOT(ISNUMBER($I315)),$I315&lt;=0)," · Cantidad inválida","")&amp;IF($M315="PRECIO PENDIENTE"," · Falta precio de venta","")&amp;IF($P315="COSTO PENDIENTE"," · Falta costo del producto","")&amp;IF(AND(ISNUMBER($Q315),$Q315&lt;0)," · UTILIDAD NEGATIVA","")&amp;IF(AND($F315&lt;&gt;"",ISNUMBER(INDEX(tblInventario[Stock actual],MATCH($F315,tblInventario[SKU],0))),INDEX(tblInventario[Stock actual],MATCH($F315,tblInventario[SKU],0))&lt;0)," · Stock negativo del SKU","")&amp;IF(AND($T315="Cobrado",$U315="")," · Cobro sin fecha","")&amp;IF(AND(ISNUMBER($V315),ISNUMBER($N315),$V315&gt;N($N315)+0.01)," · Cobrado &gt; venta neta","")&amp;IF(AND(ISNUMBER($V315),$V315&gt;0,$U315="")," · Monto cobrado sin fecha","")="","OK",MID(IF($B315=""," · Falta fecha","")&amp;IF($D315=""," · Falta cliente","")&amp;IF($E315=""," · Falta canal","")&amp;IF($F315=""," · Falta SKU","")&amp;IF(AND($F315&lt;&gt;"",COUNTIF(tblProductos[SKU],$F315)=0)," · SKU no existe","")&amp;IF(OR($I315="",NOT(ISNUMBER($I315)),$I315&lt;=0)," · Cantidad inválida","")&amp;IF($M315="PRECIO PENDIENTE"," · Falta precio de venta","")&amp;IF($P315="COSTO PENDIENTE"," · Falta costo del producto","")&amp;IF(AND(ISNUMBER($Q315),$Q315&lt;0)," · UTILIDAD NEGATIVA","")&amp;IF(AND($F315&lt;&gt;"",ISNUMBER(INDEX(tblInventario[Stock actual],MATCH($F315,tblInventario[SKU],0))),INDEX(tblInventario[Stock actual],MATCH($F315,tblInventario[SKU],0))&lt;0)," · Stock negativo del SKU","")&amp;IF(AND($T315="Cobrado",$U315="")," · Cobro sin fecha","")&amp;IF(AND(ISNUMBER($V315),ISNUMBER($N315),$V315&gt;N($N315)+0.01)," · Cobrado &gt; venta neta","")&amp;IF(AND(ISNUMBER($V315),$V315&gt;0,$U315="")," · Monto cobrado sin fecha",""),4,900)))</f>
        <v/>
      </c>
    </row>
    <row r="316">
      <c r="A316" s="51">
        <f>IF(COUNTA($B316,$C316,$D316,$E316,$F316,$I316)=0,"","V-"&amp;TEXT(ROW()-6,"0000"))</f>
        <v/>
      </c>
      <c r="B316" s="41" t="n"/>
      <c r="C316" s="33" t="n"/>
      <c r="D316" s="33" t="n"/>
      <c r="E316" s="33" t="n"/>
      <c r="F316" s="33" t="n"/>
      <c r="G316" s="51">
        <f>IF($F316="","",IFERROR(IF(INDEX(tblProductos[Nombre del producto],MATCH($F316,tblProductos[SKU],0))="","",INDEX(tblProductos[Nombre del producto],MATCH($F316,tblProductos[SKU],0))),""))</f>
        <v/>
      </c>
      <c r="H316" s="51">
        <f>IF($F316="","",IFERROR(IF(INDEX(tblProductos[Categoría],MATCH($F316,tblProductos[SKU],0))="","",INDEX(tblProductos[Categoría],MATCH($F316,tblProductos[SKU],0))),""))</f>
        <v/>
      </c>
      <c r="I316" s="34" t="n"/>
      <c r="J316" s="39">
        <f>IF(OR($B316="",$F316="",$I316=""),"",IF($T316="Anulado",0,$I316))</f>
        <v/>
      </c>
      <c r="K316" s="54">
        <f>IF($F316="","",IFERROR(IF(INDEX(tblProductos[Precio de venta actual],MATCH($F316,tblProductos[SKU],0))="","",INDEX(tblProductos[Precio de venta actual],MATCH($F316,tblProductos[SKU],0))),""))</f>
        <v/>
      </c>
      <c r="L316" s="36" t="n"/>
      <c r="M316" s="37">
        <f>IF($J316="","",IF(NOT(ISNUMBER($K316)),"PRECIO PENDIENTE",$J316*$K316))</f>
        <v/>
      </c>
      <c r="N316" s="37">
        <f>IF($J316="","",IF(NOT(ISNUMBER($M316)),"PRECIO PENDIENTE",$M316-IF(ISNUMBER($L316),$L316,0)))</f>
        <v/>
      </c>
      <c r="O316" s="54">
        <f>IF($F316="","",IFERROR(INDEX(tblInventario[Costo unitario aplicado],MATCH($F316,tblInventario[SKU],0)),""))</f>
        <v/>
      </c>
      <c r="P316" s="37">
        <f>IF($J316="","",IF(NOT(ISNUMBER($O316)),"COSTO PENDIENTE",$J316*$O316))</f>
        <v/>
      </c>
      <c r="Q316" s="37">
        <f>IF($J316="","",IF(OR(NOT(ISNUMBER($N316)),NOT(ISNUMBER($P316))),"PENDIENTE",$N316-$P316))</f>
        <v/>
      </c>
      <c r="R316" s="38">
        <f>IF($J316="","",IF(OR(NOT(ISNUMBER($Q316)),NOT(ISNUMBER($N316)),$N316&lt;=0),"PENDIENTE",$Q316/$N316))</f>
        <v/>
      </c>
      <c r="S316" s="33" t="n"/>
      <c r="T316" s="33" t="n"/>
      <c r="U316" s="41" t="n"/>
      <c r="V316" s="36" t="n"/>
      <c r="W316" s="37">
        <f>IF(NOT(ISNUMBER($N316)),"",$N316-IF(ISNUMBER($V316),$V316,0))</f>
        <v/>
      </c>
      <c r="X316" s="33" t="n"/>
      <c r="Y316" s="51">
        <f>IF(COUNTA($B316,$C316,$D316,$E316,$F316,$I316)=0,"",IF(IF($B316=""," · Falta fecha","")&amp;IF($D316=""," · Falta cliente","")&amp;IF($E316=""," · Falta canal","")&amp;IF($F316=""," · Falta SKU","")&amp;IF(AND($F316&lt;&gt;"",COUNTIF(tblProductos[SKU],$F316)=0)," · SKU no existe","")&amp;IF(OR($I316="",NOT(ISNUMBER($I316)),$I316&lt;=0)," · Cantidad inválida","")&amp;IF($M316="PRECIO PENDIENTE"," · Falta precio de venta","")&amp;IF($P316="COSTO PENDIENTE"," · Falta costo del producto","")&amp;IF(AND(ISNUMBER($Q316),$Q316&lt;0)," · UTILIDAD NEGATIVA","")&amp;IF(AND($F316&lt;&gt;"",ISNUMBER(INDEX(tblInventario[Stock actual],MATCH($F316,tblInventario[SKU],0))),INDEX(tblInventario[Stock actual],MATCH($F316,tblInventario[SKU],0))&lt;0)," · Stock negativo del SKU","")&amp;IF(AND($T316="Cobrado",$U316="")," · Cobro sin fecha","")&amp;IF(AND(ISNUMBER($V316),ISNUMBER($N316),$V316&gt;N($N316)+0.01)," · Cobrado &gt; venta neta","")&amp;IF(AND(ISNUMBER($V316),$V316&gt;0,$U316="")," · Monto cobrado sin fecha","")="","OK",MID(IF($B316=""," · Falta fecha","")&amp;IF($D316=""," · Falta cliente","")&amp;IF($E316=""," · Falta canal","")&amp;IF($F316=""," · Falta SKU","")&amp;IF(AND($F316&lt;&gt;"",COUNTIF(tblProductos[SKU],$F316)=0)," · SKU no existe","")&amp;IF(OR($I316="",NOT(ISNUMBER($I316)),$I316&lt;=0)," · Cantidad inválida","")&amp;IF($M316="PRECIO PENDIENTE"," · Falta precio de venta","")&amp;IF($P316="COSTO PENDIENTE"," · Falta costo del producto","")&amp;IF(AND(ISNUMBER($Q316),$Q316&lt;0)," · UTILIDAD NEGATIVA","")&amp;IF(AND($F316&lt;&gt;"",ISNUMBER(INDEX(tblInventario[Stock actual],MATCH($F316,tblInventario[SKU],0))),INDEX(tblInventario[Stock actual],MATCH($F316,tblInventario[SKU],0))&lt;0)," · Stock negativo del SKU","")&amp;IF(AND($T316="Cobrado",$U316="")," · Cobro sin fecha","")&amp;IF(AND(ISNUMBER($V316),ISNUMBER($N316),$V316&gt;N($N316)+0.01)," · Cobrado &gt; venta neta","")&amp;IF(AND(ISNUMBER($V316),$V316&gt;0,$U316="")," · Monto cobrado sin fecha",""),4,900)))</f>
        <v/>
      </c>
    </row>
    <row r="317">
      <c r="A317" s="51">
        <f>IF(COUNTA($B317,$C317,$D317,$E317,$F317,$I317)=0,"","V-"&amp;TEXT(ROW()-6,"0000"))</f>
        <v/>
      </c>
      <c r="B317" s="41" t="n"/>
      <c r="C317" s="33" t="n"/>
      <c r="D317" s="33" t="n"/>
      <c r="E317" s="33" t="n"/>
      <c r="F317" s="33" t="n"/>
      <c r="G317" s="51">
        <f>IF($F317="","",IFERROR(IF(INDEX(tblProductos[Nombre del producto],MATCH($F317,tblProductos[SKU],0))="","",INDEX(tblProductos[Nombre del producto],MATCH($F317,tblProductos[SKU],0))),""))</f>
        <v/>
      </c>
      <c r="H317" s="51">
        <f>IF($F317="","",IFERROR(IF(INDEX(tblProductos[Categoría],MATCH($F317,tblProductos[SKU],0))="","",INDEX(tblProductos[Categoría],MATCH($F317,tblProductos[SKU],0))),""))</f>
        <v/>
      </c>
      <c r="I317" s="34" t="n"/>
      <c r="J317" s="39">
        <f>IF(OR($B317="",$F317="",$I317=""),"",IF($T317="Anulado",0,$I317))</f>
        <v/>
      </c>
      <c r="K317" s="54">
        <f>IF($F317="","",IFERROR(IF(INDEX(tblProductos[Precio de venta actual],MATCH($F317,tblProductos[SKU],0))="","",INDEX(tblProductos[Precio de venta actual],MATCH($F317,tblProductos[SKU],0))),""))</f>
        <v/>
      </c>
      <c r="L317" s="36" t="n"/>
      <c r="M317" s="37">
        <f>IF($J317="","",IF(NOT(ISNUMBER($K317)),"PRECIO PENDIENTE",$J317*$K317))</f>
        <v/>
      </c>
      <c r="N317" s="37">
        <f>IF($J317="","",IF(NOT(ISNUMBER($M317)),"PRECIO PENDIENTE",$M317-IF(ISNUMBER($L317),$L317,0)))</f>
        <v/>
      </c>
      <c r="O317" s="54">
        <f>IF($F317="","",IFERROR(INDEX(tblInventario[Costo unitario aplicado],MATCH($F317,tblInventario[SKU],0)),""))</f>
        <v/>
      </c>
      <c r="P317" s="37">
        <f>IF($J317="","",IF(NOT(ISNUMBER($O317)),"COSTO PENDIENTE",$J317*$O317))</f>
        <v/>
      </c>
      <c r="Q317" s="37">
        <f>IF($J317="","",IF(OR(NOT(ISNUMBER($N317)),NOT(ISNUMBER($P317))),"PENDIENTE",$N317-$P317))</f>
        <v/>
      </c>
      <c r="R317" s="38">
        <f>IF($J317="","",IF(OR(NOT(ISNUMBER($Q317)),NOT(ISNUMBER($N317)),$N317&lt;=0),"PENDIENTE",$Q317/$N317))</f>
        <v/>
      </c>
      <c r="S317" s="33" t="n"/>
      <c r="T317" s="33" t="n"/>
      <c r="U317" s="41" t="n"/>
      <c r="V317" s="36" t="n"/>
      <c r="W317" s="37">
        <f>IF(NOT(ISNUMBER($N317)),"",$N317-IF(ISNUMBER($V317),$V317,0))</f>
        <v/>
      </c>
      <c r="X317" s="33" t="n"/>
      <c r="Y317" s="51">
        <f>IF(COUNTA($B317,$C317,$D317,$E317,$F317,$I317)=0,"",IF(IF($B317=""," · Falta fecha","")&amp;IF($D317=""," · Falta cliente","")&amp;IF($E317=""," · Falta canal","")&amp;IF($F317=""," · Falta SKU","")&amp;IF(AND($F317&lt;&gt;"",COUNTIF(tblProductos[SKU],$F317)=0)," · SKU no existe","")&amp;IF(OR($I317="",NOT(ISNUMBER($I317)),$I317&lt;=0)," · Cantidad inválida","")&amp;IF($M317="PRECIO PENDIENTE"," · Falta precio de venta","")&amp;IF($P317="COSTO PENDIENTE"," · Falta costo del producto","")&amp;IF(AND(ISNUMBER($Q317),$Q317&lt;0)," · UTILIDAD NEGATIVA","")&amp;IF(AND($F317&lt;&gt;"",ISNUMBER(INDEX(tblInventario[Stock actual],MATCH($F317,tblInventario[SKU],0))),INDEX(tblInventario[Stock actual],MATCH($F317,tblInventario[SKU],0))&lt;0)," · Stock negativo del SKU","")&amp;IF(AND($T317="Cobrado",$U317="")," · Cobro sin fecha","")&amp;IF(AND(ISNUMBER($V317),ISNUMBER($N317),$V317&gt;N($N317)+0.01)," · Cobrado &gt; venta neta","")&amp;IF(AND(ISNUMBER($V317),$V317&gt;0,$U317="")," · Monto cobrado sin fecha","")="","OK",MID(IF($B317=""," · Falta fecha","")&amp;IF($D317=""," · Falta cliente","")&amp;IF($E317=""," · Falta canal","")&amp;IF($F317=""," · Falta SKU","")&amp;IF(AND($F317&lt;&gt;"",COUNTIF(tblProductos[SKU],$F317)=0)," · SKU no existe","")&amp;IF(OR($I317="",NOT(ISNUMBER($I317)),$I317&lt;=0)," · Cantidad inválida","")&amp;IF($M317="PRECIO PENDIENTE"," · Falta precio de venta","")&amp;IF($P317="COSTO PENDIENTE"," · Falta costo del producto","")&amp;IF(AND(ISNUMBER($Q317),$Q317&lt;0)," · UTILIDAD NEGATIVA","")&amp;IF(AND($F317&lt;&gt;"",ISNUMBER(INDEX(tblInventario[Stock actual],MATCH($F317,tblInventario[SKU],0))),INDEX(tblInventario[Stock actual],MATCH($F317,tblInventario[SKU],0))&lt;0)," · Stock negativo del SKU","")&amp;IF(AND($T317="Cobrado",$U317="")," · Cobro sin fecha","")&amp;IF(AND(ISNUMBER($V317),ISNUMBER($N317),$V317&gt;N($N317)+0.01)," · Cobrado &gt; venta neta","")&amp;IF(AND(ISNUMBER($V317),$V317&gt;0,$U317="")," · Monto cobrado sin fecha",""),4,900)))</f>
        <v/>
      </c>
    </row>
    <row r="318">
      <c r="A318" s="51">
        <f>IF(COUNTA($B318,$C318,$D318,$E318,$F318,$I318)=0,"","V-"&amp;TEXT(ROW()-6,"0000"))</f>
        <v/>
      </c>
      <c r="B318" s="41" t="n"/>
      <c r="C318" s="33" t="n"/>
      <c r="D318" s="33" t="n"/>
      <c r="E318" s="33" t="n"/>
      <c r="F318" s="33" t="n"/>
      <c r="G318" s="51">
        <f>IF($F318="","",IFERROR(IF(INDEX(tblProductos[Nombre del producto],MATCH($F318,tblProductos[SKU],0))="","",INDEX(tblProductos[Nombre del producto],MATCH($F318,tblProductos[SKU],0))),""))</f>
        <v/>
      </c>
      <c r="H318" s="51">
        <f>IF($F318="","",IFERROR(IF(INDEX(tblProductos[Categoría],MATCH($F318,tblProductos[SKU],0))="","",INDEX(tblProductos[Categoría],MATCH($F318,tblProductos[SKU],0))),""))</f>
        <v/>
      </c>
      <c r="I318" s="34" t="n"/>
      <c r="J318" s="39">
        <f>IF(OR($B318="",$F318="",$I318=""),"",IF($T318="Anulado",0,$I318))</f>
        <v/>
      </c>
      <c r="K318" s="54">
        <f>IF($F318="","",IFERROR(IF(INDEX(tblProductos[Precio de venta actual],MATCH($F318,tblProductos[SKU],0))="","",INDEX(tblProductos[Precio de venta actual],MATCH($F318,tblProductos[SKU],0))),""))</f>
        <v/>
      </c>
      <c r="L318" s="36" t="n"/>
      <c r="M318" s="37">
        <f>IF($J318="","",IF(NOT(ISNUMBER($K318)),"PRECIO PENDIENTE",$J318*$K318))</f>
        <v/>
      </c>
      <c r="N318" s="37">
        <f>IF($J318="","",IF(NOT(ISNUMBER($M318)),"PRECIO PENDIENTE",$M318-IF(ISNUMBER($L318),$L318,0)))</f>
        <v/>
      </c>
      <c r="O318" s="54">
        <f>IF($F318="","",IFERROR(INDEX(tblInventario[Costo unitario aplicado],MATCH($F318,tblInventario[SKU],0)),""))</f>
        <v/>
      </c>
      <c r="P318" s="37">
        <f>IF($J318="","",IF(NOT(ISNUMBER($O318)),"COSTO PENDIENTE",$J318*$O318))</f>
        <v/>
      </c>
      <c r="Q318" s="37">
        <f>IF($J318="","",IF(OR(NOT(ISNUMBER($N318)),NOT(ISNUMBER($P318))),"PENDIENTE",$N318-$P318))</f>
        <v/>
      </c>
      <c r="R318" s="38">
        <f>IF($J318="","",IF(OR(NOT(ISNUMBER($Q318)),NOT(ISNUMBER($N318)),$N318&lt;=0),"PENDIENTE",$Q318/$N318))</f>
        <v/>
      </c>
      <c r="S318" s="33" t="n"/>
      <c r="T318" s="33" t="n"/>
      <c r="U318" s="41" t="n"/>
      <c r="V318" s="36" t="n"/>
      <c r="W318" s="37">
        <f>IF(NOT(ISNUMBER($N318)),"",$N318-IF(ISNUMBER($V318),$V318,0))</f>
        <v/>
      </c>
      <c r="X318" s="33" t="n"/>
      <c r="Y318" s="51">
        <f>IF(COUNTA($B318,$C318,$D318,$E318,$F318,$I318)=0,"",IF(IF($B318=""," · Falta fecha","")&amp;IF($D318=""," · Falta cliente","")&amp;IF($E318=""," · Falta canal","")&amp;IF($F318=""," · Falta SKU","")&amp;IF(AND($F318&lt;&gt;"",COUNTIF(tblProductos[SKU],$F318)=0)," · SKU no existe","")&amp;IF(OR($I318="",NOT(ISNUMBER($I318)),$I318&lt;=0)," · Cantidad inválida","")&amp;IF($M318="PRECIO PENDIENTE"," · Falta precio de venta","")&amp;IF($P318="COSTO PENDIENTE"," · Falta costo del producto","")&amp;IF(AND(ISNUMBER($Q318),$Q318&lt;0)," · UTILIDAD NEGATIVA","")&amp;IF(AND($F318&lt;&gt;"",ISNUMBER(INDEX(tblInventario[Stock actual],MATCH($F318,tblInventario[SKU],0))),INDEX(tblInventario[Stock actual],MATCH($F318,tblInventario[SKU],0))&lt;0)," · Stock negativo del SKU","")&amp;IF(AND($T318="Cobrado",$U318="")," · Cobro sin fecha","")&amp;IF(AND(ISNUMBER($V318),ISNUMBER($N318),$V318&gt;N($N318)+0.01)," · Cobrado &gt; venta neta","")&amp;IF(AND(ISNUMBER($V318),$V318&gt;0,$U318="")," · Monto cobrado sin fecha","")="","OK",MID(IF($B318=""," · Falta fecha","")&amp;IF($D318=""," · Falta cliente","")&amp;IF($E318=""," · Falta canal","")&amp;IF($F318=""," · Falta SKU","")&amp;IF(AND($F318&lt;&gt;"",COUNTIF(tblProductos[SKU],$F318)=0)," · SKU no existe","")&amp;IF(OR($I318="",NOT(ISNUMBER($I318)),$I318&lt;=0)," · Cantidad inválida","")&amp;IF($M318="PRECIO PENDIENTE"," · Falta precio de venta","")&amp;IF($P318="COSTO PENDIENTE"," · Falta costo del producto","")&amp;IF(AND(ISNUMBER($Q318),$Q318&lt;0)," · UTILIDAD NEGATIVA","")&amp;IF(AND($F318&lt;&gt;"",ISNUMBER(INDEX(tblInventario[Stock actual],MATCH($F318,tblInventario[SKU],0))),INDEX(tblInventario[Stock actual],MATCH($F318,tblInventario[SKU],0))&lt;0)," · Stock negativo del SKU","")&amp;IF(AND($T318="Cobrado",$U318="")," · Cobro sin fecha","")&amp;IF(AND(ISNUMBER($V318),ISNUMBER($N318),$V318&gt;N($N318)+0.01)," · Cobrado &gt; venta neta","")&amp;IF(AND(ISNUMBER($V318),$V318&gt;0,$U318="")," · Monto cobrado sin fecha",""),4,900)))</f>
        <v/>
      </c>
    </row>
    <row r="319">
      <c r="A319" s="51">
        <f>IF(COUNTA($B319,$C319,$D319,$E319,$F319,$I319)=0,"","V-"&amp;TEXT(ROW()-6,"0000"))</f>
        <v/>
      </c>
      <c r="B319" s="41" t="n"/>
      <c r="C319" s="33" t="n"/>
      <c r="D319" s="33" t="n"/>
      <c r="E319" s="33" t="n"/>
      <c r="F319" s="33" t="n"/>
      <c r="G319" s="51">
        <f>IF($F319="","",IFERROR(IF(INDEX(tblProductos[Nombre del producto],MATCH($F319,tblProductos[SKU],0))="","",INDEX(tblProductos[Nombre del producto],MATCH($F319,tblProductos[SKU],0))),""))</f>
        <v/>
      </c>
      <c r="H319" s="51">
        <f>IF($F319="","",IFERROR(IF(INDEX(tblProductos[Categoría],MATCH($F319,tblProductos[SKU],0))="","",INDEX(tblProductos[Categoría],MATCH($F319,tblProductos[SKU],0))),""))</f>
        <v/>
      </c>
      <c r="I319" s="34" t="n"/>
      <c r="J319" s="39">
        <f>IF(OR($B319="",$F319="",$I319=""),"",IF($T319="Anulado",0,$I319))</f>
        <v/>
      </c>
      <c r="K319" s="54">
        <f>IF($F319="","",IFERROR(IF(INDEX(tblProductos[Precio de venta actual],MATCH($F319,tblProductos[SKU],0))="","",INDEX(tblProductos[Precio de venta actual],MATCH($F319,tblProductos[SKU],0))),""))</f>
        <v/>
      </c>
      <c r="L319" s="36" t="n"/>
      <c r="M319" s="37">
        <f>IF($J319="","",IF(NOT(ISNUMBER($K319)),"PRECIO PENDIENTE",$J319*$K319))</f>
        <v/>
      </c>
      <c r="N319" s="37">
        <f>IF($J319="","",IF(NOT(ISNUMBER($M319)),"PRECIO PENDIENTE",$M319-IF(ISNUMBER($L319),$L319,0)))</f>
        <v/>
      </c>
      <c r="O319" s="54">
        <f>IF($F319="","",IFERROR(INDEX(tblInventario[Costo unitario aplicado],MATCH($F319,tblInventario[SKU],0)),""))</f>
        <v/>
      </c>
      <c r="P319" s="37">
        <f>IF($J319="","",IF(NOT(ISNUMBER($O319)),"COSTO PENDIENTE",$J319*$O319))</f>
        <v/>
      </c>
      <c r="Q319" s="37">
        <f>IF($J319="","",IF(OR(NOT(ISNUMBER($N319)),NOT(ISNUMBER($P319))),"PENDIENTE",$N319-$P319))</f>
        <v/>
      </c>
      <c r="R319" s="38">
        <f>IF($J319="","",IF(OR(NOT(ISNUMBER($Q319)),NOT(ISNUMBER($N319)),$N319&lt;=0),"PENDIENTE",$Q319/$N319))</f>
        <v/>
      </c>
      <c r="S319" s="33" t="n"/>
      <c r="T319" s="33" t="n"/>
      <c r="U319" s="41" t="n"/>
      <c r="V319" s="36" t="n"/>
      <c r="W319" s="37">
        <f>IF(NOT(ISNUMBER($N319)),"",$N319-IF(ISNUMBER($V319),$V319,0))</f>
        <v/>
      </c>
      <c r="X319" s="33" t="n"/>
      <c r="Y319" s="51">
        <f>IF(COUNTA($B319,$C319,$D319,$E319,$F319,$I319)=0,"",IF(IF($B319=""," · Falta fecha","")&amp;IF($D319=""," · Falta cliente","")&amp;IF($E319=""," · Falta canal","")&amp;IF($F319=""," · Falta SKU","")&amp;IF(AND($F319&lt;&gt;"",COUNTIF(tblProductos[SKU],$F319)=0)," · SKU no existe","")&amp;IF(OR($I319="",NOT(ISNUMBER($I319)),$I319&lt;=0)," · Cantidad inválida","")&amp;IF($M319="PRECIO PENDIENTE"," · Falta precio de venta","")&amp;IF($P319="COSTO PENDIENTE"," · Falta costo del producto","")&amp;IF(AND(ISNUMBER($Q319),$Q319&lt;0)," · UTILIDAD NEGATIVA","")&amp;IF(AND($F319&lt;&gt;"",ISNUMBER(INDEX(tblInventario[Stock actual],MATCH($F319,tblInventario[SKU],0))),INDEX(tblInventario[Stock actual],MATCH($F319,tblInventario[SKU],0))&lt;0)," · Stock negativo del SKU","")&amp;IF(AND($T319="Cobrado",$U319="")," · Cobro sin fecha","")&amp;IF(AND(ISNUMBER($V319),ISNUMBER($N319),$V319&gt;N($N319)+0.01)," · Cobrado &gt; venta neta","")&amp;IF(AND(ISNUMBER($V319),$V319&gt;0,$U319="")," · Monto cobrado sin fecha","")="","OK",MID(IF($B319=""," · Falta fecha","")&amp;IF($D319=""," · Falta cliente","")&amp;IF($E319=""," · Falta canal","")&amp;IF($F319=""," · Falta SKU","")&amp;IF(AND($F319&lt;&gt;"",COUNTIF(tblProductos[SKU],$F319)=0)," · SKU no existe","")&amp;IF(OR($I319="",NOT(ISNUMBER($I319)),$I319&lt;=0)," · Cantidad inválida","")&amp;IF($M319="PRECIO PENDIENTE"," · Falta precio de venta","")&amp;IF($P319="COSTO PENDIENTE"," · Falta costo del producto","")&amp;IF(AND(ISNUMBER($Q319),$Q319&lt;0)," · UTILIDAD NEGATIVA","")&amp;IF(AND($F319&lt;&gt;"",ISNUMBER(INDEX(tblInventario[Stock actual],MATCH($F319,tblInventario[SKU],0))),INDEX(tblInventario[Stock actual],MATCH($F319,tblInventario[SKU],0))&lt;0)," · Stock negativo del SKU","")&amp;IF(AND($T319="Cobrado",$U319="")," · Cobro sin fecha","")&amp;IF(AND(ISNUMBER($V319),ISNUMBER($N319),$V319&gt;N($N319)+0.01)," · Cobrado &gt; venta neta","")&amp;IF(AND(ISNUMBER($V319),$V319&gt;0,$U319="")," · Monto cobrado sin fecha",""),4,900)))</f>
        <v/>
      </c>
    </row>
    <row r="320">
      <c r="A320" s="51">
        <f>IF(COUNTA($B320,$C320,$D320,$E320,$F320,$I320)=0,"","V-"&amp;TEXT(ROW()-6,"0000"))</f>
        <v/>
      </c>
      <c r="B320" s="41" t="n"/>
      <c r="C320" s="33" t="n"/>
      <c r="D320" s="33" t="n"/>
      <c r="E320" s="33" t="n"/>
      <c r="F320" s="33" t="n"/>
      <c r="G320" s="51">
        <f>IF($F320="","",IFERROR(IF(INDEX(tblProductos[Nombre del producto],MATCH($F320,tblProductos[SKU],0))="","",INDEX(tblProductos[Nombre del producto],MATCH($F320,tblProductos[SKU],0))),""))</f>
        <v/>
      </c>
      <c r="H320" s="51">
        <f>IF($F320="","",IFERROR(IF(INDEX(tblProductos[Categoría],MATCH($F320,tblProductos[SKU],0))="","",INDEX(tblProductos[Categoría],MATCH($F320,tblProductos[SKU],0))),""))</f>
        <v/>
      </c>
      <c r="I320" s="34" t="n"/>
      <c r="J320" s="39">
        <f>IF(OR($B320="",$F320="",$I320=""),"",IF($T320="Anulado",0,$I320))</f>
        <v/>
      </c>
      <c r="K320" s="54">
        <f>IF($F320="","",IFERROR(IF(INDEX(tblProductos[Precio de venta actual],MATCH($F320,tblProductos[SKU],0))="","",INDEX(tblProductos[Precio de venta actual],MATCH($F320,tblProductos[SKU],0))),""))</f>
        <v/>
      </c>
      <c r="L320" s="36" t="n"/>
      <c r="M320" s="37">
        <f>IF($J320="","",IF(NOT(ISNUMBER($K320)),"PRECIO PENDIENTE",$J320*$K320))</f>
        <v/>
      </c>
      <c r="N320" s="37">
        <f>IF($J320="","",IF(NOT(ISNUMBER($M320)),"PRECIO PENDIENTE",$M320-IF(ISNUMBER($L320),$L320,0)))</f>
        <v/>
      </c>
      <c r="O320" s="54">
        <f>IF($F320="","",IFERROR(INDEX(tblInventario[Costo unitario aplicado],MATCH($F320,tblInventario[SKU],0)),""))</f>
        <v/>
      </c>
      <c r="P320" s="37">
        <f>IF($J320="","",IF(NOT(ISNUMBER($O320)),"COSTO PENDIENTE",$J320*$O320))</f>
        <v/>
      </c>
      <c r="Q320" s="37">
        <f>IF($J320="","",IF(OR(NOT(ISNUMBER($N320)),NOT(ISNUMBER($P320))),"PENDIENTE",$N320-$P320))</f>
        <v/>
      </c>
      <c r="R320" s="38">
        <f>IF($J320="","",IF(OR(NOT(ISNUMBER($Q320)),NOT(ISNUMBER($N320)),$N320&lt;=0),"PENDIENTE",$Q320/$N320))</f>
        <v/>
      </c>
      <c r="S320" s="33" t="n"/>
      <c r="T320" s="33" t="n"/>
      <c r="U320" s="41" t="n"/>
      <c r="V320" s="36" t="n"/>
      <c r="W320" s="37">
        <f>IF(NOT(ISNUMBER($N320)),"",$N320-IF(ISNUMBER($V320),$V320,0))</f>
        <v/>
      </c>
      <c r="X320" s="33" t="n"/>
      <c r="Y320" s="51">
        <f>IF(COUNTA($B320,$C320,$D320,$E320,$F320,$I320)=0,"",IF(IF($B320=""," · Falta fecha","")&amp;IF($D320=""," · Falta cliente","")&amp;IF($E320=""," · Falta canal","")&amp;IF($F320=""," · Falta SKU","")&amp;IF(AND($F320&lt;&gt;"",COUNTIF(tblProductos[SKU],$F320)=0)," · SKU no existe","")&amp;IF(OR($I320="",NOT(ISNUMBER($I320)),$I320&lt;=0)," · Cantidad inválida","")&amp;IF($M320="PRECIO PENDIENTE"," · Falta precio de venta","")&amp;IF($P320="COSTO PENDIENTE"," · Falta costo del producto","")&amp;IF(AND(ISNUMBER($Q320),$Q320&lt;0)," · UTILIDAD NEGATIVA","")&amp;IF(AND($F320&lt;&gt;"",ISNUMBER(INDEX(tblInventario[Stock actual],MATCH($F320,tblInventario[SKU],0))),INDEX(tblInventario[Stock actual],MATCH($F320,tblInventario[SKU],0))&lt;0)," · Stock negativo del SKU","")&amp;IF(AND($T320="Cobrado",$U320="")," · Cobro sin fecha","")&amp;IF(AND(ISNUMBER($V320),ISNUMBER($N320),$V320&gt;N($N320)+0.01)," · Cobrado &gt; venta neta","")&amp;IF(AND(ISNUMBER($V320),$V320&gt;0,$U320="")," · Monto cobrado sin fecha","")="","OK",MID(IF($B320=""," · Falta fecha","")&amp;IF($D320=""," · Falta cliente","")&amp;IF($E320=""," · Falta canal","")&amp;IF($F320=""," · Falta SKU","")&amp;IF(AND($F320&lt;&gt;"",COUNTIF(tblProductos[SKU],$F320)=0)," · SKU no existe","")&amp;IF(OR($I320="",NOT(ISNUMBER($I320)),$I320&lt;=0)," · Cantidad inválida","")&amp;IF($M320="PRECIO PENDIENTE"," · Falta precio de venta","")&amp;IF($P320="COSTO PENDIENTE"," · Falta costo del producto","")&amp;IF(AND(ISNUMBER($Q320),$Q320&lt;0)," · UTILIDAD NEGATIVA","")&amp;IF(AND($F320&lt;&gt;"",ISNUMBER(INDEX(tblInventario[Stock actual],MATCH($F320,tblInventario[SKU],0))),INDEX(tblInventario[Stock actual],MATCH($F320,tblInventario[SKU],0))&lt;0)," · Stock negativo del SKU","")&amp;IF(AND($T320="Cobrado",$U320="")," · Cobro sin fecha","")&amp;IF(AND(ISNUMBER($V320),ISNUMBER($N320),$V320&gt;N($N320)+0.01)," · Cobrado &gt; venta neta","")&amp;IF(AND(ISNUMBER($V320),$V320&gt;0,$U320="")," · Monto cobrado sin fecha",""),4,900)))</f>
        <v/>
      </c>
    </row>
    <row r="321">
      <c r="A321" s="51">
        <f>IF(COUNTA($B321,$C321,$D321,$E321,$F321,$I321)=0,"","V-"&amp;TEXT(ROW()-6,"0000"))</f>
        <v/>
      </c>
      <c r="B321" s="41" t="n"/>
      <c r="C321" s="33" t="n"/>
      <c r="D321" s="33" t="n"/>
      <c r="E321" s="33" t="n"/>
      <c r="F321" s="33" t="n"/>
      <c r="G321" s="51">
        <f>IF($F321="","",IFERROR(IF(INDEX(tblProductos[Nombre del producto],MATCH($F321,tblProductos[SKU],0))="","",INDEX(tblProductos[Nombre del producto],MATCH($F321,tblProductos[SKU],0))),""))</f>
        <v/>
      </c>
      <c r="H321" s="51">
        <f>IF($F321="","",IFERROR(IF(INDEX(tblProductos[Categoría],MATCH($F321,tblProductos[SKU],0))="","",INDEX(tblProductos[Categoría],MATCH($F321,tblProductos[SKU],0))),""))</f>
        <v/>
      </c>
      <c r="I321" s="34" t="n"/>
      <c r="J321" s="39">
        <f>IF(OR($B321="",$F321="",$I321=""),"",IF($T321="Anulado",0,$I321))</f>
        <v/>
      </c>
      <c r="K321" s="54">
        <f>IF($F321="","",IFERROR(IF(INDEX(tblProductos[Precio de venta actual],MATCH($F321,tblProductos[SKU],0))="","",INDEX(tblProductos[Precio de venta actual],MATCH($F321,tblProductos[SKU],0))),""))</f>
        <v/>
      </c>
      <c r="L321" s="36" t="n"/>
      <c r="M321" s="37">
        <f>IF($J321="","",IF(NOT(ISNUMBER($K321)),"PRECIO PENDIENTE",$J321*$K321))</f>
        <v/>
      </c>
      <c r="N321" s="37">
        <f>IF($J321="","",IF(NOT(ISNUMBER($M321)),"PRECIO PENDIENTE",$M321-IF(ISNUMBER($L321),$L321,0)))</f>
        <v/>
      </c>
      <c r="O321" s="54">
        <f>IF($F321="","",IFERROR(INDEX(tblInventario[Costo unitario aplicado],MATCH($F321,tblInventario[SKU],0)),""))</f>
        <v/>
      </c>
      <c r="P321" s="37">
        <f>IF($J321="","",IF(NOT(ISNUMBER($O321)),"COSTO PENDIENTE",$J321*$O321))</f>
        <v/>
      </c>
      <c r="Q321" s="37">
        <f>IF($J321="","",IF(OR(NOT(ISNUMBER($N321)),NOT(ISNUMBER($P321))),"PENDIENTE",$N321-$P321))</f>
        <v/>
      </c>
      <c r="R321" s="38">
        <f>IF($J321="","",IF(OR(NOT(ISNUMBER($Q321)),NOT(ISNUMBER($N321)),$N321&lt;=0),"PENDIENTE",$Q321/$N321))</f>
        <v/>
      </c>
      <c r="S321" s="33" t="n"/>
      <c r="T321" s="33" t="n"/>
      <c r="U321" s="41" t="n"/>
      <c r="V321" s="36" t="n"/>
      <c r="W321" s="37">
        <f>IF(NOT(ISNUMBER($N321)),"",$N321-IF(ISNUMBER($V321),$V321,0))</f>
        <v/>
      </c>
      <c r="X321" s="33" t="n"/>
      <c r="Y321" s="51">
        <f>IF(COUNTA($B321,$C321,$D321,$E321,$F321,$I321)=0,"",IF(IF($B321=""," · Falta fecha","")&amp;IF($D321=""," · Falta cliente","")&amp;IF($E321=""," · Falta canal","")&amp;IF($F321=""," · Falta SKU","")&amp;IF(AND($F321&lt;&gt;"",COUNTIF(tblProductos[SKU],$F321)=0)," · SKU no existe","")&amp;IF(OR($I321="",NOT(ISNUMBER($I321)),$I321&lt;=0)," · Cantidad inválida","")&amp;IF($M321="PRECIO PENDIENTE"," · Falta precio de venta","")&amp;IF($P321="COSTO PENDIENTE"," · Falta costo del producto","")&amp;IF(AND(ISNUMBER($Q321),$Q321&lt;0)," · UTILIDAD NEGATIVA","")&amp;IF(AND($F321&lt;&gt;"",ISNUMBER(INDEX(tblInventario[Stock actual],MATCH($F321,tblInventario[SKU],0))),INDEX(tblInventario[Stock actual],MATCH($F321,tblInventario[SKU],0))&lt;0)," · Stock negativo del SKU","")&amp;IF(AND($T321="Cobrado",$U321="")," · Cobro sin fecha","")&amp;IF(AND(ISNUMBER($V321),ISNUMBER($N321),$V321&gt;N($N321)+0.01)," · Cobrado &gt; venta neta","")&amp;IF(AND(ISNUMBER($V321),$V321&gt;0,$U321="")," · Monto cobrado sin fecha","")="","OK",MID(IF($B321=""," · Falta fecha","")&amp;IF($D321=""," · Falta cliente","")&amp;IF($E321=""," · Falta canal","")&amp;IF($F321=""," · Falta SKU","")&amp;IF(AND($F321&lt;&gt;"",COUNTIF(tblProductos[SKU],$F321)=0)," · SKU no existe","")&amp;IF(OR($I321="",NOT(ISNUMBER($I321)),$I321&lt;=0)," · Cantidad inválida","")&amp;IF($M321="PRECIO PENDIENTE"," · Falta precio de venta","")&amp;IF($P321="COSTO PENDIENTE"," · Falta costo del producto","")&amp;IF(AND(ISNUMBER($Q321),$Q321&lt;0)," · UTILIDAD NEGATIVA","")&amp;IF(AND($F321&lt;&gt;"",ISNUMBER(INDEX(tblInventario[Stock actual],MATCH($F321,tblInventario[SKU],0))),INDEX(tblInventario[Stock actual],MATCH($F321,tblInventario[SKU],0))&lt;0)," · Stock negativo del SKU","")&amp;IF(AND($T321="Cobrado",$U321="")," · Cobro sin fecha","")&amp;IF(AND(ISNUMBER($V321),ISNUMBER($N321),$V321&gt;N($N321)+0.01)," · Cobrado &gt; venta neta","")&amp;IF(AND(ISNUMBER($V321),$V321&gt;0,$U321="")," · Monto cobrado sin fecha",""),4,900)))</f>
        <v/>
      </c>
    </row>
    <row r="322">
      <c r="A322" s="51">
        <f>IF(COUNTA($B322,$C322,$D322,$E322,$F322,$I322)=0,"","V-"&amp;TEXT(ROW()-6,"0000"))</f>
        <v/>
      </c>
      <c r="B322" s="41" t="n"/>
      <c r="C322" s="33" t="n"/>
      <c r="D322" s="33" t="n"/>
      <c r="E322" s="33" t="n"/>
      <c r="F322" s="33" t="n"/>
      <c r="G322" s="51">
        <f>IF($F322="","",IFERROR(IF(INDEX(tblProductos[Nombre del producto],MATCH($F322,tblProductos[SKU],0))="","",INDEX(tblProductos[Nombre del producto],MATCH($F322,tblProductos[SKU],0))),""))</f>
        <v/>
      </c>
      <c r="H322" s="51">
        <f>IF($F322="","",IFERROR(IF(INDEX(tblProductos[Categoría],MATCH($F322,tblProductos[SKU],0))="","",INDEX(tblProductos[Categoría],MATCH($F322,tblProductos[SKU],0))),""))</f>
        <v/>
      </c>
      <c r="I322" s="34" t="n"/>
      <c r="J322" s="39">
        <f>IF(OR($B322="",$F322="",$I322=""),"",IF($T322="Anulado",0,$I322))</f>
        <v/>
      </c>
      <c r="K322" s="54">
        <f>IF($F322="","",IFERROR(IF(INDEX(tblProductos[Precio de venta actual],MATCH($F322,tblProductos[SKU],0))="","",INDEX(tblProductos[Precio de venta actual],MATCH($F322,tblProductos[SKU],0))),""))</f>
        <v/>
      </c>
      <c r="L322" s="36" t="n"/>
      <c r="M322" s="37">
        <f>IF($J322="","",IF(NOT(ISNUMBER($K322)),"PRECIO PENDIENTE",$J322*$K322))</f>
        <v/>
      </c>
      <c r="N322" s="37">
        <f>IF($J322="","",IF(NOT(ISNUMBER($M322)),"PRECIO PENDIENTE",$M322-IF(ISNUMBER($L322),$L322,0)))</f>
        <v/>
      </c>
      <c r="O322" s="54">
        <f>IF($F322="","",IFERROR(INDEX(tblInventario[Costo unitario aplicado],MATCH($F322,tblInventario[SKU],0)),""))</f>
        <v/>
      </c>
      <c r="P322" s="37">
        <f>IF($J322="","",IF(NOT(ISNUMBER($O322)),"COSTO PENDIENTE",$J322*$O322))</f>
        <v/>
      </c>
      <c r="Q322" s="37">
        <f>IF($J322="","",IF(OR(NOT(ISNUMBER($N322)),NOT(ISNUMBER($P322))),"PENDIENTE",$N322-$P322))</f>
        <v/>
      </c>
      <c r="R322" s="38">
        <f>IF($J322="","",IF(OR(NOT(ISNUMBER($Q322)),NOT(ISNUMBER($N322)),$N322&lt;=0),"PENDIENTE",$Q322/$N322))</f>
        <v/>
      </c>
      <c r="S322" s="33" t="n"/>
      <c r="T322" s="33" t="n"/>
      <c r="U322" s="41" t="n"/>
      <c r="V322" s="36" t="n"/>
      <c r="W322" s="37">
        <f>IF(NOT(ISNUMBER($N322)),"",$N322-IF(ISNUMBER($V322),$V322,0))</f>
        <v/>
      </c>
      <c r="X322" s="33" t="n"/>
      <c r="Y322" s="51">
        <f>IF(COUNTA($B322,$C322,$D322,$E322,$F322,$I322)=0,"",IF(IF($B322=""," · Falta fecha","")&amp;IF($D322=""," · Falta cliente","")&amp;IF($E322=""," · Falta canal","")&amp;IF($F322=""," · Falta SKU","")&amp;IF(AND($F322&lt;&gt;"",COUNTIF(tblProductos[SKU],$F322)=0)," · SKU no existe","")&amp;IF(OR($I322="",NOT(ISNUMBER($I322)),$I322&lt;=0)," · Cantidad inválida","")&amp;IF($M322="PRECIO PENDIENTE"," · Falta precio de venta","")&amp;IF($P322="COSTO PENDIENTE"," · Falta costo del producto","")&amp;IF(AND(ISNUMBER($Q322),$Q322&lt;0)," · UTILIDAD NEGATIVA","")&amp;IF(AND($F322&lt;&gt;"",ISNUMBER(INDEX(tblInventario[Stock actual],MATCH($F322,tblInventario[SKU],0))),INDEX(tblInventario[Stock actual],MATCH($F322,tblInventario[SKU],0))&lt;0)," · Stock negativo del SKU","")&amp;IF(AND($T322="Cobrado",$U322="")," · Cobro sin fecha","")&amp;IF(AND(ISNUMBER($V322),ISNUMBER($N322),$V322&gt;N($N322)+0.01)," · Cobrado &gt; venta neta","")&amp;IF(AND(ISNUMBER($V322),$V322&gt;0,$U322="")," · Monto cobrado sin fecha","")="","OK",MID(IF($B322=""," · Falta fecha","")&amp;IF($D322=""," · Falta cliente","")&amp;IF($E322=""," · Falta canal","")&amp;IF($F322=""," · Falta SKU","")&amp;IF(AND($F322&lt;&gt;"",COUNTIF(tblProductos[SKU],$F322)=0)," · SKU no existe","")&amp;IF(OR($I322="",NOT(ISNUMBER($I322)),$I322&lt;=0)," · Cantidad inválida","")&amp;IF($M322="PRECIO PENDIENTE"," · Falta precio de venta","")&amp;IF($P322="COSTO PENDIENTE"," · Falta costo del producto","")&amp;IF(AND(ISNUMBER($Q322),$Q322&lt;0)," · UTILIDAD NEGATIVA","")&amp;IF(AND($F322&lt;&gt;"",ISNUMBER(INDEX(tblInventario[Stock actual],MATCH($F322,tblInventario[SKU],0))),INDEX(tblInventario[Stock actual],MATCH($F322,tblInventario[SKU],0))&lt;0)," · Stock negativo del SKU","")&amp;IF(AND($T322="Cobrado",$U322="")," · Cobro sin fecha","")&amp;IF(AND(ISNUMBER($V322),ISNUMBER($N322),$V322&gt;N($N322)+0.01)," · Cobrado &gt; venta neta","")&amp;IF(AND(ISNUMBER($V322),$V322&gt;0,$U322="")," · Monto cobrado sin fecha",""),4,900)))</f>
        <v/>
      </c>
    </row>
    <row r="323">
      <c r="A323" s="51">
        <f>IF(COUNTA($B323,$C323,$D323,$E323,$F323,$I323)=0,"","V-"&amp;TEXT(ROW()-6,"0000"))</f>
        <v/>
      </c>
      <c r="B323" s="41" t="n"/>
      <c r="C323" s="33" t="n"/>
      <c r="D323" s="33" t="n"/>
      <c r="E323" s="33" t="n"/>
      <c r="F323" s="33" t="n"/>
      <c r="G323" s="51">
        <f>IF($F323="","",IFERROR(IF(INDEX(tblProductos[Nombre del producto],MATCH($F323,tblProductos[SKU],0))="","",INDEX(tblProductos[Nombre del producto],MATCH($F323,tblProductos[SKU],0))),""))</f>
        <v/>
      </c>
      <c r="H323" s="51">
        <f>IF($F323="","",IFERROR(IF(INDEX(tblProductos[Categoría],MATCH($F323,tblProductos[SKU],0))="","",INDEX(tblProductos[Categoría],MATCH($F323,tblProductos[SKU],0))),""))</f>
        <v/>
      </c>
      <c r="I323" s="34" t="n"/>
      <c r="J323" s="39">
        <f>IF(OR($B323="",$F323="",$I323=""),"",IF($T323="Anulado",0,$I323))</f>
        <v/>
      </c>
      <c r="K323" s="54">
        <f>IF($F323="","",IFERROR(IF(INDEX(tblProductos[Precio de venta actual],MATCH($F323,tblProductos[SKU],0))="","",INDEX(tblProductos[Precio de venta actual],MATCH($F323,tblProductos[SKU],0))),""))</f>
        <v/>
      </c>
      <c r="L323" s="36" t="n"/>
      <c r="M323" s="37">
        <f>IF($J323="","",IF(NOT(ISNUMBER($K323)),"PRECIO PENDIENTE",$J323*$K323))</f>
        <v/>
      </c>
      <c r="N323" s="37">
        <f>IF($J323="","",IF(NOT(ISNUMBER($M323)),"PRECIO PENDIENTE",$M323-IF(ISNUMBER($L323),$L323,0)))</f>
        <v/>
      </c>
      <c r="O323" s="54">
        <f>IF($F323="","",IFERROR(INDEX(tblInventario[Costo unitario aplicado],MATCH($F323,tblInventario[SKU],0)),""))</f>
        <v/>
      </c>
      <c r="P323" s="37">
        <f>IF($J323="","",IF(NOT(ISNUMBER($O323)),"COSTO PENDIENTE",$J323*$O323))</f>
        <v/>
      </c>
      <c r="Q323" s="37">
        <f>IF($J323="","",IF(OR(NOT(ISNUMBER($N323)),NOT(ISNUMBER($P323))),"PENDIENTE",$N323-$P323))</f>
        <v/>
      </c>
      <c r="R323" s="38">
        <f>IF($J323="","",IF(OR(NOT(ISNUMBER($Q323)),NOT(ISNUMBER($N323)),$N323&lt;=0),"PENDIENTE",$Q323/$N323))</f>
        <v/>
      </c>
      <c r="S323" s="33" t="n"/>
      <c r="T323" s="33" t="n"/>
      <c r="U323" s="41" t="n"/>
      <c r="V323" s="36" t="n"/>
      <c r="W323" s="37">
        <f>IF(NOT(ISNUMBER($N323)),"",$N323-IF(ISNUMBER($V323),$V323,0))</f>
        <v/>
      </c>
      <c r="X323" s="33" t="n"/>
      <c r="Y323" s="51">
        <f>IF(COUNTA($B323,$C323,$D323,$E323,$F323,$I323)=0,"",IF(IF($B323=""," · Falta fecha","")&amp;IF($D323=""," · Falta cliente","")&amp;IF($E323=""," · Falta canal","")&amp;IF($F323=""," · Falta SKU","")&amp;IF(AND($F323&lt;&gt;"",COUNTIF(tblProductos[SKU],$F323)=0)," · SKU no existe","")&amp;IF(OR($I323="",NOT(ISNUMBER($I323)),$I323&lt;=0)," · Cantidad inválida","")&amp;IF($M323="PRECIO PENDIENTE"," · Falta precio de venta","")&amp;IF($P323="COSTO PENDIENTE"," · Falta costo del producto","")&amp;IF(AND(ISNUMBER($Q323),$Q323&lt;0)," · UTILIDAD NEGATIVA","")&amp;IF(AND($F323&lt;&gt;"",ISNUMBER(INDEX(tblInventario[Stock actual],MATCH($F323,tblInventario[SKU],0))),INDEX(tblInventario[Stock actual],MATCH($F323,tblInventario[SKU],0))&lt;0)," · Stock negativo del SKU","")&amp;IF(AND($T323="Cobrado",$U323="")," · Cobro sin fecha","")&amp;IF(AND(ISNUMBER($V323),ISNUMBER($N323),$V323&gt;N($N323)+0.01)," · Cobrado &gt; venta neta","")&amp;IF(AND(ISNUMBER($V323),$V323&gt;0,$U323="")," · Monto cobrado sin fecha","")="","OK",MID(IF($B323=""," · Falta fecha","")&amp;IF($D323=""," · Falta cliente","")&amp;IF($E323=""," · Falta canal","")&amp;IF($F323=""," · Falta SKU","")&amp;IF(AND($F323&lt;&gt;"",COUNTIF(tblProductos[SKU],$F323)=0)," · SKU no existe","")&amp;IF(OR($I323="",NOT(ISNUMBER($I323)),$I323&lt;=0)," · Cantidad inválida","")&amp;IF($M323="PRECIO PENDIENTE"," · Falta precio de venta","")&amp;IF($P323="COSTO PENDIENTE"," · Falta costo del producto","")&amp;IF(AND(ISNUMBER($Q323),$Q323&lt;0)," · UTILIDAD NEGATIVA","")&amp;IF(AND($F323&lt;&gt;"",ISNUMBER(INDEX(tblInventario[Stock actual],MATCH($F323,tblInventario[SKU],0))),INDEX(tblInventario[Stock actual],MATCH($F323,tblInventario[SKU],0))&lt;0)," · Stock negativo del SKU","")&amp;IF(AND($T323="Cobrado",$U323="")," · Cobro sin fecha","")&amp;IF(AND(ISNUMBER($V323),ISNUMBER($N323),$V323&gt;N($N323)+0.01)," · Cobrado &gt; venta neta","")&amp;IF(AND(ISNUMBER($V323),$V323&gt;0,$U323="")," · Monto cobrado sin fecha",""),4,900)))</f>
        <v/>
      </c>
    </row>
    <row r="324">
      <c r="A324" s="51">
        <f>IF(COUNTA($B324,$C324,$D324,$E324,$F324,$I324)=0,"","V-"&amp;TEXT(ROW()-6,"0000"))</f>
        <v/>
      </c>
      <c r="B324" s="41" t="n"/>
      <c r="C324" s="33" t="n"/>
      <c r="D324" s="33" t="n"/>
      <c r="E324" s="33" t="n"/>
      <c r="F324" s="33" t="n"/>
      <c r="G324" s="51">
        <f>IF($F324="","",IFERROR(IF(INDEX(tblProductos[Nombre del producto],MATCH($F324,tblProductos[SKU],0))="","",INDEX(tblProductos[Nombre del producto],MATCH($F324,tblProductos[SKU],0))),""))</f>
        <v/>
      </c>
      <c r="H324" s="51">
        <f>IF($F324="","",IFERROR(IF(INDEX(tblProductos[Categoría],MATCH($F324,tblProductos[SKU],0))="","",INDEX(tblProductos[Categoría],MATCH($F324,tblProductos[SKU],0))),""))</f>
        <v/>
      </c>
      <c r="I324" s="34" t="n"/>
      <c r="J324" s="39">
        <f>IF(OR($B324="",$F324="",$I324=""),"",IF($T324="Anulado",0,$I324))</f>
        <v/>
      </c>
      <c r="K324" s="54">
        <f>IF($F324="","",IFERROR(IF(INDEX(tblProductos[Precio de venta actual],MATCH($F324,tblProductos[SKU],0))="","",INDEX(tblProductos[Precio de venta actual],MATCH($F324,tblProductos[SKU],0))),""))</f>
        <v/>
      </c>
      <c r="L324" s="36" t="n"/>
      <c r="M324" s="37">
        <f>IF($J324="","",IF(NOT(ISNUMBER($K324)),"PRECIO PENDIENTE",$J324*$K324))</f>
        <v/>
      </c>
      <c r="N324" s="37">
        <f>IF($J324="","",IF(NOT(ISNUMBER($M324)),"PRECIO PENDIENTE",$M324-IF(ISNUMBER($L324),$L324,0)))</f>
        <v/>
      </c>
      <c r="O324" s="54">
        <f>IF($F324="","",IFERROR(INDEX(tblInventario[Costo unitario aplicado],MATCH($F324,tblInventario[SKU],0)),""))</f>
        <v/>
      </c>
      <c r="P324" s="37">
        <f>IF($J324="","",IF(NOT(ISNUMBER($O324)),"COSTO PENDIENTE",$J324*$O324))</f>
        <v/>
      </c>
      <c r="Q324" s="37">
        <f>IF($J324="","",IF(OR(NOT(ISNUMBER($N324)),NOT(ISNUMBER($P324))),"PENDIENTE",$N324-$P324))</f>
        <v/>
      </c>
      <c r="R324" s="38">
        <f>IF($J324="","",IF(OR(NOT(ISNUMBER($Q324)),NOT(ISNUMBER($N324)),$N324&lt;=0),"PENDIENTE",$Q324/$N324))</f>
        <v/>
      </c>
      <c r="S324" s="33" t="n"/>
      <c r="T324" s="33" t="n"/>
      <c r="U324" s="41" t="n"/>
      <c r="V324" s="36" t="n"/>
      <c r="W324" s="37">
        <f>IF(NOT(ISNUMBER($N324)),"",$N324-IF(ISNUMBER($V324),$V324,0))</f>
        <v/>
      </c>
      <c r="X324" s="33" t="n"/>
      <c r="Y324" s="51">
        <f>IF(COUNTA($B324,$C324,$D324,$E324,$F324,$I324)=0,"",IF(IF($B324=""," · Falta fecha","")&amp;IF($D324=""," · Falta cliente","")&amp;IF($E324=""," · Falta canal","")&amp;IF($F324=""," · Falta SKU","")&amp;IF(AND($F324&lt;&gt;"",COUNTIF(tblProductos[SKU],$F324)=0)," · SKU no existe","")&amp;IF(OR($I324="",NOT(ISNUMBER($I324)),$I324&lt;=0)," · Cantidad inválida","")&amp;IF($M324="PRECIO PENDIENTE"," · Falta precio de venta","")&amp;IF($P324="COSTO PENDIENTE"," · Falta costo del producto","")&amp;IF(AND(ISNUMBER($Q324),$Q324&lt;0)," · UTILIDAD NEGATIVA","")&amp;IF(AND($F324&lt;&gt;"",ISNUMBER(INDEX(tblInventario[Stock actual],MATCH($F324,tblInventario[SKU],0))),INDEX(tblInventario[Stock actual],MATCH($F324,tblInventario[SKU],0))&lt;0)," · Stock negativo del SKU","")&amp;IF(AND($T324="Cobrado",$U324="")," · Cobro sin fecha","")&amp;IF(AND(ISNUMBER($V324),ISNUMBER($N324),$V324&gt;N($N324)+0.01)," · Cobrado &gt; venta neta","")&amp;IF(AND(ISNUMBER($V324),$V324&gt;0,$U324="")," · Monto cobrado sin fecha","")="","OK",MID(IF($B324=""," · Falta fecha","")&amp;IF($D324=""," · Falta cliente","")&amp;IF($E324=""," · Falta canal","")&amp;IF($F324=""," · Falta SKU","")&amp;IF(AND($F324&lt;&gt;"",COUNTIF(tblProductos[SKU],$F324)=0)," · SKU no existe","")&amp;IF(OR($I324="",NOT(ISNUMBER($I324)),$I324&lt;=0)," · Cantidad inválida","")&amp;IF($M324="PRECIO PENDIENTE"," · Falta precio de venta","")&amp;IF($P324="COSTO PENDIENTE"," · Falta costo del producto","")&amp;IF(AND(ISNUMBER($Q324),$Q324&lt;0)," · UTILIDAD NEGATIVA","")&amp;IF(AND($F324&lt;&gt;"",ISNUMBER(INDEX(tblInventario[Stock actual],MATCH($F324,tblInventario[SKU],0))),INDEX(tblInventario[Stock actual],MATCH($F324,tblInventario[SKU],0))&lt;0)," · Stock negativo del SKU","")&amp;IF(AND($T324="Cobrado",$U324="")," · Cobro sin fecha","")&amp;IF(AND(ISNUMBER($V324),ISNUMBER($N324),$V324&gt;N($N324)+0.01)," · Cobrado &gt; venta neta","")&amp;IF(AND(ISNUMBER($V324),$V324&gt;0,$U324="")," · Monto cobrado sin fecha",""),4,900)))</f>
        <v/>
      </c>
    </row>
    <row r="325">
      <c r="A325" s="51">
        <f>IF(COUNTA($B325,$C325,$D325,$E325,$F325,$I325)=0,"","V-"&amp;TEXT(ROW()-6,"0000"))</f>
        <v/>
      </c>
      <c r="B325" s="41" t="n"/>
      <c r="C325" s="33" t="n"/>
      <c r="D325" s="33" t="n"/>
      <c r="E325" s="33" t="n"/>
      <c r="F325" s="33" t="n"/>
      <c r="G325" s="51">
        <f>IF($F325="","",IFERROR(IF(INDEX(tblProductos[Nombre del producto],MATCH($F325,tblProductos[SKU],0))="","",INDEX(tblProductos[Nombre del producto],MATCH($F325,tblProductos[SKU],0))),""))</f>
        <v/>
      </c>
      <c r="H325" s="51">
        <f>IF($F325="","",IFERROR(IF(INDEX(tblProductos[Categoría],MATCH($F325,tblProductos[SKU],0))="","",INDEX(tblProductos[Categoría],MATCH($F325,tblProductos[SKU],0))),""))</f>
        <v/>
      </c>
      <c r="I325" s="34" t="n"/>
      <c r="J325" s="39">
        <f>IF(OR($B325="",$F325="",$I325=""),"",IF($T325="Anulado",0,$I325))</f>
        <v/>
      </c>
      <c r="K325" s="54">
        <f>IF($F325="","",IFERROR(IF(INDEX(tblProductos[Precio de venta actual],MATCH($F325,tblProductos[SKU],0))="","",INDEX(tblProductos[Precio de venta actual],MATCH($F325,tblProductos[SKU],0))),""))</f>
        <v/>
      </c>
      <c r="L325" s="36" t="n"/>
      <c r="M325" s="37">
        <f>IF($J325="","",IF(NOT(ISNUMBER($K325)),"PRECIO PENDIENTE",$J325*$K325))</f>
        <v/>
      </c>
      <c r="N325" s="37">
        <f>IF($J325="","",IF(NOT(ISNUMBER($M325)),"PRECIO PENDIENTE",$M325-IF(ISNUMBER($L325),$L325,0)))</f>
        <v/>
      </c>
      <c r="O325" s="54">
        <f>IF($F325="","",IFERROR(INDEX(tblInventario[Costo unitario aplicado],MATCH($F325,tblInventario[SKU],0)),""))</f>
        <v/>
      </c>
      <c r="P325" s="37">
        <f>IF($J325="","",IF(NOT(ISNUMBER($O325)),"COSTO PENDIENTE",$J325*$O325))</f>
        <v/>
      </c>
      <c r="Q325" s="37">
        <f>IF($J325="","",IF(OR(NOT(ISNUMBER($N325)),NOT(ISNUMBER($P325))),"PENDIENTE",$N325-$P325))</f>
        <v/>
      </c>
      <c r="R325" s="38">
        <f>IF($J325="","",IF(OR(NOT(ISNUMBER($Q325)),NOT(ISNUMBER($N325)),$N325&lt;=0),"PENDIENTE",$Q325/$N325))</f>
        <v/>
      </c>
      <c r="S325" s="33" t="n"/>
      <c r="T325" s="33" t="n"/>
      <c r="U325" s="41" t="n"/>
      <c r="V325" s="36" t="n"/>
      <c r="W325" s="37">
        <f>IF(NOT(ISNUMBER($N325)),"",$N325-IF(ISNUMBER($V325),$V325,0))</f>
        <v/>
      </c>
      <c r="X325" s="33" t="n"/>
      <c r="Y325" s="51">
        <f>IF(COUNTA($B325,$C325,$D325,$E325,$F325,$I325)=0,"",IF(IF($B325=""," · Falta fecha","")&amp;IF($D325=""," · Falta cliente","")&amp;IF($E325=""," · Falta canal","")&amp;IF($F325=""," · Falta SKU","")&amp;IF(AND($F325&lt;&gt;"",COUNTIF(tblProductos[SKU],$F325)=0)," · SKU no existe","")&amp;IF(OR($I325="",NOT(ISNUMBER($I325)),$I325&lt;=0)," · Cantidad inválida","")&amp;IF($M325="PRECIO PENDIENTE"," · Falta precio de venta","")&amp;IF($P325="COSTO PENDIENTE"," · Falta costo del producto","")&amp;IF(AND(ISNUMBER($Q325),$Q325&lt;0)," · UTILIDAD NEGATIVA","")&amp;IF(AND($F325&lt;&gt;"",ISNUMBER(INDEX(tblInventario[Stock actual],MATCH($F325,tblInventario[SKU],0))),INDEX(tblInventario[Stock actual],MATCH($F325,tblInventario[SKU],0))&lt;0)," · Stock negativo del SKU","")&amp;IF(AND($T325="Cobrado",$U325="")," · Cobro sin fecha","")&amp;IF(AND(ISNUMBER($V325),ISNUMBER($N325),$V325&gt;N($N325)+0.01)," · Cobrado &gt; venta neta","")&amp;IF(AND(ISNUMBER($V325),$V325&gt;0,$U325="")," · Monto cobrado sin fecha","")="","OK",MID(IF($B325=""," · Falta fecha","")&amp;IF($D325=""," · Falta cliente","")&amp;IF($E325=""," · Falta canal","")&amp;IF($F325=""," · Falta SKU","")&amp;IF(AND($F325&lt;&gt;"",COUNTIF(tblProductos[SKU],$F325)=0)," · SKU no existe","")&amp;IF(OR($I325="",NOT(ISNUMBER($I325)),$I325&lt;=0)," · Cantidad inválida","")&amp;IF($M325="PRECIO PENDIENTE"," · Falta precio de venta","")&amp;IF($P325="COSTO PENDIENTE"," · Falta costo del producto","")&amp;IF(AND(ISNUMBER($Q325),$Q325&lt;0)," · UTILIDAD NEGATIVA","")&amp;IF(AND($F325&lt;&gt;"",ISNUMBER(INDEX(tblInventario[Stock actual],MATCH($F325,tblInventario[SKU],0))),INDEX(tblInventario[Stock actual],MATCH($F325,tblInventario[SKU],0))&lt;0)," · Stock negativo del SKU","")&amp;IF(AND($T325="Cobrado",$U325="")," · Cobro sin fecha","")&amp;IF(AND(ISNUMBER($V325),ISNUMBER($N325),$V325&gt;N($N325)+0.01)," · Cobrado &gt; venta neta","")&amp;IF(AND(ISNUMBER($V325),$V325&gt;0,$U325="")," · Monto cobrado sin fecha",""),4,900)))</f>
        <v/>
      </c>
    </row>
    <row r="326">
      <c r="A326" s="51">
        <f>IF(COUNTA($B326,$C326,$D326,$E326,$F326,$I326)=0,"","V-"&amp;TEXT(ROW()-6,"0000"))</f>
        <v/>
      </c>
      <c r="B326" s="41" t="n"/>
      <c r="C326" s="33" t="n"/>
      <c r="D326" s="33" t="n"/>
      <c r="E326" s="33" t="n"/>
      <c r="F326" s="33" t="n"/>
      <c r="G326" s="51">
        <f>IF($F326="","",IFERROR(IF(INDEX(tblProductos[Nombre del producto],MATCH($F326,tblProductos[SKU],0))="","",INDEX(tblProductos[Nombre del producto],MATCH($F326,tblProductos[SKU],0))),""))</f>
        <v/>
      </c>
      <c r="H326" s="51">
        <f>IF($F326="","",IFERROR(IF(INDEX(tblProductos[Categoría],MATCH($F326,tblProductos[SKU],0))="","",INDEX(tblProductos[Categoría],MATCH($F326,tblProductos[SKU],0))),""))</f>
        <v/>
      </c>
      <c r="I326" s="34" t="n"/>
      <c r="J326" s="39">
        <f>IF(OR($B326="",$F326="",$I326=""),"",IF($T326="Anulado",0,$I326))</f>
        <v/>
      </c>
      <c r="K326" s="54">
        <f>IF($F326="","",IFERROR(IF(INDEX(tblProductos[Precio de venta actual],MATCH($F326,tblProductos[SKU],0))="","",INDEX(tblProductos[Precio de venta actual],MATCH($F326,tblProductos[SKU],0))),""))</f>
        <v/>
      </c>
      <c r="L326" s="36" t="n"/>
      <c r="M326" s="37">
        <f>IF($J326="","",IF(NOT(ISNUMBER($K326)),"PRECIO PENDIENTE",$J326*$K326))</f>
        <v/>
      </c>
      <c r="N326" s="37">
        <f>IF($J326="","",IF(NOT(ISNUMBER($M326)),"PRECIO PENDIENTE",$M326-IF(ISNUMBER($L326),$L326,0)))</f>
        <v/>
      </c>
      <c r="O326" s="54">
        <f>IF($F326="","",IFERROR(INDEX(tblInventario[Costo unitario aplicado],MATCH($F326,tblInventario[SKU],0)),""))</f>
        <v/>
      </c>
      <c r="P326" s="37">
        <f>IF($J326="","",IF(NOT(ISNUMBER($O326)),"COSTO PENDIENTE",$J326*$O326))</f>
        <v/>
      </c>
      <c r="Q326" s="37">
        <f>IF($J326="","",IF(OR(NOT(ISNUMBER($N326)),NOT(ISNUMBER($P326))),"PENDIENTE",$N326-$P326))</f>
        <v/>
      </c>
      <c r="R326" s="38">
        <f>IF($J326="","",IF(OR(NOT(ISNUMBER($Q326)),NOT(ISNUMBER($N326)),$N326&lt;=0),"PENDIENTE",$Q326/$N326))</f>
        <v/>
      </c>
      <c r="S326" s="33" t="n"/>
      <c r="T326" s="33" t="n"/>
      <c r="U326" s="41" t="n"/>
      <c r="V326" s="36" t="n"/>
      <c r="W326" s="37">
        <f>IF(NOT(ISNUMBER($N326)),"",$N326-IF(ISNUMBER($V326),$V326,0))</f>
        <v/>
      </c>
      <c r="X326" s="33" t="n"/>
      <c r="Y326" s="51">
        <f>IF(COUNTA($B326,$C326,$D326,$E326,$F326,$I326)=0,"",IF(IF($B326=""," · Falta fecha","")&amp;IF($D326=""," · Falta cliente","")&amp;IF($E326=""," · Falta canal","")&amp;IF($F326=""," · Falta SKU","")&amp;IF(AND($F326&lt;&gt;"",COUNTIF(tblProductos[SKU],$F326)=0)," · SKU no existe","")&amp;IF(OR($I326="",NOT(ISNUMBER($I326)),$I326&lt;=0)," · Cantidad inválida","")&amp;IF($M326="PRECIO PENDIENTE"," · Falta precio de venta","")&amp;IF($P326="COSTO PENDIENTE"," · Falta costo del producto","")&amp;IF(AND(ISNUMBER($Q326),$Q326&lt;0)," · UTILIDAD NEGATIVA","")&amp;IF(AND($F326&lt;&gt;"",ISNUMBER(INDEX(tblInventario[Stock actual],MATCH($F326,tblInventario[SKU],0))),INDEX(tblInventario[Stock actual],MATCH($F326,tblInventario[SKU],0))&lt;0)," · Stock negativo del SKU","")&amp;IF(AND($T326="Cobrado",$U326="")," · Cobro sin fecha","")&amp;IF(AND(ISNUMBER($V326),ISNUMBER($N326),$V326&gt;N($N326)+0.01)," · Cobrado &gt; venta neta","")&amp;IF(AND(ISNUMBER($V326),$V326&gt;0,$U326="")," · Monto cobrado sin fecha","")="","OK",MID(IF($B326=""," · Falta fecha","")&amp;IF($D326=""," · Falta cliente","")&amp;IF($E326=""," · Falta canal","")&amp;IF($F326=""," · Falta SKU","")&amp;IF(AND($F326&lt;&gt;"",COUNTIF(tblProductos[SKU],$F326)=0)," · SKU no existe","")&amp;IF(OR($I326="",NOT(ISNUMBER($I326)),$I326&lt;=0)," · Cantidad inválida","")&amp;IF($M326="PRECIO PENDIENTE"," · Falta precio de venta","")&amp;IF($P326="COSTO PENDIENTE"," · Falta costo del producto","")&amp;IF(AND(ISNUMBER($Q326),$Q326&lt;0)," · UTILIDAD NEGATIVA","")&amp;IF(AND($F326&lt;&gt;"",ISNUMBER(INDEX(tblInventario[Stock actual],MATCH($F326,tblInventario[SKU],0))),INDEX(tblInventario[Stock actual],MATCH($F326,tblInventario[SKU],0))&lt;0)," · Stock negativo del SKU","")&amp;IF(AND($T326="Cobrado",$U326="")," · Cobro sin fecha","")&amp;IF(AND(ISNUMBER($V326),ISNUMBER($N326),$V326&gt;N($N326)+0.01)," · Cobrado &gt; venta neta","")&amp;IF(AND(ISNUMBER($V326),$V326&gt;0,$U326="")," · Monto cobrado sin fecha",""),4,900)))</f>
        <v/>
      </c>
    </row>
    <row r="327">
      <c r="A327" s="51">
        <f>IF(COUNTA($B327,$C327,$D327,$E327,$F327,$I327)=0,"","V-"&amp;TEXT(ROW()-6,"0000"))</f>
        <v/>
      </c>
      <c r="B327" s="41" t="n"/>
      <c r="C327" s="33" t="n"/>
      <c r="D327" s="33" t="n"/>
      <c r="E327" s="33" t="n"/>
      <c r="F327" s="33" t="n"/>
      <c r="G327" s="51">
        <f>IF($F327="","",IFERROR(IF(INDEX(tblProductos[Nombre del producto],MATCH($F327,tblProductos[SKU],0))="","",INDEX(tblProductos[Nombre del producto],MATCH($F327,tblProductos[SKU],0))),""))</f>
        <v/>
      </c>
      <c r="H327" s="51">
        <f>IF($F327="","",IFERROR(IF(INDEX(tblProductos[Categoría],MATCH($F327,tblProductos[SKU],0))="","",INDEX(tblProductos[Categoría],MATCH($F327,tblProductos[SKU],0))),""))</f>
        <v/>
      </c>
      <c r="I327" s="34" t="n"/>
      <c r="J327" s="39">
        <f>IF(OR($B327="",$F327="",$I327=""),"",IF($T327="Anulado",0,$I327))</f>
        <v/>
      </c>
      <c r="K327" s="54">
        <f>IF($F327="","",IFERROR(IF(INDEX(tblProductos[Precio de venta actual],MATCH($F327,tblProductos[SKU],0))="","",INDEX(tblProductos[Precio de venta actual],MATCH($F327,tblProductos[SKU],0))),""))</f>
        <v/>
      </c>
      <c r="L327" s="36" t="n"/>
      <c r="M327" s="37">
        <f>IF($J327="","",IF(NOT(ISNUMBER($K327)),"PRECIO PENDIENTE",$J327*$K327))</f>
        <v/>
      </c>
      <c r="N327" s="37">
        <f>IF($J327="","",IF(NOT(ISNUMBER($M327)),"PRECIO PENDIENTE",$M327-IF(ISNUMBER($L327),$L327,0)))</f>
        <v/>
      </c>
      <c r="O327" s="54">
        <f>IF($F327="","",IFERROR(INDEX(tblInventario[Costo unitario aplicado],MATCH($F327,tblInventario[SKU],0)),""))</f>
        <v/>
      </c>
      <c r="P327" s="37">
        <f>IF($J327="","",IF(NOT(ISNUMBER($O327)),"COSTO PENDIENTE",$J327*$O327))</f>
        <v/>
      </c>
      <c r="Q327" s="37">
        <f>IF($J327="","",IF(OR(NOT(ISNUMBER($N327)),NOT(ISNUMBER($P327))),"PENDIENTE",$N327-$P327))</f>
        <v/>
      </c>
      <c r="R327" s="38">
        <f>IF($J327="","",IF(OR(NOT(ISNUMBER($Q327)),NOT(ISNUMBER($N327)),$N327&lt;=0),"PENDIENTE",$Q327/$N327))</f>
        <v/>
      </c>
      <c r="S327" s="33" t="n"/>
      <c r="T327" s="33" t="n"/>
      <c r="U327" s="41" t="n"/>
      <c r="V327" s="36" t="n"/>
      <c r="W327" s="37">
        <f>IF(NOT(ISNUMBER($N327)),"",$N327-IF(ISNUMBER($V327),$V327,0))</f>
        <v/>
      </c>
      <c r="X327" s="33" t="n"/>
      <c r="Y327" s="51">
        <f>IF(COUNTA($B327,$C327,$D327,$E327,$F327,$I327)=0,"",IF(IF($B327=""," · Falta fecha","")&amp;IF($D327=""," · Falta cliente","")&amp;IF($E327=""," · Falta canal","")&amp;IF($F327=""," · Falta SKU","")&amp;IF(AND($F327&lt;&gt;"",COUNTIF(tblProductos[SKU],$F327)=0)," · SKU no existe","")&amp;IF(OR($I327="",NOT(ISNUMBER($I327)),$I327&lt;=0)," · Cantidad inválida","")&amp;IF($M327="PRECIO PENDIENTE"," · Falta precio de venta","")&amp;IF($P327="COSTO PENDIENTE"," · Falta costo del producto","")&amp;IF(AND(ISNUMBER($Q327),$Q327&lt;0)," · UTILIDAD NEGATIVA","")&amp;IF(AND($F327&lt;&gt;"",ISNUMBER(INDEX(tblInventario[Stock actual],MATCH($F327,tblInventario[SKU],0))),INDEX(tblInventario[Stock actual],MATCH($F327,tblInventario[SKU],0))&lt;0)," · Stock negativo del SKU","")&amp;IF(AND($T327="Cobrado",$U327="")," · Cobro sin fecha","")&amp;IF(AND(ISNUMBER($V327),ISNUMBER($N327),$V327&gt;N($N327)+0.01)," · Cobrado &gt; venta neta","")&amp;IF(AND(ISNUMBER($V327),$V327&gt;0,$U327="")," · Monto cobrado sin fecha","")="","OK",MID(IF($B327=""," · Falta fecha","")&amp;IF($D327=""," · Falta cliente","")&amp;IF($E327=""," · Falta canal","")&amp;IF($F327=""," · Falta SKU","")&amp;IF(AND($F327&lt;&gt;"",COUNTIF(tblProductos[SKU],$F327)=0)," · SKU no existe","")&amp;IF(OR($I327="",NOT(ISNUMBER($I327)),$I327&lt;=0)," · Cantidad inválida","")&amp;IF($M327="PRECIO PENDIENTE"," · Falta precio de venta","")&amp;IF($P327="COSTO PENDIENTE"," · Falta costo del producto","")&amp;IF(AND(ISNUMBER($Q327),$Q327&lt;0)," · UTILIDAD NEGATIVA","")&amp;IF(AND($F327&lt;&gt;"",ISNUMBER(INDEX(tblInventario[Stock actual],MATCH($F327,tblInventario[SKU],0))),INDEX(tblInventario[Stock actual],MATCH($F327,tblInventario[SKU],0))&lt;0)," · Stock negativo del SKU","")&amp;IF(AND($T327="Cobrado",$U327="")," · Cobro sin fecha","")&amp;IF(AND(ISNUMBER($V327),ISNUMBER($N327),$V327&gt;N($N327)+0.01)," · Cobrado &gt; venta neta","")&amp;IF(AND(ISNUMBER($V327),$V327&gt;0,$U327="")," · Monto cobrado sin fecha",""),4,900)))</f>
        <v/>
      </c>
    </row>
    <row r="328">
      <c r="A328" s="51">
        <f>IF(COUNTA($B328,$C328,$D328,$E328,$F328,$I328)=0,"","V-"&amp;TEXT(ROW()-6,"0000"))</f>
        <v/>
      </c>
      <c r="B328" s="41" t="n"/>
      <c r="C328" s="33" t="n"/>
      <c r="D328" s="33" t="n"/>
      <c r="E328" s="33" t="n"/>
      <c r="F328" s="33" t="n"/>
      <c r="G328" s="51">
        <f>IF($F328="","",IFERROR(IF(INDEX(tblProductos[Nombre del producto],MATCH($F328,tblProductos[SKU],0))="","",INDEX(tblProductos[Nombre del producto],MATCH($F328,tblProductos[SKU],0))),""))</f>
        <v/>
      </c>
      <c r="H328" s="51">
        <f>IF($F328="","",IFERROR(IF(INDEX(tblProductos[Categoría],MATCH($F328,tblProductos[SKU],0))="","",INDEX(tblProductos[Categoría],MATCH($F328,tblProductos[SKU],0))),""))</f>
        <v/>
      </c>
      <c r="I328" s="34" t="n"/>
      <c r="J328" s="39">
        <f>IF(OR($B328="",$F328="",$I328=""),"",IF($T328="Anulado",0,$I328))</f>
        <v/>
      </c>
      <c r="K328" s="54">
        <f>IF($F328="","",IFERROR(IF(INDEX(tblProductos[Precio de venta actual],MATCH($F328,tblProductos[SKU],0))="","",INDEX(tblProductos[Precio de venta actual],MATCH($F328,tblProductos[SKU],0))),""))</f>
        <v/>
      </c>
      <c r="L328" s="36" t="n"/>
      <c r="M328" s="37">
        <f>IF($J328="","",IF(NOT(ISNUMBER($K328)),"PRECIO PENDIENTE",$J328*$K328))</f>
        <v/>
      </c>
      <c r="N328" s="37">
        <f>IF($J328="","",IF(NOT(ISNUMBER($M328)),"PRECIO PENDIENTE",$M328-IF(ISNUMBER($L328),$L328,0)))</f>
        <v/>
      </c>
      <c r="O328" s="54">
        <f>IF($F328="","",IFERROR(INDEX(tblInventario[Costo unitario aplicado],MATCH($F328,tblInventario[SKU],0)),""))</f>
        <v/>
      </c>
      <c r="P328" s="37">
        <f>IF($J328="","",IF(NOT(ISNUMBER($O328)),"COSTO PENDIENTE",$J328*$O328))</f>
        <v/>
      </c>
      <c r="Q328" s="37">
        <f>IF($J328="","",IF(OR(NOT(ISNUMBER($N328)),NOT(ISNUMBER($P328))),"PENDIENTE",$N328-$P328))</f>
        <v/>
      </c>
      <c r="R328" s="38">
        <f>IF($J328="","",IF(OR(NOT(ISNUMBER($Q328)),NOT(ISNUMBER($N328)),$N328&lt;=0),"PENDIENTE",$Q328/$N328))</f>
        <v/>
      </c>
      <c r="S328" s="33" t="n"/>
      <c r="T328" s="33" t="n"/>
      <c r="U328" s="41" t="n"/>
      <c r="V328" s="36" t="n"/>
      <c r="W328" s="37">
        <f>IF(NOT(ISNUMBER($N328)),"",$N328-IF(ISNUMBER($V328),$V328,0))</f>
        <v/>
      </c>
      <c r="X328" s="33" t="n"/>
      <c r="Y328" s="51">
        <f>IF(COUNTA($B328,$C328,$D328,$E328,$F328,$I328)=0,"",IF(IF($B328=""," · Falta fecha","")&amp;IF($D328=""," · Falta cliente","")&amp;IF($E328=""," · Falta canal","")&amp;IF($F328=""," · Falta SKU","")&amp;IF(AND($F328&lt;&gt;"",COUNTIF(tblProductos[SKU],$F328)=0)," · SKU no existe","")&amp;IF(OR($I328="",NOT(ISNUMBER($I328)),$I328&lt;=0)," · Cantidad inválida","")&amp;IF($M328="PRECIO PENDIENTE"," · Falta precio de venta","")&amp;IF($P328="COSTO PENDIENTE"," · Falta costo del producto","")&amp;IF(AND(ISNUMBER($Q328),$Q328&lt;0)," · UTILIDAD NEGATIVA","")&amp;IF(AND($F328&lt;&gt;"",ISNUMBER(INDEX(tblInventario[Stock actual],MATCH($F328,tblInventario[SKU],0))),INDEX(tblInventario[Stock actual],MATCH($F328,tblInventario[SKU],0))&lt;0)," · Stock negativo del SKU","")&amp;IF(AND($T328="Cobrado",$U328="")," · Cobro sin fecha","")&amp;IF(AND(ISNUMBER($V328),ISNUMBER($N328),$V328&gt;N($N328)+0.01)," · Cobrado &gt; venta neta","")&amp;IF(AND(ISNUMBER($V328),$V328&gt;0,$U328="")," · Monto cobrado sin fecha","")="","OK",MID(IF($B328=""," · Falta fecha","")&amp;IF($D328=""," · Falta cliente","")&amp;IF($E328=""," · Falta canal","")&amp;IF($F328=""," · Falta SKU","")&amp;IF(AND($F328&lt;&gt;"",COUNTIF(tblProductos[SKU],$F328)=0)," · SKU no existe","")&amp;IF(OR($I328="",NOT(ISNUMBER($I328)),$I328&lt;=0)," · Cantidad inválida","")&amp;IF($M328="PRECIO PENDIENTE"," · Falta precio de venta","")&amp;IF($P328="COSTO PENDIENTE"," · Falta costo del producto","")&amp;IF(AND(ISNUMBER($Q328),$Q328&lt;0)," · UTILIDAD NEGATIVA","")&amp;IF(AND($F328&lt;&gt;"",ISNUMBER(INDEX(tblInventario[Stock actual],MATCH($F328,tblInventario[SKU],0))),INDEX(tblInventario[Stock actual],MATCH($F328,tblInventario[SKU],0))&lt;0)," · Stock negativo del SKU","")&amp;IF(AND($T328="Cobrado",$U328="")," · Cobro sin fecha","")&amp;IF(AND(ISNUMBER($V328),ISNUMBER($N328),$V328&gt;N($N328)+0.01)," · Cobrado &gt; venta neta","")&amp;IF(AND(ISNUMBER($V328),$V328&gt;0,$U328="")," · Monto cobrado sin fecha",""),4,900)))</f>
        <v/>
      </c>
    </row>
    <row r="329">
      <c r="A329" s="51">
        <f>IF(COUNTA($B329,$C329,$D329,$E329,$F329,$I329)=0,"","V-"&amp;TEXT(ROW()-6,"0000"))</f>
        <v/>
      </c>
      <c r="B329" s="41" t="n"/>
      <c r="C329" s="33" t="n"/>
      <c r="D329" s="33" t="n"/>
      <c r="E329" s="33" t="n"/>
      <c r="F329" s="33" t="n"/>
      <c r="G329" s="51">
        <f>IF($F329="","",IFERROR(IF(INDEX(tblProductos[Nombre del producto],MATCH($F329,tblProductos[SKU],0))="","",INDEX(tblProductos[Nombre del producto],MATCH($F329,tblProductos[SKU],0))),""))</f>
        <v/>
      </c>
      <c r="H329" s="51">
        <f>IF($F329="","",IFERROR(IF(INDEX(tblProductos[Categoría],MATCH($F329,tblProductos[SKU],0))="","",INDEX(tblProductos[Categoría],MATCH($F329,tblProductos[SKU],0))),""))</f>
        <v/>
      </c>
      <c r="I329" s="34" t="n"/>
      <c r="J329" s="39">
        <f>IF(OR($B329="",$F329="",$I329=""),"",IF($T329="Anulado",0,$I329))</f>
        <v/>
      </c>
      <c r="K329" s="54">
        <f>IF($F329="","",IFERROR(IF(INDEX(tblProductos[Precio de venta actual],MATCH($F329,tblProductos[SKU],0))="","",INDEX(tblProductos[Precio de venta actual],MATCH($F329,tblProductos[SKU],0))),""))</f>
        <v/>
      </c>
      <c r="L329" s="36" t="n"/>
      <c r="M329" s="37">
        <f>IF($J329="","",IF(NOT(ISNUMBER($K329)),"PRECIO PENDIENTE",$J329*$K329))</f>
        <v/>
      </c>
      <c r="N329" s="37">
        <f>IF($J329="","",IF(NOT(ISNUMBER($M329)),"PRECIO PENDIENTE",$M329-IF(ISNUMBER($L329),$L329,0)))</f>
        <v/>
      </c>
      <c r="O329" s="54">
        <f>IF($F329="","",IFERROR(INDEX(tblInventario[Costo unitario aplicado],MATCH($F329,tblInventario[SKU],0)),""))</f>
        <v/>
      </c>
      <c r="P329" s="37">
        <f>IF($J329="","",IF(NOT(ISNUMBER($O329)),"COSTO PENDIENTE",$J329*$O329))</f>
        <v/>
      </c>
      <c r="Q329" s="37">
        <f>IF($J329="","",IF(OR(NOT(ISNUMBER($N329)),NOT(ISNUMBER($P329))),"PENDIENTE",$N329-$P329))</f>
        <v/>
      </c>
      <c r="R329" s="38">
        <f>IF($J329="","",IF(OR(NOT(ISNUMBER($Q329)),NOT(ISNUMBER($N329)),$N329&lt;=0),"PENDIENTE",$Q329/$N329))</f>
        <v/>
      </c>
      <c r="S329" s="33" t="n"/>
      <c r="T329" s="33" t="n"/>
      <c r="U329" s="41" t="n"/>
      <c r="V329" s="36" t="n"/>
      <c r="W329" s="37">
        <f>IF(NOT(ISNUMBER($N329)),"",$N329-IF(ISNUMBER($V329),$V329,0))</f>
        <v/>
      </c>
      <c r="X329" s="33" t="n"/>
      <c r="Y329" s="51">
        <f>IF(COUNTA($B329,$C329,$D329,$E329,$F329,$I329)=0,"",IF(IF($B329=""," · Falta fecha","")&amp;IF($D329=""," · Falta cliente","")&amp;IF($E329=""," · Falta canal","")&amp;IF($F329=""," · Falta SKU","")&amp;IF(AND($F329&lt;&gt;"",COUNTIF(tblProductos[SKU],$F329)=0)," · SKU no existe","")&amp;IF(OR($I329="",NOT(ISNUMBER($I329)),$I329&lt;=0)," · Cantidad inválida","")&amp;IF($M329="PRECIO PENDIENTE"," · Falta precio de venta","")&amp;IF($P329="COSTO PENDIENTE"," · Falta costo del producto","")&amp;IF(AND(ISNUMBER($Q329),$Q329&lt;0)," · UTILIDAD NEGATIVA","")&amp;IF(AND($F329&lt;&gt;"",ISNUMBER(INDEX(tblInventario[Stock actual],MATCH($F329,tblInventario[SKU],0))),INDEX(tblInventario[Stock actual],MATCH($F329,tblInventario[SKU],0))&lt;0)," · Stock negativo del SKU","")&amp;IF(AND($T329="Cobrado",$U329="")," · Cobro sin fecha","")&amp;IF(AND(ISNUMBER($V329),ISNUMBER($N329),$V329&gt;N($N329)+0.01)," · Cobrado &gt; venta neta","")&amp;IF(AND(ISNUMBER($V329),$V329&gt;0,$U329="")," · Monto cobrado sin fecha","")="","OK",MID(IF($B329=""," · Falta fecha","")&amp;IF($D329=""," · Falta cliente","")&amp;IF($E329=""," · Falta canal","")&amp;IF($F329=""," · Falta SKU","")&amp;IF(AND($F329&lt;&gt;"",COUNTIF(tblProductos[SKU],$F329)=0)," · SKU no existe","")&amp;IF(OR($I329="",NOT(ISNUMBER($I329)),$I329&lt;=0)," · Cantidad inválida","")&amp;IF($M329="PRECIO PENDIENTE"," · Falta precio de venta","")&amp;IF($P329="COSTO PENDIENTE"," · Falta costo del producto","")&amp;IF(AND(ISNUMBER($Q329),$Q329&lt;0)," · UTILIDAD NEGATIVA","")&amp;IF(AND($F329&lt;&gt;"",ISNUMBER(INDEX(tblInventario[Stock actual],MATCH($F329,tblInventario[SKU],0))),INDEX(tblInventario[Stock actual],MATCH($F329,tblInventario[SKU],0))&lt;0)," · Stock negativo del SKU","")&amp;IF(AND($T329="Cobrado",$U329="")," · Cobro sin fecha","")&amp;IF(AND(ISNUMBER($V329),ISNUMBER($N329),$V329&gt;N($N329)+0.01)," · Cobrado &gt; venta neta","")&amp;IF(AND(ISNUMBER($V329),$V329&gt;0,$U329="")," · Monto cobrado sin fecha",""),4,900)))</f>
        <v/>
      </c>
    </row>
    <row r="330">
      <c r="A330" s="51">
        <f>IF(COUNTA($B330,$C330,$D330,$E330,$F330,$I330)=0,"","V-"&amp;TEXT(ROW()-6,"0000"))</f>
        <v/>
      </c>
      <c r="B330" s="41" t="n"/>
      <c r="C330" s="33" t="n"/>
      <c r="D330" s="33" t="n"/>
      <c r="E330" s="33" t="n"/>
      <c r="F330" s="33" t="n"/>
      <c r="G330" s="51">
        <f>IF($F330="","",IFERROR(IF(INDEX(tblProductos[Nombre del producto],MATCH($F330,tblProductos[SKU],0))="","",INDEX(tblProductos[Nombre del producto],MATCH($F330,tblProductos[SKU],0))),""))</f>
        <v/>
      </c>
      <c r="H330" s="51">
        <f>IF($F330="","",IFERROR(IF(INDEX(tblProductos[Categoría],MATCH($F330,tblProductos[SKU],0))="","",INDEX(tblProductos[Categoría],MATCH($F330,tblProductos[SKU],0))),""))</f>
        <v/>
      </c>
      <c r="I330" s="34" t="n"/>
      <c r="J330" s="39">
        <f>IF(OR($B330="",$F330="",$I330=""),"",IF($T330="Anulado",0,$I330))</f>
        <v/>
      </c>
      <c r="K330" s="54">
        <f>IF($F330="","",IFERROR(IF(INDEX(tblProductos[Precio de venta actual],MATCH($F330,tblProductos[SKU],0))="","",INDEX(tblProductos[Precio de venta actual],MATCH($F330,tblProductos[SKU],0))),""))</f>
        <v/>
      </c>
      <c r="L330" s="36" t="n"/>
      <c r="M330" s="37">
        <f>IF($J330="","",IF(NOT(ISNUMBER($K330)),"PRECIO PENDIENTE",$J330*$K330))</f>
        <v/>
      </c>
      <c r="N330" s="37">
        <f>IF($J330="","",IF(NOT(ISNUMBER($M330)),"PRECIO PENDIENTE",$M330-IF(ISNUMBER($L330),$L330,0)))</f>
        <v/>
      </c>
      <c r="O330" s="54">
        <f>IF($F330="","",IFERROR(INDEX(tblInventario[Costo unitario aplicado],MATCH($F330,tblInventario[SKU],0)),""))</f>
        <v/>
      </c>
      <c r="P330" s="37">
        <f>IF($J330="","",IF(NOT(ISNUMBER($O330)),"COSTO PENDIENTE",$J330*$O330))</f>
        <v/>
      </c>
      <c r="Q330" s="37">
        <f>IF($J330="","",IF(OR(NOT(ISNUMBER($N330)),NOT(ISNUMBER($P330))),"PENDIENTE",$N330-$P330))</f>
        <v/>
      </c>
      <c r="R330" s="38">
        <f>IF($J330="","",IF(OR(NOT(ISNUMBER($Q330)),NOT(ISNUMBER($N330)),$N330&lt;=0),"PENDIENTE",$Q330/$N330))</f>
        <v/>
      </c>
      <c r="S330" s="33" t="n"/>
      <c r="T330" s="33" t="n"/>
      <c r="U330" s="41" t="n"/>
      <c r="V330" s="36" t="n"/>
      <c r="W330" s="37">
        <f>IF(NOT(ISNUMBER($N330)),"",$N330-IF(ISNUMBER($V330),$V330,0))</f>
        <v/>
      </c>
      <c r="X330" s="33" t="n"/>
      <c r="Y330" s="51">
        <f>IF(COUNTA($B330,$C330,$D330,$E330,$F330,$I330)=0,"",IF(IF($B330=""," · Falta fecha","")&amp;IF($D330=""," · Falta cliente","")&amp;IF($E330=""," · Falta canal","")&amp;IF($F330=""," · Falta SKU","")&amp;IF(AND($F330&lt;&gt;"",COUNTIF(tblProductos[SKU],$F330)=0)," · SKU no existe","")&amp;IF(OR($I330="",NOT(ISNUMBER($I330)),$I330&lt;=0)," · Cantidad inválida","")&amp;IF($M330="PRECIO PENDIENTE"," · Falta precio de venta","")&amp;IF($P330="COSTO PENDIENTE"," · Falta costo del producto","")&amp;IF(AND(ISNUMBER($Q330),$Q330&lt;0)," · UTILIDAD NEGATIVA","")&amp;IF(AND($F330&lt;&gt;"",ISNUMBER(INDEX(tblInventario[Stock actual],MATCH($F330,tblInventario[SKU],0))),INDEX(tblInventario[Stock actual],MATCH($F330,tblInventario[SKU],0))&lt;0)," · Stock negativo del SKU","")&amp;IF(AND($T330="Cobrado",$U330="")," · Cobro sin fecha","")&amp;IF(AND(ISNUMBER($V330),ISNUMBER($N330),$V330&gt;N($N330)+0.01)," · Cobrado &gt; venta neta","")&amp;IF(AND(ISNUMBER($V330),$V330&gt;0,$U330="")," · Monto cobrado sin fecha","")="","OK",MID(IF($B330=""," · Falta fecha","")&amp;IF($D330=""," · Falta cliente","")&amp;IF($E330=""," · Falta canal","")&amp;IF($F330=""," · Falta SKU","")&amp;IF(AND($F330&lt;&gt;"",COUNTIF(tblProductos[SKU],$F330)=0)," · SKU no existe","")&amp;IF(OR($I330="",NOT(ISNUMBER($I330)),$I330&lt;=0)," · Cantidad inválida","")&amp;IF($M330="PRECIO PENDIENTE"," · Falta precio de venta","")&amp;IF($P330="COSTO PENDIENTE"," · Falta costo del producto","")&amp;IF(AND(ISNUMBER($Q330),$Q330&lt;0)," · UTILIDAD NEGATIVA","")&amp;IF(AND($F330&lt;&gt;"",ISNUMBER(INDEX(tblInventario[Stock actual],MATCH($F330,tblInventario[SKU],0))),INDEX(tblInventario[Stock actual],MATCH($F330,tblInventario[SKU],0))&lt;0)," · Stock negativo del SKU","")&amp;IF(AND($T330="Cobrado",$U330="")," · Cobro sin fecha","")&amp;IF(AND(ISNUMBER($V330),ISNUMBER($N330),$V330&gt;N($N330)+0.01)," · Cobrado &gt; venta neta","")&amp;IF(AND(ISNUMBER($V330),$V330&gt;0,$U330="")," · Monto cobrado sin fecha",""),4,900)))</f>
        <v/>
      </c>
    </row>
    <row r="331">
      <c r="A331" s="51">
        <f>IF(COUNTA($B331,$C331,$D331,$E331,$F331,$I331)=0,"","V-"&amp;TEXT(ROW()-6,"0000"))</f>
        <v/>
      </c>
      <c r="B331" s="41" t="n"/>
      <c r="C331" s="33" t="n"/>
      <c r="D331" s="33" t="n"/>
      <c r="E331" s="33" t="n"/>
      <c r="F331" s="33" t="n"/>
      <c r="G331" s="51">
        <f>IF($F331="","",IFERROR(IF(INDEX(tblProductos[Nombre del producto],MATCH($F331,tblProductos[SKU],0))="","",INDEX(tblProductos[Nombre del producto],MATCH($F331,tblProductos[SKU],0))),""))</f>
        <v/>
      </c>
      <c r="H331" s="51">
        <f>IF($F331="","",IFERROR(IF(INDEX(tblProductos[Categoría],MATCH($F331,tblProductos[SKU],0))="","",INDEX(tblProductos[Categoría],MATCH($F331,tblProductos[SKU],0))),""))</f>
        <v/>
      </c>
      <c r="I331" s="34" t="n"/>
      <c r="J331" s="39">
        <f>IF(OR($B331="",$F331="",$I331=""),"",IF($T331="Anulado",0,$I331))</f>
        <v/>
      </c>
      <c r="K331" s="54">
        <f>IF($F331="","",IFERROR(IF(INDEX(tblProductos[Precio de venta actual],MATCH($F331,tblProductos[SKU],0))="","",INDEX(tblProductos[Precio de venta actual],MATCH($F331,tblProductos[SKU],0))),""))</f>
        <v/>
      </c>
      <c r="L331" s="36" t="n"/>
      <c r="M331" s="37">
        <f>IF($J331="","",IF(NOT(ISNUMBER($K331)),"PRECIO PENDIENTE",$J331*$K331))</f>
        <v/>
      </c>
      <c r="N331" s="37">
        <f>IF($J331="","",IF(NOT(ISNUMBER($M331)),"PRECIO PENDIENTE",$M331-IF(ISNUMBER($L331),$L331,0)))</f>
        <v/>
      </c>
      <c r="O331" s="54">
        <f>IF($F331="","",IFERROR(INDEX(tblInventario[Costo unitario aplicado],MATCH($F331,tblInventario[SKU],0)),""))</f>
        <v/>
      </c>
      <c r="P331" s="37">
        <f>IF($J331="","",IF(NOT(ISNUMBER($O331)),"COSTO PENDIENTE",$J331*$O331))</f>
        <v/>
      </c>
      <c r="Q331" s="37">
        <f>IF($J331="","",IF(OR(NOT(ISNUMBER($N331)),NOT(ISNUMBER($P331))),"PENDIENTE",$N331-$P331))</f>
        <v/>
      </c>
      <c r="R331" s="38">
        <f>IF($J331="","",IF(OR(NOT(ISNUMBER($Q331)),NOT(ISNUMBER($N331)),$N331&lt;=0),"PENDIENTE",$Q331/$N331))</f>
        <v/>
      </c>
      <c r="S331" s="33" t="n"/>
      <c r="T331" s="33" t="n"/>
      <c r="U331" s="41" t="n"/>
      <c r="V331" s="36" t="n"/>
      <c r="W331" s="37">
        <f>IF(NOT(ISNUMBER($N331)),"",$N331-IF(ISNUMBER($V331),$V331,0))</f>
        <v/>
      </c>
      <c r="X331" s="33" t="n"/>
      <c r="Y331" s="51">
        <f>IF(COUNTA($B331,$C331,$D331,$E331,$F331,$I331)=0,"",IF(IF($B331=""," · Falta fecha","")&amp;IF($D331=""," · Falta cliente","")&amp;IF($E331=""," · Falta canal","")&amp;IF($F331=""," · Falta SKU","")&amp;IF(AND($F331&lt;&gt;"",COUNTIF(tblProductos[SKU],$F331)=0)," · SKU no existe","")&amp;IF(OR($I331="",NOT(ISNUMBER($I331)),$I331&lt;=0)," · Cantidad inválida","")&amp;IF($M331="PRECIO PENDIENTE"," · Falta precio de venta","")&amp;IF($P331="COSTO PENDIENTE"," · Falta costo del producto","")&amp;IF(AND(ISNUMBER($Q331),$Q331&lt;0)," · UTILIDAD NEGATIVA","")&amp;IF(AND($F331&lt;&gt;"",ISNUMBER(INDEX(tblInventario[Stock actual],MATCH($F331,tblInventario[SKU],0))),INDEX(tblInventario[Stock actual],MATCH($F331,tblInventario[SKU],0))&lt;0)," · Stock negativo del SKU","")&amp;IF(AND($T331="Cobrado",$U331="")," · Cobro sin fecha","")&amp;IF(AND(ISNUMBER($V331),ISNUMBER($N331),$V331&gt;N($N331)+0.01)," · Cobrado &gt; venta neta","")&amp;IF(AND(ISNUMBER($V331),$V331&gt;0,$U331="")," · Monto cobrado sin fecha","")="","OK",MID(IF($B331=""," · Falta fecha","")&amp;IF($D331=""," · Falta cliente","")&amp;IF($E331=""," · Falta canal","")&amp;IF($F331=""," · Falta SKU","")&amp;IF(AND($F331&lt;&gt;"",COUNTIF(tblProductos[SKU],$F331)=0)," · SKU no existe","")&amp;IF(OR($I331="",NOT(ISNUMBER($I331)),$I331&lt;=0)," · Cantidad inválida","")&amp;IF($M331="PRECIO PENDIENTE"," · Falta precio de venta","")&amp;IF($P331="COSTO PENDIENTE"," · Falta costo del producto","")&amp;IF(AND(ISNUMBER($Q331),$Q331&lt;0)," · UTILIDAD NEGATIVA","")&amp;IF(AND($F331&lt;&gt;"",ISNUMBER(INDEX(tblInventario[Stock actual],MATCH($F331,tblInventario[SKU],0))),INDEX(tblInventario[Stock actual],MATCH($F331,tblInventario[SKU],0))&lt;0)," · Stock negativo del SKU","")&amp;IF(AND($T331="Cobrado",$U331="")," · Cobro sin fecha","")&amp;IF(AND(ISNUMBER($V331),ISNUMBER($N331),$V331&gt;N($N331)+0.01)," · Cobrado &gt; venta neta","")&amp;IF(AND(ISNUMBER($V331),$V331&gt;0,$U331="")," · Monto cobrado sin fecha",""),4,900)))</f>
        <v/>
      </c>
    </row>
    <row r="332">
      <c r="A332" s="51">
        <f>IF(COUNTA($B332,$C332,$D332,$E332,$F332,$I332)=0,"","V-"&amp;TEXT(ROW()-6,"0000"))</f>
        <v/>
      </c>
      <c r="B332" s="41" t="n"/>
      <c r="C332" s="33" t="n"/>
      <c r="D332" s="33" t="n"/>
      <c r="E332" s="33" t="n"/>
      <c r="F332" s="33" t="n"/>
      <c r="G332" s="51">
        <f>IF($F332="","",IFERROR(IF(INDEX(tblProductos[Nombre del producto],MATCH($F332,tblProductos[SKU],0))="","",INDEX(tblProductos[Nombre del producto],MATCH($F332,tblProductos[SKU],0))),""))</f>
        <v/>
      </c>
      <c r="H332" s="51">
        <f>IF($F332="","",IFERROR(IF(INDEX(tblProductos[Categoría],MATCH($F332,tblProductos[SKU],0))="","",INDEX(tblProductos[Categoría],MATCH($F332,tblProductos[SKU],0))),""))</f>
        <v/>
      </c>
      <c r="I332" s="34" t="n"/>
      <c r="J332" s="39">
        <f>IF(OR($B332="",$F332="",$I332=""),"",IF($T332="Anulado",0,$I332))</f>
        <v/>
      </c>
      <c r="K332" s="54">
        <f>IF($F332="","",IFERROR(IF(INDEX(tblProductos[Precio de venta actual],MATCH($F332,tblProductos[SKU],0))="","",INDEX(tblProductos[Precio de venta actual],MATCH($F332,tblProductos[SKU],0))),""))</f>
        <v/>
      </c>
      <c r="L332" s="36" t="n"/>
      <c r="M332" s="37">
        <f>IF($J332="","",IF(NOT(ISNUMBER($K332)),"PRECIO PENDIENTE",$J332*$K332))</f>
        <v/>
      </c>
      <c r="N332" s="37">
        <f>IF($J332="","",IF(NOT(ISNUMBER($M332)),"PRECIO PENDIENTE",$M332-IF(ISNUMBER($L332),$L332,0)))</f>
        <v/>
      </c>
      <c r="O332" s="54">
        <f>IF($F332="","",IFERROR(INDEX(tblInventario[Costo unitario aplicado],MATCH($F332,tblInventario[SKU],0)),""))</f>
        <v/>
      </c>
      <c r="P332" s="37">
        <f>IF($J332="","",IF(NOT(ISNUMBER($O332)),"COSTO PENDIENTE",$J332*$O332))</f>
        <v/>
      </c>
      <c r="Q332" s="37">
        <f>IF($J332="","",IF(OR(NOT(ISNUMBER($N332)),NOT(ISNUMBER($P332))),"PENDIENTE",$N332-$P332))</f>
        <v/>
      </c>
      <c r="R332" s="38">
        <f>IF($J332="","",IF(OR(NOT(ISNUMBER($Q332)),NOT(ISNUMBER($N332)),$N332&lt;=0),"PENDIENTE",$Q332/$N332))</f>
        <v/>
      </c>
      <c r="S332" s="33" t="n"/>
      <c r="T332" s="33" t="n"/>
      <c r="U332" s="41" t="n"/>
      <c r="V332" s="36" t="n"/>
      <c r="W332" s="37">
        <f>IF(NOT(ISNUMBER($N332)),"",$N332-IF(ISNUMBER($V332),$V332,0))</f>
        <v/>
      </c>
      <c r="X332" s="33" t="n"/>
      <c r="Y332" s="51">
        <f>IF(COUNTA($B332,$C332,$D332,$E332,$F332,$I332)=0,"",IF(IF($B332=""," · Falta fecha","")&amp;IF($D332=""," · Falta cliente","")&amp;IF($E332=""," · Falta canal","")&amp;IF($F332=""," · Falta SKU","")&amp;IF(AND($F332&lt;&gt;"",COUNTIF(tblProductos[SKU],$F332)=0)," · SKU no existe","")&amp;IF(OR($I332="",NOT(ISNUMBER($I332)),$I332&lt;=0)," · Cantidad inválida","")&amp;IF($M332="PRECIO PENDIENTE"," · Falta precio de venta","")&amp;IF($P332="COSTO PENDIENTE"," · Falta costo del producto","")&amp;IF(AND(ISNUMBER($Q332),$Q332&lt;0)," · UTILIDAD NEGATIVA","")&amp;IF(AND($F332&lt;&gt;"",ISNUMBER(INDEX(tblInventario[Stock actual],MATCH($F332,tblInventario[SKU],0))),INDEX(tblInventario[Stock actual],MATCH($F332,tblInventario[SKU],0))&lt;0)," · Stock negativo del SKU","")&amp;IF(AND($T332="Cobrado",$U332="")," · Cobro sin fecha","")&amp;IF(AND(ISNUMBER($V332),ISNUMBER($N332),$V332&gt;N($N332)+0.01)," · Cobrado &gt; venta neta","")&amp;IF(AND(ISNUMBER($V332),$V332&gt;0,$U332="")," · Monto cobrado sin fecha","")="","OK",MID(IF($B332=""," · Falta fecha","")&amp;IF($D332=""," · Falta cliente","")&amp;IF($E332=""," · Falta canal","")&amp;IF($F332=""," · Falta SKU","")&amp;IF(AND($F332&lt;&gt;"",COUNTIF(tblProductos[SKU],$F332)=0)," · SKU no existe","")&amp;IF(OR($I332="",NOT(ISNUMBER($I332)),$I332&lt;=0)," · Cantidad inválida","")&amp;IF($M332="PRECIO PENDIENTE"," · Falta precio de venta","")&amp;IF($P332="COSTO PENDIENTE"," · Falta costo del producto","")&amp;IF(AND(ISNUMBER($Q332),$Q332&lt;0)," · UTILIDAD NEGATIVA","")&amp;IF(AND($F332&lt;&gt;"",ISNUMBER(INDEX(tblInventario[Stock actual],MATCH($F332,tblInventario[SKU],0))),INDEX(tblInventario[Stock actual],MATCH($F332,tblInventario[SKU],0))&lt;0)," · Stock negativo del SKU","")&amp;IF(AND($T332="Cobrado",$U332="")," · Cobro sin fecha","")&amp;IF(AND(ISNUMBER($V332),ISNUMBER($N332),$V332&gt;N($N332)+0.01)," · Cobrado &gt; venta neta","")&amp;IF(AND(ISNUMBER($V332),$V332&gt;0,$U332="")," · Monto cobrado sin fecha",""),4,900)))</f>
        <v/>
      </c>
    </row>
    <row r="333">
      <c r="A333" s="51">
        <f>IF(COUNTA($B333,$C333,$D333,$E333,$F333,$I333)=0,"","V-"&amp;TEXT(ROW()-6,"0000"))</f>
        <v/>
      </c>
      <c r="B333" s="41" t="n"/>
      <c r="C333" s="33" t="n"/>
      <c r="D333" s="33" t="n"/>
      <c r="E333" s="33" t="n"/>
      <c r="F333" s="33" t="n"/>
      <c r="G333" s="51">
        <f>IF($F333="","",IFERROR(IF(INDEX(tblProductos[Nombre del producto],MATCH($F333,tblProductos[SKU],0))="","",INDEX(tblProductos[Nombre del producto],MATCH($F333,tblProductos[SKU],0))),""))</f>
        <v/>
      </c>
      <c r="H333" s="51">
        <f>IF($F333="","",IFERROR(IF(INDEX(tblProductos[Categoría],MATCH($F333,tblProductos[SKU],0))="","",INDEX(tblProductos[Categoría],MATCH($F333,tblProductos[SKU],0))),""))</f>
        <v/>
      </c>
      <c r="I333" s="34" t="n"/>
      <c r="J333" s="39">
        <f>IF(OR($B333="",$F333="",$I333=""),"",IF($T333="Anulado",0,$I333))</f>
        <v/>
      </c>
      <c r="K333" s="54">
        <f>IF($F333="","",IFERROR(IF(INDEX(tblProductos[Precio de venta actual],MATCH($F333,tblProductos[SKU],0))="","",INDEX(tblProductos[Precio de venta actual],MATCH($F333,tblProductos[SKU],0))),""))</f>
        <v/>
      </c>
      <c r="L333" s="36" t="n"/>
      <c r="M333" s="37">
        <f>IF($J333="","",IF(NOT(ISNUMBER($K333)),"PRECIO PENDIENTE",$J333*$K333))</f>
        <v/>
      </c>
      <c r="N333" s="37">
        <f>IF($J333="","",IF(NOT(ISNUMBER($M333)),"PRECIO PENDIENTE",$M333-IF(ISNUMBER($L333),$L333,0)))</f>
        <v/>
      </c>
      <c r="O333" s="54">
        <f>IF($F333="","",IFERROR(INDEX(tblInventario[Costo unitario aplicado],MATCH($F333,tblInventario[SKU],0)),""))</f>
        <v/>
      </c>
      <c r="P333" s="37">
        <f>IF($J333="","",IF(NOT(ISNUMBER($O333)),"COSTO PENDIENTE",$J333*$O333))</f>
        <v/>
      </c>
      <c r="Q333" s="37">
        <f>IF($J333="","",IF(OR(NOT(ISNUMBER($N333)),NOT(ISNUMBER($P333))),"PENDIENTE",$N333-$P333))</f>
        <v/>
      </c>
      <c r="R333" s="38">
        <f>IF($J333="","",IF(OR(NOT(ISNUMBER($Q333)),NOT(ISNUMBER($N333)),$N333&lt;=0),"PENDIENTE",$Q333/$N333))</f>
        <v/>
      </c>
      <c r="S333" s="33" t="n"/>
      <c r="T333" s="33" t="n"/>
      <c r="U333" s="41" t="n"/>
      <c r="V333" s="36" t="n"/>
      <c r="W333" s="37">
        <f>IF(NOT(ISNUMBER($N333)),"",$N333-IF(ISNUMBER($V333),$V333,0))</f>
        <v/>
      </c>
      <c r="X333" s="33" t="n"/>
      <c r="Y333" s="51">
        <f>IF(COUNTA($B333,$C333,$D333,$E333,$F333,$I333)=0,"",IF(IF($B333=""," · Falta fecha","")&amp;IF($D333=""," · Falta cliente","")&amp;IF($E333=""," · Falta canal","")&amp;IF($F333=""," · Falta SKU","")&amp;IF(AND($F333&lt;&gt;"",COUNTIF(tblProductos[SKU],$F333)=0)," · SKU no existe","")&amp;IF(OR($I333="",NOT(ISNUMBER($I333)),$I333&lt;=0)," · Cantidad inválida","")&amp;IF($M333="PRECIO PENDIENTE"," · Falta precio de venta","")&amp;IF($P333="COSTO PENDIENTE"," · Falta costo del producto","")&amp;IF(AND(ISNUMBER($Q333),$Q333&lt;0)," · UTILIDAD NEGATIVA","")&amp;IF(AND($F333&lt;&gt;"",ISNUMBER(INDEX(tblInventario[Stock actual],MATCH($F333,tblInventario[SKU],0))),INDEX(tblInventario[Stock actual],MATCH($F333,tblInventario[SKU],0))&lt;0)," · Stock negativo del SKU","")&amp;IF(AND($T333="Cobrado",$U333="")," · Cobro sin fecha","")&amp;IF(AND(ISNUMBER($V333),ISNUMBER($N333),$V333&gt;N($N333)+0.01)," · Cobrado &gt; venta neta","")&amp;IF(AND(ISNUMBER($V333),$V333&gt;0,$U333="")," · Monto cobrado sin fecha","")="","OK",MID(IF($B333=""," · Falta fecha","")&amp;IF($D333=""," · Falta cliente","")&amp;IF($E333=""," · Falta canal","")&amp;IF($F333=""," · Falta SKU","")&amp;IF(AND($F333&lt;&gt;"",COUNTIF(tblProductos[SKU],$F333)=0)," · SKU no existe","")&amp;IF(OR($I333="",NOT(ISNUMBER($I333)),$I333&lt;=0)," · Cantidad inválida","")&amp;IF($M333="PRECIO PENDIENTE"," · Falta precio de venta","")&amp;IF($P333="COSTO PENDIENTE"," · Falta costo del producto","")&amp;IF(AND(ISNUMBER($Q333),$Q333&lt;0)," · UTILIDAD NEGATIVA","")&amp;IF(AND($F333&lt;&gt;"",ISNUMBER(INDEX(tblInventario[Stock actual],MATCH($F333,tblInventario[SKU],0))),INDEX(tblInventario[Stock actual],MATCH($F333,tblInventario[SKU],0))&lt;0)," · Stock negativo del SKU","")&amp;IF(AND($T333="Cobrado",$U333="")," · Cobro sin fecha","")&amp;IF(AND(ISNUMBER($V333),ISNUMBER($N333),$V333&gt;N($N333)+0.01)," · Cobrado &gt; venta neta","")&amp;IF(AND(ISNUMBER($V333),$V333&gt;0,$U333="")," · Monto cobrado sin fecha",""),4,900)))</f>
        <v/>
      </c>
    </row>
    <row r="334">
      <c r="A334" s="51">
        <f>IF(COUNTA($B334,$C334,$D334,$E334,$F334,$I334)=0,"","V-"&amp;TEXT(ROW()-6,"0000"))</f>
        <v/>
      </c>
      <c r="B334" s="41" t="n"/>
      <c r="C334" s="33" t="n"/>
      <c r="D334" s="33" t="n"/>
      <c r="E334" s="33" t="n"/>
      <c r="F334" s="33" t="n"/>
      <c r="G334" s="51">
        <f>IF($F334="","",IFERROR(IF(INDEX(tblProductos[Nombre del producto],MATCH($F334,tblProductos[SKU],0))="","",INDEX(tblProductos[Nombre del producto],MATCH($F334,tblProductos[SKU],0))),""))</f>
        <v/>
      </c>
      <c r="H334" s="51">
        <f>IF($F334="","",IFERROR(IF(INDEX(tblProductos[Categoría],MATCH($F334,tblProductos[SKU],0))="","",INDEX(tblProductos[Categoría],MATCH($F334,tblProductos[SKU],0))),""))</f>
        <v/>
      </c>
      <c r="I334" s="34" t="n"/>
      <c r="J334" s="39">
        <f>IF(OR($B334="",$F334="",$I334=""),"",IF($T334="Anulado",0,$I334))</f>
        <v/>
      </c>
      <c r="K334" s="54">
        <f>IF($F334="","",IFERROR(IF(INDEX(tblProductos[Precio de venta actual],MATCH($F334,tblProductos[SKU],0))="","",INDEX(tblProductos[Precio de venta actual],MATCH($F334,tblProductos[SKU],0))),""))</f>
        <v/>
      </c>
      <c r="L334" s="36" t="n"/>
      <c r="M334" s="37">
        <f>IF($J334="","",IF(NOT(ISNUMBER($K334)),"PRECIO PENDIENTE",$J334*$K334))</f>
        <v/>
      </c>
      <c r="N334" s="37">
        <f>IF($J334="","",IF(NOT(ISNUMBER($M334)),"PRECIO PENDIENTE",$M334-IF(ISNUMBER($L334),$L334,0)))</f>
        <v/>
      </c>
      <c r="O334" s="54">
        <f>IF($F334="","",IFERROR(INDEX(tblInventario[Costo unitario aplicado],MATCH($F334,tblInventario[SKU],0)),""))</f>
        <v/>
      </c>
      <c r="P334" s="37">
        <f>IF($J334="","",IF(NOT(ISNUMBER($O334)),"COSTO PENDIENTE",$J334*$O334))</f>
        <v/>
      </c>
      <c r="Q334" s="37">
        <f>IF($J334="","",IF(OR(NOT(ISNUMBER($N334)),NOT(ISNUMBER($P334))),"PENDIENTE",$N334-$P334))</f>
        <v/>
      </c>
      <c r="R334" s="38">
        <f>IF($J334="","",IF(OR(NOT(ISNUMBER($Q334)),NOT(ISNUMBER($N334)),$N334&lt;=0),"PENDIENTE",$Q334/$N334))</f>
        <v/>
      </c>
      <c r="S334" s="33" t="n"/>
      <c r="T334" s="33" t="n"/>
      <c r="U334" s="41" t="n"/>
      <c r="V334" s="36" t="n"/>
      <c r="W334" s="37">
        <f>IF(NOT(ISNUMBER($N334)),"",$N334-IF(ISNUMBER($V334),$V334,0))</f>
        <v/>
      </c>
      <c r="X334" s="33" t="n"/>
      <c r="Y334" s="51">
        <f>IF(COUNTA($B334,$C334,$D334,$E334,$F334,$I334)=0,"",IF(IF($B334=""," · Falta fecha","")&amp;IF($D334=""," · Falta cliente","")&amp;IF($E334=""," · Falta canal","")&amp;IF($F334=""," · Falta SKU","")&amp;IF(AND($F334&lt;&gt;"",COUNTIF(tblProductos[SKU],$F334)=0)," · SKU no existe","")&amp;IF(OR($I334="",NOT(ISNUMBER($I334)),$I334&lt;=0)," · Cantidad inválida","")&amp;IF($M334="PRECIO PENDIENTE"," · Falta precio de venta","")&amp;IF($P334="COSTO PENDIENTE"," · Falta costo del producto","")&amp;IF(AND(ISNUMBER($Q334),$Q334&lt;0)," · UTILIDAD NEGATIVA","")&amp;IF(AND($F334&lt;&gt;"",ISNUMBER(INDEX(tblInventario[Stock actual],MATCH($F334,tblInventario[SKU],0))),INDEX(tblInventario[Stock actual],MATCH($F334,tblInventario[SKU],0))&lt;0)," · Stock negativo del SKU","")&amp;IF(AND($T334="Cobrado",$U334="")," · Cobro sin fecha","")&amp;IF(AND(ISNUMBER($V334),ISNUMBER($N334),$V334&gt;N($N334)+0.01)," · Cobrado &gt; venta neta","")&amp;IF(AND(ISNUMBER($V334),$V334&gt;0,$U334="")," · Monto cobrado sin fecha","")="","OK",MID(IF($B334=""," · Falta fecha","")&amp;IF($D334=""," · Falta cliente","")&amp;IF($E334=""," · Falta canal","")&amp;IF($F334=""," · Falta SKU","")&amp;IF(AND($F334&lt;&gt;"",COUNTIF(tblProductos[SKU],$F334)=0)," · SKU no existe","")&amp;IF(OR($I334="",NOT(ISNUMBER($I334)),$I334&lt;=0)," · Cantidad inválida","")&amp;IF($M334="PRECIO PENDIENTE"," · Falta precio de venta","")&amp;IF($P334="COSTO PENDIENTE"," · Falta costo del producto","")&amp;IF(AND(ISNUMBER($Q334),$Q334&lt;0)," · UTILIDAD NEGATIVA","")&amp;IF(AND($F334&lt;&gt;"",ISNUMBER(INDEX(tblInventario[Stock actual],MATCH($F334,tblInventario[SKU],0))),INDEX(tblInventario[Stock actual],MATCH($F334,tblInventario[SKU],0))&lt;0)," · Stock negativo del SKU","")&amp;IF(AND($T334="Cobrado",$U334="")," · Cobro sin fecha","")&amp;IF(AND(ISNUMBER($V334),ISNUMBER($N334),$V334&gt;N($N334)+0.01)," · Cobrado &gt; venta neta","")&amp;IF(AND(ISNUMBER($V334),$V334&gt;0,$U334="")," · Monto cobrado sin fecha",""),4,900)))</f>
        <v/>
      </c>
    </row>
    <row r="335">
      <c r="A335" s="51">
        <f>IF(COUNTA($B335,$C335,$D335,$E335,$F335,$I335)=0,"","V-"&amp;TEXT(ROW()-6,"0000"))</f>
        <v/>
      </c>
      <c r="B335" s="41" t="n"/>
      <c r="C335" s="33" t="n"/>
      <c r="D335" s="33" t="n"/>
      <c r="E335" s="33" t="n"/>
      <c r="F335" s="33" t="n"/>
      <c r="G335" s="51">
        <f>IF($F335="","",IFERROR(IF(INDEX(tblProductos[Nombre del producto],MATCH($F335,tblProductos[SKU],0))="","",INDEX(tblProductos[Nombre del producto],MATCH($F335,tblProductos[SKU],0))),""))</f>
        <v/>
      </c>
      <c r="H335" s="51">
        <f>IF($F335="","",IFERROR(IF(INDEX(tblProductos[Categoría],MATCH($F335,tblProductos[SKU],0))="","",INDEX(tblProductos[Categoría],MATCH($F335,tblProductos[SKU],0))),""))</f>
        <v/>
      </c>
      <c r="I335" s="34" t="n"/>
      <c r="J335" s="39">
        <f>IF(OR($B335="",$F335="",$I335=""),"",IF($T335="Anulado",0,$I335))</f>
        <v/>
      </c>
      <c r="K335" s="54">
        <f>IF($F335="","",IFERROR(IF(INDEX(tblProductos[Precio de venta actual],MATCH($F335,tblProductos[SKU],0))="","",INDEX(tblProductos[Precio de venta actual],MATCH($F335,tblProductos[SKU],0))),""))</f>
        <v/>
      </c>
      <c r="L335" s="36" t="n"/>
      <c r="M335" s="37">
        <f>IF($J335="","",IF(NOT(ISNUMBER($K335)),"PRECIO PENDIENTE",$J335*$K335))</f>
        <v/>
      </c>
      <c r="N335" s="37">
        <f>IF($J335="","",IF(NOT(ISNUMBER($M335)),"PRECIO PENDIENTE",$M335-IF(ISNUMBER($L335),$L335,0)))</f>
        <v/>
      </c>
      <c r="O335" s="54">
        <f>IF($F335="","",IFERROR(INDEX(tblInventario[Costo unitario aplicado],MATCH($F335,tblInventario[SKU],0)),""))</f>
        <v/>
      </c>
      <c r="P335" s="37">
        <f>IF($J335="","",IF(NOT(ISNUMBER($O335)),"COSTO PENDIENTE",$J335*$O335))</f>
        <v/>
      </c>
      <c r="Q335" s="37">
        <f>IF($J335="","",IF(OR(NOT(ISNUMBER($N335)),NOT(ISNUMBER($P335))),"PENDIENTE",$N335-$P335))</f>
        <v/>
      </c>
      <c r="R335" s="38">
        <f>IF($J335="","",IF(OR(NOT(ISNUMBER($Q335)),NOT(ISNUMBER($N335)),$N335&lt;=0),"PENDIENTE",$Q335/$N335))</f>
        <v/>
      </c>
      <c r="S335" s="33" t="n"/>
      <c r="T335" s="33" t="n"/>
      <c r="U335" s="41" t="n"/>
      <c r="V335" s="36" t="n"/>
      <c r="W335" s="37">
        <f>IF(NOT(ISNUMBER($N335)),"",$N335-IF(ISNUMBER($V335),$V335,0))</f>
        <v/>
      </c>
      <c r="X335" s="33" t="n"/>
      <c r="Y335" s="51">
        <f>IF(COUNTA($B335,$C335,$D335,$E335,$F335,$I335)=0,"",IF(IF($B335=""," · Falta fecha","")&amp;IF($D335=""," · Falta cliente","")&amp;IF($E335=""," · Falta canal","")&amp;IF($F335=""," · Falta SKU","")&amp;IF(AND($F335&lt;&gt;"",COUNTIF(tblProductos[SKU],$F335)=0)," · SKU no existe","")&amp;IF(OR($I335="",NOT(ISNUMBER($I335)),$I335&lt;=0)," · Cantidad inválida","")&amp;IF($M335="PRECIO PENDIENTE"," · Falta precio de venta","")&amp;IF($P335="COSTO PENDIENTE"," · Falta costo del producto","")&amp;IF(AND(ISNUMBER($Q335),$Q335&lt;0)," · UTILIDAD NEGATIVA","")&amp;IF(AND($F335&lt;&gt;"",ISNUMBER(INDEX(tblInventario[Stock actual],MATCH($F335,tblInventario[SKU],0))),INDEX(tblInventario[Stock actual],MATCH($F335,tblInventario[SKU],0))&lt;0)," · Stock negativo del SKU","")&amp;IF(AND($T335="Cobrado",$U335="")," · Cobro sin fecha","")&amp;IF(AND(ISNUMBER($V335),ISNUMBER($N335),$V335&gt;N($N335)+0.01)," · Cobrado &gt; venta neta","")&amp;IF(AND(ISNUMBER($V335),$V335&gt;0,$U335="")," · Monto cobrado sin fecha","")="","OK",MID(IF($B335=""," · Falta fecha","")&amp;IF($D335=""," · Falta cliente","")&amp;IF($E335=""," · Falta canal","")&amp;IF($F335=""," · Falta SKU","")&amp;IF(AND($F335&lt;&gt;"",COUNTIF(tblProductos[SKU],$F335)=0)," · SKU no existe","")&amp;IF(OR($I335="",NOT(ISNUMBER($I335)),$I335&lt;=0)," · Cantidad inválida","")&amp;IF($M335="PRECIO PENDIENTE"," · Falta precio de venta","")&amp;IF($P335="COSTO PENDIENTE"," · Falta costo del producto","")&amp;IF(AND(ISNUMBER($Q335),$Q335&lt;0)," · UTILIDAD NEGATIVA","")&amp;IF(AND($F335&lt;&gt;"",ISNUMBER(INDEX(tblInventario[Stock actual],MATCH($F335,tblInventario[SKU],0))),INDEX(tblInventario[Stock actual],MATCH($F335,tblInventario[SKU],0))&lt;0)," · Stock negativo del SKU","")&amp;IF(AND($T335="Cobrado",$U335="")," · Cobro sin fecha","")&amp;IF(AND(ISNUMBER($V335),ISNUMBER($N335),$V335&gt;N($N335)+0.01)," · Cobrado &gt; venta neta","")&amp;IF(AND(ISNUMBER($V335),$V335&gt;0,$U335="")," · Monto cobrado sin fecha",""),4,900)))</f>
        <v/>
      </c>
    </row>
    <row r="336">
      <c r="A336" s="51">
        <f>IF(COUNTA($B336,$C336,$D336,$E336,$F336,$I336)=0,"","V-"&amp;TEXT(ROW()-6,"0000"))</f>
        <v/>
      </c>
      <c r="B336" s="41" t="n"/>
      <c r="C336" s="33" t="n"/>
      <c r="D336" s="33" t="n"/>
      <c r="E336" s="33" t="n"/>
      <c r="F336" s="33" t="n"/>
      <c r="G336" s="51">
        <f>IF($F336="","",IFERROR(IF(INDEX(tblProductos[Nombre del producto],MATCH($F336,tblProductos[SKU],0))="","",INDEX(tblProductos[Nombre del producto],MATCH($F336,tblProductos[SKU],0))),""))</f>
        <v/>
      </c>
      <c r="H336" s="51">
        <f>IF($F336="","",IFERROR(IF(INDEX(tblProductos[Categoría],MATCH($F336,tblProductos[SKU],0))="","",INDEX(tblProductos[Categoría],MATCH($F336,tblProductos[SKU],0))),""))</f>
        <v/>
      </c>
      <c r="I336" s="34" t="n"/>
      <c r="J336" s="39">
        <f>IF(OR($B336="",$F336="",$I336=""),"",IF($T336="Anulado",0,$I336))</f>
        <v/>
      </c>
      <c r="K336" s="54">
        <f>IF($F336="","",IFERROR(IF(INDEX(tblProductos[Precio de venta actual],MATCH($F336,tblProductos[SKU],0))="","",INDEX(tblProductos[Precio de venta actual],MATCH($F336,tblProductos[SKU],0))),""))</f>
        <v/>
      </c>
      <c r="L336" s="36" t="n"/>
      <c r="M336" s="37">
        <f>IF($J336="","",IF(NOT(ISNUMBER($K336)),"PRECIO PENDIENTE",$J336*$K336))</f>
        <v/>
      </c>
      <c r="N336" s="37">
        <f>IF($J336="","",IF(NOT(ISNUMBER($M336)),"PRECIO PENDIENTE",$M336-IF(ISNUMBER($L336),$L336,0)))</f>
        <v/>
      </c>
      <c r="O336" s="54">
        <f>IF($F336="","",IFERROR(INDEX(tblInventario[Costo unitario aplicado],MATCH($F336,tblInventario[SKU],0)),""))</f>
        <v/>
      </c>
      <c r="P336" s="37">
        <f>IF($J336="","",IF(NOT(ISNUMBER($O336)),"COSTO PENDIENTE",$J336*$O336))</f>
        <v/>
      </c>
      <c r="Q336" s="37">
        <f>IF($J336="","",IF(OR(NOT(ISNUMBER($N336)),NOT(ISNUMBER($P336))),"PENDIENTE",$N336-$P336))</f>
        <v/>
      </c>
      <c r="R336" s="38">
        <f>IF($J336="","",IF(OR(NOT(ISNUMBER($Q336)),NOT(ISNUMBER($N336)),$N336&lt;=0),"PENDIENTE",$Q336/$N336))</f>
        <v/>
      </c>
      <c r="S336" s="33" t="n"/>
      <c r="T336" s="33" t="n"/>
      <c r="U336" s="41" t="n"/>
      <c r="V336" s="36" t="n"/>
      <c r="W336" s="37">
        <f>IF(NOT(ISNUMBER($N336)),"",$N336-IF(ISNUMBER($V336),$V336,0))</f>
        <v/>
      </c>
      <c r="X336" s="33" t="n"/>
      <c r="Y336" s="51">
        <f>IF(COUNTA($B336,$C336,$D336,$E336,$F336,$I336)=0,"",IF(IF($B336=""," · Falta fecha","")&amp;IF($D336=""," · Falta cliente","")&amp;IF($E336=""," · Falta canal","")&amp;IF($F336=""," · Falta SKU","")&amp;IF(AND($F336&lt;&gt;"",COUNTIF(tblProductos[SKU],$F336)=0)," · SKU no existe","")&amp;IF(OR($I336="",NOT(ISNUMBER($I336)),$I336&lt;=0)," · Cantidad inválida","")&amp;IF($M336="PRECIO PENDIENTE"," · Falta precio de venta","")&amp;IF($P336="COSTO PENDIENTE"," · Falta costo del producto","")&amp;IF(AND(ISNUMBER($Q336),$Q336&lt;0)," · UTILIDAD NEGATIVA","")&amp;IF(AND($F336&lt;&gt;"",ISNUMBER(INDEX(tblInventario[Stock actual],MATCH($F336,tblInventario[SKU],0))),INDEX(tblInventario[Stock actual],MATCH($F336,tblInventario[SKU],0))&lt;0)," · Stock negativo del SKU","")&amp;IF(AND($T336="Cobrado",$U336="")," · Cobro sin fecha","")&amp;IF(AND(ISNUMBER($V336),ISNUMBER($N336),$V336&gt;N($N336)+0.01)," · Cobrado &gt; venta neta","")&amp;IF(AND(ISNUMBER($V336),$V336&gt;0,$U336="")," · Monto cobrado sin fecha","")="","OK",MID(IF($B336=""," · Falta fecha","")&amp;IF($D336=""," · Falta cliente","")&amp;IF($E336=""," · Falta canal","")&amp;IF($F336=""," · Falta SKU","")&amp;IF(AND($F336&lt;&gt;"",COUNTIF(tblProductos[SKU],$F336)=0)," · SKU no existe","")&amp;IF(OR($I336="",NOT(ISNUMBER($I336)),$I336&lt;=0)," · Cantidad inválida","")&amp;IF($M336="PRECIO PENDIENTE"," · Falta precio de venta","")&amp;IF($P336="COSTO PENDIENTE"," · Falta costo del producto","")&amp;IF(AND(ISNUMBER($Q336),$Q336&lt;0)," · UTILIDAD NEGATIVA","")&amp;IF(AND($F336&lt;&gt;"",ISNUMBER(INDEX(tblInventario[Stock actual],MATCH($F336,tblInventario[SKU],0))),INDEX(tblInventario[Stock actual],MATCH($F336,tblInventario[SKU],0))&lt;0)," · Stock negativo del SKU","")&amp;IF(AND($T336="Cobrado",$U336="")," · Cobro sin fecha","")&amp;IF(AND(ISNUMBER($V336),ISNUMBER($N336),$V336&gt;N($N336)+0.01)," · Cobrado &gt; venta neta","")&amp;IF(AND(ISNUMBER($V336),$V336&gt;0,$U336="")," · Monto cobrado sin fecha",""),4,900)))</f>
        <v/>
      </c>
    </row>
    <row r="337">
      <c r="A337" s="51">
        <f>IF(COUNTA($B337,$C337,$D337,$E337,$F337,$I337)=0,"","V-"&amp;TEXT(ROW()-6,"0000"))</f>
        <v/>
      </c>
      <c r="B337" s="41" t="n"/>
      <c r="C337" s="33" t="n"/>
      <c r="D337" s="33" t="n"/>
      <c r="E337" s="33" t="n"/>
      <c r="F337" s="33" t="n"/>
      <c r="G337" s="51">
        <f>IF($F337="","",IFERROR(IF(INDEX(tblProductos[Nombre del producto],MATCH($F337,tblProductos[SKU],0))="","",INDEX(tblProductos[Nombre del producto],MATCH($F337,tblProductos[SKU],0))),""))</f>
        <v/>
      </c>
      <c r="H337" s="51">
        <f>IF($F337="","",IFERROR(IF(INDEX(tblProductos[Categoría],MATCH($F337,tblProductos[SKU],0))="","",INDEX(tblProductos[Categoría],MATCH($F337,tblProductos[SKU],0))),""))</f>
        <v/>
      </c>
      <c r="I337" s="34" t="n"/>
      <c r="J337" s="39">
        <f>IF(OR($B337="",$F337="",$I337=""),"",IF($T337="Anulado",0,$I337))</f>
        <v/>
      </c>
      <c r="K337" s="54">
        <f>IF($F337="","",IFERROR(IF(INDEX(tblProductos[Precio de venta actual],MATCH($F337,tblProductos[SKU],0))="","",INDEX(tblProductos[Precio de venta actual],MATCH($F337,tblProductos[SKU],0))),""))</f>
        <v/>
      </c>
      <c r="L337" s="36" t="n"/>
      <c r="M337" s="37">
        <f>IF($J337="","",IF(NOT(ISNUMBER($K337)),"PRECIO PENDIENTE",$J337*$K337))</f>
        <v/>
      </c>
      <c r="N337" s="37">
        <f>IF($J337="","",IF(NOT(ISNUMBER($M337)),"PRECIO PENDIENTE",$M337-IF(ISNUMBER($L337),$L337,0)))</f>
        <v/>
      </c>
      <c r="O337" s="54">
        <f>IF($F337="","",IFERROR(INDEX(tblInventario[Costo unitario aplicado],MATCH($F337,tblInventario[SKU],0)),""))</f>
        <v/>
      </c>
      <c r="P337" s="37">
        <f>IF($J337="","",IF(NOT(ISNUMBER($O337)),"COSTO PENDIENTE",$J337*$O337))</f>
        <v/>
      </c>
      <c r="Q337" s="37">
        <f>IF($J337="","",IF(OR(NOT(ISNUMBER($N337)),NOT(ISNUMBER($P337))),"PENDIENTE",$N337-$P337))</f>
        <v/>
      </c>
      <c r="R337" s="38">
        <f>IF($J337="","",IF(OR(NOT(ISNUMBER($Q337)),NOT(ISNUMBER($N337)),$N337&lt;=0),"PENDIENTE",$Q337/$N337))</f>
        <v/>
      </c>
      <c r="S337" s="33" t="n"/>
      <c r="T337" s="33" t="n"/>
      <c r="U337" s="41" t="n"/>
      <c r="V337" s="36" t="n"/>
      <c r="W337" s="37">
        <f>IF(NOT(ISNUMBER($N337)),"",$N337-IF(ISNUMBER($V337),$V337,0))</f>
        <v/>
      </c>
      <c r="X337" s="33" t="n"/>
      <c r="Y337" s="51">
        <f>IF(COUNTA($B337,$C337,$D337,$E337,$F337,$I337)=0,"",IF(IF($B337=""," · Falta fecha","")&amp;IF($D337=""," · Falta cliente","")&amp;IF($E337=""," · Falta canal","")&amp;IF($F337=""," · Falta SKU","")&amp;IF(AND($F337&lt;&gt;"",COUNTIF(tblProductos[SKU],$F337)=0)," · SKU no existe","")&amp;IF(OR($I337="",NOT(ISNUMBER($I337)),$I337&lt;=0)," · Cantidad inválida","")&amp;IF($M337="PRECIO PENDIENTE"," · Falta precio de venta","")&amp;IF($P337="COSTO PENDIENTE"," · Falta costo del producto","")&amp;IF(AND(ISNUMBER($Q337),$Q337&lt;0)," · UTILIDAD NEGATIVA","")&amp;IF(AND($F337&lt;&gt;"",ISNUMBER(INDEX(tblInventario[Stock actual],MATCH($F337,tblInventario[SKU],0))),INDEX(tblInventario[Stock actual],MATCH($F337,tblInventario[SKU],0))&lt;0)," · Stock negativo del SKU","")&amp;IF(AND($T337="Cobrado",$U337="")," · Cobro sin fecha","")&amp;IF(AND(ISNUMBER($V337),ISNUMBER($N337),$V337&gt;N($N337)+0.01)," · Cobrado &gt; venta neta","")&amp;IF(AND(ISNUMBER($V337),$V337&gt;0,$U337="")," · Monto cobrado sin fecha","")="","OK",MID(IF($B337=""," · Falta fecha","")&amp;IF($D337=""," · Falta cliente","")&amp;IF($E337=""," · Falta canal","")&amp;IF($F337=""," · Falta SKU","")&amp;IF(AND($F337&lt;&gt;"",COUNTIF(tblProductos[SKU],$F337)=0)," · SKU no existe","")&amp;IF(OR($I337="",NOT(ISNUMBER($I337)),$I337&lt;=0)," · Cantidad inválida","")&amp;IF($M337="PRECIO PENDIENTE"," · Falta precio de venta","")&amp;IF($P337="COSTO PENDIENTE"," · Falta costo del producto","")&amp;IF(AND(ISNUMBER($Q337),$Q337&lt;0)," · UTILIDAD NEGATIVA","")&amp;IF(AND($F337&lt;&gt;"",ISNUMBER(INDEX(tblInventario[Stock actual],MATCH($F337,tblInventario[SKU],0))),INDEX(tblInventario[Stock actual],MATCH($F337,tblInventario[SKU],0))&lt;0)," · Stock negativo del SKU","")&amp;IF(AND($T337="Cobrado",$U337="")," · Cobro sin fecha","")&amp;IF(AND(ISNUMBER($V337),ISNUMBER($N337),$V337&gt;N($N337)+0.01)," · Cobrado &gt; venta neta","")&amp;IF(AND(ISNUMBER($V337),$V337&gt;0,$U337="")," · Monto cobrado sin fecha",""),4,900)))</f>
        <v/>
      </c>
    </row>
    <row r="338">
      <c r="A338" s="51">
        <f>IF(COUNTA($B338,$C338,$D338,$E338,$F338,$I338)=0,"","V-"&amp;TEXT(ROW()-6,"0000"))</f>
        <v/>
      </c>
      <c r="B338" s="41" t="n"/>
      <c r="C338" s="33" t="n"/>
      <c r="D338" s="33" t="n"/>
      <c r="E338" s="33" t="n"/>
      <c r="F338" s="33" t="n"/>
      <c r="G338" s="51">
        <f>IF($F338="","",IFERROR(IF(INDEX(tblProductos[Nombre del producto],MATCH($F338,tblProductos[SKU],0))="","",INDEX(tblProductos[Nombre del producto],MATCH($F338,tblProductos[SKU],0))),""))</f>
        <v/>
      </c>
      <c r="H338" s="51">
        <f>IF($F338="","",IFERROR(IF(INDEX(tblProductos[Categoría],MATCH($F338,tblProductos[SKU],0))="","",INDEX(tblProductos[Categoría],MATCH($F338,tblProductos[SKU],0))),""))</f>
        <v/>
      </c>
      <c r="I338" s="34" t="n"/>
      <c r="J338" s="39">
        <f>IF(OR($B338="",$F338="",$I338=""),"",IF($T338="Anulado",0,$I338))</f>
        <v/>
      </c>
      <c r="K338" s="54">
        <f>IF($F338="","",IFERROR(IF(INDEX(tblProductos[Precio de venta actual],MATCH($F338,tblProductos[SKU],0))="","",INDEX(tblProductos[Precio de venta actual],MATCH($F338,tblProductos[SKU],0))),""))</f>
        <v/>
      </c>
      <c r="L338" s="36" t="n"/>
      <c r="M338" s="37">
        <f>IF($J338="","",IF(NOT(ISNUMBER($K338)),"PRECIO PENDIENTE",$J338*$K338))</f>
        <v/>
      </c>
      <c r="N338" s="37">
        <f>IF($J338="","",IF(NOT(ISNUMBER($M338)),"PRECIO PENDIENTE",$M338-IF(ISNUMBER($L338),$L338,0)))</f>
        <v/>
      </c>
      <c r="O338" s="54">
        <f>IF($F338="","",IFERROR(INDEX(tblInventario[Costo unitario aplicado],MATCH($F338,tblInventario[SKU],0)),""))</f>
        <v/>
      </c>
      <c r="P338" s="37">
        <f>IF($J338="","",IF(NOT(ISNUMBER($O338)),"COSTO PENDIENTE",$J338*$O338))</f>
        <v/>
      </c>
      <c r="Q338" s="37">
        <f>IF($J338="","",IF(OR(NOT(ISNUMBER($N338)),NOT(ISNUMBER($P338))),"PENDIENTE",$N338-$P338))</f>
        <v/>
      </c>
      <c r="R338" s="38">
        <f>IF($J338="","",IF(OR(NOT(ISNUMBER($Q338)),NOT(ISNUMBER($N338)),$N338&lt;=0),"PENDIENTE",$Q338/$N338))</f>
        <v/>
      </c>
      <c r="S338" s="33" t="n"/>
      <c r="T338" s="33" t="n"/>
      <c r="U338" s="41" t="n"/>
      <c r="V338" s="36" t="n"/>
      <c r="W338" s="37">
        <f>IF(NOT(ISNUMBER($N338)),"",$N338-IF(ISNUMBER($V338),$V338,0))</f>
        <v/>
      </c>
      <c r="X338" s="33" t="n"/>
      <c r="Y338" s="51">
        <f>IF(COUNTA($B338,$C338,$D338,$E338,$F338,$I338)=0,"",IF(IF($B338=""," · Falta fecha","")&amp;IF($D338=""," · Falta cliente","")&amp;IF($E338=""," · Falta canal","")&amp;IF($F338=""," · Falta SKU","")&amp;IF(AND($F338&lt;&gt;"",COUNTIF(tblProductos[SKU],$F338)=0)," · SKU no existe","")&amp;IF(OR($I338="",NOT(ISNUMBER($I338)),$I338&lt;=0)," · Cantidad inválida","")&amp;IF($M338="PRECIO PENDIENTE"," · Falta precio de venta","")&amp;IF($P338="COSTO PENDIENTE"," · Falta costo del producto","")&amp;IF(AND(ISNUMBER($Q338),$Q338&lt;0)," · UTILIDAD NEGATIVA","")&amp;IF(AND($F338&lt;&gt;"",ISNUMBER(INDEX(tblInventario[Stock actual],MATCH($F338,tblInventario[SKU],0))),INDEX(tblInventario[Stock actual],MATCH($F338,tblInventario[SKU],0))&lt;0)," · Stock negativo del SKU","")&amp;IF(AND($T338="Cobrado",$U338="")," · Cobro sin fecha","")&amp;IF(AND(ISNUMBER($V338),ISNUMBER($N338),$V338&gt;N($N338)+0.01)," · Cobrado &gt; venta neta","")&amp;IF(AND(ISNUMBER($V338),$V338&gt;0,$U338="")," · Monto cobrado sin fecha","")="","OK",MID(IF($B338=""," · Falta fecha","")&amp;IF($D338=""," · Falta cliente","")&amp;IF($E338=""," · Falta canal","")&amp;IF($F338=""," · Falta SKU","")&amp;IF(AND($F338&lt;&gt;"",COUNTIF(tblProductos[SKU],$F338)=0)," · SKU no existe","")&amp;IF(OR($I338="",NOT(ISNUMBER($I338)),$I338&lt;=0)," · Cantidad inválida","")&amp;IF($M338="PRECIO PENDIENTE"," · Falta precio de venta","")&amp;IF($P338="COSTO PENDIENTE"," · Falta costo del producto","")&amp;IF(AND(ISNUMBER($Q338),$Q338&lt;0)," · UTILIDAD NEGATIVA","")&amp;IF(AND($F338&lt;&gt;"",ISNUMBER(INDEX(tblInventario[Stock actual],MATCH($F338,tblInventario[SKU],0))),INDEX(tblInventario[Stock actual],MATCH($F338,tblInventario[SKU],0))&lt;0)," · Stock negativo del SKU","")&amp;IF(AND($T338="Cobrado",$U338="")," · Cobro sin fecha","")&amp;IF(AND(ISNUMBER($V338),ISNUMBER($N338),$V338&gt;N($N338)+0.01)," · Cobrado &gt; venta neta","")&amp;IF(AND(ISNUMBER($V338),$V338&gt;0,$U338="")," · Monto cobrado sin fecha",""),4,900)))</f>
        <v/>
      </c>
    </row>
    <row r="339">
      <c r="A339" s="51">
        <f>IF(COUNTA($B339,$C339,$D339,$E339,$F339,$I339)=0,"","V-"&amp;TEXT(ROW()-6,"0000"))</f>
        <v/>
      </c>
      <c r="B339" s="41" t="n"/>
      <c r="C339" s="33" t="n"/>
      <c r="D339" s="33" t="n"/>
      <c r="E339" s="33" t="n"/>
      <c r="F339" s="33" t="n"/>
      <c r="G339" s="51">
        <f>IF($F339="","",IFERROR(IF(INDEX(tblProductos[Nombre del producto],MATCH($F339,tblProductos[SKU],0))="","",INDEX(tblProductos[Nombre del producto],MATCH($F339,tblProductos[SKU],0))),""))</f>
        <v/>
      </c>
      <c r="H339" s="51">
        <f>IF($F339="","",IFERROR(IF(INDEX(tblProductos[Categoría],MATCH($F339,tblProductos[SKU],0))="","",INDEX(tblProductos[Categoría],MATCH($F339,tblProductos[SKU],0))),""))</f>
        <v/>
      </c>
      <c r="I339" s="34" t="n"/>
      <c r="J339" s="39">
        <f>IF(OR($B339="",$F339="",$I339=""),"",IF($T339="Anulado",0,$I339))</f>
        <v/>
      </c>
      <c r="K339" s="54">
        <f>IF($F339="","",IFERROR(IF(INDEX(tblProductos[Precio de venta actual],MATCH($F339,tblProductos[SKU],0))="","",INDEX(tblProductos[Precio de venta actual],MATCH($F339,tblProductos[SKU],0))),""))</f>
        <v/>
      </c>
      <c r="L339" s="36" t="n"/>
      <c r="M339" s="37">
        <f>IF($J339="","",IF(NOT(ISNUMBER($K339)),"PRECIO PENDIENTE",$J339*$K339))</f>
        <v/>
      </c>
      <c r="N339" s="37">
        <f>IF($J339="","",IF(NOT(ISNUMBER($M339)),"PRECIO PENDIENTE",$M339-IF(ISNUMBER($L339),$L339,0)))</f>
        <v/>
      </c>
      <c r="O339" s="54">
        <f>IF($F339="","",IFERROR(INDEX(tblInventario[Costo unitario aplicado],MATCH($F339,tblInventario[SKU],0)),""))</f>
        <v/>
      </c>
      <c r="P339" s="37">
        <f>IF($J339="","",IF(NOT(ISNUMBER($O339)),"COSTO PENDIENTE",$J339*$O339))</f>
        <v/>
      </c>
      <c r="Q339" s="37">
        <f>IF($J339="","",IF(OR(NOT(ISNUMBER($N339)),NOT(ISNUMBER($P339))),"PENDIENTE",$N339-$P339))</f>
        <v/>
      </c>
      <c r="R339" s="38">
        <f>IF($J339="","",IF(OR(NOT(ISNUMBER($Q339)),NOT(ISNUMBER($N339)),$N339&lt;=0),"PENDIENTE",$Q339/$N339))</f>
        <v/>
      </c>
      <c r="S339" s="33" t="n"/>
      <c r="T339" s="33" t="n"/>
      <c r="U339" s="41" t="n"/>
      <c r="V339" s="36" t="n"/>
      <c r="W339" s="37">
        <f>IF(NOT(ISNUMBER($N339)),"",$N339-IF(ISNUMBER($V339),$V339,0))</f>
        <v/>
      </c>
      <c r="X339" s="33" t="n"/>
      <c r="Y339" s="51">
        <f>IF(COUNTA($B339,$C339,$D339,$E339,$F339,$I339)=0,"",IF(IF($B339=""," · Falta fecha","")&amp;IF($D339=""," · Falta cliente","")&amp;IF($E339=""," · Falta canal","")&amp;IF($F339=""," · Falta SKU","")&amp;IF(AND($F339&lt;&gt;"",COUNTIF(tblProductos[SKU],$F339)=0)," · SKU no existe","")&amp;IF(OR($I339="",NOT(ISNUMBER($I339)),$I339&lt;=0)," · Cantidad inválida","")&amp;IF($M339="PRECIO PENDIENTE"," · Falta precio de venta","")&amp;IF($P339="COSTO PENDIENTE"," · Falta costo del producto","")&amp;IF(AND(ISNUMBER($Q339),$Q339&lt;0)," · UTILIDAD NEGATIVA","")&amp;IF(AND($F339&lt;&gt;"",ISNUMBER(INDEX(tblInventario[Stock actual],MATCH($F339,tblInventario[SKU],0))),INDEX(tblInventario[Stock actual],MATCH($F339,tblInventario[SKU],0))&lt;0)," · Stock negativo del SKU","")&amp;IF(AND($T339="Cobrado",$U339="")," · Cobro sin fecha","")&amp;IF(AND(ISNUMBER($V339),ISNUMBER($N339),$V339&gt;N($N339)+0.01)," · Cobrado &gt; venta neta","")&amp;IF(AND(ISNUMBER($V339),$V339&gt;0,$U339="")," · Monto cobrado sin fecha","")="","OK",MID(IF($B339=""," · Falta fecha","")&amp;IF($D339=""," · Falta cliente","")&amp;IF($E339=""," · Falta canal","")&amp;IF($F339=""," · Falta SKU","")&amp;IF(AND($F339&lt;&gt;"",COUNTIF(tblProductos[SKU],$F339)=0)," · SKU no existe","")&amp;IF(OR($I339="",NOT(ISNUMBER($I339)),$I339&lt;=0)," · Cantidad inválida","")&amp;IF($M339="PRECIO PENDIENTE"," · Falta precio de venta","")&amp;IF($P339="COSTO PENDIENTE"," · Falta costo del producto","")&amp;IF(AND(ISNUMBER($Q339),$Q339&lt;0)," · UTILIDAD NEGATIVA","")&amp;IF(AND($F339&lt;&gt;"",ISNUMBER(INDEX(tblInventario[Stock actual],MATCH($F339,tblInventario[SKU],0))),INDEX(tblInventario[Stock actual],MATCH($F339,tblInventario[SKU],0))&lt;0)," · Stock negativo del SKU","")&amp;IF(AND($T339="Cobrado",$U339="")," · Cobro sin fecha","")&amp;IF(AND(ISNUMBER($V339),ISNUMBER($N339),$V339&gt;N($N339)+0.01)," · Cobrado &gt; venta neta","")&amp;IF(AND(ISNUMBER($V339),$V339&gt;0,$U339="")," · Monto cobrado sin fecha",""),4,900)))</f>
        <v/>
      </c>
    </row>
    <row r="340">
      <c r="A340" s="51">
        <f>IF(COUNTA($B340,$C340,$D340,$E340,$F340,$I340)=0,"","V-"&amp;TEXT(ROW()-6,"0000"))</f>
        <v/>
      </c>
      <c r="B340" s="41" t="n"/>
      <c r="C340" s="33" t="n"/>
      <c r="D340" s="33" t="n"/>
      <c r="E340" s="33" t="n"/>
      <c r="F340" s="33" t="n"/>
      <c r="G340" s="51">
        <f>IF($F340="","",IFERROR(IF(INDEX(tblProductos[Nombre del producto],MATCH($F340,tblProductos[SKU],0))="","",INDEX(tblProductos[Nombre del producto],MATCH($F340,tblProductos[SKU],0))),""))</f>
        <v/>
      </c>
      <c r="H340" s="51">
        <f>IF($F340="","",IFERROR(IF(INDEX(tblProductos[Categoría],MATCH($F340,tblProductos[SKU],0))="","",INDEX(tblProductos[Categoría],MATCH($F340,tblProductos[SKU],0))),""))</f>
        <v/>
      </c>
      <c r="I340" s="34" t="n"/>
      <c r="J340" s="39">
        <f>IF(OR($B340="",$F340="",$I340=""),"",IF($T340="Anulado",0,$I340))</f>
        <v/>
      </c>
      <c r="K340" s="54">
        <f>IF($F340="","",IFERROR(IF(INDEX(tblProductos[Precio de venta actual],MATCH($F340,tblProductos[SKU],0))="","",INDEX(tblProductos[Precio de venta actual],MATCH($F340,tblProductos[SKU],0))),""))</f>
        <v/>
      </c>
      <c r="L340" s="36" t="n"/>
      <c r="M340" s="37">
        <f>IF($J340="","",IF(NOT(ISNUMBER($K340)),"PRECIO PENDIENTE",$J340*$K340))</f>
        <v/>
      </c>
      <c r="N340" s="37">
        <f>IF($J340="","",IF(NOT(ISNUMBER($M340)),"PRECIO PENDIENTE",$M340-IF(ISNUMBER($L340),$L340,0)))</f>
        <v/>
      </c>
      <c r="O340" s="54">
        <f>IF($F340="","",IFERROR(INDEX(tblInventario[Costo unitario aplicado],MATCH($F340,tblInventario[SKU],0)),""))</f>
        <v/>
      </c>
      <c r="P340" s="37">
        <f>IF($J340="","",IF(NOT(ISNUMBER($O340)),"COSTO PENDIENTE",$J340*$O340))</f>
        <v/>
      </c>
      <c r="Q340" s="37">
        <f>IF($J340="","",IF(OR(NOT(ISNUMBER($N340)),NOT(ISNUMBER($P340))),"PENDIENTE",$N340-$P340))</f>
        <v/>
      </c>
      <c r="R340" s="38">
        <f>IF($J340="","",IF(OR(NOT(ISNUMBER($Q340)),NOT(ISNUMBER($N340)),$N340&lt;=0),"PENDIENTE",$Q340/$N340))</f>
        <v/>
      </c>
      <c r="S340" s="33" t="n"/>
      <c r="T340" s="33" t="n"/>
      <c r="U340" s="41" t="n"/>
      <c r="V340" s="36" t="n"/>
      <c r="W340" s="37">
        <f>IF(NOT(ISNUMBER($N340)),"",$N340-IF(ISNUMBER($V340),$V340,0))</f>
        <v/>
      </c>
      <c r="X340" s="33" t="n"/>
      <c r="Y340" s="51">
        <f>IF(COUNTA($B340,$C340,$D340,$E340,$F340,$I340)=0,"",IF(IF($B340=""," · Falta fecha","")&amp;IF($D340=""," · Falta cliente","")&amp;IF($E340=""," · Falta canal","")&amp;IF($F340=""," · Falta SKU","")&amp;IF(AND($F340&lt;&gt;"",COUNTIF(tblProductos[SKU],$F340)=0)," · SKU no existe","")&amp;IF(OR($I340="",NOT(ISNUMBER($I340)),$I340&lt;=0)," · Cantidad inválida","")&amp;IF($M340="PRECIO PENDIENTE"," · Falta precio de venta","")&amp;IF($P340="COSTO PENDIENTE"," · Falta costo del producto","")&amp;IF(AND(ISNUMBER($Q340),$Q340&lt;0)," · UTILIDAD NEGATIVA","")&amp;IF(AND($F340&lt;&gt;"",ISNUMBER(INDEX(tblInventario[Stock actual],MATCH($F340,tblInventario[SKU],0))),INDEX(tblInventario[Stock actual],MATCH($F340,tblInventario[SKU],0))&lt;0)," · Stock negativo del SKU","")&amp;IF(AND($T340="Cobrado",$U340="")," · Cobro sin fecha","")&amp;IF(AND(ISNUMBER($V340),ISNUMBER($N340),$V340&gt;N($N340)+0.01)," · Cobrado &gt; venta neta","")&amp;IF(AND(ISNUMBER($V340),$V340&gt;0,$U340="")," · Monto cobrado sin fecha","")="","OK",MID(IF($B340=""," · Falta fecha","")&amp;IF($D340=""," · Falta cliente","")&amp;IF($E340=""," · Falta canal","")&amp;IF($F340=""," · Falta SKU","")&amp;IF(AND($F340&lt;&gt;"",COUNTIF(tblProductos[SKU],$F340)=0)," · SKU no existe","")&amp;IF(OR($I340="",NOT(ISNUMBER($I340)),$I340&lt;=0)," · Cantidad inválida","")&amp;IF($M340="PRECIO PENDIENTE"," · Falta precio de venta","")&amp;IF($P340="COSTO PENDIENTE"," · Falta costo del producto","")&amp;IF(AND(ISNUMBER($Q340),$Q340&lt;0)," · UTILIDAD NEGATIVA","")&amp;IF(AND($F340&lt;&gt;"",ISNUMBER(INDEX(tblInventario[Stock actual],MATCH($F340,tblInventario[SKU],0))),INDEX(tblInventario[Stock actual],MATCH($F340,tblInventario[SKU],0))&lt;0)," · Stock negativo del SKU","")&amp;IF(AND($T340="Cobrado",$U340="")," · Cobro sin fecha","")&amp;IF(AND(ISNUMBER($V340),ISNUMBER($N340),$V340&gt;N($N340)+0.01)," · Cobrado &gt; venta neta","")&amp;IF(AND(ISNUMBER($V340),$V340&gt;0,$U340="")," · Monto cobrado sin fecha",""),4,900)))</f>
        <v/>
      </c>
    </row>
    <row r="341">
      <c r="A341" s="51">
        <f>IF(COUNTA($B341,$C341,$D341,$E341,$F341,$I341)=0,"","V-"&amp;TEXT(ROW()-6,"0000"))</f>
        <v/>
      </c>
      <c r="B341" s="41" t="n"/>
      <c r="C341" s="33" t="n"/>
      <c r="D341" s="33" t="n"/>
      <c r="E341" s="33" t="n"/>
      <c r="F341" s="33" t="n"/>
      <c r="G341" s="51">
        <f>IF($F341="","",IFERROR(IF(INDEX(tblProductos[Nombre del producto],MATCH($F341,tblProductos[SKU],0))="","",INDEX(tblProductos[Nombre del producto],MATCH($F341,tblProductos[SKU],0))),""))</f>
        <v/>
      </c>
      <c r="H341" s="51">
        <f>IF($F341="","",IFERROR(IF(INDEX(tblProductos[Categoría],MATCH($F341,tblProductos[SKU],0))="","",INDEX(tblProductos[Categoría],MATCH($F341,tblProductos[SKU],0))),""))</f>
        <v/>
      </c>
      <c r="I341" s="34" t="n"/>
      <c r="J341" s="39">
        <f>IF(OR($B341="",$F341="",$I341=""),"",IF($T341="Anulado",0,$I341))</f>
        <v/>
      </c>
      <c r="K341" s="54">
        <f>IF($F341="","",IFERROR(IF(INDEX(tblProductos[Precio de venta actual],MATCH($F341,tblProductos[SKU],0))="","",INDEX(tblProductos[Precio de venta actual],MATCH($F341,tblProductos[SKU],0))),""))</f>
        <v/>
      </c>
      <c r="L341" s="36" t="n"/>
      <c r="M341" s="37">
        <f>IF($J341="","",IF(NOT(ISNUMBER($K341)),"PRECIO PENDIENTE",$J341*$K341))</f>
        <v/>
      </c>
      <c r="N341" s="37">
        <f>IF($J341="","",IF(NOT(ISNUMBER($M341)),"PRECIO PENDIENTE",$M341-IF(ISNUMBER($L341),$L341,0)))</f>
        <v/>
      </c>
      <c r="O341" s="54">
        <f>IF($F341="","",IFERROR(INDEX(tblInventario[Costo unitario aplicado],MATCH($F341,tblInventario[SKU],0)),""))</f>
        <v/>
      </c>
      <c r="P341" s="37">
        <f>IF($J341="","",IF(NOT(ISNUMBER($O341)),"COSTO PENDIENTE",$J341*$O341))</f>
        <v/>
      </c>
      <c r="Q341" s="37">
        <f>IF($J341="","",IF(OR(NOT(ISNUMBER($N341)),NOT(ISNUMBER($P341))),"PENDIENTE",$N341-$P341))</f>
        <v/>
      </c>
      <c r="R341" s="38">
        <f>IF($J341="","",IF(OR(NOT(ISNUMBER($Q341)),NOT(ISNUMBER($N341)),$N341&lt;=0),"PENDIENTE",$Q341/$N341))</f>
        <v/>
      </c>
      <c r="S341" s="33" t="n"/>
      <c r="T341" s="33" t="n"/>
      <c r="U341" s="41" t="n"/>
      <c r="V341" s="36" t="n"/>
      <c r="W341" s="37">
        <f>IF(NOT(ISNUMBER($N341)),"",$N341-IF(ISNUMBER($V341),$V341,0))</f>
        <v/>
      </c>
      <c r="X341" s="33" t="n"/>
      <c r="Y341" s="51">
        <f>IF(COUNTA($B341,$C341,$D341,$E341,$F341,$I341)=0,"",IF(IF($B341=""," · Falta fecha","")&amp;IF($D341=""," · Falta cliente","")&amp;IF($E341=""," · Falta canal","")&amp;IF($F341=""," · Falta SKU","")&amp;IF(AND($F341&lt;&gt;"",COUNTIF(tblProductos[SKU],$F341)=0)," · SKU no existe","")&amp;IF(OR($I341="",NOT(ISNUMBER($I341)),$I341&lt;=0)," · Cantidad inválida","")&amp;IF($M341="PRECIO PENDIENTE"," · Falta precio de venta","")&amp;IF($P341="COSTO PENDIENTE"," · Falta costo del producto","")&amp;IF(AND(ISNUMBER($Q341),$Q341&lt;0)," · UTILIDAD NEGATIVA","")&amp;IF(AND($F341&lt;&gt;"",ISNUMBER(INDEX(tblInventario[Stock actual],MATCH($F341,tblInventario[SKU],0))),INDEX(tblInventario[Stock actual],MATCH($F341,tblInventario[SKU],0))&lt;0)," · Stock negativo del SKU","")&amp;IF(AND($T341="Cobrado",$U341="")," · Cobro sin fecha","")&amp;IF(AND(ISNUMBER($V341),ISNUMBER($N341),$V341&gt;N($N341)+0.01)," · Cobrado &gt; venta neta","")&amp;IF(AND(ISNUMBER($V341),$V341&gt;0,$U341="")," · Monto cobrado sin fecha","")="","OK",MID(IF($B341=""," · Falta fecha","")&amp;IF($D341=""," · Falta cliente","")&amp;IF($E341=""," · Falta canal","")&amp;IF($F341=""," · Falta SKU","")&amp;IF(AND($F341&lt;&gt;"",COUNTIF(tblProductos[SKU],$F341)=0)," · SKU no existe","")&amp;IF(OR($I341="",NOT(ISNUMBER($I341)),$I341&lt;=0)," · Cantidad inválida","")&amp;IF($M341="PRECIO PENDIENTE"," · Falta precio de venta","")&amp;IF($P341="COSTO PENDIENTE"," · Falta costo del producto","")&amp;IF(AND(ISNUMBER($Q341),$Q341&lt;0)," · UTILIDAD NEGATIVA","")&amp;IF(AND($F341&lt;&gt;"",ISNUMBER(INDEX(tblInventario[Stock actual],MATCH($F341,tblInventario[SKU],0))),INDEX(tblInventario[Stock actual],MATCH($F341,tblInventario[SKU],0))&lt;0)," · Stock negativo del SKU","")&amp;IF(AND($T341="Cobrado",$U341="")," · Cobro sin fecha","")&amp;IF(AND(ISNUMBER($V341),ISNUMBER($N341),$V341&gt;N($N341)+0.01)," · Cobrado &gt; venta neta","")&amp;IF(AND(ISNUMBER($V341),$V341&gt;0,$U341="")," · Monto cobrado sin fecha",""),4,900)))</f>
        <v/>
      </c>
    </row>
    <row r="342">
      <c r="A342" s="51">
        <f>IF(COUNTA($B342,$C342,$D342,$E342,$F342,$I342)=0,"","V-"&amp;TEXT(ROW()-6,"0000"))</f>
        <v/>
      </c>
      <c r="B342" s="41" t="n"/>
      <c r="C342" s="33" t="n"/>
      <c r="D342" s="33" t="n"/>
      <c r="E342" s="33" t="n"/>
      <c r="F342" s="33" t="n"/>
      <c r="G342" s="51">
        <f>IF($F342="","",IFERROR(IF(INDEX(tblProductos[Nombre del producto],MATCH($F342,tblProductos[SKU],0))="","",INDEX(tblProductos[Nombre del producto],MATCH($F342,tblProductos[SKU],0))),""))</f>
        <v/>
      </c>
      <c r="H342" s="51">
        <f>IF($F342="","",IFERROR(IF(INDEX(tblProductos[Categoría],MATCH($F342,tblProductos[SKU],0))="","",INDEX(tblProductos[Categoría],MATCH($F342,tblProductos[SKU],0))),""))</f>
        <v/>
      </c>
      <c r="I342" s="34" t="n"/>
      <c r="J342" s="39">
        <f>IF(OR($B342="",$F342="",$I342=""),"",IF($T342="Anulado",0,$I342))</f>
        <v/>
      </c>
      <c r="K342" s="54">
        <f>IF($F342="","",IFERROR(IF(INDEX(tblProductos[Precio de venta actual],MATCH($F342,tblProductos[SKU],0))="","",INDEX(tblProductos[Precio de venta actual],MATCH($F342,tblProductos[SKU],0))),""))</f>
        <v/>
      </c>
      <c r="L342" s="36" t="n"/>
      <c r="M342" s="37">
        <f>IF($J342="","",IF(NOT(ISNUMBER($K342)),"PRECIO PENDIENTE",$J342*$K342))</f>
        <v/>
      </c>
      <c r="N342" s="37">
        <f>IF($J342="","",IF(NOT(ISNUMBER($M342)),"PRECIO PENDIENTE",$M342-IF(ISNUMBER($L342),$L342,0)))</f>
        <v/>
      </c>
      <c r="O342" s="54">
        <f>IF($F342="","",IFERROR(INDEX(tblInventario[Costo unitario aplicado],MATCH($F342,tblInventario[SKU],0)),""))</f>
        <v/>
      </c>
      <c r="P342" s="37">
        <f>IF($J342="","",IF(NOT(ISNUMBER($O342)),"COSTO PENDIENTE",$J342*$O342))</f>
        <v/>
      </c>
      <c r="Q342" s="37">
        <f>IF($J342="","",IF(OR(NOT(ISNUMBER($N342)),NOT(ISNUMBER($P342))),"PENDIENTE",$N342-$P342))</f>
        <v/>
      </c>
      <c r="R342" s="38">
        <f>IF($J342="","",IF(OR(NOT(ISNUMBER($Q342)),NOT(ISNUMBER($N342)),$N342&lt;=0),"PENDIENTE",$Q342/$N342))</f>
        <v/>
      </c>
      <c r="S342" s="33" t="n"/>
      <c r="T342" s="33" t="n"/>
      <c r="U342" s="41" t="n"/>
      <c r="V342" s="36" t="n"/>
      <c r="W342" s="37">
        <f>IF(NOT(ISNUMBER($N342)),"",$N342-IF(ISNUMBER($V342),$V342,0))</f>
        <v/>
      </c>
      <c r="X342" s="33" t="n"/>
      <c r="Y342" s="51">
        <f>IF(COUNTA($B342,$C342,$D342,$E342,$F342,$I342)=0,"",IF(IF($B342=""," · Falta fecha","")&amp;IF($D342=""," · Falta cliente","")&amp;IF($E342=""," · Falta canal","")&amp;IF($F342=""," · Falta SKU","")&amp;IF(AND($F342&lt;&gt;"",COUNTIF(tblProductos[SKU],$F342)=0)," · SKU no existe","")&amp;IF(OR($I342="",NOT(ISNUMBER($I342)),$I342&lt;=0)," · Cantidad inválida","")&amp;IF($M342="PRECIO PENDIENTE"," · Falta precio de venta","")&amp;IF($P342="COSTO PENDIENTE"," · Falta costo del producto","")&amp;IF(AND(ISNUMBER($Q342),$Q342&lt;0)," · UTILIDAD NEGATIVA","")&amp;IF(AND($F342&lt;&gt;"",ISNUMBER(INDEX(tblInventario[Stock actual],MATCH($F342,tblInventario[SKU],0))),INDEX(tblInventario[Stock actual],MATCH($F342,tblInventario[SKU],0))&lt;0)," · Stock negativo del SKU","")&amp;IF(AND($T342="Cobrado",$U342="")," · Cobro sin fecha","")&amp;IF(AND(ISNUMBER($V342),ISNUMBER($N342),$V342&gt;N($N342)+0.01)," · Cobrado &gt; venta neta","")&amp;IF(AND(ISNUMBER($V342),$V342&gt;0,$U342="")," · Monto cobrado sin fecha","")="","OK",MID(IF($B342=""," · Falta fecha","")&amp;IF($D342=""," · Falta cliente","")&amp;IF($E342=""," · Falta canal","")&amp;IF($F342=""," · Falta SKU","")&amp;IF(AND($F342&lt;&gt;"",COUNTIF(tblProductos[SKU],$F342)=0)," · SKU no existe","")&amp;IF(OR($I342="",NOT(ISNUMBER($I342)),$I342&lt;=0)," · Cantidad inválida","")&amp;IF($M342="PRECIO PENDIENTE"," · Falta precio de venta","")&amp;IF($P342="COSTO PENDIENTE"," · Falta costo del producto","")&amp;IF(AND(ISNUMBER($Q342),$Q342&lt;0)," · UTILIDAD NEGATIVA","")&amp;IF(AND($F342&lt;&gt;"",ISNUMBER(INDEX(tblInventario[Stock actual],MATCH($F342,tblInventario[SKU],0))),INDEX(tblInventario[Stock actual],MATCH($F342,tblInventario[SKU],0))&lt;0)," · Stock negativo del SKU","")&amp;IF(AND($T342="Cobrado",$U342="")," · Cobro sin fecha","")&amp;IF(AND(ISNUMBER($V342),ISNUMBER($N342),$V342&gt;N($N342)+0.01)," · Cobrado &gt; venta neta","")&amp;IF(AND(ISNUMBER($V342),$V342&gt;0,$U342="")," · Monto cobrado sin fecha",""),4,900)))</f>
        <v/>
      </c>
    </row>
    <row r="343">
      <c r="A343" s="51">
        <f>IF(COUNTA($B343,$C343,$D343,$E343,$F343,$I343)=0,"","V-"&amp;TEXT(ROW()-6,"0000"))</f>
        <v/>
      </c>
      <c r="B343" s="41" t="n"/>
      <c r="C343" s="33" t="n"/>
      <c r="D343" s="33" t="n"/>
      <c r="E343" s="33" t="n"/>
      <c r="F343" s="33" t="n"/>
      <c r="G343" s="51">
        <f>IF($F343="","",IFERROR(IF(INDEX(tblProductos[Nombre del producto],MATCH($F343,tblProductos[SKU],0))="","",INDEX(tblProductos[Nombre del producto],MATCH($F343,tblProductos[SKU],0))),""))</f>
        <v/>
      </c>
      <c r="H343" s="51">
        <f>IF($F343="","",IFERROR(IF(INDEX(tblProductos[Categoría],MATCH($F343,tblProductos[SKU],0))="","",INDEX(tblProductos[Categoría],MATCH($F343,tblProductos[SKU],0))),""))</f>
        <v/>
      </c>
      <c r="I343" s="34" t="n"/>
      <c r="J343" s="39">
        <f>IF(OR($B343="",$F343="",$I343=""),"",IF($T343="Anulado",0,$I343))</f>
        <v/>
      </c>
      <c r="K343" s="54">
        <f>IF($F343="","",IFERROR(IF(INDEX(tblProductos[Precio de venta actual],MATCH($F343,tblProductos[SKU],0))="","",INDEX(tblProductos[Precio de venta actual],MATCH($F343,tblProductos[SKU],0))),""))</f>
        <v/>
      </c>
      <c r="L343" s="36" t="n"/>
      <c r="M343" s="37">
        <f>IF($J343="","",IF(NOT(ISNUMBER($K343)),"PRECIO PENDIENTE",$J343*$K343))</f>
        <v/>
      </c>
      <c r="N343" s="37">
        <f>IF($J343="","",IF(NOT(ISNUMBER($M343)),"PRECIO PENDIENTE",$M343-IF(ISNUMBER($L343),$L343,0)))</f>
        <v/>
      </c>
      <c r="O343" s="54">
        <f>IF($F343="","",IFERROR(INDEX(tblInventario[Costo unitario aplicado],MATCH($F343,tblInventario[SKU],0)),""))</f>
        <v/>
      </c>
      <c r="P343" s="37">
        <f>IF($J343="","",IF(NOT(ISNUMBER($O343)),"COSTO PENDIENTE",$J343*$O343))</f>
        <v/>
      </c>
      <c r="Q343" s="37">
        <f>IF($J343="","",IF(OR(NOT(ISNUMBER($N343)),NOT(ISNUMBER($P343))),"PENDIENTE",$N343-$P343))</f>
        <v/>
      </c>
      <c r="R343" s="38">
        <f>IF($J343="","",IF(OR(NOT(ISNUMBER($Q343)),NOT(ISNUMBER($N343)),$N343&lt;=0),"PENDIENTE",$Q343/$N343))</f>
        <v/>
      </c>
      <c r="S343" s="33" t="n"/>
      <c r="T343" s="33" t="n"/>
      <c r="U343" s="41" t="n"/>
      <c r="V343" s="36" t="n"/>
      <c r="W343" s="37">
        <f>IF(NOT(ISNUMBER($N343)),"",$N343-IF(ISNUMBER($V343),$V343,0))</f>
        <v/>
      </c>
      <c r="X343" s="33" t="n"/>
      <c r="Y343" s="51">
        <f>IF(COUNTA($B343,$C343,$D343,$E343,$F343,$I343)=0,"",IF(IF($B343=""," · Falta fecha","")&amp;IF($D343=""," · Falta cliente","")&amp;IF($E343=""," · Falta canal","")&amp;IF($F343=""," · Falta SKU","")&amp;IF(AND($F343&lt;&gt;"",COUNTIF(tblProductos[SKU],$F343)=0)," · SKU no existe","")&amp;IF(OR($I343="",NOT(ISNUMBER($I343)),$I343&lt;=0)," · Cantidad inválida","")&amp;IF($M343="PRECIO PENDIENTE"," · Falta precio de venta","")&amp;IF($P343="COSTO PENDIENTE"," · Falta costo del producto","")&amp;IF(AND(ISNUMBER($Q343),$Q343&lt;0)," · UTILIDAD NEGATIVA","")&amp;IF(AND($F343&lt;&gt;"",ISNUMBER(INDEX(tblInventario[Stock actual],MATCH($F343,tblInventario[SKU],0))),INDEX(tblInventario[Stock actual],MATCH($F343,tblInventario[SKU],0))&lt;0)," · Stock negativo del SKU","")&amp;IF(AND($T343="Cobrado",$U343="")," · Cobro sin fecha","")&amp;IF(AND(ISNUMBER($V343),ISNUMBER($N343),$V343&gt;N($N343)+0.01)," · Cobrado &gt; venta neta","")&amp;IF(AND(ISNUMBER($V343),$V343&gt;0,$U343="")," · Monto cobrado sin fecha","")="","OK",MID(IF($B343=""," · Falta fecha","")&amp;IF($D343=""," · Falta cliente","")&amp;IF($E343=""," · Falta canal","")&amp;IF($F343=""," · Falta SKU","")&amp;IF(AND($F343&lt;&gt;"",COUNTIF(tblProductos[SKU],$F343)=0)," · SKU no existe","")&amp;IF(OR($I343="",NOT(ISNUMBER($I343)),$I343&lt;=0)," · Cantidad inválida","")&amp;IF($M343="PRECIO PENDIENTE"," · Falta precio de venta","")&amp;IF($P343="COSTO PENDIENTE"," · Falta costo del producto","")&amp;IF(AND(ISNUMBER($Q343),$Q343&lt;0)," · UTILIDAD NEGATIVA","")&amp;IF(AND($F343&lt;&gt;"",ISNUMBER(INDEX(tblInventario[Stock actual],MATCH($F343,tblInventario[SKU],0))),INDEX(tblInventario[Stock actual],MATCH($F343,tblInventario[SKU],0))&lt;0)," · Stock negativo del SKU","")&amp;IF(AND($T343="Cobrado",$U343="")," · Cobro sin fecha","")&amp;IF(AND(ISNUMBER($V343),ISNUMBER($N343),$V343&gt;N($N343)+0.01)," · Cobrado &gt; venta neta","")&amp;IF(AND(ISNUMBER($V343),$V343&gt;0,$U343="")," · Monto cobrado sin fecha",""),4,900)))</f>
        <v/>
      </c>
    </row>
    <row r="344">
      <c r="A344" s="51">
        <f>IF(COUNTA($B344,$C344,$D344,$E344,$F344,$I344)=0,"","V-"&amp;TEXT(ROW()-6,"0000"))</f>
        <v/>
      </c>
      <c r="B344" s="41" t="n"/>
      <c r="C344" s="33" t="n"/>
      <c r="D344" s="33" t="n"/>
      <c r="E344" s="33" t="n"/>
      <c r="F344" s="33" t="n"/>
      <c r="G344" s="51">
        <f>IF($F344="","",IFERROR(IF(INDEX(tblProductos[Nombre del producto],MATCH($F344,tblProductos[SKU],0))="","",INDEX(tblProductos[Nombre del producto],MATCH($F344,tblProductos[SKU],0))),""))</f>
        <v/>
      </c>
      <c r="H344" s="51">
        <f>IF($F344="","",IFERROR(IF(INDEX(tblProductos[Categoría],MATCH($F344,tblProductos[SKU],0))="","",INDEX(tblProductos[Categoría],MATCH($F344,tblProductos[SKU],0))),""))</f>
        <v/>
      </c>
      <c r="I344" s="34" t="n"/>
      <c r="J344" s="39">
        <f>IF(OR($B344="",$F344="",$I344=""),"",IF($T344="Anulado",0,$I344))</f>
        <v/>
      </c>
      <c r="K344" s="54">
        <f>IF($F344="","",IFERROR(IF(INDEX(tblProductos[Precio de venta actual],MATCH($F344,tblProductos[SKU],0))="","",INDEX(tblProductos[Precio de venta actual],MATCH($F344,tblProductos[SKU],0))),""))</f>
        <v/>
      </c>
      <c r="L344" s="36" t="n"/>
      <c r="M344" s="37">
        <f>IF($J344="","",IF(NOT(ISNUMBER($K344)),"PRECIO PENDIENTE",$J344*$K344))</f>
        <v/>
      </c>
      <c r="N344" s="37">
        <f>IF($J344="","",IF(NOT(ISNUMBER($M344)),"PRECIO PENDIENTE",$M344-IF(ISNUMBER($L344),$L344,0)))</f>
        <v/>
      </c>
      <c r="O344" s="54">
        <f>IF($F344="","",IFERROR(INDEX(tblInventario[Costo unitario aplicado],MATCH($F344,tblInventario[SKU],0)),""))</f>
        <v/>
      </c>
      <c r="P344" s="37">
        <f>IF($J344="","",IF(NOT(ISNUMBER($O344)),"COSTO PENDIENTE",$J344*$O344))</f>
        <v/>
      </c>
      <c r="Q344" s="37">
        <f>IF($J344="","",IF(OR(NOT(ISNUMBER($N344)),NOT(ISNUMBER($P344))),"PENDIENTE",$N344-$P344))</f>
        <v/>
      </c>
      <c r="R344" s="38">
        <f>IF($J344="","",IF(OR(NOT(ISNUMBER($Q344)),NOT(ISNUMBER($N344)),$N344&lt;=0),"PENDIENTE",$Q344/$N344))</f>
        <v/>
      </c>
      <c r="S344" s="33" t="n"/>
      <c r="T344" s="33" t="n"/>
      <c r="U344" s="41" t="n"/>
      <c r="V344" s="36" t="n"/>
      <c r="W344" s="37">
        <f>IF(NOT(ISNUMBER($N344)),"",$N344-IF(ISNUMBER($V344),$V344,0))</f>
        <v/>
      </c>
      <c r="X344" s="33" t="n"/>
      <c r="Y344" s="51">
        <f>IF(COUNTA($B344,$C344,$D344,$E344,$F344,$I344)=0,"",IF(IF($B344=""," · Falta fecha","")&amp;IF($D344=""," · Falta cliente","")&amp;IF($E344=""," · Falta canal","")&amp;IF($F344=""," · Falta SKU","")&amp;IF(AND($F344&lt;&gt;"",COUNTIF(tblProductos[SKU],$F344)=0)," · SKU no existe","")&amp;IF(OR($I344="",NOT(ISNUMBER($I344)),$I344&lt;=0)," · Cantidad inválida","")&amp;IF($M344="PRECIO PENDIENTE"," · Falta precio de venta","")&amp;IF($P344="COSTO PENDIENTE"," · Falta costo del producto","")&amp;IF(AND(ISNUMBER($Q344),$Q344&lt;0)," · UTILIDAD NEGATIVA","")&amp;IF(AND($F344&lt;&gt;"",ISNUMBER(INDEX(tblInventario[Stock actual],MATCH($F344,tblInventario[SKU],0))),INDEX(tblInventario[Stock actual],MATCH($F344,tblInventario[SKU],0))&lt;0)," · Stock negativo del SKU","")&amp;IF(AND($T344="Cobrado",$U344="")," · Cobro sin fecha","")&amp;IF(AND(ISNUMBER($V344),ISNUMBER($N344),$V344&gt;N($N344)+0.01)," · Cobrado &gt; venta neta","")&amp;IF(AND(ISNUMBER($V344),$V344&gt;0,$U344="")," · Monto cobrado sin fecha","")="","OK",MID(IF($B344=""," · Falta fecha","")&amp;IF($D344=""," · Falta cliente","")&amp;IF($E344=""," · Falta canal","")&amp;IF($F344=""," · Falta SKU","")&amp;IF(AND($F344&lt;&gt;"",COUNTIF(tblProductos[SKU],$F344)=0)," · SKU no existe","")&amp;IF(OR($I344="",NOT(ISNUMBER($I344)),$I344&lt;=0)," · Cantidad inválida","")&amp;IF($M344="PRECIO PENDIENTE"," · Falta precio de venta","")&amp;IF($P344="COSTO PENDIENTE"," · Falta costo del producto","")&amp;IF(AND(ISNUMBER($Q344),$Q344&lt;0)," · UTILIDAD NEGATIVA","")&amp;IF(AND($F344&lt;&gt;"",ISNUMBER(INDEX(tblInventario[Stock actual],MATCH($F344,tblInventario[SKU],0))),INDEX(tblInventario[Stock actual],MATCH($F344,tblInventario[SKU],0))&lt;0)," · Stock negativo del SKU","")&amp;IF(AND($T344="Cobrado",$U344="")," · Cobro sin fecha","")&amp;IF(AND(ISNUMBER($V344),ISNUMBER($N344),$V344&gt;N($N344)+0.01)," · Cobrado &gt; venta neta","")&amp;IF(AND(ISNUMBER($V344),$V344&gt;0,$U344="")," · Monto cobrado sin fecha",""),4,900)))</f>
        <v/>
      </c>
    </row>
    <row r="345">
      <c r="A345" s="51">
        <f>IF(COUNTA($B345,$C345,$D345,$E345,$F345,$I345)=0,"","V-"&amp;TEXT(ROW()-6,"0000"))</f>
        <v/>
      </c>
      <c r="B345" s="41" t="n"/>
      <c r="C345" s="33" t="n"/>
      <c r="D345" s="33" t="n"/>
      <c r="E345" s="33" t="n"/>
      <c r="F345" s="33" t="n"/>
      <c r="G345" s="51">
        <f>IF($F345="","",IFERROR(IF(INDEX(tblProductos[Nombre del producto],MATCH($F345,tblProductos[SKU],0))="","",INDEX(tblProductos[Nombre del producto],MATCH($F345,tblProductos[SKU],0))),""))</f>
        <v/>
      </c>
      <c r="H345" s="51">
        <f>IF($F345="","",IFERROR(IF(INDEX(tblProductos[Categoría],MATCH($F345,tblProductos[SKU],0))="","",INDEX(tblProductos[Categoría],MATCH($F345,tblProductos[SKU],0))),""))</f>
        <v/>
      </c>
      <c r="I345" s="34" t="n"/>
      <c r="J345" s="39">
        <f>IF(OR($B345="",$F345="",$I345=""),"",IF($T345="Anulado",0,$I345))</f>
        <v/>
      </c>
      <c r="K345" s="54">
        <f>IF($F345="","",IFERROR(IF(INDEX(tblProductos[Precio de venta actual],MATCH($F345,tblProductos[SKU],0))="","",INDEX(tblProductos[Precio de venta actual],MATCH($F345,tblProductos[SKU],0))),""))</f>
        <v/>
      </c>
      <c r="L345" s="36" t="n"/>
      <c r="M345" s="37">
        <f>IF($J345="","",IF(NOT(ISNUMBER($K345)),"PRECIO PENDIENTE",$J345*$K345))</f>
        <v/>
      </c>
      <c r="N345" s="37">
        <f>IF($J345="","",IF(NOT(ISNUMBER($M345)),"PRECIO PENDIENTE",$M345-IF(ISNUMBER($L345),$L345,0)))</f>
        <v/>
      </c>
      <c r="O345" s="54">
        <f>IF($F345="","",IFERROR(INDEX(tblInventario[Costo unitario aplicado],MATCH($F345,tblInventario[SKU],0)),""))</f>
        <v/>
      </c>
      <c r="P345" s="37">
        <f>IF($J345="","",IF(NOT(ISNUMBER($O345)),"COSTO PENDIENTE",$J345*$O345))</f>
        <v/>
      </c>
      <c r="Q345" s="37">
        <f>IF($J345="","",IF(OR(NOT(ISNUMBER($N345)),NOT(ISNUMBER($P345))),"PENDIENTE",$N345-$P345))</f>
        <v/>
      </c>
      <c r="R345" s="38">
        <f>IF($J345="","",IF(OR(NOT(ISNUMBER($Q345)),NOT(ISNUMBER($N345)),$N345&lt;=0),"PENDIENTE",$Q345/$N345))</f>
        <v/>
      </c>
      <c r="S345" s="33" t="n"/>
      <c r="T345" s="33" t="n"/>
      <c r="U345" s="41" t="n"/>
      <c r="V345" s="36" t="n"/>
      <c r="W345" s="37">
        <f>IF(NOT(ISNUMBER($N345)),"",$N345-IF(ISNUMBER($V345),$V345,0))</f>
        <v/>
      </c>
      <c r="X345" s="33" t="n"/>
      <c r="Y345" s="51">
        <f>IF(COUNTA($B345,$C345,$D345,$E345,$F345,$I345)=0,"",IF(IF($B345=""," · Falta fecha","")&amp;IF($D345=""," · Falta cliente","")&amp;IF($E345=""," · Falta canal","")&amp;IF($F345=""," · Falta SKU","")&amp;IF(AND($F345&lt;&gt;"",COUNTIF(tblProductos[SKU],$F345)=0)," · SKU no existe","")&amp;IF(OR($I345="",NOT(ISNUMBER($I345)),$I345&lt;=0)," · Cantidad inválida","")&amp;IF($M345="PRECIO PENDIENTE"," · Falta precio de venta","")&amp;IF($P345="COSTO PENDIENTE"," · Falta costo del producto","")&amp;IF(AND(ISNUMBER($Q345),$Q345&lt;0)," · UTILIDAD NEGATIVA","")&amp;IF(AND($F345&lt;&gt;"",ISNUMBER(INDEX(tblInventario[Stock actual],MATCH($F345,tblInventario[SKU],0))),INDEX(tblInventario[Stock actual],MATCH($F345,tblInventario[SKU],0))&lt;0)," · Stock negativo del SKU","")&amp;IF(AND($T345="Cobrado",$U345="")," · Cobro sin fecha","")&amp;IF(AND(ISNUMBER($V345),ISNUMBER($N345),$V345&gt;N($N345)+0.01)," · Cobrado &gt; venta neta","")&amp;IF(AND(ISNUMBER($V345),$V345&gt;0,$U345="")," · Monto cobrado sin fecha","")="","OK",MID(IF($B345=""," · Falta fecha","")&amp;IF($D345=""," · Falta cliente","")&amp;IF($E345=""," · Falta canal","")&amp;IF($F345=""," · Falta SKU","")&amp;IF(AND($F345&lt;&gt;"",COUNTIF(tblProductos[SKU],$F345)=0)," · SKU no existe","")&amp;IF(OR($I345="",NOT(ISNUMBER($I345)),$I345&lt;=0)," · Cantidad inválida","")&amp;IF($M345="PRECIO PENDIENTE"," · Falta precio de venta","")&amp;IF($P345="COSTO PENDIENTE"," · Falta costo del producto","")&amp;IF(AND(ISNUMBER($Q345),$Q345&lt;0)," · UTILIDAD NEGATIVA","")&amp;IF(AND($F345&lt;&gt;"",ISNUMBER(INDEX(tblInventario[Stock actual],MATCH($F345,tblInventario[SKU],0))),INDEX(tblInventario[Stock actual],MATCH($F345,tblInventario[SKU],0))&lt;0)," · Stock negativo del SKU","")&amp;IF(AND($T345="Cobrado",$U345="")," · Cobro sin fecha","")&amp;IF(AND(ISNUMBER($V345),ISNUMBER($N345),$V345&gt;N($N345)+0.01)," · Cobrado &gt; venta neta","")&amp;IF(AND(ISNUMBER($V345),$V345&gt;0,$U345="")," · Monto cobrado sin fecha",""),4,900)))</f>
        <v/>
      </c>
    </row>
    <row r="346">
      <c r="A346" s="51">
        <f>IF(COUNTA($B346,$C346,$D346,$E346,$F346,$I346)=0,"","V-"&amp;TEXT(ROW()-6,"0000"))</f>
        <v/>
      </c>
      <c r="B346" s="41" t="n"/>
      <c r="C346" s="33" t="n"/>
      <c r="D346" s="33" t="n"/>
      <c r="E346" s="33" t="n"/>
      <c r="F346" s="33" t="n"/>
      <c r="G346" s="51">
        <f>IF($F346="","",IFERROR(IF(INDEX(tblProductos[Nombre del producto],MATCH($F346,tblProductos[SKU],0))="","",INDEX(tblProductos[Nombre del producto],MATCH($F346,tblProductos[SKU],0))),""))</f>
        <v/>
      </c>
      <c r="H346" s="51">
        <f>IF($F346="","",IFERROR(IF(INDEX(tblProductos[Categoría],MATCH($F346,tblProductos[SKU],0))="","",INDEX(tblProductos[Categoría],MATCH($F346,tblProductos[SKU],0))),""))</f>
        <v/>
      </c>
      <c r="I346" s="34" t="n"/>
      <c r="J346" s="39">
        <f>IF(OR($B346="",$F346="",$I346=""),"",IF($T346="Anulado",0,$I346))</f>
        <v/>
      </c>
      <c r="K346" s="54">
        <f>IF($F346="","",IFERROR(IF(INDEX(tblProductos[Precio de venta actual],MATCH($F346,tblProductos[SKU],0))="","",INDEX(tblProductos[Precio de venta actual],MATCH($F346,tblProductos[SKU],0))),""))</f>
        <v/>
      </c>
      <c r="L346" s="36" t="n"/>
      <c r="M346" s="37">
        <f>IF($J346="","",IF(NOT(ISNUMBER($K346)),"PRECIO PENDIENTE",$J346*$K346))</f>
        <v/>
      </c>
      <c r="N346" s="37">
        <f>IF($J346="","",IF(NOT(ISNUMBER($M346)),"PRECIO PENDIENTE",$M346-IF(ISNUMBER($L346),$L346,0)))</f>
        <v/>
      </c>
      <c r="O346" s="54">
        <f>IF($F346="","",IFERROR(INDEX(tblInventario[Costo unitario aplicado],MATCH($F346,tblInventario[SKU],0)),""))</f>
        <v/>
      </c>
      <c r="P346" s="37">
        <f>IF($J346="","",IF(NOT(ISNUMBER($O346)),"COSTO PENDIENTE",$J346*$O346))</f>
        <v/>
      </c>
      <c r="Q346" s="37">
        <f>IF($J346="","",IF(OR(NOT(ISNUMBER($N346)),NOT(ISNUMBER($P346))),"PENDIENTE",$N346-$P346))</f>
        <v/>
      </c>
      <c r="R346" s="38">
        <f>IF($J346="","",IF(OR(NOT(ISNUMBER($Q346)),NOT(ISNUMBER($N346)),$N346&lt;=0),"PENDIENTE",$Q346/$N346))</f>
        <v/>
      </c>
      <c r="S346" s="33" t="n"/>
      <c r="T346" s="33" t="n"/>
      <c r="U346" s="41" t="n"/>
      <c r="V346" s="36" t="n"/>
      <c r="W346" s="37">
        <f>IF(NOT(ISNUMBER($N346)),"",$N346-IF(ISNUMBER($V346),$V346,0))</f>
        <v/>
      </c>
      <c r="X346" s="33" t="n"/>
      <c r="Y346" s="51">
        <f>IF(COUNTA($B346,$C346,$D346,$E346,$F346,$I346)=0,"",IF(IF($B346=""," · Falta fecha","")&amp;IF($D346=""," · Falta cliente","")&amp;IF($E346=""," · Falta canal","")&amp;IF($F346=""," · Falta SKU","")&amp;IF(AND($F346&lt;&gt;"",COUNTIF(tblProductos[SKU],$F346)=0)," · SKU no existe","")&amp;IF(OR($I346="",NOT(ISNUMBER($I346)),$I346&lt;=0)," · Cantidad inválida","")&amp;IF($M346="PRECIO PENDIENTE"," · Falta precio de venta","")&amp;IF($P346="COSTO PENDIENTE"," · Falta costo del producto","")&amp;IF(AND(ISNUMBER($Q346),$Q346&lt;0)," · UTILIDAD NEGATIVA","")&amp;IF(AND($F346&lt;&gt;"",ISNUMBER(INDEX(tblInventario[Stock actual],MATCH($F346,tblInventario[SKU],0))),INDEX(tblInventario[Stock actual],MATCH($F346,tblInventario[SKU],0))&lt;0)," · Stock negativo del SKU","")&amp;IF(AND($T346="Cobrado",$U346="")," · Cobro sin fecha","")&amp;IF(AND(ISNUMBER($V346),ISNUMBER($N346),$V346&gt;N($N346)+0.01)," · Cobrado &gt; venta neta","")&amp;IF(AND(ISNUMBER($V346),$V346&gt;0,$U346="")," · Monto cobrado sin fecha","")="","OK",MID(IF($B346=""," · Falta fecha","")&amp;IF($D346=""," · Falta cliente","")&amp;IF($E346=""," · Falta canal","")&amp;IF($F346=""," · Falta SKU","")&amp;IF(AND($F346&lt;&gt;"",COUNTIF(tblProductos[SKU],$F346)=0)," · SKU no existe","")&amp;IF(OR($I346="",NOT(ISNUMBER($I346)),$I346&lt;=0)," · Cantidad inválida","")&amp;IF($M346="PRECIO PENDIENTE"," · Falta precio de venta","")&amp;IF($P346="COSTO PENDIENTE"," · Falta costo del producto","")&amp;IF(AND(ISNUMBER($Q346),$Q346&lt;0)," · UTILIDAD NEGATIVA","")&amp;IF(AND($F346&lt;&gt;"",ISNUMBER(INDEX(tblInventario[Stock actual],MATCH($F346,tblInventario[SKU],0))),INDEX(tblInventario[Stock actual],MATCH($F346,tblInventario[SKU],0))&lt;0)," · Stock negativo del SKU","")&amp;IF(AND($T346="Cobrado",$U346="")," · Cobro sin fecha","")&amp;IF(AND(ISNUMBER($V346),ISNUMBER($N346),$V346&gt;N($N346)+0.01)," · Cobrado &gt; venta neta","")&amp;IF(AND(ISNUMBER($V346),$V346&gt;0,$U346="")," · Monto cobrado sin fecha",""),4,900)))</f>
        <v/>
      </c>
    </row>
    <row r="347">
      <c r="A347" s="51">
        <f>IF(COUNTA($B347,$C347,$D347,$E347,$F347,$I347)=0,"","V-"&amp;TEXT(ROW()-6,"0000"))</f>
        <v/>
      </c>
      <c r="B347" s="41" t="n"/>
      <c r="C347" s="33" t="n"/>
      <c r="D347" s="33" t="n"/>
      <c r="E347" s="33" t="n"/>
      <c r="F347" s="33" t="n"/>
      <c r="G347" s="51">
        <f>IF($F347="","",IFERROR(IF(INDEX(tblProductos[Nombre del producto],MATCH($F347,tblProductos[SKU],0))="","",INDEX(tblProductos[Nombre del producto],MATCH($F347,tblProductos[SKU],0))),""))</f>
        <v/>
      </c>
      <c r="H347" s="51">
        <f>IF($F347="","",IFERROR(IF(INDEX(tblProductos[Categoría],MATCH($F347,tblProductos[SKU],0))="","",INDEX(tblProductos[Categoría],MATCH($F347,tblProductos[SKU],0))),""))</f>
        <v/>
      </c>
      <c r="I347" s="34" t="n"/>
      <c r="J347" s="39">
        <f>IF(OR($B347="",$F347="",$I347=""),"",IF($T347="Anulado",0,$I347))</f>
        <v/>
      </c>
      <c r="K347" s="54">
        <f>IF($F347="","",IFERROR(IF(INDEX(tblProductos[Precio de venta actual],MATCH($F347,tblProductos[SKU],0))="","",INDEX(tblProductos[Precio de venta actual],MATCH($F347,tblProductos[SKU],0))),""))</f>
        <v/>
      </c>
      <c r="L347" s="36" t="n"/>
      <c r="M347" s="37">
        <f>IF($J347="","",IF(NOT(ISNUMBER($K347)),"PRECIO PENDIENTE",$J347*$K347))</f>
        <v/>
      </c>
      <c r="N347" s="37">
        <f>IF($J347="","",IF(NOT(ISNUMBER($M347)),"PRECIO PENDIENTE",$M347-IF(ISNUMBER($L347),$L347,0)))</f>
        <v/>
      </c>
      <c r="O347" s="54">
        <f>IF($F347="","",IFERROR(INDEX(tblInventario[Costo unitario aplicado],MATCH($F347,tblInventario[SKU],0)),""))</f>
        <v/>
      </c>
      <c r="P347" s="37">
        <f>IF($J347="","",IF(NOT(ISNUMBER($O347)),"COSTO PENDIENTE",$J347*$O347))</f>
        <v/>
      </c>
      <c r="Q347" s="37">
        <f>IF($J347="","",IF(OR(NOT(ISNUMBER($N347)),NOT(ISNUMBER($P347))),"PENDIENTE",$N347-$P347))</f>
        <v/>
      </c>
      <c r="R347" s="38">
        <f>IF($J347="","",IF(OR(NOT(ISNUMBER($Q347)),NOT(ISNUMBER($N347)),$N347&lt;=0),"PENDIENTE",$Q347/$N347))</f>
        <v/>
      </c>
      <c r="S347" s="33" t="n"/>
      <c r="T347" s="33" t="n"/>
      <c r="U347" s="41" t="n"/>
      <c r="V347" s="36" t="n"/>
      <c r="W347" s="37">
        <f>IF(NOT(ISNUMBER($N347)),"",$N347-IF(ISNUMBER($V347),$V347,0))</f>
        <v/>
      </c>
      <c r="X347" s="33" t="n"/>
      <c r="Y347" s="51">
        <f>IF(COUNTA($B347,$C347,$D347,$E347,$F347,$I347)=0,"",IF(IF($B347=""," · Falta fecha","")&amp;IF($D347=""," · Falta cliente","")&amp;IF($E347=""," · Falta canal","")&amp;IF($F347=""," · Falta SKU","")&amp;IF(AND($F347&lt;&gt;"",COUNTIF(tblProductos[SKU],$F347)=0)," · SKU no existe","")&amp;IF(OR($I347="",NOT(ISNUMBER($I347)),$I347&lt;=0)," · Cantidad inválida","")&amp;IF($M347="PRECIO PENDIENTE"," · Falta precio de venta","")&amp;IF($P347="COSTO PENDIENTE"," · Falta costo del producto","")&amp;IF(AND(ISNUMBER($Q347),$Q347&lt;0)," · UTILIDAD NEGATIVA","")&amp;IF(AND($F347&lt;&gt;"",ISNUMBER(INDEX(tblInventario[Stock actual],MATCH($F347,tblInventario[SKU],0))),INDEX(tblInventario[Stock actual],MATCH($F347,tblInventario[SKU],0))&lt;0)," · Stock negativo del SKU","")&amp;IF(AND($T347="Cobrado",$U347="")," · Cobro sin fecha","")&amp;IF(AND(ISNUMBER($V347),ISNUMBER($N347),$V347&gt;N($N347)+0.01)," · Cobrado &gt; venta neta","")&amp;IF(AND(ISNUMBER($V347),$V347&gt;0,$U347="")," · Monto cobrado sin fecha","")="","OK",MID(IF($B347=""," · Falta fecha","")&amp;IF($D347=""," · Falta cliente","")&amp;IF($E347=""," · Falta canal","")&amp;IF($F347=""," · Falta SKU","")&amp;IF(AND($F347&lt;&gt;"",COUNTIF(tblProductos[SKU],$F347)=0)," · SKU no existe","")&amp;IF(OR($I347="",NOT(ISNUMBER($I347)),$I347&lt;=0)," · Cantidad inválida","")&amp;IF($M347="PRECIO PENDIENTE"," · Falta precio de venta","")&amp;IF($P347="COSTO PENDIENTE"," · Falta costo del producto","")&amp;IF(AND(ISNUMBER($Q347),$Q347&lt;0)," · UTILIDAD NEGATIVA","")&amp;IF(AND($F347&lt;&gt;"",ISNUMBER(INDEX(tblInventario[Stock actual],MATCH($F347,tblInventario[SKU],0))),INDEX(tblInventario[Stock actual],MATCH($F347,tblInventario[SKU],0))&lt;0)," · Stock negativo del SKU","")&amp;IF(AND($T347="Cobrado",$U347="")," · Cobro sin fecha","")&amp;IF(AND(ISNUMBER($V347),ISNUMBER($N347),$V347&gt;N($N347)+0.01)," · Cobrado &gt; venta neta","")&amp;IF(AND(ISNUMBER($V347),$V347&gt;0,$U347="")," · Monto cobrado sin fecha",""),4,900)))</f>
        <v/>
      </c>
    </row>
    <row r="348">
      <c r="A348" s="51">
        <f>IF(COUNTA($B348,$C348,$D348,$E348,$F348,$I348)=0,"","V-"&amp;TEXT(ROW()-6,"0000"))</f>
        <v/>
      </c>
      <c r="B348" s="41" t="n"/>
      <c r="C348" s="33" t="n"/>
      <c r="D348" s="33" t="n"/>
      <c r="E348" s="33" t="n"/>
      <c r="F348" s="33" t="n"/>
      <c r="G348" s="51">
        <f>IF($F348="","",IFERROR(IF(INDEX(tblProductos[Nombre del producto],MATCH($F348,tblProductos[SKU],0))="","",INDEX(tblProductos[Nombre del producto],MATCH($F348,tblProductos[SKU],0))),""))</f>
        <v/>
      </c>
      <c r="H348" s="51">
        <f>IF($F348="","",IFERROR(IF(INDEX(tblProductos[Categoría],MATCH($F348,tblProductos[SKU],0))="","",INDEX(tblProductos[Categoría],MATCH($F348,tblProductos[SKU],0))),""))</f>
        <v/>
      </c>
      <c r="I348" s="34" t="n"/>
      <c r="J348" s="39">
        <f>IF(OR($B348="",$F348="",$I348=""),"",IF($T348="Anulado",0,$I348))</f>
        <v/>
      </c>
      <c r="K348" s="54">
        <f>IF($F348="","",IFERROR(IF(INDEX(tblProductos[Precio de venta actual],MATCH($F348,tblProductos[SKU],0))="","",INDEX(tblProductos[Precio de venta actual],MATCH($F348,tblProductos[SKU],0))),""))</f>
        <v/>
      </c>
      <c r="L348" s="36" t="n"/>
      <c r="M348" s="37">
        <f>IF($J348="","",IF(NOT(ISNUMBER($K348)),"PRECIO PENDIENTE",$J348*$K348))</f>
        <v/>
      </c>
      <c r="N348" s="37">
        <f>IF($J348="","",IF(NOT(ISNUMBER($M348)),"PRECIO PENDIENTE",$M348-IF(ISNUMBER($L348),$L348,0)))</f>
        <v/>
      </c>
      <c r="O348" s="54">
        <f>IF($F348="","",IFERROR(INDEX(tblInventario[Costo unitario aplicado],MATCH($F348,tblInventario[SKU],0)),""))</f>
        <v/>
      </c>
      <c r="P348" s="37">
        <f>IF($J348="","",IF(NOT(ISNUMBER($O348)),"COSTO PENDIENTE",$J348*$O348))</f>
        <v/>
      </c>
      <c r="Q348" s="37">
        <f>IF($J348="","",IF(OR(NOT(ISNUMBER($N348)),NOT(ISNUMBER($P348))),"PENDIENTE",$N348-$P348))</f>
        <v/>
      </c>
      <c r="R348" s="38">
        <f>IF($J348="","",IF(OR(NOT(ISNUMBER($Q348)),NOT(ISNUMBER($N348)),$N348&lt;=0),"PENDIENTE",$Q348/$N348))</f>
        <v/>
      </c>
      <c r="S348" s="33" t="n"/>
      <c r="T348" s="33" t="n"/>
      <c r="U348" s="41" t="n"/>
      <c r="V348" s="36" t="n"/>
      <c r="W348" s="37">
        <f>IF(NOT(ISNUMBER($N348)),"",$N348-IF(ISNUMBER($V348),$V348,0))</f>
        <v/>
      </c>
      <c r="X348" s="33" t="n"/>
      <c r="Y348" s="51">
        <f>IF(COUNTA($B348,$C348,$D348,$E348,$F348,$I348)=0,"",IF(IF($B348=""," · Falta fecha","")&amp;IF($D348=""," · Falta cliente","")&amp;IF($E348=""," · Falta canal","")&amp;IF($F348=""," · Falta SKU","")&amp;IF(AND($F348&lt;&gt;"",COUNTIF(tblProductos[SKU],$F348)=0)," · SKU no existe","")&amp;IF(OR($I348="",NOT(ISNUMBER($I348)),$I348&lt;=0)," · Cantidad inválida","")&amp;IF($M348="PRECIO PENDIENTE"," · Falta precio de venta","")&amp;IF($P348="COSTO PENDIENTE"," · Falta costo del producto","")&amp;IF(AND(ISNUMBER($Q348),$Q348&lt;0)," · UTILIDAD NEGATIVA","")&amp;IF(AND($F348&lt;&gt;"",ISNUMBER(INDEX(tblInventario[Stock actual],MATCH($F348,tblInventario[SKU],0))),INDEX(tblInventario[Stock actual],MATCH($F348,tblInventario[SKU],0))&lt;0)," · Stock negativo del SKU","")&amp;IF(AND($T348="Cobrado",$U348="")," · Cobro sin fecha","")&amp;IF(AND(ISNUMBER($V348),ISNUMBER($N348),$V348&gt;N($N348)+0.01)," · Cobrado &gt; venta neta","")&amp;IF(AND(ISNUMBER($V348),$V348&gt;0,$U348="")," · Monto cobrado sin fecha","")="","OK",MID(IF($B348=""," · Falta fecha","")&amp;IF($D348=""," · Falta cliente","")&amp;IF($E348=""," · Falta canal","")&amp;IF($F348=""," · Falta SKU","")&amp;IF(AND($F348&lt;&gt;"",COUNTIF(tblProductos[SKU],$F348)=0)," · SKU no existe","")&amp;IF(OR($I348="",NOT(ISNUMBER($I348)),$I348&lt;=0)," · Cantidad inválida","")&amp;IF($M348="PRECIO PENDIENTE"," · Falta precio de venta","")&amp;IF($P348="COSTO PENDIENTE"," · Falta costo del producto","")&amp;IF(AND(ISNUMBER($Q348),$Q348&lt;0)," · UTILIDAD NEGATIVA","")&amp;IF(AND($F348&lt;&gt;"",ISNUMBER(INDEX(tblInventario[Stock actual],MATCH($F348,tblInventario[SKU],0))),INDEX(tblInventario[Stock actual],MATCH($F348,tblInventario[SKU],0))&lt;0)," · Stock negativo del SKU","")&amp;IF(AND($T348="Cobrado",$U348="")," · Cobro sin fecha","")&amp;IF(AND(ISNUMBER($V348),ISNUMBER($N348),$V348&gt;N($N348)+0.01)," · Cobrado &gt; venta neta","")&amp;IF(AND(ISNUMBER($V348),$V348&gt;0,$U348="")," · Monto cobrado sin fecha",""),4,900)))</f>
        <v/>
      </c>
    </row>
    <row r="349">
      <c r="A349" s="51">
        <f>IF(COUNTA($B349,$C349,$D349,$E349,$F349,$I349)=0,"","V-"&amp;TEXT(ROW()-6,"0000"))</f>
        <v/>
      </c>
      <c r="B349" s="41" t="n"/>
      <c r="C349" s="33" t="n"/>
      <c r="D349" s="33" t="n"/>
      <c r="E349" s="33" t="n"/>
      <c r="F349" s="33" t="n"/>
      <c r="G349" s="51">
        <f>IF($F349="","",IFERROR(IF(INDEX(tblProductos[Nombre del producto],MATCH($F349,tblProductos[SKU],0))="","",INDEX(tblProductos[Nombre del producto],MATCH($F349,tblProductos[SKU],0))),""))</f>
        <v/>
      </c>
      <c r="H349" s="51">
        <f>IF($F349="","",IFERROR(IF(INDEX(tblProductos[Categoría],MATCH($F349,tblProductos[SKU],0))="","",INDEX(tblProductos[Categoría],MATCH($F349,tblProductos[SKU],0))),""))</f>
        <v/>
      </c>
      <c r="I349" s="34" t="n"/>
      <c r="J349" s="39">
        <f>IF(OR($B349="",$F349="",$I349=""),"",IF($T349="Anulado",0,$I349))</f>
        <v/>
      </c>
      <c r="K349" s="54">
        <f>IF($F349="","",IFERROR(IF(INDEX(tblProductos[Precio de venta actual],MATCH($F349,tblProductos[SKU],0))="","",INDEX(tblProductos[Precio de venta actual],MATCH($F349,tblProductos[SKU],0))),""))</f>
        <v/>
      </c>
      <c r="L349" s="36" t="n"/>
      <c r="M349" s="37">
        <f>IF($J349="","",IF(NOT(ISNUMBER($K349)),"PRECIO PENDIENTE",$J349*$K349))</f>
        <v/>
      </c>
      <c r="N349" s="37">
        <f>IF($J349="","",IF(NOT(ISNUMBER($M349)),"PRECIO PENDIENTE",$M349-IF(ISNUMBER($L349),$L349,0)))</f>
        <v/>
      </c>
      <c r="O349" s="54">
        <f>IF($F349="","",IFERROR(INDEX(tblInventario[Costo unitario aplicado],MATCH($F349,tblInventario[SKU],0)),""))</f>
        <v/>
      </c>
      <c r="P349" s="37">
        <f>IF($J349="","",IF(NOT(ISNUMBER($O349)),"COSTO PENDIENTE",$J349*$O349))</f>
        <v/>
      </c>
      <c r="Q349" s="37">
        <f>IF($J349="","",IF(OR(NOT(ISNUMBER($N349)),NOT(ISNUMBER($P349))),"PENDIENTE",$N349-$P349))</f>
        <v/>
      </c>
      <c r="R349" s="38">
        <f>IF($J349="","",IF(OR(NOT(ISNUMBER($Q349)),NOT(ISNUMBER($N349)),$N349&lt;=0),"PENDIENTE",$Q349/$N349))</f>
        <v/>
      </c>
      <c r="S349" s="33" t="n"/>
      <c r="T349" s="33" t="n"/>
      <c r="U349" s="41" t="n"/>
      <c r="V349" s="36" t="n"/>
      <c r="W349" s="37">
        <f>IF(NOT(ISNUMBER($N349)),"",$N349-IF(ISNUMBER($V349),$V349,0))</f>
        <v/>
      </c>
      <c r="X349" s="33" t="n"/>
      <c r="Y349" s="51">
        <f>IF(COUNTA($B349,$C349,$D349,$E349,$F349,$I349)=0,"",IF(IF($B349=""," · Falta fecha","")&amp;IF($D349=""," · Falta cliente","")&amp;IF($E349=""," · Falta canal","")&amp;IF($F349=""," · Falta SKU","")&amp;IF(AND($F349&lt;&gt;"",COUNTIF(tblProductos[SKU],$F349)=0)," · SKU no existe","")&amp;IF(OR($I349="",NOT(ISNUMBER($I349)),$I349&lt;=0)," · Cantidad inválida","")&amp;IF($M349="PRECIO PENDIENTE"," · Falta precio de venta","")&amp;IF($P349="COSTO PENDIENTE"," · Falta costo del producto","")&amp;IF(AND(ISNUMBER($Q349),$Q349&lt;0)," · UTILIDAD NEGATIVA","")&amp;IF(AND($F349&lt;&gt;"",ISNUMBER(INDEX(tblInventario[Stock actual],MATCH($F349,tblInventario[SKU],0))),INDEX(tblInventario[Stock actual],MATCH($F349,tblInventario[SKU],0))&lt;0)," · Stock negativo del SKU","")&amp;IF(AND($T349="Cobrado",$U349="")," · Cobro sin fecha","")&amp;IF(AND(ISNUMBER($V349),ISNUMBER($N349),$V349&gt;N($N349)+0.01)," · Cobrado &gt; venta neta","")&amp;IF(AND(ISNUMBER($V349),$V349&gt;0,$U349="")," · Monto cobrado sin fecha","")="","OK",MID(IF($B349=""," · Falta fecha","")&amp;IF($D349=""," · Falta cliente","")&amp;IF($E349=""," · Falta canal","")&amp;IF($F349=""," · Falta SKU","")&amp;IF(AND($F349&lt;&gt;"",COUNTIF(tblProductos[SKU],$F349)=0)," · SKU no existe","")&amp;IF(OR($I349="",NOT(ISNUMBER($I349)),$I349&lt;=0)," · Cantidad inválida","")&amp;IF($M349="PRECIO PENDIENTE"," · Falta precio de venta","")&amp;IF($P349="COSTO PENDIENTE"," · Falta costo del producto","")&amp;IF(AND(ISNUMBER($Q349),$Q349&lt;0)," · UTILIDAD NEGATIVA","")&amp;IF(AND($F349&lt;&gt;"",ISNUMBER(INDEX(tblInventario[Stock actual],MATCH($F349,tblInventario[SKU],0))),INDEX(tblInventario[Stock actual],MATCH($F349,tblInventario[SKU],0))&lt;0)," · Stock negativo del SKU","")&amp;IF(AND($T349="Cobrado",$U349="")," · Cobro sin fecha","")&amp;IF(AND(ISNUMBER($V349),ISNUMBER($N349),$V349&gt;N($N349)+0.01)," · Cobrado &gt; venta neta","")&amp;IF(AND(ISNUMBER($V349),$V349&gt;0,$U349="")," · Monto cobrado sin fecha",""),4,900)))</f>
        <v/>
      </c>
    </row>
    <row r="350">
      <c r="A350" s="51">
        <f>IF(COUNTA($B350,$C350,$D350,$E350,$F350,$I350)=0,"","V-"&amp;TEXT(ROW()-6,"0000"))</f>
        <v/>
      </c>
      <c r="B350" s="41" t="n"/>
      <c r="C350" s="33" t="n"/>
      <c r="D350" s="33" t="n"/>
      <c r="E350" s="33" t="n"/>
      <c r="F350" s="33" t="n"/>
      <c r="G350" s="51">
        <f>IF($F350="","",IFERROR(IF(INDEX(tblProductos[Nombre del producto],MATCH($F350,tblProductos[SKU],0))="","",INDEX(tblProductos[Nombre del producto],MATCH($F350,tblProductos[SKU],0))),""))</f>
        <v/>
      </c>
      <c r="H350" s="51">
        <f>IF($F350="","",IFERROR(IF(INDEX(tblProductos[Categoría],MATCH($F350,tblProductos[SKU],0))="","",INDEX(tblProductos[Categoría],MATCH($F350,tblProductos[SKU],0))),""))</f>
        <v/>
      </c>
      <c r="I350" s="34" t="n"/>
      <c r="J350" s="39">
        <f>IF(OR($B350="",$F350="",$I350=""),"",IF($T350="Anulado",0,$I350))</f>
        <v/>
      </c>
      <c r="K350" s="54">
        <f>IF($F350="","",IFERROR(IF(INDEX(tblProductos[Precio de venta actual],MATCH($F350,tblProductos[SKU],0))="","",INDEX(tblProductos[Precio de venta actual],MATCH($F350,tblProductos[SKU],0))),""))</f>
        <v/>
      </c>
      <c r="L350" s="36" t="n"/>
      <c r="M350" s="37">
        <f>IF($J350="","",IF(NOT(ISNUMBER($K350)),"PRECIO PENDIENTE",$J350*$K350))</f>
        <v/>
      </c>
      <c r="N350" s="37">
        <f>IF($J350="","",IF(NOT(ISNUMBER($M350)),"PRECIO PENDIENTE",$M350-IF(ISNUMBER($L350),$L350,0)))</f>
        <v/>
      </c>
      <c r="O350" s="54">
        <f>IF($F350="","",IFERROR(INDEX(tblInventario[Costo unitario aplicado],MATCH($F350,tblInventario[SKU],0)),""))</f>
        <v/>
      </c>
      <c r="P350" s="37">
        <f>IF($J350="","",IF(NOT(ISNUMBER($O350)),"COSTO PENDIENTE",$J350*$O350))</f>
        <v/>
      </c>
      <c r="Q350" s="37">
        <f>IF($J350="","",IF(OR(NOT(ISNUMBER($N350)),NOT(ISNUMBER($P350))),"PENDIENTE",$N350-$P350))</f>
        <v/>
      </c>
      <c r="R350" s="38">
        <f>IF($J350="","",IF(OR(NOT(ISNUMBER($Q350)),NOT(ISNUMBER($N350)),$N350&lt;=0),"PENDIENTE",$Q350/$N350))</f>
        <v/>
      </c>
      <c r="S350" s="33" t="n"/>
      <c r="T350" s="33" t="n"/>
      <c r="U350" s="41" t="n"/>
      <c r="V350" s="36" t="n"/>
      <c r="W350" s="37">
        <f>IF(NOT(ISNUMBER($N350)),"",$N350-IF(ISNUMBER($V350),$V350,0))</f>
        <v/>
      </c>
      <c r="X350" s="33" t="n"/>
      <c r="Y350" s="51">
        <f>IF(COUNTA($B350,$C350,$D350,$E350,$F350,$I350)=0,"",IF(IF($B350=""," · Falta fecha","")&amp;IF($D350=""," · Falta cliente","")&amp;IF($E350=""," · Falta canal","")&amp;IF($F350=""," · Falta SKU","")&amp;IF(AND($F350&lt;&gt;"",COUNTIF(tblProductos[SKU],$F350)=0)," · SKU no existe","")&amp;IF(OR($I350="",NOT(ISNUMBER($I350)),$I350&lt;=0)," · Cantidad inválida","")&amp;IF($M350="PRECIO PENDIENTE"," · Falta precio de venta","")&amp;IF($P350="COSTO PENDIENTE"," · Falta costo del producto","")&amp;IF(AND(ISNUMBER($Q350),$Q350&lt;0)," · UTILIDAD NEGATIVA","")&amp;IF(AND($F350&lt;&gt;"",ISNUMBER(INDEX(tblInventario[Stock actual],MATCH($F350,tblInventario[SKU],0))),INDEX(tblInventario[Stock actual],MATCH($F350,tblInventario[SKU],0))&lt;0)," · Stock negativo del SKU","")&amp;IF(AND($T350="Cobrado",$U350="")," · Cobro sin fecha","")&amp;IF(AND(ISNUMBER($V350),ISNUMBER($N350),$V350&gt;N($N350)+0.01)," · Cobrado &gt; venta neta","")&amp;IF(AND(ISNUMBER($V350),$V350&gt;0,$U350="")," · Monto cobrado sin fecha","")="","OK",MID(IF($B350=""," · Falta fecha","")&amp;IF($D350=""," · Falta cliente","")&amp;IF($E350=""," · Falta canal","")&amp;IF($F350=""," · Falta SKU","")&amp;IF(AND($F350&lt;&gt;"",COUNTIF(tblProductos[SKU],$F350)=0)," · SKU no existe","")&amp;IF(OR($I350="",NOT(ISNUMBER($I350)),$I350&lt;=0)," · Cantidad inválida","")&amp;IF($M350="PRECIO PENDIENTE"," · Falta precio de venta","")&amp;IF($P350="COSTO PENDIENTE"," · Falta costo del producto","")&amp;IF(AND(ISNUMBER($Q350),$Q350&lt;0)," · UTILIDAD NEGATIVA","")&amp;IF(AND($F350&lt;&gt;"",ISNUMBER(INDEX(tblInventario[Stock actual],MATCH($F350,tblInventario[SKU],0))),INDEX(tblInventario[Stock actual],MATCH($F350,tblInventario[SKU],0))&lt;0)," · Stock negativo del SKU","")&amp;IF(AND($T350="Cobrado",$U350="")," · Cobro sin fecha","")&amp;IF(AND(ISNUMBER($V350),ISNUMBER($N350),$V350&gt;N($N350)+0.01)," · Cobrado &gt; venta neta","")&amp;IF(AND(ISNUMBER($V350),$V350&gt;0,$U350="")," · Monto cobrado sin fecha",""),4,900)))</f>
        <v/>
      </c>
    </row>
    <row r="351">
      <c r="A351" s="51">
        <f>IF(COUNTA($B351,$C351,$D351,$E351,$F351,$I351)=0,"","V-"&amp;TEXT(ROW()-6,"0000"))</f>
        <v/>
      </c>
      <c r="B351" s="41" t="n"/>
      <c r="C351" s="33" t="n"/>
      <c r="D351" s="33" t="n"/>
      <c r="E351" s="33" t="n"/>
      <c r="F351" s="33" t="n"/>
      <c r="G351" s="51">
        <f>IF($F351="","",IFERROR(IF(INDEX(tblProductos[Nombre del producto],MATCH($F351,tblProductos[SKU],0))="","",INDEX(tblProductos[Nombre del producto],MATCH($F351,tblProductos[SKU],0))),""))</f>
        <v/>
      </c>
      <c r="H351" s="51">
        <f>IF($F351="","",IFERROR(IF(INDEX(tblProductos[Categoría],MATCH($F351,tblProductos[SKU],0))="","",INDEX(tblProductos[Categoría],MATCH($F351,tblProductos[SKU],0))),""))</f>
        <v/>
      </c>
      <c r="I351" s="34" t="n"/>
      <c r="J351" s="39">
        <f>IF(OR($B351="",$F351="",$I351=""),"",IF($T351="Anulado",0,$I351))</f>
        <v/>
      </c>
      <c r="K351" s="54">
        <f>IF($F351="","",IFERROR(IF(INDEX(tblProductos[Precio de venta actual],MATCH($F351,tblProductos[SKU],0))="","",INDEX(tblProductos[Precio de venta actual],MATCH($F351,tblProductos[SKU],0))),""))</f>
        <v/>
      </c>
      <c r="L351" s="36" t="n"/>
      <c r="M351" s="37">
        <f>IF($J351="","",IF(NOT(ISNUMBER($K351)),"PRECIO PENDIENTE",$J351*$K351))</f>
        <v/>
      </c>
      <c r="N351" s="37">
        <f>IF($J351="","",IF(NOT(ISNUMBER($M351)),"PRECIO PENDIENTE",$M351-IF(ISNUMBER($L351),$L351,0)))</f>
        <v/>
      </c>
      <c r="O351" s="54">
        <f>IF($F351="","",IFERROR(INDEX(tblInventario[Costo unitario aplicado],MATCH($F351,tblInventario[SKU],0)),""))</f>
        <v/>
      </c>
      <c r="P351" s="37">
        <f>IF($J351="","",IF(NOT(ISNUMBER($O351)),"COSTO PENDIENTE",$J351*$O351))</f>
        <v/>
      </c>
      <c r="Q351" s="37">
        <f>IF($J351="","",IF(OR(NOT(ISNUMBER($N351)),NOT(ISNUMBER($P351))),"PENDIENTE",$N351-$P351))</f>
        <v/>
      </c>
      <c r="R351" s="38">
        <f>IF($J351="","",IF(OR(NOT(ISNUMBER($Q351)),NOT(ISNUMBER($N351)),$N351&lt;=0),"PENDIENTE",$Q351/$N351))</f>
        <v/>
      </c>
      <c r="S351" s="33" t="n"/>
      <c r="T351" s="33" t="n"/>
      <c r="U351" s="41" t="n"/>
      <c r="V351" s="36" t="n"/>
      <c r="W351" s="37">
        <f>IF(NOT(ISNUMBER($N351)),"",$N351-IF(ISNUMBER($V351),$V351,0))</f>
        <v/>
      </c>
      <c r="X351" s="33" t="n"/>
      <c r="Y351" s="51">
        <f>IF(COUNTA($B351,$C351,$D351,$E351,$F351,$I351)=0,"",IF(IF($B351=""," · Falta fecha","")&amp;IF($D351=""," · Falta cliente","")&amp;IF($E351=""," · Falta canal","")&amp;IF($F351=""," · Falta SKU","")&amp;IF(AND($F351&lt;&gt;"",COUNTIF(tblProductos[SKU],$F351)=0)," · SKU no existe","")&amp;IF(OR($I351="",NOT(ISNUMBER($I351)),$I351&lt;=0)," · Cantidad inválida","")&amp;IF($M351="PRECIO PENDIENTE"," · Falta precio de venta","")&amp;IF($P351="COSTO PENDIENTE"," · Falta costo del producto","")&amp;IF(AND(ISNUMBER($Q351),$Q351&lt;0)," · UTILIDAD NEGATIVA","")&amp;IF(AND($F351&lt;&gt;"",ISNUMBER(INDEX(tblInventario[Stock actual],MATCH($F351,tblInventario[SKU],0))),INDEX(tblInventario[Stock actual],MATCH($F351,tblInventario[SKU],0))&lt;0)," · Stock negativo del SKU","")&amp;IF(AND($T351="Cobrado",$U351="")," · Cobro sin fecha","")&amp;IF(AND(ISNUMBER($V351),ISNUMBER($N351),$V351&gt;N($N351)+0.01)," · Cobrado &gt; venta neta","")&amp;IF(AND(ISNUMBER($V351),$V351&gt;0,$U351="")," · Monto cobrado sin fecha","")="","OK",MID(IF($B351=""," · Falta fecha","")&amp;IF($D351=""," · Falta cliente","")&amp;IF($E351=""," · Falta canal","")&amp;IF($F351=""," · Falta SKU","")&amp;IF(AND($F351&lt;&gt;"",COUNTIF(tblProductos[SKU],$F351)=0)," · SKU no existe","")&amp;IF(OR($I351="",NOT(ISNUMBER($I351)),$I351&lt;=0)," · Cantidad inválida","")&amp;IF($M351="PRECIO PENDIENTE"," · Falta precio de venta","")&amp;IF($P351="COSTO PENDIENTE"," · Falta costo del producto","")&amp;IF(AND(ISNUMBER($Q351),$Q351&lt;0)," · UTILIDAD NEGATIVA","")&amp;IF(AND($F351&lt;&gt;"",ISNUMBER(INDEX(tblInventario[Stock actual],MATCH($F351,tblInventario[SKU],0))),INDEX(tblInventario[Stock actual],MATCH($F351,tblInventario[SKU],0))&lt;0)," · Stock negativo del SKU","")&amp;IF(AND($T351="Cobrado",$U351="")," · Cobro sin fecha","")&amp;IF(AND(ISNUMBER($V351),ISNUMBER($N351),$V351&gt;N($N351)+0.01)," · Cobrado &gt; venta neta","")&amp;IF(AND(ISNUMBER($V351),$V351&gt;0,$U351="")," · Monto cobrado sin fecha",""),4,900)))</f>
        <v/>
      </c>
    </row>
    <row r="352">
      <c r="A352" s="51">
        <f>IF(COUNTA($B352,$C352,$D352,$E352,$F352,$I352)=0,"","V-"&amp;TEXT(ROW()-6,"0000"))</f>
        <v/>
      </c>
      <c r="B352" s="41" t="n"/>
      <c r="C352" s="33" t="n"/>
      <c r="D352" s="33" t="n"/>
      <c r="E352" s="33" t="n"/>
      <c r="F352" s="33" t="n"/>
      <c r="G352" s="51">
        <f>IF($F352="","",IFERROR(IF(INDEX(tblProductos[Nombre del producto],MATCH($F352,tblProductos[SKU],0))="","",INDEX(tblProductos[Nombre del producto],MATCH($F352,tblProductos[SKU],0))),""))</f>
        <v/>
      </c>
      <c r="H352" s="51">
        <f>IF($F352="","",IFERROR(IF(INDEX(tblProductos[Categoría],MATCH($F352,tblProductos[SKU],0))="","",INDEX(tblProductos[Categoría],MATCH($F352,tblProductos[SKU],0))),""))</f>
        <v/>
      </c>
      <c r="I352" s="34" t="n"/>
      <c r="J352" s="39">
        <f>IF(OR($B352="",$F352="",$I352=""),"",IF($T352="Anulado",0,$I352))</f>
        <v/>
      </c>
      <c r="K352" s="54">
        <f>IF($F352="","",IFERROR(IF(INDEX(tblProductos[Precio de venta actual],MATCH($F352,tblProductos[SKU],0))="","",INDEX(tblProductos[Precio de venta actual],MATCH($F352,tblProductos[SKU],0))),""))</f>
        <v/>
      </c>
      <c r="L352" s="36" t="n"/>
      <c r="M352" s="37">
        <f>IF($J352="","",IF(NOT(ISNUMBER($K352)),"PRECIO PENDIENTE",$J352*$K352))</f>
        <v/>
      </c>
      <c r="N352" s="37">
        <f>IF($J352="","",IF(NOT(ISNUMBER($M352)),"PRECIO PENDIENTE",$M352-IF(ISNUMBER($L352),$L352,0)))</f>
        <v/>
      </c>
      <c r="O352" s="54">
        <f>IF($F352="","",IFERROR(INDEX(tblInventario[Costo unitario aplicado],MATCH($F352,tblInventario[SKU],0)),""))</f>
        <v/>
      </c>
      <c r="P352" s="37">
        <f>IF($J352="","",IF(NOT(ISNUMBER($O352)),"COSTO PENDIENTE",$J352*$O352))</f>
        <v/>
      </c>
      <c r="Q352" s="37">
        <f>IF($J352="","",IF(OR(NOT(ISNUMBER($N352)),NOT(ISNUMBER($P352))),"PENDIENTE",$N352-$P352))</f>
        <v/>
      </c>
      <c r="R352" s="38">
        <f>IF($J352="","",IF(OR(NOT(ISNUMBER($Q352)),NOT(ISNUMBER($N352)),$N352&lt;=0),"PENDIENTE",$Q352/$N352))</f>
        <v/>
      </c>
      <c r="S352" s="33" t="n"/>
      <c r="T352" s="33" t="n"/>
      <c r="U352" s="41" t="n"/>
      <c r="V352" s="36" t="n"/>
      <c r="W352" s="37">
        <f>IF(NOT(ISNUMBER($N352)),"",$N352-IF(ISNUMBER($V352),$V352,0))</f>
        <v/>
      </c>
      <c r="X352" s="33" t="n"/>
      <c r="Y352" s="51">
        <f>IF(COUNTA($B352,$C352,$D352,$E352,$F352,$I352)=0,"",IF(IF($B352=""," · Falta fecha","")&amp;IF($D352=""," · Falta cliente","")&amp;IF($E352=""," · Falta canal","")&amp;IF($F352=""," · Falta SKU","")&amp;IF(AND($F352&lt;&gt;"",COUNTIF(tblProductos[SKU],$F352)=0)," · SKU no existe","")&amp;IF(OR($I352="",NOT(ISNUMBER($I352)),$I352&lt;=0)," · Cantidad inválida","")&amp;IF($M352="PRECIO PENDIENTE"," · Falta precio de venta","")&amp;IF($P352="COSTO PENDIENTE"," · Falta costo del producto","")&amp;IF(AND(ISNUMBER($Q352),$Q352&lt;0)," · UTILIDAD NEGATIVA","")&amp;IF(AND($F352&lt;&gt;"",ISNUMBER(INDEX(tblInventario[Stock actual],MATCH($F352,tblInventario[SKU],0))),INDEX(tblInventario[Stock actual],MATCH($F352,tblInventario[SKU],0))&lt;0)," · Stock negativo del SKU","")&amp;IF(AND($T352="Cobrado",$U352="")," · Cobro sin fecha","")&amp;IF(AND(ISNUMBER($V352),ISNUMBER($N352),$V352&gt;N($N352)+0.01)," · Cobrado &gt; venta neta","")&amp;IF(AND(ISNUMBER($V352),$V352&gt;0,$U352="")," · Monto cobrado sin fecha","")="","OK",MID(IF($B352=""," · Falta fecha","")&amp;IF($D352=""," · Falta cliente","")&amp;IF($E352=""," · Falta canal","")&amp;IF($F352=""," · Falta SKU","")&amp;IF(AND($F352&lt;&gt;"",COUNTIF(tblProductos[SKU],$F352)=0)," · SKU no existe","")&amp;IF(OR($I352="",NOT(ISNUMBER($I352)),$I352&lt;=0)," · Cantidad inválida","")&amp;IF($M352="PRECIO PENDIENTE"," · Falta precio de venta","")&amp;IF($P352="COSTO PENDIENTE"," · Falta costo del producto","")&amp;IF(AND(ISNUMBER($Q352),$Q352&lt;0)," · UTILIDAD NEGATIVA","")&amp;IF(AND($F352&lt;&gt;"",ISNUMBER(INDEX(tblInventario[Stock actual],MATCH($F352,tblInventario[SKU],0))),INDEX(tblInventario[Stock actual],MATCH($F352,tblInventario[SKU],0))&lt;0)," · Stock negativo del SKU","")&amp;IF(AND($T352="Cobrado",$U352="")," · Cobro sin fecha","")&amp;IF(AND(ISNUMBER($V352),ISNUMBER($N352),$V352&gt;N($N352)+0.01)," · Cobrado &gt; venta neta","")&amp;IF(AND(ISNUMBER($V352),$V352&gt;0,$U352="")," · Monto cobrado sin fecha",""),4,900)))</f>
        <v/>
      </c>
    </row>
    <row r="353">
      <c r="A353" s="51">
        <f>IF(COUNTA($B353,$C353,$D353,$E353,$F353,$I353)=0,"","V-"&amp;TEXT(ROW()-6,"0000"))</f>
        <v/>
      </c>
      <c r="B353" s="41" t="n"/>
      <c r="C353" s="33" t="n"/>
      <c r="D353" s="33" t="n"/>
      <c r="E353" s="33" t="n"/>
      <c r="F353" s="33" t="n"/>
      <c r="G353" s="51">
        <f>IF($F353="","",IFERROR(IF(INDEX(tblProductos[Nombre del producto],MATCH($F353,tblProductos[SKU],0))="","",INDEX(tblProductos[Nombre del producto],MATCH($F353,tblProductos[SKU],0))),""))</f>
        <v/>
      </c>
      <c r="H353" s="51">
        <f>IF($F353="","",IFERROR(IF(INDEX(tblProductos[Categoría],MATCH($F353,tblProductos[SKU],0))="","",INDEX(tblProductos[Categoría],MATCH($F353,tblProductos[SKU],0))),""))</f>
        <v/>
      </c>
      <c r="I353" s="34" t="n"/>
      <c r="J353" s="39">
        <f>IF(OR($B353="",$F353="",$I353=""),"",IF($T353="Anulado",0,$I353))</f>
        <v/>
      </c>
      <c r="K353" s="54">
        <f>IF($F353="","",IFERROR(IF(INDEX(tblProductos[Precio de venta actual],MATCH($F353,tblProductos[SKU],0))="","",INDEX(tblProductos[Precio de venta actual],MATCH($F353,tblProductos[SKU],0))),""))</f>
        <v/>
      </c>
      <c r="L353" s="36" t="n"/>
      <c r="M353" s="37">
        <f>IF($J353="","",IF(NOT(ISNUMBER($K353)),"PRECIO PENDIENTE",$J353*$K353))</f>
        <v/>
      </c>
      <c r="N353" s="37">
        <f>IF($J353="","",IF(NOT(ISNUMBER($M353)),"PRECIO PENDIENTE",$M353-IF(ISNUMBER($L353),$L353,0)))</f>
        <v/>
      </c>
      <c r="O353" s="54">
        <f>IF($F353="","",IFERROR(INDEX(tblInventario[Costo unitario aplicado],MATCH($F353,tblInventario[SKU],0)),""))</f>
        <v/>
      </c>
      <c r="P353" s="37">
        <f>IF($J353="","",IF(NOT(ISNUMBER($O353)),"COSTO PENDIENTE",$J353*$O353))</f>
        <v/>
      </c>
      <c r="Q353" s="37">
        <f>IF($J353="","",IF(OR(NOT(ISNUMBER($N353)),NOT(ISNUMBER($P353))),"PENDIENTE",$N353-$P353))</f>
        <v/>
      </c>
      <c r="R353" s="38">
        <f>IF($J353="","",IF(OR(NOT(ISNUMBER($Q353)),NOT(ISNUMBER($N353)),$N353&lt;=0),"PENDIENTE",$Q353/$N353))</f>
        <v/>
      </c>
      <c r="S353" s="33" t="n"/>
      <c r="T353" s="33" t="n"/>
      <c r="U353" s="41" t="n"/>
      <c r="V353" s="36" t="n"/>
      <c r="W353" s="37">
        <f>IF(NOT(ISNUMBER($N353)),"",$N353-IF(ISNUMBER($V353),$V353,0))</f>
        <v/>
      </c>
      <c r="X353" s="33" t="n"/>
      <c r="Y353" s="51">
        <f>IF(COUNTA($B353,$C353,$D353,$E353,$F353,$I353)=0,"",IF(IF($B353=""," · Falta fecha","")&amp;IF($D353=""," · Falta cliente","")&amp;IF($E353=""," · Falta canal","")&amp;IF($F353=""," · Falta SKU","")&amp;IF(AND($F353&lt;&gt;"",COUNTIF(tblProductos[SKU],$F353)=0)," · SKU no existe","")&amp;IF(OR($I353="",NOT(ISNUMBER($I353)),$I353&lt;=0)," · Cantidad inválida","")&amp;IF($M353="PRECIO PENDIENTE"," · Falta precio de venta","")&amp;IF($P353="COSTO PENDIENTE"," · Falta costo del producto","")&amp;IF(AND(ISNUMBER($Q353),$Q353&lt;0)," · UTILIDAD NEGATIVA","")&amp;IF(AND($F353&lt;&gt;"",ISNUMBER(INDEX(tblInventario[Stock actual],MATCH($F353,tblInventario[SKU],0))),INDEX(tblInventario[Stock actual],MATCH($F353,tblInventario[SKU],0))&lt;0)," · Stock negativo del SKU","")&amp;IF(AND($T353="Cobrado",$U353="")," · Cobro sin fecha","")&amp;IF(AND(ISNUMBER($V353),ISNUMBER($N353),$V353&gt;N($N353)+0.01)," · Cobrado &gt; venta neta","")&amp;IF(AND(ISNUMBER($V353),$V353&gt;0,$U353="")," · Monto cobrado sin fecha","")="","OK",MID(IF($B353=""," · Falta fecha","")&amp;IF($D353=""," · Falta cliente","")&amp;IF($E353=""," · Falta canal","")&amp;IF($F353=""," · Falta SKU","")&amp;IF(AND($F353&lt;&gt;"",COUNTIF(tblProductos[SKU],$F353)=0)," · SKU no existe","")&amp;IF(OR($I353="",NOT(ISNUMBER($I353)),$I353&lt;=0)," · Cantidad inválida","")&amp;IF($M353="PRECIO PENDIENTE"," · Falta precio de venta","")&amp;IF($P353="COSTO PENDIENTE"," · Falta costo del producto","")&amp;IF(AND(ISNUMBER($Q353),$Q353&lt;0)," · UTILIDAD NEGATIVA","")&amp;IF(AND($F353&lt;&gt;"",ISNUMBER(INDEX(tblInventario[Stock actual],MATCH($F353,tblInventario[SKU],0))),INDEX(tblInventario[Stock actual],MATCH($F353,tblInventario[SKU],0))&lt;0)," · Stock negativo del SKU","")&amp;IF(AND($T353="Cobrado",$U353="")," · Cobro sin fecha","")&amp;IF(AND(ISNUMBER($V353),ISNUMBER($N353),$V353&gt;N($N353)+0.01)," · Cobrado &gt; venta neta","")&amp;IF(AND(ISNUMBER($V353),$V353&gt;0,$U353="")," · Monto cobrado sin fecha",""),4,900)))</f>
        <v/>
      </c>
    </row>
    <row r="354">
      <c r="A354" s="51">
        <f>IF(COUNTA($B354,$C354,$D354,$E354,$F354,$I354)=0,"","V-"&amp;TEXT(ROW()-6,"0000"))</f>
        <v/>
      </c>
      <c r="B354" s="41" t="n"/>
      <c r="C354" s="33" t="n"/>
      <c r="D354" s="33" t="n"/>
      <c r="E354" s="33" t="n"/>
      <c r="F354" s="33" t="n"/>
      <c r="G354" s="51">
        <f>IF($F354="","",IFERROR(IF(INDEX(tblProductos[Nombre del producto],MATCH($F354,tblProductos[SKU],0))="","",INDEX(tblProductos[Nombre del producto],MATCH($F354,tblProductos[SKU],0))),""))</f>
        <v/>
      </c>
      <c r="H354" s="51">
        <f>IF($F354="","",IFERROR(IF(INDEX(tblProductos[Categoría],MATCH($F354,tblProductos[SKU],0))="","",INDEX(tblProductos[Categoría],MATCH($F354,tblProductos[SKU],0))),""))</f>
        <v/>
      </c>
      <c r="I354" s="34" t="n"/>
      <c r="J354" s="39">
        <f>IF(OR($B354="",$F354="",$I354=""),"",IF($T354="Anulado",0,$I354))</f>
        <v/>
      </c>
      <c r="K354" s="54">
        <f>IF($F354="","",IFERROR(IF(INDEX(tblProductos[Precio de venta actual],MATCH($F354,tblProductos[SKU],0))="","",INDEX(tblProductos[Precio de venta actual],MATCH($F354,tblProductos[SKU],0))),""))</f>
        <v/>
      </c>
      <c r="L354" s="36" t="n"/>
      <c r="M354" s="37">
        <f>IF($J354="","",IF(NOT(ISNUMBER($K354)),"PRECIO PENDIENTE",$J354*$K354))</f>
        <v/>
      </c>
      <c r="N354" s="37">
        <f>IF($J354="","",IF(NOT(ISNUMBER($M354)),"PRECIO PENDIENTE",$M354-IF(ISNUMBER($L354),$L354,0)))</f>
        <v/>
      </c>
      <c r="O354" s="54">
        <f>IF($F354="","",IFERROR(INDEX(tblInventario[Costo unitario aplicado],MATCH($F354,tblInventario[SKU],0)),""))</f>
        <v/>
      </c>
      <c r="P354" s="37">
        <f>IF($J354="","",IF(NOT(ISNUMBER($O354)),"COSTO PENDIENTE",$J354*$O354))</f>
        <v/>
      </c>
      <c r="Q354" s="37">
        <f>IF($J354="","",IF(OR(NOT(ISNUMBER($N354)),NOT(ISNUMBER($P354))),"PENDIENTE",$N354-$P354))</f>
        <v/>
      </c>
      <c r="R354" s="38">
        <f>IF($J354="","",IF(OR(NOT(ISNUMBER($Q354)),NOT(ISNUMBER($N354)),$N354&lt;=0),"PENDIENTE",$Q354/$N354))</f>
        <v/>
      </c>
      <c r="S354" s="33" t="n"/>
      <c r="T354" s="33" t="n"/>
      <c r="U354" s="41" t="n"/>
      <c r="V354" s="36" t="n"/>
      <c r="W354" s="37">
        <f>IF(NOT(ISNUMBER($N354)),"",$N354-IF(ISNUMBER($V354),$V354,0))</f>
        <v/>
      </c>
      <c r="X354" s="33" t="n"/>
      <c r="Y354" s="51">
        <f>IF(COUNTA($B354,$C354,$D354,$E354,$F354,$I354)=0,"",IF(IF($B354=""," · Falta fecha","")&amp;IF($D354=""," · Falta cliente","")&amp;IF($E354=""," · Falta canal","")&amp;IF($F354=""," · Falta SKU","")&amp;IF(AND($F354&lt;&gt;"",COUNTIF(tblProductos[SKU],$F354)=0)," · SKU no existe","")&amp;IF(OR($I354="",NOT(ISNUMBER($I354)),$I354&lt;=0)," · Cantidad inválida","")&amp;IF($M354="PRECIO PENDIENTE"," · Falta precio de venta","")&amp;IF($P354="COSTO PENDIENTE"," · Falta costo del producto","")&amp;IF(AND(ISNUMBER($Q354),$Q354&lt;0)," · UTILIDAD NEGATIVA","")&amp;IF(AND($F354&lt;&gt;"",ISNUMBER(INDEX(tblInventario[Stock actual],MATCH($F354,tblInventario[SKU],0))),INDEX(tblInventario[Stock actual],MATCH($F354,tblInventario[SKU],0))&lt;0)," · Stock negativo del SKU","")&amp;IF(AND($T354="Cobrado",$U354="")," · Cobro sin fecha","")&amp;IF(AND(ISNUMBER($V354),ISNUMBER($N354),$V354&gt;N($N354)+0.01)," · Cobrado &gt; venta neta","")&amp;IF(AND(ISNUMBER($V354),$V354&gt;0,$U354="")," · Monto cobrado sin fecha","")="","OK",MID(IF($B354=""," · Falta fecha","")&amp;IF($D354=""," · Falta cliente","")&amp;IF($E354=""," · Falta canal","")&amp;IF($F354=""," · Falta SKU","")&amp;IF(AND($F354&lt;&gt;"",COUNTIF(tblProductos[SKU],$F354)=0)," · SKU no existe","")&amp;IF(OR($I354="",NOT(ISNUMBER($I354)),$I354&lt;=0)," · Cantidad inválida","")&amp;IF($M354="PRECIO PENDIENTE"," · Falta precio de venta","")&amp;IF($P354="COSTO PENDIENTE"," · Falta costo del producto","")&amp;IF(AND(ISNUMBER($Q354),$Q354&lt;0)," · UTILIDAD NEGATIVA","")&amp;IF(AND($F354&lt;&gt;"",ISNUMBER(INDEX(tblInventario[Stock actual],MATCH($F354,tblInventario[SKU],0))),INDEX(tblInventario[Stock actual],MATCH($F354,tblInventario[SKU],0))&lt;0)," · Stock negativo del SKU","")&amp;IF(AND($T354="Cobrado",$U354="")," · Cobro sin fecha","")&amp;IF(AND(ISNUMBER($V354),ISNUMBER($N354),$V354&gt;N($N354)+0.01)," · Cobrado &gt; venta neta","")&amp;IF(AND(ISNUMBER($V354),$V354&gt;0,$U354="")," · Monto cobrado sin fecha",""),4,900)))</f>
        <v/>
      </c>
    </row>
    <row r="355">
      <c r="A355" s="51">
        <f>IF(COUNTA($B355,$C355,$D355,$E355,$F355,$I355)=0,"","V-"&amp;TEXT(ROW()-6,"0000"))</f>
        <v/>
      </c>
      <c r="B355" s="41" t="n"/>
      <c r="C355" s="33" t="n"/>
      <c r="D355" s="33" t="n"/>
      <c r="E355" s="33" t="n"/>
      <c r="F355" s="33" t="n"/>
      <c r="G355" s="51">
        <f>IF($F355="","",IFERROR(IF(INDEX(tblProductos[Nombre del producto],MATCH($F355,tblProductos[SKU],0))="","",INDEX(tblProductos[Nombre del producto],MATCH($F355,tblProductos[SKU],0))),""))</f>
        <v/>
      </c>
      <c r="H355" s="51">
        <f>IF($F355="","",IFERROR(IF(INDEX(tblProductos[Categoría],MATCH($F355,tblProductos[SKU],0))="","",INDEX(tblProductos[Categoría],MATCH($F355,tblProductos[SKU],0))),""))</f>
        <v/>
      </c>
      <c r="I355" s="34" t="n"/>
      <c r="J355" s="39">
        <f>IF(OR($B355="",$F355="",$I355=""),"",IF($T355="Anulado",0,$I355))</f>
        <v/>
      </c>
      <c r="K355" s="54">
        <f>IF($F355="","",IFERROR(IF(INDEX(tblProductos[Precio de venta actual],MATCH($F355,tblProductos[SKU],0))="","",INDEX(tblProductos[Precio de venta actual],MATCH($F355,tblProductos[SKU],0))),""))</f>
        <v/>
      </c>
      <c r="L355" s="36" t="n"/>
      <c r="M355" s="37">
        <f>IF($J355="","",IF(NOT(ISNUMBER($K355)),"PRECIO PENDIENTE",$J355*$K355))</f>
        <v/>
      </c>
      <c r="N355" s="37">
        <f>IF($J355="","",IF(NOT(ISNUMBER($M355)),"PRECIO PENDIENTE",$M355-IF(ISNUMBER($L355),$L355,0)))</f>
        <v/>
      </c>
      <c r="O355" s="54">
        <f>IF($F355="","",IFERROR(INDEX(tblInventario[Costo unitario aplicado],MATCH($F355,tblInventario[SKU],0)),""))</f>
        <v/>
      </c>
      <c r="P355" s="37">
        <f>IF($J355="","",IF(NOT(ISNUMBER($O355)),"COSTO PENDIENTE",$J355*$O355))</f>
        <v/>
      </c>
      <c r="Q355" s="37">
        <f>IF($J355="","",IF(OR(NOT(ISNUMBER($N355)),NOT(ISNUMBER($P355))),"PENDIENTE",$N355-$P355))</f>
        <v/>
      </c>
      <c r="R355" s="38">
        <f>IF($J355="","",IF(OR(NOT(ISNUMBER($Q355)),NOT(ISNUMBER($N355)),$N355&lt;=0),"PENDIENTE",$Q355/$N355))</f>
        <v/>
      </c>
      <c r="S355" s="33" t="n"/>
      <c r="T355" s="33" t="n"/>
      <c r="U355" s="41" t="n"/>
      <c r="V355" s="36" t="n"/>
      <c r="W355" s="37">
        <f>IF(NOT(ISNUMBER($N355)),"",$N355-IF(ISNUMBER($V355),$V355,0))</f>
        <v/>
      </c>
      <c r="X355" s="33" t="n"/>
      <c r="Y355" s="51">
        <f>IF(COUNTA($B355,$C355,$D355,$E355,$F355,$I355)=0,"",IF(IF($B355=""," · Falta fecha","")&amp;IF($D355=""," · Falta cliente","")&amp;IF($E355=""," · Falta canal","")&amp;IF($F355=""," · Falta SKU","")&amp;IF(AND($F355&lt;&gt;"",COUNTIF(tblProductos[SKU],$F355)=0)," · SKU no existe","")&amp;IF(OR($I355="",NOT(ISNUMBER($I355)),$I355&lt;=0)," · Cantidad inválida","")&amp;IF($M355="PRECIO PENDIENTE"," · Falta precio de venta","")&amp;IF($P355="COSTO PENDIENTE"," · Falta costo del producto","")&amp;IF(AND(ISNUMBER($Q355),$Q355&lt;0)," · UTILIDAD NEGATIVA","")&amp;IF(AND($F355&lt;&gt;"",ISNUMBER(INDEX(tblInventario[Stock actual],MATCH($F355,tblInventario[SKU],0))),INDEX(tblInventario[Stock actual],MATCH($F355,tblInventario[SKU],0))&lt;0)," · Stock negativo del SKU","")&amp;IF(AND($T355="Cobrado",$U355="")," · Cobro sin fecha","")&amp;IF(AND(ISNUMBER($V355),ISNUMBER($N355),$V355&gt;N($N355)+0.01)," · Cobrado &gt; venta neta","")&amp;IF(AND(ISNUMBER($V355),$V355&gt;0,$U355="")," · Monto cobrado sin fecha","")="","OK",MID(IF($B355=""," · Falta fecha","")&amp;IF($D355=""," · Falta cliente","")&amp;IF($E355=""," · Falta canal","")&amp;IF($F355=""," · Falta SKU","")&amp;IF(AND($F355&lt;&gt;"",COUNTIF(tblProductos[SKU],$F355)=0)," · SKU no existe","")&amp;IF(OR($I355="",NOT(ISNUMBER($I355)),$I355&lt;=0)," · Cantidad inválida","")&amp;IF($M355="PRECIO PENDIENTE"," · Falta precio de venta","")&amp;IF($P355="COSTO PENDIENTE"," · Falta costo del producto","")&amp;IF(AND(ISNUMBER($Q355),$Q355&lt;0)," · UTILIDAD NEGATIVA","")&amp;IF(AND($F355&lt;&gt;"",ISNUMBER(INDEX(tblInventario[Stock actual],MATCH($F355,tblInventario[SKU],0))),INDEX(tblInventario[Stock actual],MATCH($F355,tblInventario[SKU],0))&lt;0)," · Stock negativo del SKU","")&amp;IF(AND($T355="Cobrado",$U355="")," · Cobro sin fecha","")&amp;IF(AND(ISNUMBER($V355),ISNUMBER($N355),$V355&gt;N($N355)+0.01)," · Cobrado &gt; venta neta","")&amp;IF(AND(ISNUMBER($V355),$V355&gt;0,$U355="")," · Monto cobrado sin fecha",""),4,900)))</f>
        <v/>
      </c>
    </row>
    <row r="356">
      <c r="A356" s="51">
        <f>IF(COUNTA($B356,$C356,$D356,$E356,$F356,$I356)=0,"","V-"&amp;TEXT(ROW()-6,"0000"))</f>
        <v/>
      </c>
      <c r="B356" s="41" t="n"/>
      <c r="C356" s="33" t="n"/>
      <c r="D356" s="33" t="n"/>
      <c r="E356" s="33" t="n"/>
      <c r="F356" s="33" t="n"/>
      <c r="G356" s="51">
        <f>IF($F356="","",IFERROR(IF(INDEX(tblProductos[Nombre del producto],MATCH($F356,tblProductos[SKU],0))="","",INDEX(tblProductos[Nombre del producto],MATCH($F356,tblProductos[SKU],0))),""))</f>
        <v/>
      </c>
      <c r="H356" s="51">
        <f>IF($F356="","",IFERROR(IF(INDEX(tblProductos[Categoría],MATCH($F356,tblProductos[SKU],0))="","",INDEX(tblProductos[Categoría],MATCH($F356,tblProductos[SKU],0))),""))</f>
        <v/>
      </c>
      <c r="I356" s="34" t="n"/>
      <c r="J356" s="39">
        <f>IF(OR($B356="",$F356="",$I356=""),"",IF($T356="Anulado",0,$I356))</f>
        <v/>
      </c>
      <c r="K356" s="54">
        <f>IF($F356="","",IFERROR(IF(INDEX(tblProductos[Precio de venta actual],MATCH($F356,tblProductos[SKU],0))="","",INDEX(tblProductos[Precio de venta actual],MATCH($F356,tblProductos[SKU],0))),""))</f>
        <v/>
      </c>
      <c r="L356" s="36" t="n"/>
      <c r="M356" s="37">
        <f>IF($J356="","",IF(NOT(ISNUMBER($K356)),"PRECIO PENDIENTE",$J356*$K356))</f>
        <v/>
      </c>
      <c r="N356" s="37">
        <f>IF($J356="","",IF(NOT(ISNUMBER($M356)),"PRECIO PENDIENTE",$M356-IF(ISNUMBER($L356),$L356,0)))</f>
        <v/>
      </c>
      <c r="O356" s="54">
        <f>IF($F356="","",IFERROR(INDEX(tblInventario[Costo unitario aplicado],MATCH($F356,tblInventario[SKU],0)),""))</f>
        <v/>
      </c>
      <c r="P356" s="37">
        <f>IF($J356="","",IF(NOT(ISNUMBER($O356)),"COSTO PENDIENTE",$J356*$O356))</f>
        <v/>
      </c>
      <c r="Q356" s="37">
        <f>IF($J356="","",IF(OR(NOT(ISNUMBER($N356)),NOT(ISNUMBER($P356))),"PENDIENTE",$N356-$P356))</f>
        <v/>
      </c>
      <c r="R356" s="38">
        <f>IF($J356="","",IF(OR(NOT(ISNUMBER($Q356)),NOT(ISNUMBER($N356)),$N356&lt;=0),"PENDIENTE",$Q356/$N356))</f>
        <v/>
      </c>
      <c r="S356" s="33" t="n"/>
      <c r="T356" s="33" t="n"/>
      <c r="U356" s="41" t="n"/>
      <c r="V356" s="36" t="n"/>
      <c r="W356" s="37">
        <f>IF(NOT(ISNUMBER($N356)),"",$N356-IF(ISNUMBER($V356),$V356,0))</f>
        <v/>
      </c>
      <c r="X356" s="33" t="n"/>
      <c r="Y356" s="51">
        <f>IF(COUNTA($B356,$C356,$D356,$E356,$F356,$I356)=0,"",IF(IF($B356=""," · Falta fecha","")&amp;IF($D356=""," · Falta cliente","")&amp;IF($E356=""," · Falta canal","")&amp;IF($F356=""," · Falta SKU","")&amp;IF(AND($F356&lt;&gt;"",COUNTIF(tblProductos[SKU],$F356)=0)," · SKU no existe","")&amp;IF(OR($I356="",NOT(ISNUMBER($I356)),$I356&lt;=0)," · Cantidad inválida","")&amp;IF($M356="PRECIO PENDIENTE"," · Falta precio de venta","")&amp;IF($P356="COSTO PENDIENTE"," · Falta costo del producto","")&amp;IF(AND(ISNUMBER($Q356),$Q356&lt;0)," · UTILIDAD NEGATIVA","")&amp;IF(AND($F356&lt;&gt;"",ISNUMBER(INDEX(tblInventario[Stock actual],MATCH($F356,tblInventario[SKU],0))),INDEX(tblInventario[Stock actual],MATCH($F356,tblInventario[SKU],0))&lt;0)," · Stock negativo del SKU","")&amp;IF(AND($T356="Cobrado",$U356="")," · Cobro sin fecha","")&amp;IF(AND(ISNUMBER($V356),ISNUMBER($N356),$V356&gt;N($N356)+0.01)," · Cobrado &gt; venta neta","")&amp;IF(AND(ISNUMBER($V356),$V356&gt;0,$U356="")," · Monto cobrado sin fecha","")="","OK",MID(IF($B356=""," · Falta fecha","")&amp;IF($D356=""," · Falta cliente","")&amp;IF($E356=""," · Falta canal","")&amp;IF($F356=""," · Falta SKU","")&amp;IF(AND($F356&lt;&gt;"",COUNTIF(tblProductos[SKU],$F356)=0)," · SKU no existe","")&amp;IF(OR($I356="",NOT(ISNUMBER($I356)),$I356&lt;=0)," · Cantidad inválida","")&amp;IF($M356="PRECIO PENDIENTE"," · Falta precio de venta","")&amp;IF($P356="COSTO PENDIENTE"," · Falta costo del producto","")&amp;IF(AND(ISNUMBER($Q356),$Q356&lt;0)," · UTILIDAD NEGATIVA","")&amp;IF(AND($F356&lt;&gt;"",ISNUMBER(INDEX(tblInventario[Stock actual],MATCH($F356,tblInventario[SKU],0))),INDEX(tblInventario[Stock actual],MATCH($F356,tblInventario[SKU],0))&lt;0)," · Stock negativo del SKU","")&amp;IF(AND($T356="Cobrado",$U356="")," · Cobro sin fecha","")&amp;IF(AND(ISNUMBER($V356),ISNUMBER($N356),$V356&gt;N($N356)+0.01)," · Cobrado &gt; venta neta","")&amp;IF(AND(ISNUMBER($V356),$V356&gt;0,$U356="")," · Monto cobrado sin fecha",""),4,900)))</f>
        <v/>
      </c>
    </row>
    <row r="357">
      <c r="A357" s="51">
        <f>IF(COUNTA($B357,$C357,$D357,$E357,$F357,$I357)=0,"","V-"&amp;TEXT(ROW()-6,"0000"))</f>
        <v/>
      </c>
      <c r="B357" s="41" t="n"/>
      <c r="C357" s="33" t="n"/>
      <c r="D357" s="33" t="n"/>
      <c r="E357" s="33" t="n"/>
      <c r="F357" s="33" t="n"/>
      <c r="G357" s="51">
        <f>IF($F357="","",IFERROR(IF(INDEX(tblProductos[Nombre del producto],MATCH($F357,tblProductos[SKU],0))="","",INDEX(tblProductos[Nombre del producto],MATCH($F357,tblProductos[SKU],0))),""))</f>
        <v/>
      </c>
      <c r="H357" s="51">
        <f>IF($F357="","",IFERROR(IF(INDEX(tblProductos[Categoría],MATCH($F357,tblProductos[SKU],0))="","",INDEX(tblProductos[Categoría],MATCH($F357,tblProductos[SKU],0))),""))</f>
        <v/>
      </c>
      <c r="I357" s="34" t="n"/>
      <c r="J357" s="39">
        <f>IF(OR($B357="",$F357="",$I357=""),"",IF($T357="Anulado",0,$I357))</f>
        <v/>
      </c>
      <c r="K357" s="54">
        <f>IF($F357="","",IFERROR(IF(INDEX(tblProductos[Precio de venta actual],MATCH($F357,tblProductos[SKU],0))="","",INDEX(tblProductos[Precio de venta actual],MATCH($F357,tblProductos[SKU],0))),""))</f>
        <v/>
      </c>
      <c r="L357" s="36" t="n"/>
      <c r="M357" s="37">
        <f>IF($J357="","",IF(NOT(ISNUMBER($K357)),"PRECIO PENDIENTE",$J357*$K357))</f>
        <v/>
      </c>
      <c r="N357" s="37">
        <f>IF($J357="","",IF(NOT(ISNUMBER($M357)),"PRECIO PENDIENTE",$M357-IF(ISNUMBER($L357),$L357,0)))</f>
        <v/>
      </c>
      <c r="O357" s="54">
        <f>IF($F357="","",IFERROR(INDEX(tblInventario[Costo unitario aplicado],MATCH($F357,tblInventario[SKU],0)),""))</f>
        <v/>
      </c>
      <c r="P357" s="37">
        <f>IF($J357="","",IF(NOT(ISNUMBER($O357)),"COSTO PENDIENTE",$J357*$O357))</f>
        <v/>
      </c>
      <c r="Q357" s="37">
        <f>IF($J357="","",IF(OR(NOT(ISNUMBER($N357)),NOT(ISNUMBER($P357))),"PENDIENTE",$N357-$P357))</f>
        <v/>
      </c>
      <c r="R357" s="38">
        <f>IF($J357="","",IF(OR(NOT(ISNUMBER($Q357)),NOT(ISNUMBER($N357)),$N357&lt;=0),"PENDIENTE",$Q357/$N357))</f>
        <v/>
      </c>
      <c r="S357" s="33" t="n"/>
      <c r="T357" s="33" t="n"/>
      <c r="U357" s="41" t="n"/>
      <c r="V357" s="36" t="n"/>
      <c r="W357" s="37">
        <f>IF(NOT(ISNUMBER($N357)),"",$N357-IF(ISNUMBER($V357),$V357,0))</f>
        <v/>
      </c>
      <c r="X357" s="33" t="n"/>
      <c r="Y357" s="51">
        <f>IF(COUNTA($B357,$C357,$D357,$E357,$F357,$I357)=0,"",IF(IF($B357=""," · Falta fecha","")&amp;IF($D357=""," · Falta cliente","")&amp;IF($E357=""," · Falta canal","")&amp;IF($F357=""," · Falta SKU","")&amp;IF(AND($F357&lt;&gt;"",COUNTIF(tblProductos[SKU],$F357)=0)," · SKU no existe","")&amp;IF(OR($I357="",NOT(ISNUMBER($I357)),$I357&lt;=0)," · Cantidad inválida","")&amp;IF($M357="PRECIO PENDIENTE"," · Falta precio de venta","")&amp;IF($P357="COSTO PENDIENTE"," · Falta costo del producto","")&amp;IF(AND(ISNUMBER($Q357),$Q357&lt;0)," · UTILIDAD NEGATIVA","")&amp;IF(AND($F357&lt;&gt;"",ISNUMBER(INDEX(tblInventario[Stock actual],MATCH($F357,tblInventario[SKU],0))),INDEX(tblInventario[Stock actual],MATCH($F357,tblInventario[SKU],0))&lt;0)," · Stock negativo del SKU","")&amp;IF(AND($T357="Cobrado",$U357="")," · Cobro sin fecha","")&amp;IF(AND(ISNUMBER($V357),ISNUMBER($N357),$V357&gt;N($N357)+0.01)," · Cobrado &gt; venta neta","")&amp;IF(AND(ISNUMBER($V357),$V357&gt;0,$U357="")," · Monto cobrado sin fecha","")="","OK",MID(IF($B357=""," · Falta fecha","")&amp;IF($D357=""," · Falta cliente","")&amp;IF($E357=""," · Falta canal","")&amp;IF($F357=""," · Falta SKU","")&amp;IF(AND($F357&lt;&gt;"",COUNTIF(tblProductos[SKU],$F357)=0)," · SKU no existe","")&amp;IF(OR($I357="",NOT(ISNUMBER($I357)),$I357&lt;=0)," · Cantidad inválida","")&amp;IF($M357="PRECIO PENDIENTE"," · Falta precio de venta","")&amp;IF($P357="COSTO PENDIENTE"," · Falta costo del producto","")&amp;IF(AND(ISNUMBER($Q357),$Q357&lt;0)," · UTILIDAD NEGATIVA","")&amp;IF(AND($F357&lt;&gt;"",ISNUMBER(INDEX(tblInventario[Stock actual],MATCH($F357,tblInventario[SKU],0))),INDEX(tblInventario[Stock actual],MATCH($F357,tblInventario[SKU],0))&lt;0)," · Stock negativo del SKU","")&amp;IF(AND($T357="Cobrado",$U357="")," · Cobro sin fecha","")&amp;IF(AND(ISNUMBER($V357),ISNUMBER($N357),$V357&gt;N($N357)+0.01)," · Cobrado &gt; venta neta","")&amp;IF(AND(ISNUMBER($V357),$V357&gt;0,$U357="")," · Monto cobrado sin fecha",""),4,900)))</f>
        <v/>
      </c>
    </row>
    <row r="358">
      <c r="A358" s="51">
        <f>IF(COUNTA($B358,$C358,$D358,$E358,$F358,$I358)=0,"","V-"&amp;TEXT(ROW()-6,"0000"))</f>
        <v/>
      </c>
      <c r="B358" s="41" t="n"/>
      <c r="C358" s="33" t="n"/>
      <c r="D358" s="33" t="n"/>
      <c r="E358" s="33" t="n"/>
      <c r="F358" s="33" t="n"/>
      <c r="G358" s="51">
        <f>IF($F358="","",IFERROR(IF(INDEX(tblProductos[Nombre del producto],MATCH($F358,tblProductos[SKU],0))="","",INDEX(tblProductos[Nombre del producto],MATCH($F358,tblProductos[SKU],0))),""))</f>
        <v/>
      </c>
      <c r="H358" s="51">
        <f>IF($F358="","",IFERROR(IF(INDEX(tblProductos[Categoría],MATCH($F358,tblProductos[SKU],0))="","",INDEX(tblProductos[Categoría],MATCH($F358,tblProductos[SKU],0))),""))</f>
        <v/>
      </c>
      <c r="I358" s="34" t="n"/>
      <c r="J358" s="39">
        <f>IF(OR($B358="",$F358="",$I358=""),"",IF($T358="Anulado",0,$I358))</f>
        <v/>
      </c>
      <c r="K358" s="54">
        <f>IF($F358="","",IFERROR(IF(INDEX(tblProductos[Precio de venta actual],MATCH($F358,tblProductos[SKU],0))="","",INDEX(tblProductos[Precio de venta actual],MATCH($F358,tblProductos[SKU],0))),""))</f>
        <v/>
      </c>
      <c r="L358" s="36" t="n"/>
      <c r="M358" s="37">
        <f>IF($J358="","",IF(NOT(ISNUMBER($K358)),"PRECIO PENDIENTE",$J358*$K358))</f>
        <v/>
      </c>
      <c r="N358" s="37">
        <f>IF($J358="","",IF(NOT(ISNUMBER($M358)),"PRECIO PENDIENTE",$M358-IF(ISNUMBER($L358),$L358,0)))</f>
        <v/>
      </c>
      <c r="O358" s="54">
        <f>IF($F358="","",IFERROR(INDEX(tblInventario[Costo unitario aplicado],MATCH($F358,tblInventario[SKU],0)),""))</f>
        <v/>
      </c>
      <c r="P358" s="37">
        <f>IF($J358="","",IF(NOT(ISNUMBER($O358)),"COSTO PENDIENTE",$J358*$O358))</f>
        <v/>
      </c>
      <c r="Q358" s="37">
        <f>IF($J358="","",IF(OR(NOT(ISNUMBER($N358)),NOT(ISNUMBER($P358))),"PENDIENTE",$N358-$P358))</f>
        <v/>
      </c>
      <c r="R358" s="38">
        <f>IF($J358="","",IF(OR(NOT(ISNUMBER($Q358)),NOT(ISNUMBER($N358)),$N358&lt;=0),"PENDIENTE",$Q358/$N358))</f>
        <v/>
      </c>
      <c r="S358" s="33" t="n"/>
      <c r="T358" s="33" t="n"/>
      <c r="U358" s="41" t="n"/>
      <c r="V358" s="36" t="n"/>
      <c r="W358" s="37">
        <f>IF(NOT(ISNUMBER($N358)),"",$N358-IF(ISNUMBER($V358),$V358,0))</f>
        <v/>
      </c>
      <c r="X358" s="33" t="n"/>
      <c r="Y358" s="51">
        <f>IF(COUNTA($B358,$C358,$D358,$E358,$F358,$I358)=0,"",IF(IF($B358=""," · Falta fecha","")&amp;IF($D358=""," · Falta cliente","")&amp;IF($E358=""," · Falta canal","")&amp;IF($F358=""," · Falta SKU","")&amp;IF(AND($F358&lt;&gt;"",COUNTIF(tblProductos[SKU],$F358)=0)," · SKU no existe","")&amp;IF(OR($I358="",NOT(ISNUMBER($I358)),$I358&lt;=0)," · Cantidad inválida","")&amp;IF($M358="PRECIO PENDIENTE"," · Falta precio de venta","")&amp;IF($P358="COSTO PENDIENTE"," · Falta costo del producto","")&amp;IF(AND(ISNUMBER($Q358),$Q358&lt;0)," · UTILIDAD NEGATIVA","")&amp;IF(AND($F358&lt;&gt;"",ISNUMBER(INDEX(tblInventario[Stock actual],MATCH($F358,tblInventario[SKU],0))),INDEX(tblInventario[Stock actual],MATCH($F358,tblInventario[SKU],0))&lt;0)," · Stock negativo del SKU","")&amp;IF(AND($T358="Cobrado",$U358="")," · Cobro sin fecha","")&amp;IF(AND(ISNUMBER($V358),ISNUMBER($N358),$V358&gt;N($N358)+0.01)," · Cobrado &gt; venta neta","")&amp;IF(AND(ISNUMBER($V358),$V358&gt;0,$U358="")," · Monto cobrado sin fecha","")="","OK",MID(IF($B358=""," · Falta fecha","")&amp;IF($D358=""," · Falta cliente","")&amp;IF($E358=""," · Falta canal","")&amp;IF($F358=""," · Falta SKU","")&amp;IF(AND($F358&lt;&gt;"",COUNTIF(tblProductos[SKU],$F358)=0)," · SKU no existe","")&amp;IF(OR($I358="",NOT(ISNUMBER($I358)),$I358&lt;=0)," · Cantidad inválida","")&amp;IF($M358="PRECIO PENDIENTE"," · Falta precio de venta","")&amp;IF($P358="COSTO PENDIENTE"," · Falta costo del producto","")&amp;IF(AND(ISNUMBER($Q358),$Q358&lt;0)," · UTILIDAD NEGATIVA","")&amp;IF(AND($F358&lt;&gt;"",ISNUMBER(INDEX(tblInventario[Stock actual],MATCH($F358,tblInventario[SKU],0))),INDEX(tblInventario[Stock actual],MATCH($F358,tblInventario[SKU],0))&lt;0)," · Stock negativo del SKU","")&amp;IF(AND($T358="Cobrado",$U358="")," · Cobro sin fecha","")&amp;IF(AND(ISNUMBER($V358),ISNUMBER($N358),$V358&gt;N($N358)+0.01)," · Cobrado &gt; venta neta","")&amp;IF(AND(ISNUMBER($V358),$V358&gt;0,$U358="")," · Monto cobrado sin fecha",""),4,900)))</f>
        <v/>
      </c>
    </row>
    <row r="359">
      <c r="A359" s="51">
        <f>IF(COUNTA($B359,$C359,$D359,$E359,$F359,$I359)=0,"","V-"&amp;TEXT(ROW()-6,"0000"))</f>
        <v/>
      </c>
      <c r="B359" s="41" t="n"/>
      <c r="C359" s="33" t="n"/>
      <c r="D359" s="33" t="n"/>
      <c r="E359" s="33" t="n"/>
      <c r="F359" s="33" t="n"/>
      <c r="G359" s="51">
        <f>IF($F359="","",IFERROR(IF(INDEX(tblProductos[Nombre del producto],MATCH($F359,tblProductos[SKU],0))="","",INDEX(tblProductos[Nombre del producto],MATCH($F359,tblProductos[SKU],0))),""))</f>
        <v/>
      </c>
      <c r="H359" s="51">
        <f>IF($F359="","",IFERROR(IF(INDEX(tblProductos[Categoría],MATCH($F359,tblProductos[SKU],0))="","",INDEX(tblProductos[Categoría],MATCH($F359,tblProductos[SKU],0))),""))</f>
        <v/>
      </c>
      <c r="I359" s="34" t="n"/>
      <c r="J359" s="39">
        <f>IF(OR($B359="",$F359="",$I359=""),"",IF($T359="Anulado",0,$I359))</f>
        <v/>
      </c>
      <c r="K359" s="54">
        <f>IF($F359="","",IFERROR(IF(INDEX(tblProductos[Precio de venta actual],MATCH($F359,tblProductos[SKU],0))="","",INDEX(tblProductos[Precio de venta actual],MATCH($F359,tblProductos[SKU],0))),""))</f>
        <v/>
      </c>
      <c r="L359" s="36" t="n"/>
      <c r="M359" s="37">
        <f>IF($J359="","",IF(NOT(ISNUMBER($K359)),"PRECIO PENDIENTE",$J359*$K359))</f>
        <v/>
      </c>
      <c r="N359" s="37">
        <f>IF($J359="","",IF(NOT(ISNUMBER($M359)),"PRECIO PENDIENTE",$M359-IF(ISNUMBER($L359),$L359,0)))</f>
        <v/>
      </c>
      <c r="O359" s="54">
        <f>IF($F359="","",IFERROR(INDEX(tblInventario[Costo unitario aplicado],MATCH($F359,tblInventario[SKU],0)),""))</f>
        <v/>
      </c>
      <c r="P359" s="37">
        <f>IF($J359="","",IF(NOT(ISNUMBER($O359)),"COSTO PENDIENTE",$J359*$O359))</f>
        <v/>
      </c>
      <c r="Q359" s="37">
        <f>IF($J359="","",IF(OR(NOT(ISNUMBER($N359)),NOT(ISNUMBER($P359))),"PENDIENTE",$N359-$P359))</f>
        <v/>
      </c>
      <c r="R359" s="38">
        <f>IF($J359="","",IF(OR(NOT(ISNUMBER($Q359)),NOT(ISNUMBER($N359)),$N359&lt;=0),"PENDIENTE",$Q359/$N359))</f>
        <v/>
      </c>
      <c r="S359" s="33" t="n"/>
      <c r="T359" s="33" t="n"/>
      <c r="U359" s="41" t="n"/>
      <c r="V359" s="36" t="n"/>
      <c r="W359" s="37">
        <f>IF(NOT(ISNUMBER($N359)),"",$N359-IF(ISNUMBER($V359),$V359,0))</f>
        <v/>
      </c>
      <c r="X359" s="33" t="n"/>
      <c r="Y359" s="51">
        <f>IF(COUNTA($B359,$C359,$D359,$E359,$F359,$I359)=0,"",IF(IF($B359=""," · Falta fecha","")&amp;IF($D359=""," · Falta cliente","")&amp;IF($E359=""," · Falta canal","")&amp;IF($F359=""," · Falta SKU","")&amp;IF(AND($F359&lt;&gt;"",COUNTIF(tblProductos[SKU],$F359)=0)," · SKU no existe","")&amp;IF(OR($I359="",NOT(ISNUMBER($I359)),$I359&lt;=0)," · Cantidad inválida","")&amp;IF($M359="PRECIO PENDIENTE"," · Falta precio de venta","")&amp;IF($P359="COSTO PENDIENTE"," · Falta costo del producto","")&amp;IF(AND(ISNUMBER($Q359),$Q359&lt;0)," · UTILIDAD NEGATIVA","")&amp;IF(AND($F359&lt;&gt;"",ISNUMBER(INDEX(tblInventario[Stock actual],MATCH($F359,tblInventario[SKU],0))),INDEX(tblInventario[Stock actual],MATCH($F359,tblInventario[SKU],0))&lt;0)," · Stock negativo del SKU","")&amp;IF(AND($T359="Cobrado",$U359="")," · Cobro sin fecha","")&amp;IF(AND(ISNUMBER($V359),ISNUMBER($N359),$V359&gt;N($N359)+0.01)," · Cobrado &gt; venta neta","")&amp;IF(AND(ISNUMBER($V359),$V359&gt;0,$U359="")," · Monto cobrado sin fecha","")="","OK",MID(IF($B359=""," · Falta fecha","")&amp;IF($D359=""," · Falta cliente","")&amp;IF($E359=""," · Falta canal","")&amp;IF($F359=""," · Falta SKU","")&amp;IF(AND($F359&lt;&gt;"",COUNTIF(tblProductos[SKU],$F359)=0)," · SKU no existe","")&amp;IF(OR($I359="",NOT(ISNUMBER($I359)),$I359&lt;=0)," · Cantidad inválida","")&amp;IF($M359="PRECIO PENDIENTE"," · Falta precio de venta","")&amp;IF($P359="COSTO PENDIENTE"," · Falta costo del producto","")&amp;IF(AND(ISNUMBER($Q359),$Q359&lt;0)," · UTILIDAD NEGATIVA","")&amp;IF(AND($F359&lt;&gt;"",ISNUMBER(INDEX(tblInventario[Stock actual],MATCH($F359,tblInventario[SKU],0))),INDEX(tblInventario[Stock actual],MATCH($F359,tblInventario[SKU],0))&lt;0)," · Stock negativo del SKU","")&amp;IF(AND($T359="Cobrado",$U359="")," · Cobro sin fecha","")&amp;IF(AND(ISNUMBER($V359),ISNUMBER($N359),$V359&gt;N($N359)+0.01)," · Cobrado &gt; venta neta","")&amp;IF(AND(ISNUMBER($V359),$V359&gt;0,$U359="")," · Monto cobrado sin fecha",""),4,900)))</f>
        <v/>
      </c>
    </row>
    <row r="360">
      <c r="A360" s="51">
        <f>IF(COUNTA($B360,$C360,$D360,$E360,$F360,$I360)=0,"","V-"&amp;TEXT(ROW()-6,"0000"))</f>
        <v/>
      </c>
      <c r="B360" s="41" t="n"/>
      <c r="C360" s="33" t="n"/>
      <c r="D360" s="33" t="n"/>
      <c r="E360" s="33" t="n"/>
      <c r="F360" s="33" t="n"/>
      <c r="G360" s="51">
        <f>IF($F360="","",IFERROR(IF(INDEX(tblProductos[Nombre del producto],MATCH($F360,tblProductos[SKU],0))="","",INDEX(tblProductos[Nombre del producto],MATCH($F360,tblProductos[SKU],0))),""))</f>
        <v/>
      </c>
      <c r="H360" s="51">
        <f>IF($F360="","",IFERROR(IF(INDEX(tblProductos[Categoría],MATCH($F360,tblProductos[SKU],0))="","",INDEX(tblProductos[Categoría],MATCH($F360,tblProductos[SKU],0))),""))</f>
        <v/>
      </c>
      <c r="I360" s="34" t="n"/>
      <c r="J360" s="39">
        <f>IF(OR($B360="",$F360="",$I360=""),"",IF($T360="Anulado",0,$I360))</f>
        <v/>
      </c>
      <c r="K360" s="54">
        <f>IF($F360="","",IFERROR(IF(INDEX(tblProductos[Precio de venta actual],MATCH($F360,tblProductos[SKU],0))="","",INDEX(tblProductos[Precio de venta actual],MATCH($F360,tblProductos[SKU],0))),""))</f>
        <v/>
      </c>
      <c r="L360" s="36" t="n"/>
      <c r="M360" s="37">
        <f>IF($J360="","",IF(NOT(ISNUMBER($K360)),"PRECIO PENDIENTE",$J360*$K360))</f>
        <v/>
      </c>
      <c r="N360" s="37">
        <f>IF($J360="","",IF(NOT(ISNUMBER($M360)),"PRECIO PENDIENTE",$M360-IF(ISNUMBER($L360),$L360,0)))</f>
        <v/>
      </c>
      <c r="O360" s="54">
        <f>IF($F360="","",IFERROR(INDEX(tblInventario[Costo unitario aplicado],MATCH($F360,tblInventario[SKU],0)),""))</f>
        <v/>
      </c>
      <c r="P360" s="37">
        <f>IF($J360="","",IF(NOT(ISNUMBER($O360)),"COSTO PENDIENTE",$J360*$O360))</f>
        <v/>
      </c>
      <c r="Q360" s="37">
        <f>IF($J360="","",IF(OR(NOT(ISNUMBER($N360)),NOT(ISNUMBER($P360))),"PENDIENTE",$N360-$P360))</f>
        <v/>
      </c>
      <c r="R360" s="38">
        <f>IF($J360="","",IF(OR(NOT(ISNUMBER($Q360)),NOT(ISNUMBER($N360)),$N360&lt;=0),"PENDIENTE",$Q360/$N360))</f>
        <v/>
      </c>
      <c r="S360" s="33" t="n"/>
      <c r="T360" s="33" t="n"/>
      <c r="U360" s="41" t="n"/>
      <c r="V360" s="36" t="n"/>
      <c r="W360" s="37">
        <f>IF(NOT(ISNUMBER($N360)),"",$N360-IF(ISNUMBER($V360),$V360,0))</f>
        <v/>
      </c>
      <c r="X360" s="33" t="n"/>
      <c r="Y360" s="51">
        <f>IF(COUNTA($B360,$C360,$D360,$E360,$F360,$I360)=0,"",IF(IF($B360=""," · Falta fecha","")&amp;IF($D360=""," · Falta cliente","")&amp;IF($E360=""," · Falta canal","")&amp;IF($F360=""," · Falta SKU","")&amp;IF(AND($F360&lt;&gt;"",COUNTIF(tblProductos[SKU],$F360)=0)," · SKU no existe","")&amp;IF(OR($I360="",NOT(ISNUMBER($I360)),$I360&lt;=0)," · Cantidad inválida","")&amp;IF($M360="PRECIO PENDIENTE"," · Falta precio de venta","")&amp;IF($P360="COSTO PENDIENTE"," · Falta costo del producto","")&amp;IF(AND(ISNUMBER($Q360),$Q360&lt;0)," · UTILIDAD NEGATIVA","")&amp;IF(AND($F360&lt;&gt;"",ISNUMBER(INDEX(tblInventario[Stock actual],MATCH($F360,tblInventario[SKU],0))),INDEX(tblInventario[Stock actual],MATCH($F360,tblInventario[SKU],0))&lt;0)," · Stock negativo del SKU","")&amp;IF(AND($T360="Cobrado",$U360="")," · Cobro sin fecha","")&amp;IF(AND(ISNUMBER($V360),ISNUMBER($N360),$V360&gt;N($N360)+0.01)," · Cobrado &gt; venta neta","")&amp;IF(AND(ISNUMBER($V360),$V360&gt;0,$U360="")," · Monto cobrado sin fecha","")="","OK",MID(IF($B360=""," · Falta fecha","")&amp;IF($D360=""," · Falta cliente","")&amp;IF($E360=""," · Falta canal","")&amp;IF($F360=""," · Falta SKU","")&amp;IF(AND($F360&lt;&gt;"",COUNTIF(tblProductos[SKU],$F360)=0)," · SKU no existe","")&amp;IF(OR($I360="",NOT(ISNUMBER($I360)),$I360&lt;=0)," · Cantidad inválida","")&amp;IF($M360="PRECIO PENDIENTE"," · Falta precio de venta","")&amp;IF($P360="COSTO PENDIENTE"," · Falta costo del producto","")&amp;IF(AND(ISNUMBER($Q360),$Q360&lt;0)," · UTILIDAD NEGATIVA","")&amp;IF(AND($F360&lt;&gt;"",ISNUMBER(INDEX(tblInventario[Stock actual],MATCH($F360,tblInventario[SKU],0))),INDEX(tblInventario[Stock actual],MATCH($F360,tblInventario[SKU],0))&lt;0)," · Stock negativo del SKU","")&amp;IF(AND($T360="Cobrado",$U360="")," · Cobro sin fecha","")&amp;IF(AND(ISNUMBER($V360),ISNUMBER($N360),$V360&gt;N($N360)+0.01)," · Cobrado &gt; venta neta","")&amp;IF(AND(ISNUMBER($V360),$V360&gt;0,$U360="")," · Monto cobrado sin fecha",""),4,900)))</f>
        <v/>
      </c>
    </row>
    <row r="361">
      <c r="A361" s="51">
        <f>IF(COUNTA($B361,$C361,$D361,$E361,$F361,$I361)=0,"","V-"&amp;TEXT(ROW()-6,"0000"))</f>
        <v/>
      </c>
      <c r="B361" s="41" t="n"/>
      <c r="C361" s="33" t="n"/>
      <c r="D361" s="33" t="n"/>
      <c r="E361" s="33" t="n"/>
      <c r="F361" s="33" t="n"/>
      <c r="G361" s="51">
        <f>IF($F361="","",IFERROR(IF(INDEX(tblProductos[Nombre del producto],MATCH($F361,tblProductos[SKU],0))="","",INDEX(tblProductos[Nombre del producto],MATCH($F361,tblProductos[SKU],0))),""))</f>
        <v/>
      </c>
      <c r="H361" s="51">
        <f>IF($F361="","",IFERROR(IF(INDEX(tblProductos[Categoría],MATCH($F361,tblProductos[SKU],0))="","",INDEX(tblProductos[Categoría],MATCH($F361,tblProductos[SKU],0))),""))</f>
        <v/>
      </c>
      <c r="I361" s="34" t="n"/>
      <c r="J361" s="39">
        <f>IF(OR($B361="",$F361="",$I361=""),"",IF($T361="Anulado",0,$I361))</f>
        <v/>
      </c>
      <c r="K361" s="54">
        <f>IF($F361="","",IFERROR(IF(INDEX(tblProductos[Precio de venta actual],MATCH($F361,tblProductos[SKU],0))="","",INDEX(tblProductos[Precio de venta actual],MATCH($F361,tblProductos[SKU],0))),""))</f>
        <v/>
      </c>
      <c r="L361" s="36" t="n"/>
      <c r="M361" s="37">
        <f>IF($J361="","",IF(NOT(ISNUMBER($K361)),"PRECIO PENDIENTE",$J361*$K361))</f>
        <v/>
      </c>
      <c r="N361" s="37">
        <f>IF($J361="","",IF(NOT(ISNUMBER($M361)),"PRECIO PENDIENTE",$M361-IF(ISNUMBER($L361),$L361,0)))</f>
        <v/>
      </c>
      <c r="O361" s="54">
        <f>IF($F361="","",IFERROR(INDEX(tblInventario[Costo unitario aplicado],MATCH($F361,tblInventario[SKU],0)),""))</f>
        <v/>
      </c>
      <c r="P361" s="37">
        <f>IF($J361="","",IF(NOT(ISNUMBER($O361)),"COSTO PENDIENTE",$J361*$O361))</f>
        <v/>
      </c>
      <c r="Q361" s="37">
        <f>IF($J361="","",IF(OR(NOT(ISNUMBER($N361)),NOT(ISNUMBER($P361))),"PENDIENTE",$N361-$P361))</f>
        <v/>
      </c>
      <c r="R361" s="38">
        <f>IF($J361="","",IF(OR(NOT(ISNUMBER($Q361)),NOT(ISNUMBER($N361)),$N361&lt;=0),"PENDIENTE",$Q361/$N361))</f>
        <v/>
      </c>
      <c r="S361" s="33" t="n"/>
      <c r="T361" s="33" t="n"/>
      <c r="U361" s="41" t="n"/>
      <c r="V361" s="36" t="n"/>
      <c r="W361" s="37">
        <f>IF(NOT(ISNUMBER($N361)),"",$N361-IF(ISNUMBER($V361),$V361,0))</f>
        <v/>
      </c>
      <c r="X361" s="33" t="n"/>
      <c r="Y361" s="51">
        <f>IF(COUNTA($B361,$C361,$D361,$E361,$F361,$I361)=0,"",IF(IF($B361=""," · Falta fecha","")&amp;IF($D361=""," · Falta cliente","")&amp;IF($E361=""," · Falta canal","")&amp;IF($F361=""," · Falta SKU","")&amp;IF(AND($F361&lt;&gt;"",COUNTIF(tblProductos[SKU],$F361)=0)," · SKU no existe","")&amp;IF(OR($I361="",NOT(ISNUMBER($I361)),$I361&lt;=0)," · Cantidad inválida","")&amp;IF($M361="PRECIO PENDIENTE"," · Falta precio de venta","")&amp;IF($P361="COSTO PENDIENTE"," · Falta costo del producto","")&amp;IF(AND(ISNUMBER($Q361),$Q361&lt;0)," · UTILIDAD NEGATIVA","")&amp;IF(AND($F361&lt;&gt;"",ISNUMBER(INDEX(tblInventario[Stock actual],MATCH($F361,tblInventario[SKU],0))),INDEX(tblInventario[Stock actual],MATCH($F361,tblInventario[SKU],0))&lt;0)," · Stock negativo del SKU","")&amp;IF(AND($T361="Cobrado",$U361="")," · Cobro sin fecha","")&amp;IF(AND(ISNUMBER($V361),ISNUMBER($N361),$V361&gt;N($N361)+0.01)," · Cobrado &gt; venta neta","")&amp;IF(AND(ISNUMBER($V361),$V361&gt;0,$U361="")," · Monto cobrado sin fecha","")="","OK",MID(IF($B361=""," · Falta fecha","")&amp;IF($D361=""," · Falta cliente","")&amp;IF($E361=""," · Falta canal","")&amp;IF($F361=""," · Falta SKU","")&amp;IF(AND($F361&lt;&gt;"",COUNTIF(tblProductos[SKU],$F361)=0)," · SKU no existe","")&amp;IF(OR($I361="",NOT(ISNUMBER($I361)),$I361&lt;=0)," · Cantidad inválida","")&amp;IF($M361="PRECIO PENDIENTE"," · Falta precio de venta","")&amp;IF($P361="COSTO PENDIENTE"," · Falta costo del producto","")&amp;IF(AND(ISNUMBER($Q361),$Q361&lt;0)," · UTILIDAD NEGATIVA","")&amp;IF(AND($F361&lt;&gt;"",ISNUMBER(INDEX(tblInventario[Stock actual],MATCH($F361,tblInventario[SKU],0))),INDEX(tblInventario[Stock actual],MATCH($F361,tblInventario[SKU],0))&lt;0)," · Stock negativo del SKU","")&amp;IF(AND($T361="Cobrado",$U361="")," · Cobro sin fecha","")&amp;IF(AND(ISNUMBER($V361),ISNUMBER($N361),$V361&gt;N($N361)+0.01)," · Cobrado &gt; venta neta","")&amp;IF(AND(ISNUMBER($V361),$V361&gt;0,$U361="")," · Monto cobrado sin fecha",""),4,900)))</f>
        <v/>
      </c>
    </row>
    <row r="362">
      <c r="A362" s="51">
        <f>IF(COUNTA($B362,$C362,$D362,$E362,$F362,$I362)=0,"","V-"&amp;TEXT(ROW()-6,"0000"))</f>
        <v/>
      </c>
      <c r="B362" s="41" t="n"/>
      <c r="C362" s="33" t="n"/>
      <c r="D362" s="33" t="n"/>
      <c r="E362" s="33" t="n"/>
      <c r="F362" s="33" t="n"/>
      <c r="G362" s="51">
        <f>IF($F362="","",IFERROR(IF(INDEX(tblProductos[Nombre del producto],MATCH($F362,tblProductos[SKU],0))="","",INDEX(tblProductos[Nombre del producto],MATCH($F362,tblProductos[SKU],0))),""))</f>
        <v/>
      </c>
      <c r="H362" s="51">
        <f>IF($F362="","",IFERROR(IF(INDEX(tblProductos[Categoría],MATCH($F362,tblProductos[SKU],0))="","",INDEX(tblProductos[Categoría],MATCH($F362,tblProductos[SKU],0))),""))</f>
        <v/>
      </c>
      <c r="I362" s="34" t="n"/>
      <c r="J362" s="39">
        <f>IF(OR($B362="",$F362="",$I362=""),"",IF($T362="Anulado",0,$I362))</f>
        <v/>
      </c>
      <c r="K362" s="54">
        <f>IF($F362="","",IFERROR(IF(INDEX(tblProductos[Precio de venta actual],MATCH($F362,tblProductos[SKU],0))="","",INDEX(tblProductos[Precio de venta actual],MATCH($F362,tblProductos[SKU],0))),""))</f>
        <v/>
      </c>
      <c r="L362" s="36" t="n"/>
      <c r="M362" s="37">
        <f>IF($J362="","",IF(NOT(ISNUMBER($K362)),"PRECIO PENDIENTE",$J362*$K362))</f>
        <v/>
      </c>
      <c r="N362" s="37">
        <f>IF($J362="","",IF(NOT(ISNUMBER($M362)),"PRECIO PENDIENTE",$M362-IF(ISNUMBER($L362),$L362,0)))</f>
        <v/>
      </c>
      <c r="O362" s="54">
        <f>IF($F362="","",IFERROR(INDEX(tblInventario[Costo unitario aplicado],MATCH($F362,tblInventario[SKU],0)),""))</f>
        <v/>
      </c>
      <c r="P362" s="37">
        <f>IF($J362="","",IF(NOT(ISNUMBER($O362)),"COSTO PENDIENTE",$J362*$O362))</f>
        <v/>
      </c>
      <c r="Q362" s="37">
        <f>IF($J362="","",IF(OR(NOT(ISNUMBER($N362)),NOT(ISNUMBER($P362))),"PENDIENTE",$N362-$P362))</f>
        <v/>
      </c>
      <c r="R362" s="38">
        <f>IF($J362="","",IF(OR(NOT(ISNUMBER($Q362)),NOT(ISNUMBER($N362)),$N362&lt;=0),"PENDIENTE",$Q362/$N362))</f>
        <v/>
      </c>
      <c r="S362" s="33" t="n"/>
      <c r="T362" s="33" t="n"/>
      <c r="U362" s="41" t="n"/>
      <c r="V362" s="36" t="n"/>
      <c r="W362" s="37">
        <f>IF(NOT(ISNUMBER($N362)),"",$N362-IF(ISNUMBER($V362),$V362,0))</f>
        <v/>
      </c>
      <c r="X362" s="33" t="n"/>
      <c r="Y362" s="51">
        <f>IF(COUNTA($B362,$C362,$D362,$E362,$F362,$I362)=0,"",IF(IF($B362=""," · Falta fecha","")&amp;IF($D362=""," · Falta cliente","")&amp;IF($E362=""," · Falta canal","")&amp;IF($F362=""," · Falta SKU","")&amp;IF(AND($F362&lt;&gt;"",COUNTIF(tblProductos[SKU],$F362)=0)," · SKU no existe","")&amp;IF(OR($I362="",NOT(ISNUMBER($I362)),$I362&lt;=0)," · Cantidad inválida","")&amp;IF($M362="PRECIO PENDIENTE"," · Falta precio de venta","")&amp;IF($P362="COSTO PENDIENTE"," · Falta costo del producto","")&amp;IF(AND(ISNUMBER($Q362),$Q362&lt;0)," · UTILIDAD NEGATIVA","")&amp;IF(AND($F362&lt;&gt;"",ISNUMBER(INDEX(tblInventario[Stock actual],MATCH($F362,tblInventario[SKU],0))),INDEX(tblInventario[Stock actual],MATCH($F362,tblInventario[SKU],0))&lt;0)," · Stock negativo del SKU","")&amp;IF(AND($T362="Cobrado",$U362="")," · Cobro sin fecha","")&amp;IF(AND(ISNUMBER($V362),ISNUMBER($N362),$V362&gt;N($N362)+0.01)," · Cobrado &gt; venta neta","")&amp;IF(AND(ISNUMBER($V362),$V362&gt;0,$U362="")," · Monto cobrado sin fecha","")="","OK",MID(IF($B362=""," · Falta fecha","")&amp;IF($D362=""," · Falta cliente","")&amp;IF($E362=""," · Falta canal","")&amp;IF($F362=""," · Falta SKU","")&amp;IF(AND($F362&lt;&gt;"",COUNTIF(tblProductos[SKU],$F362)=0)," · SKU no existe","")&amp;IF(OR($I362="",NOT(ISNUMBER($I362)),$I362&lt;=0)," · Cantidad inválida","")&amp;IF($M362="PRECIO PENDIENTE"," · Falta precio de venta","")&amp;IF($P362="COSTO PENDIENTE"," · Falta costo del producto","")&amp;IF(AND(ISNUMBER($Q362),$Q362&lt;0)," · UTILIDAD NEGATIVA","")&amp;IF(AND($F362&lt;&gt;"",ISNUMBER(INDEX(tblInventario[Stock actual],MATCH($F362,tblInventario[SKU],0))),INDEX(tblInventario[Stock actual],MATCH($F362,tblInventario[SKU],0))&lt;0)," · Stock negativo del SKU","")&amp;IF(AND($T362="Cobrado",$U362="")," · Cobro sin fecha","")&amp;IF(AND(ISNUMBER($V362),ISNUMBER($N362),$V362&gt;N($N362)+0.01)," · Cobrado &gt; venta neta","")&amp;IF(AND(ISNUMBER($V362),$V362&gt;0,$U362="")," · Monto cobrado sin fecha",""),4,900)))</f>
        <v/>
      </c>
    </row>
    <row r="363">
      <c r="A363" s="51">
        <f>IF(COUNTA($B363,$C363,$D363,$E363,$F363,$I363)=0,"","V-"&amp;TEXT(ROW()-6,"0000"))</f>
        <v/>
      </c>
      <c r="B363" s="41" t="n"/>
      <c r="C363" s="33" t="n"/>
      <c r="D363" s="33" t="n"/>
      <c r="E363" s="33" t="n"/>
      <c r="F363" s="33" t="n"/>
      <c r="G363" s="51">
        <f>IF($F363="","",IFERROR(IF(INDEX(tblProductos[Nombre del producto],MATCH($F363,tblProductos[SKU],0))="","",INDEX(tblProductos[Nombre del producto],MATCH($F363,tblProductos[SKU],0))),""))</f>
        <v/>
      </c>
      <c r="H363" s="51">
        <f>IF($F363="","",IFERROR(IF(INDEX(tblProductos[Categoría],MATCH($F363,tblProductos[SKU],0))="","",INDEX(tblProductos[Categoría],MATCH($F363,tblProductos[SKU],0))),""))</f>
        <v/>
      </c>
      <c r="I363" s="34" t="n"/>
      <c r="J363" s="39">
        <f>IF(OR($B363="",$F363="",$I363=""),"",IF($T363="Anulado",0,$I363))</f>
        <v/>
      </c>
      <c r="K363" s="54">
        <f>IF($F363="","",IFERROR(IF(INDEX(tblProductos[Precio de venta actual],MATCH($F363,tblProductos[SKU],0))="","",INDEX(tblProductos[Precio de venta actual],MATCH($F363,tblProductos[SKU],0))),""))</f>
        <v/>
      </c>
      <c r="L363" s="36" t="n"/>
      <c r="M363" s="37">
        <f>IF($J363="","",IF(NOT(ISNUMBER($K363)),"PRECIO PENDIENTE",$J363*$K363))</f>
        <v/>
      </c>
      <c r="N363" s="37">
        <f>IF($J363="","",IF(NOT(ISNUMBER($M363)),"PRECIO PENDIENTE",$M363-IF(ISNUMBER($L363),$L363,0)))</f>
        <v/>
      </c>
      <c r="O363" s="54">
        <f>IF($F363="","",IFERROR(INDEX(tblInventario[Costo unitario aplicado],MATCH($F363,tblInventario[SKU],0)),""))</f>
        <v/>
      </c>
      <c r="P363" s="37">
        <f>IF($J363="","",IF(NOT(ISNUMBER($O363)),"COSTO PENDIENTE",$J363*$O363))</f>
        <v/>
      </c>
      <c r="Q363" s="37">
        <f>IF($J363="","",IF(OR(NOT(ISNUMBER($N363)),NOT(ISNUMBER($P363))),"PENDIENTE",$N363-$P363))</f>
        <v/>
      </c>
      <c r="R363" s="38">
        <f>IF($J363="","",IF(OR(NOT(ISNUMBER($Q363)),NOT(ISNUMBER($N363)),$N363&lt;=0),"PENDIENTE",$Q363/$N363))</f>
        <v/>
      </c>
      <c r="S363" s="33" t="n"/>
      <c r="T363" s="33" t="n"/>
      <c r="U363" s="41" t="n"/>
      <c r="V363" s="36" t="n"/>
      <c r="W363" s="37">
        <f>IF(NOT(ISNUMBER($N363)),"",$N363-IF(ISNUMBER($V363),$V363,0))</f>
        <v/>
      </c>
      <c r="X363" s="33" t="n"/>
      <c r="Y363" s="51">
        <f>IF(COUNTA($B363,$C363,$D363,$E363,$F363,$I363)=0,"",IF(IF($B363=""," · Falta fecha","")&amp;IF($D363=""," · Falta cliente","")&amp;IF($E363=""," · Falta canal","")&amp;IF($F363=""," · Falta SKU","")&amp;IF(AND($F363&lt;&gt;"",COUNTIF(tblProductos[SKU],$F363)=0)," · SKU no existe","")&amp;IF(OR($I363="",NOT(ISNUMBER($I363)),$I363&lt;=0)," · Cantidad inválida","")&amp;IF($M363="PRECIO PENDIENTE"," · Falta precio de venta","")&amp;IF($P363="COSTO PENDIENTE"," · Falta costo del producto","")&amp;IF(AND(ISNUMBER($Q363),$Q363&lt;0)," · UTILIDAD NEGATIVA","")&amp;IF(AND($F363&lt;&gt;"",ISNUMBER(INDEX(tblInventario[Stock actual],MATCH($F363,tblInventario[SKU],0))),INDEX(tblInventario[Stock actual],MATCH($F363,tblInventario[SKU],0))&lt;0)," · Stock negativo del SKU","")&amp;IF(AND($T363="Cobrado",$U363="")," · Cobro sin fecha","")&amp;IF(AND(ISNUMBER($V363),ISNUMBER($N363),$V363&gt;N($N363)+0.01)," · Cobrado &gt; venta neta","")&amp;IF(AND(ISNUMBER($V363),$V363&gt;0,$U363="")," · Monto cobrado sin fecha","")="","OK",MID(IF($B363=""," · Falta fecha","")&amp;IF($D363=""," · Falta cliente","")&amp;IF($E363=""," · Falta canal","")&amp;IF($F363=""," · Falta SKU","")&amp;IF(AND($F363&lt;&gt;"",COUNTIF(tblProductos[SKU],$F363)=0)," · SKU no existe","")&amp;IF(OR($I363="",NOT(ISNUMBER($I363)),$I363&lt;=0)," · Cantidad inválida","")&amp;IF($M363="PRECIO PENDIENTE"," · Falta precio de venta","")&amp;IF($P363="COSTO PENDIENTE"," · Falta costo del producto","")&amp;IF(AND(ISNUMBER($Q363),$Q363&lt;0)," · UTILIDAD NEGATIVA","")&amp;IF(AND($F363&lt;&gt;"",ISNUMBER(INDEX(tblInventario[Stock actual],MATCH($F363,tblInventario[SKU],0))),INDEX(tblInventario[Stock actual],MATCH($F363,tblInventario[SKU],0))&lt;0)," · Stock negativo del SKU","")&amp;IF(AND($T363="Cobrado",$U363="")," · Cobro sin fecha","")&amp;IF(AND(ISNUMBER($V363),ISNUMBER($N363),$V363&gt;N($N363)+0.01)," · Cobrado &gt; venta neta","")&amp;IF(AND(ISNUMBER($V363),$V363&gt;0,$U363="")," · Monto cobrado sin fecha",""),4,900)))</f>
        <v/>
      </c>
    </row>
    <row r="364">
      <c r="A364" s="51">
        <f>IF(COUNTA($B364,$C364,$D364,$E364,$F364,$I364)=0,"","V-"&amp;TEXT(ROW()-6,"0000"))</f>
        <v/>
      </c>
      <c r="B364" s="41" t="n"/>
      <c r="C364" s="33" t="n"/>
      <c r="D364" s="33" t="n"/>
      <c r="E364" s="33" t="n"/>
      <c r="F364" s="33" t="n"/>
      <c r="G364" s="51">
        <f>IF($F364="","",IFERROR(IF(INDEX(tblProductos[Nombre del producto],MATCH($F364,tblProductos[SKU],0))="","",INDEX(tblProductos[Nombre del producto],MATCH($F364,tblProductos[SKU],0))),""))</f>
        <v/>
      </c>
      <c r="H364" s="51">
        <f>IF($F364="","",IFERROR(IF(INDEX(tblProductos[Categoría],MATCH($F364,tblProductos[SKU],0))="","",INDEX(tblProductos[Categoría],MATCH($F364,tblProductos[SKU],0))),""))</f>
        <v/>
      </c>
      <c r="I364" s="34" t="n"/>
      <c r="J364" s="39">
        <f>IF(OR($B364="",$F364="",$I364=""),"",IF($T364="Anulado",0,$I364))</f>
        <v/>
      </c>
      <c r="K364" s="54">
        <f>IF($F364="","",IFERROR(IF(INDEX(tblProductos[Precio de venta actual],MATCH($F364,tblProductos[SKU],0))="","",INDEX(tblProductos[Precio de venta actual],MATCH($F364,tblProductos[SKU],0))),""))</f>
        <v/>
      </c>
      <c r="L364" s="36" t="n"/>
      <c r="M364" s="37">
        <f>IF($J364="","",IF(NOT(ISNUMBER($K364)),"PRECIO PENDIENTE",$J364*$K364))</f>
        <v/>
      </c>
      <c r="N364" s="37">
        <f>IF($J364="","",IF(NOT(ISNUMBER($M364)),"PRECIO PENDIENTE",$M364-IF(ISNUMBER($L364),$L364,0)))</f>
        <v/>
      </c>
      <c r="O364" s="54">
        <f>IF($F364="","",IFERROR(INDEX(tblInventario[Costo unitario aplicado],MATCH($F364,tblInventario[SKU],0)),""))</f>
        <v/>
      </c>
      <c r="P364" s="37">
        <f>IF($J364="","",IF(NOT(ISNUMBER($O364)),"COSTO PENDIENTE",$J364*$O364))</f>
        <v/>
      </c>
      <c r="Q364" s="37">
        <f>IF($J364="","",IF(OR(NOT(ISNUMBER($N364)),NOT(ISNUMBER($P364))),"PENDIENTE",$N364-$P364))</f>
        <v/>
      </c>
      <c r="R364" s="38">
        <f>IF($J364="","",IF(OR(NOT(ISNUMBER($Q364)),NOT(ISNUMBER($N364)),$N364&lt;=0),"PENDIENTE",$Q364/$N364))</f>
        <v/>
      </c>
      <c r="S364" s="33" t="n"/>
      <c r="T364" s="33" t="n"/>
      <c r="U364" s="41" t="n"/>
      <c r="V364" s="36" t="n"/>
      <c r="W364" s="37">
        <f>IF(NOT(ISNUMBER($N364)),"",$N364-IF(ISNUMBER($V364),$V364,0))</f>
        <v/>
      </c>
      <c r="X364" s="33" t="n"/>
      <c r="Y364" s="51">
        <f>IF(COUNTA($B364,$C364,$D364,$E364,$F364,$I364)=0,"",IF(IF($B364=""," · Falta fecha","")&amp;IF($D364=""," · Falta cliente","")&amp;IF($E364=""," · Falta canal","")&amp;IF($F364=""," · Falta SKU","")&amp;IF(AND($F364&lt;&gt;"",COUNTIF(tblProductos[SKU],$F364)=0)," · SKU no existe","")&amp;IF(OR($I364="",NOT(ISNUMBER($I364)),$I364&lt;=0)," · Cantidad inválida","")&amp;IF($M364="PRECIO PENDIENTE"," · Falta precio de venta","")&amp;IF($P364="COSTO PENDIENTE"," · Falta costo del producto","")&amp;IF(AND(ISNUMBER($Q364),$Q364&lt;0)," · UTILIDAD NEGATIVA","")&amp;IF(AND($F364&lt;&gt;"",ISNUMBER(INDEX(tblInventario[Stock actual],MATCH($F364,tblInventario[SKU],0))),INDEX(tblInventario[Stock actual],MATCH($F364,tblInventario[SKU],0))&lt;0)," · Stock negativo del SKU","")&amp;IF(AND($T364="Cobrado",$U364="")," · Cobro sin fecha","")&amp;IF(AND(ISNUMBER($V364),ISNUMBER($N364),$V364&gt;N($N364)+0.01)," · Cobrado &gt; venta neta","")&amp;IF(AND(ISNUMBER($V364),$V364&gt;0,$U364="")," · Monto cobrado sin fecha","")="","OK",MID(IF($B364=""," · Falta fecha","")&amp;IF($D364=""," · Falta cliente","")&amp;IF($E364=""," · Falta canal","")&amp;IF($F364=""," · Falta SKU","")&amp;IF(AND($F364&lt;&gt;"",COUNTIF(tblProductos[SKU],$F364)=0)," · SKU no existe","")&amp;IF(OR($I364="",NOT(ISNUMBER($I364)),$I364&lt;=0)," · Cantidad inválida","")&amp;IF($M364="PRECIO PENDIENTE"," · Falta precio de venta","")&amp;IF($P364="COSTO PENDIENTE"," · Falta costo del producto","")&amp;IF(AND(ISNUMBER($Q364),$Q364&lt;0)," · UTILIDAD NEGATIVA","")&amp;IF(AND($F364&lt;&gt;"",ISNUMBER(INDEX(tblInventario[Stock actual],MATCH($F364,tblInventario[SKU],0))),INDEX(tblInventario[Stock actual],MATCH($F364,tblInventario[SKU],0))&lt;0)," · Stock negativo del SKU","")&amp;IF(AND($T364="Cobrado",$U364="")," · Cobro sin fecha","")&amp;IF(AND(ISNUMBER($V364),ISNUMBER($N364),$V364&gt;N($N364)+0.01)," · Cobrado &gt; venta neta","")&amp;IF(AND(ISNUMBER($V364),$V364&gt;0,$U364="")," · Monto cobrado sin fecha",""),4,900)))</f>
        <v/>
      </c>
    </row>
    <row r="365">
      <c r="A365" s="51">
        <f>IF(COUNTA($B365,$C365,$D365,$E365,$F365,$I365)=0,"","V-"&amp;TEXT(ROW()-6,"0000"))</f>
        <v/>
      </c>
      <c r="B365" s="41" t="n"/>
      <c r="C365" s="33" t="n"/>
      <c r="D365" s="33" t="n"/>
      <c r="E365" s="33" t="n"/>
      <c r="F365" s="33" t="n"/>
      <c r="G365" s="51">
        <f>IF($F365="","",IFERROR(IF(INDEX(tblProductos[Nombre del producto],MATCH($F365,tblProductos[SKU],0))="","",INDEX(tblProductos[Nombre del producto],MATCH($F365,tblProductos[SKU],0))),""))</f>
        <v/>
      </c>
      <c r="H365" s="51">
        <f>IF($F365="","",IFERROR(IF(INDEX(tblProductos[Categoría],MATCH($F365,tblProductos[SKU],0))="","",INDEX(tblProductos[Categoría],MATCH($F365,tblProductos[SKU],0))),""))</f>
        <v/>
      </c>
      <c r="I365" s="34" t="n"/>
      <c r="J365" s="39">
        <f>IF(OR($B365="",$F365="",$I365=""),"",IF($T365="Anulado",0,$I365))</f>
        <v/>
      </c>
      <c r="K365" s="54">
        <f>IF($F365="","",IFERROR(IF(INDEX(tblProductos[Precio de venta actual],MATCH($F365,tblProductos[SKU],0))="","",INDEX(tblProductos[Precio de venta actual],MATCH($F365,tblProductos[SKU],0))),""))</f>
        <v/>
      </c>
      <c r="L365" s="36" t="n"/>
      <c r="M365" s="37">
        <f>IF($J365="","",IF(NOT(ISNUMBER($K365)),"PRECIO PENDIENTE",$J365*$K365))</f>
        <v/>
      </c>
      <c r="N365" s="37">
        <f>IF($J365="","",IF(NOT(ISNUMBER($M365)),"PRECIO PENDIENTE",$M365-IF(ISNUMBER($L365),$L365,0)))</f>
        <v/>
      </c>
      <c r="O365" s="54">
        <f>IF($F365="","",IFERROR(INDEX(tblInventario[Costo unitario aplicado],MATCH($F365,tblInventario[SKU],0)),""))</f>
        <v/>
      </c>
      <c r="P365" s="37">
        <f>IF($J365="","",IF(NOT(ISNUMBER($O365)),"COSTO PENDIENTE",$J365*$O365))</f>
        <v/>
      </c>
      <c r="Q365" s="37">
        <f>IF($J365="","",IF(OR(NOT(ISNUMBER($N365)),NOT(ISNUMBER($P365))),"PENDIENTE",$N365-$P365))</f>
        <v/>
      </c>
      <c r="R365" s="38">
        <f>IF($J365="","",IF(OR(NOT(ISNUMBER($Q365)),NOT(ISNUMBER($N365)),$N365&lt;=0),"PENDIENTE",$Q365/$N365))</f>
        <v/>
      </c>
      <c r="S365" s="33" t="n"/>
      <c r="T365" s="33" t="n"/>
      <c r="U365" s="41" t="n"/>
      <c r="V365" s="36" t="n"/>
      <c r="W365" s="37">
        <f>IF(NOT(ISNUMBER($N365)),"",$N365-IF(ISNUMBER($V365),$V365,0))</f>
        <v/>
      </c>
      <c r="X365" s="33" t="n"/>
      <c r="Y365" s="51">
        <f>IF(COUNTA($B365,$C365,$D365,$E365,$F365,$I365)=0,"",IF(IF($B365=""," · Falta fecha","")&amp;IF($D365=""," · Falta cliente","")&amp;IF($E365=""," · Falta canal","")&amp;IF($F365=""," · Falta SKU","")&amp;IF(AND($F365&lt;&gt;"",COUNTIF(tblProductos[SKU],$F365)=0)," · SKU no existe","")&amp;IF(OR($I365="",NOT(ISNUMBER($I365)),$I365&lt;=0)," · Cantidad inválida","")&amp;IF($M365="PRECIO PENDIENTE"," · Falta precio de venta","")&amp;IF($P365="COSTO PENDIENTE"," · Falta costo del producto","")&amp;IF(AND(ISNUMBER($Q365),$Q365&lt;0)," · UTILIDAD NEGATIVA","")&amp;IF(AND($F365&lt;&gt;"",ISNUMBER(INDEX(tblInventario[Stock actual],MATCH($F365,tblInventario[SKU],0))),INDEX(tblInventario[Stock actual],MATCH($F365,tblInventario[SKU],0))&lt;0)," · Stock negativo del SKU","")&amp;IF(AND($T365="Cobrado",$U365="")," · Cobro sin fecha","")&amp;IF(AND(ISNUMBER($V365),ISNUMBER($N365),$V365&gt;N($N365)+0.01)," · Cobrado &gt; venta neta","")&amp;IF(AND(ISNUMBER($V365),$V365&gt;0,$U365="")," · Monto cobrado sin fecha","")="","OK",MID(IF($B365=""," · Falta fecha","")&amp;IF($D365=""," · Falta cliente","")&amp;IF($E365=""," · Falta canal","")&amp;IF($F365=""," · Falta SKU","")&amp;IF(AND($F365&lt;&gt;"",COUNTIF(tblProductos[SKU],$F365)=0)," · SKU no existe","")&amp;IF(OR($I365="",NOT(ISNUMBER($I365)),$I365&lt;=0)," · Cantidad inválida","")&amp;IF($M365="PRECIO PENDIENTE"," · Falta precio de venta","")&amp;IF($P365="COSTO PENDIENTE"," · Falta costo del producto","")&amp;IF(AND(ISNUMBER($Q365),$Q365&lt;0)," · UTILIDAD NEGATIVA","")&amp;IF(AND($F365&lt;&gt;"",ISNUMBER(INDEX(tblInventario[Stock actual],MATCH($F365,tblInventario[SKU],0))),INDEX(tblInventario[Stock actual],MATCH($F365,tblInventario[SKU],0))&lt;0)," · Stock negativo del SKU","")&amp;IF(AND($T365="Cobrado",$U365="")," · Cobro sin fecha","")&amp;IF(AND(ISNUMBER($V365),ISNUMBER($N365),$V365&gt;N($N365)+0.01)," · Cobrado &gt; venta neta","")&amp;IF(AND(ISNUMBER($V365),$V365&gt;0,$U365="")," · Monto cobrado sin fecha",""),4,900)))</f>
        <v/>
      </c>
    </row>
    <row r="366">
      <c r="A366" s="51">
        <f>IF(COUNTA($B366,$C366,$D366,$E366,$F366,$I366)=0,"","V-"&amp;TEXT(ROW()-6,"0000"))</f>
        <v/>
      </c>
      <c r="B366" s="41" t="n"/>
      <c r="C366" s="33" t="n"/>
      <c r="D366" s="33" t="n"/>
      <c r="E366" s="33" t="n"/>
      <c r="F366" s="33" t="n"/>
      <c r="G366" s="51">
        <f>IF($F366="","",IFERROR(IF(INDEX(tblProductos[Nombre del producto],MATCH($F366,tblProductos[SKU],0))="","",INDEX(tblProductos[Nombre del producto],MATCH($F366,tblProductos[SKU],0))),""))</f>
        <v/>
      </c>
      <c r="H366" s="51">
        <f>IF($F366="","",IFERROR(IF(INDEX(tblProductos[Categoría],MATCH($F366,tblProductos[SKU],0))="","",INDEX(tblProductos[Categoría],MATCH($F366,tblProductos[SKU],0))),""))</f>
        <v/>
      </c>
      <c r="I366" s="34" t="n"/>
      <c r="J366" s="39">
        <f>IF(OR($B366="",$F366="",$I366=""),"",IF($T366="Anulado",0,$I366))</f>
        <v/>
      </c>
      <c r="K366" s="54">
        <f>IF($F366="","",IFERROR(IF(INDEX(tblProductos[Precio de venta actual],MATCH($F366,tblProductos[SKU],0))="","",INDEX(tblProductos[Precio de venta actual],MATCH($F366,tblProductos[SKU],0))),""))</f>
        <v/>
      </c>
      <c r="L366" s="36" t="n"/>
      <c r="M366" s="37">
        <f>IF($J366="","",IF(NOT(ISNUMBER($K366)),"PRECIO PENDIENTE",$J366*$K366))</f>
        <v/>
      </c>
      <c r="N366" s="37">
        <f>IF($J366="","",IF(NOT(ISNUMBER($M366)),"PRECIO PENDIENTE",$M366-IF(ISNUMBER($L366),$L366,0)))</f>
        <v/>
      </c>
      <c r="O366" s="54">
        <f>IF($F366="","",IFERROR(INDEX(tblInventario[Costo unitario aplicado],MATCH($F366,tblInventario[SKU],0)),""))</f>
        <v/>
      </c>
      <c r="P366" s="37">
        <f>IF($J366="","",IF(NOT(ISNUMBER($O366)),"COSTO PENDIENTE",$J366*$O366))</f>
        <v/>
      </c>
      <c r="Q366" s="37">
        <f>IF($J366="","",IF(OR(NOT(ISNUMBER($N366)),NOT(ISNUMBER($P366))),"PENDIENTE",$N366-$P366))</f>
        <v/>
      </c>
      <c r="R366" s="38">
        <f>IF($J366="","",IF(OR(NOT(ISNUMBER($Q366)),NOT(ISNUMBER($N366)),$N366&lt;=0),"PENDIENTE",$Q366/$N366))</f>
        <v/>
      </c>
      <c r="S366" s="33" t="n"/>
      <c r="T366" s="33" t="n"/>
      <c r="U366" s="41" t="n"/>
      <c r="V366" s="36" t="n"/>
      <c r="W366" s="37">
        <f>IF(NOT(ISNUMBER($N366)),"",$N366-IF(ISNUMBER($V366),$V366,0))</f>
        <v/>
      </c>
      <c r="X366" s="33" t="n"/>
      <c r="Y366" s="51">
        <f>IF(COUNTA($B366,$C366,$D366,$E366,$F366,$I366)=0,"",IF(IF($B366=""," · Falta fecha","")&amp;IF($D366=""," · Falta cliente","")&amp;IF($E366=""," · Falta canal","")&amp;IF($F366=""," · Falta SKU","")&amp;IF(AND($F366&lt;&gt;"",COUNTIF(tblProductos[SKU],$F366)=0)," · SKU no existe","")&amp;IF(OR($I366="",NOT(ISNUMBER($I366)),$I366&lt;=0)," · Cantidad inválida","")&amp;IF($M366="PRECIO PENDIENTE"," · Falta precio de venta","")&amp;IF($P366="COSTO PENDIENTE"," · Falta costo del producto","")&amp;IF(AND(ISNUMBER($Q366),$Q366&lt;0)," · UTILIDAD NEGATIVA","")&amp;IF(AND($F366&lt;&gt;"",ISNUMBER(INDEX(tblInventario[Stock actual],MATCH($F366,tblInventario[SKU],0))),INDEX(tblInventario[Stock actual],MATCH($F366,tblInventario[SKU],0))&lt;0)," · Stock negativo del SKU","")&amp;IF(AND($T366="Cobrado",$U366="")," · Cobro sin fecha","")&amp;IF(AND(ISNUMBER($V366),ISNUMBER($N366),$V366&gt;N($N366)+0.01)," · Cobrado &gt; venta neta","")&amp;IF(AND(ISNUMBER($V366),$V366&gt;0,$U366="")," · Monto cobrado sin fecha","")="","OK",MID(IF($B366=""," · Falta fecha","")&amp;IF($D366=""," · Falta cliente","")&amp;IF($E366=""," · Falta canal","")&amp;IF($F366=""," · Falta SKU","")&amp;IF(AND($F366&lt;&gt;"",COUNTIF(tblProductos[SKU],$F366)=0)," · SKU no existe","")&amp;IF(OR($I366="",NOT(ISNUMBER($I366)),$I366&lt;=0)," · Cantidad inválida","")&amp;IF($M366="PRECIO PENDIENTE"," · Falta precio de venta","")&amp;IF($P366="COSTO PENDIENTE"," · Falta costo del producto","")&amp;IF(AND(ISNUMBER($Q366),$Q366&lt;0)," · UTILIDAD NEGATIVA","")&amp;IF(AND($F366&lt;&gt;"",ISNUMBER(INDEX(tblInventario[Stock actual],MATCH($F366,tblInventario[SKU],0))),INDEX(tblInventario[Stock actual],MATCH($F366,tblInventario[SKU],0))&lt;0)," · Stock negativo del SKU","")&amp;IF(AND($T366="Cobrado",$U366="")," · Cobro sin fecha","")&amp;IF(AND(ISNUMBER($V366),ISNUMBER($N366),$V366&gt;N($N366)+0.01)," · Cobrado &gt; venta neta","")&amp;IF(AND(ISNUMBER($V366),$V366&gt;0,$U366="")," · Monto cobrado sin fecha",""),4,900)))</f>
        <v/>
      </c>
    </row>
    <row r="367">
      <c r="A367" s="51">
        <f>IF(COUNTA($B367,$C367,$D367,$E367,$F367,$I367)=0,"","V-"&amp;TEXT(ROW()-6,"0000"))</f>
        <v/>
      </c>
      <c r="B367" s="41" t="n"/>
      <c r="C367" s="33" t="n"/>
      <c r="D367" s="33" t="n"/>
      <c r="E367" s="33" t="n"/>
      <c r="F367" s="33" t="n"/>
      <c r="G367" s="51">
        <f>IF($F367="","",IFERROR(IF(INDEX(tblProductos[Nombre del producto],MATCH($F367,tblProductos[SKU],0))="","",INDEX(tblProductos[Nombre del producto],MATCH($F367,tblProductos[SKU],0))),""))</f>
        <v/>
      </c>
      <c r="H367" s="51">
        <f>IF($F367="","",IFERROR(IF(INDEX(tblProductos[Categoría],MATCH($F367,tblProductos[SKU],0))="","",INDEX(tblProductos[Categoría],MATCH($F367,tblProductos[SKU],0))),""))</f>
        <v/>
      </c>
      <c r="I367" s="34" t="n"/>
      <c r="J367" s="39">
        <f>IF(OR($B367="",$F367="",$I367=""),"",IF($T367="Anulado",0,$I367))</f>
        <v/>
      </c>
      <c r="K367" s="54">
        <f>IF($F367="","",IFERROR(IF(INDEX(tblProductos[Precio de venta actual],MATCH($F367,tblProductos[SKU],0))="","",INDEX(tblProductos[Precio de venta actual],MATCH($F367,tblProductos[SKU],0))),""))</f>
        <v/>
      </c>
      <c r="L367" s="36" t="n"/>
      <c r="M367" s="37">
        <f>IF($J367="","",IF(NOT(ISNUMBER($K367)),"PRECIO PENDIENTE",$J367*$K367))</f>
        <v/>
      </c>
      <c r="N367" s="37">
        <f>IF($J367="","",IF(NOT(ISNUMBER($M367)),"PRECIO PENDIENTE",$M367-IF(ISNUMBER($L367),$L367,0)))</f>
        <v/>
      </c>
      <c r="O367" s="54">
        <f>IF($F367="","",IFERROR(INDEX(tblInventario[Costo unitario aplicado],MATCH($F367,tblInventario[SKU],0)),""))</f>
        <v/>
      </c>
      <c r="P367" s="37">
        <f>IF($J367="","",IF(NOT(ISNUMBER($O367)),"COSTO PENDIENTE",$J367*$O367))</f>
        <v/>
      </c>
      <c r="Q367" s="37">
        <f>IF($J367="","",IF(OR(NOT(ISNUMBER($N367)),NOT(ISNUMBER($P367))),"PENDIENTE",$N367-$P367))</f>
        <v/>
      </c>
      <c r="R367" s="38">
        <f>IF($J367="","",IF(OR(NOT(ISNUMBER($Q367)),NOT(ISNUMBER($N367)),$N367&lt;=0),"PENDIENTE",$Q367/$N367))</f>
        <v/>
      </c>
      <c r="S367" s="33" t="n"/>
      <c r="T367" s="33" t="n"/>
      <c r="U367" s="41" t="n"/>
      <c r="V367" s="36" t="n"/>
      <c r="W367" s="37">
        <f>IF(NOT(ISNUMBER($N367)),"",$N367-IF(ISNUMBER($V367),$V367,0))</f>
        <v/>
      </c>
      <c r="X367" s="33" t="n"/>
      <c r="Y367" s="51">
        <f>IF(COUNTA($B367,$C367,$D367,$E367,$F367,$I367)=0,"",IF(IF($B367=""," · Falta fecha","")&amp;IF($D367=""," · Falta cliente","")&amp;IF($E367=""," · Falta canal","")&amp;IF($F367=""," · Falta SKU","")&amp;IF(AND($F367&lt;&gt;"",COUNTIF(tblProductos[SKU],$F367)=0)," · SKU no existe","")&amp;IF(OR($I367="",NOT(ISNUMBER($I367)),$I367&lt;=0)," · Cantidad inválida","")&amp;IF($M367="PRECIO PENDIENTE"," · Falta precio de venta","")&amp;IF($P367="COSTO PENDIENTE"," · Falta costo del producto","")&amp;IF(AND(ISNUMBER($Q367),$Q367&lt;0)," · UTILIDAD NEGATIVA","")&amp;IF(AND($F367&lt;&gt;"",ISNUMBER(INDEX(tblInventario[Stock actual],MATCH($F367,tblInventario[SKU],0))),INDEX(tblInventario[Stock actual],MATCH($F367,tblInventario[SKU],0))&lt;0)," · Stock negativo del SKU","")&amp;IF(AND($T367="Cobrado",$U367="")," · Cobro sin fecha","")&amp;IF(AND(ISNUMBER($V367),ISNUMBER($N367),$V367&gt;N($N367)+0.01)," · Cobrado &gt; venta neta","")&amp;IF(AND(ISNUMBER($V367),$V367&gt;0,$U367="")," · Monto cobrado sin fecha","")="","OK",MID(IF($B367=""," · Falta fecha","")&amp;IF($D367=""," · Falta cliente","")&amp;IF($E367=""," · Falta canal","")&amp;IF($F367=""," · Falta SKU","")&amp;IF(AND($F367&lt;&gt;"",COUNTIF(tblProductos[SKU],$F367)=0)," · SKU no existe","")&amp;IF(OR($I367="",NOT(ISNUMBER($I367)),$I367&lt;=0)," · Cantidad inválida","")&amp;IF($M367="PRECIO PENDIENTE"," · Falta precio de venta","")&amp;IF($P367="COSTO PENDIENTE"," · Falta costo del producto","")&amp;IF(AND(ISNUMBER($Q367),$Q367&lt;0)," · UTILIDAD NEGATIVA","")&amp;IF(AND($F367&lt;&gt;"",ISNUMBER(INDEX(tblInventario[Stock actual],MATCH($F367,tblInventario[SKU],0))),INDEX(tblInventario[Stock actual],MATCH($F367,tblInventario[SKU],0))&lt;0)," · Stock negativo del SKU","")&amp;IF(AND($T367="Cobrado",$U367="")," · Cobro sin fecha","")&amp;IF(AND(ISNUMBER($V367),ISNUMBER($N367),$V367&gt;N($N367)+0.01)," · Cobrado &gt; venta neta","")&amp;IF(AND(ISNUMBER($V367),$V367&gt;0,$U367="")," · Monto cobrado sin fecha",""),4,900)))</f>
        <v/>
      </c>
    </row>
    <row r="368">
      <c r="A368" s="51">
        <f>IF(COUNTA($B368,$C368,$D368,$E368,$F368,$I368)=0,"","V-"&amp;TEXT(ROW()-6,"0000"))</f>
        <v/>
      </c>
      <c r="B368" s="41" t="n"/>
      <c r="C368" s="33" t="n"/>
      <c r="D368" s="33" t="n"/>
      <c r="E368" s="33" t="n"/>
      <c r="F368" s="33" t="n"/>
      <c r="G368" s="51">
        <f>IF($F368="","",IFERROR(IF(INDEX(tblProductos[Nombre del producto],MATCH($F368,tblProductos[SKU],0))="","",INDEX(tblProductos[Nombre del producto],MATCH($F368,tblProductos[SKU],0))),""))</f>
        <v/>
      </c>
      <c r="H368" s="51">
        <f>IF($F368="","",IFERROR(IF(INDEX(tblProductos[Categoría],MATCH($F368,tblProductos[SKU],0))="","",INDEX(tblProductos[Categoría],MATCH($F368,tblProductos[SKU],0))),""))</f>
        <v/>
      </c>
      <c r="I368" s="34" t="n"/>
      <c r="J368" s="39">
        <f>IF(OR($B368="",$F368="",$I368=""),"",IF($T368="Anulado",0,$I368))</f>
        <v/>
      </c>
      <c r="K368" s="54">
        <f>IF($F368="","",IFERROR(IF(INDEX(tblProductos[Precio de venta actual],MATCH($F368,tblProductos[SKU],0))="","",INDEX(tblProductos[Precio de venta actual],MATCH($F368,tblProductos[SKU],0))),""))</f>
        <v/>
      </c>
      <c r="L368" s="36" t="n"/>
      <c r="M368" s="37">
        <f>IF($J368="","",IF(NOT(ISNUMBER($K368)),"PRECIO PENDIENTE",$J368*$K368))</f>
        <v/>
      </c>
      <c r="N368" s="37">
        <f>IF($J368="","",IF(NOT(ISNUMBER($M368)),"PRECIO PENDIENTE",$M368-IF(ISNUMBER($L368),$L368,0)))</f>
        <v/>
      </c>
      <c r="O368" s="54">
        <f>IF($F368="","",IFERROR(INDEX(tblInventario[Costo unitario aplicado],MATCH($F368,tblInventario[SKU],0)),""))</f>
        <v/>
      </c>
      <c r="P368" s="37">
        <f>IF($J368="","",IF(NOT(ISNUMBER($O368)),"COSTO PENDIENTE",$J368*$O368))</f>
        <v/>
      </c>
      <c r="Q368" s="37">
        <f>IF($J368="","",IF(OR(NOT(ISNUMBER($N368)),NOT(ISNUMBER($P368))),"PENDIENTE",$N368-$P368))</f>
        <v/>
      </c>
      <c r="R368" s="38">
        <f>IF($J368="","",IF(OR(NOT(ISNUMBER($Q368)),NOT(ISNUMBER($N368)),$N368&lt;=0),"PENDIENTE",$Q368/$N368))</f>
        <v/>
      </c>
      <c r="S368" s="33" t="n"/>
      <c r="T368" s="33" t="n"/>
      <c r="U368" s="41" t="n"/>
      <c r="V368" s="36" t="n"/>
      <c r="W368" s="37">
        <f>IF(NOT(ISNUMBER($N368)),"",$N368-IF(ISNUMBER($V368),$V368,0))</f>
        <v/>
      </c>
      <c r="X368" s="33" t="n"/>
      <c r="Y368" s="51">
        <f>IF(COUNTA($B368,$C368,$D368,$E368,$F368,$I368)=0,"",IF(IF($B368=""," · Falta fecha","")&amp;IF($D368=""," · Falta cliente","")&amp;IF($E368=""," · Falta canal","")&amp;IF($F368=""," · Falta SKU","")&amp;IF(AND($F368&lt;&gt;"",COUNTIF(tblProductos[SKU],$F368)=0)," · SKU no existe","")&amp;IF(OR($I368="",NOT(ISNUMBER($I368)),$I368&lt;=0)," · Cantidad inválida","")&amp;IF($M368="PRECIO PENDIENTE"," · Falta precio de venta","")&amp;IF($P368="COSTO PENDIENTE"," · Falta costo del producto","")&amp;IF(AND(ISNUMBER($Q368),$Q368&lt;0)," · UTILIDAD NEGATIVA","")&amp;IF(AND($F368&lt;&gt;"",ISNUMBER(INDEX(tblInventario[Stock actual],MATCH($F368,tblInventario[SKU],0))),INDEX(tblInventario[Stock actual],MATCH($F368,tblInventario[SKU],0))&lt;0)," · Stock negativo del SKU","")&amp;IF(AND($T368="Cobrado",$U368="")," · Cobro sin fecha","")&amp;IF(AND(ISNUMBER($V368),ISNUMBER($N368),$V368&gt;N($N368)+0.01)," · Cobrado &gt; venta neta","")&amp;IF(AND(ISNUMBER($V368),$V368&gt;0,$U368="")," · Monto cobrado sin fecha","")="","OK",MID(IF($B368=""," · Falta fecha","")&amp;IF($D368=""," · Falta cliente","")&amp;IF($E368=""," · Falta canal","")&amp;IF($F368=""," · Falta SKU","")&amp;IF(AND($F368&lt;&gt;"",COUNTIF(tblProductos[SKU],$F368)=0)," · SKU no existe","")&amp;IF(OR($I368="",NOT(ISNUMBER($I368)),$I368&lt;=0)," · Cantidad inválida","")&amp;IF($M368="PRECIO PENDIENTE"," · Falta precio de venta","")&amp;IF($P368="COSTO PENDIENTE"," · Falta costo del producto","")&amp;IF(AND(ISNUMBER($Q368),$Q368&lt;0)," · UTILIDAD NEGATIVA","")&amp;IF(AND($F368&lt;&gt;"",ISNUMBER(INDEX(tblInventario[Stock actual],MATCH($F368,tblInventario[SKU],0))),INDEX(tblInventario[Stock actual],MATCH($F368,tblInventario[SKU],0))&lt;0)," · Stock negativo del SKU","")&amp;IF(AND($T368="Cobrado",$U368="")," · Cobro sin fecha","")&amp;IF(AND(ISNUMBER($V368),ISNUMBER($N368),$V368&gt;N($N368)+0.01)," · Cobrado &gt; venta neta","")&amp;IF(AND(ISNUMBER($V368),$V368&gt;0,$U368="")," · Monto cobrado sin fecha",""),4,900)))</f>
        <v/>
      </c>
    </row>
    <row r="369">
      <c r="A369" s="51">
        <f>IF(COUNTA($B369,$C369,$D369,$E369,$F369,$I369)=0,"","V-"&amp;TEXT(ROW()-6,"0000"))</f>
        <v/>
      </c>
      <c r="B369" s="41" t="n"/>
      <c r="C369" s="33" t="n"/>
      <c r="D369" s="33" t="n"/>
      <c r="E369" s="33" t="n"/>
      <c r="F369" s="33" t="n"/>
      <c r="G369" s="51">
        <f>IF($F369="","",IFERROR(IF(INDEX(tblProductos[Nombre del producto],MATCH($F369,tblProductos[SKU],0))="","",INDEX(tblProductos[Nombre del producto],MATCH($F369,tblProductos[SKU],0))),""))</f>
        <v/>
      </c>
      <c r="H369" s="51">
        <f>IF($F369="","",IFERROR(IF(INDEX(tblProductos[Categoría],MATCH($F369,tblProductos[SKU],0))="","",INDEX(tblProductos[Categoría],MATCH($F369,tblProductos[SKU],0))),""))</f>
        <v/>
      </c>
      <c r="I369" s="34" t="n"/>
      <c r="J369" s="39">
        <f>IF(OR($B369="",$F369="",$I369=""),"",IF($T369="Anulado",0,$I369))</f>
        <v/>
      </c>
      <c r="K369" s="54">
        <f>IF($F369="","",IFERROR(IF(INDEX(tblProductos[Precio de venta actual],MATCH($F369,tblProductos[SKU],0))="","",INDEX(tblProductos[Precio de venta actual],MATCH($F369,tblProductos[SKU],0))),""))</f>
        <v/>
      </c>
      <c r="L369" s="36" t="n"/>
      <c r="M369" s="37">
        <f>IF($J369="","",IF(NOT(ISNUMBER($K369)),"PRECIO PENDIENTE",$J369*$K369))</f>
        <v/>
      </c>
      <c r="N369" s="37">
        <f>IF($J369="","",IF(NOT(ISNUMBER($M369)),"PRECIO PENDIENTE",$M369-IF(ISNUMBER($L369),$L369,0)))</f>
        <v/>
      </c>
      <c r="O369" s="54">
        <f>IF($F369="","",IFERROR(INDEX(tblInventario[Costo unitario aplicado],MATCH($F369,tblInventario[SKU],0)),""))</f>
        <v/>
      </c>
      <c r="P369" s="37">
        <f>IF($J369="","",IF(NOT(ISNUMBER($O369)),"COSTO PENDIENTE",$J369*$O369))</f>
        <v/>
      </c>
      <c r="Q369" s="37">
        <f>IF($J369="","",IF(OR(NOT(ISNUMBER($N369)),NOT(ISNUMBER($P369))),"PENDIENTE",$N369-$P369))</f>
        <v/>
      </c>
      <c r="R369" s="38">
        <f>IF($J369="","",IF(OR(NOT(ISNUMBER($Q369)),NOT(ISNUMBER($N369)),$N369&lt;=0),"PENDIENTE",$Q369/$N369))</f>
        <v/>
      </c>
      <c r="S369" s="33" t="n"/>
      <c r="T369" s="33" t="n"/>
      <c r="U369" s="41" t="n"/>
      <c r="V369" s="36" t="n"/>
      <c r="W369" s="37">
        <f>IF(NOT(ISNUMBER($N369)),"",$N369-IF(ISNUMBER($V369),$V369,0))</f>
        <v/>
      </c>
      <c r="X369" s="33" t="n"/>
      <c r="Y369" s="51">
        <f>IF(COUNTA($B369,$C369,$D369,$E369,$F369,$I369)=0,"",IF(IF($B369=""," · Falta fecha","")&amp;IF($D369=""," · Falta cliente","")&amp;IF($E369=""," · Falta canal","")&amp;IF($F369=""," · Falta SKU","")&amp;IF(AND($F369&lt;&gt;"",COUNTIF(tblProductos[SKU],$F369)=0)," · SKU no existe","")&amp;IF(OR($I369="",NOT(ISNUMBER($I369)),$I369&lt;=0)," · Cantidad inválida","")&amp;IF($M369="PRECIO PENDIENTE"," · Falta precio de venta","")&amp;IF($P369="COSTO PENDIENTE"," · Falta costo del producto","")&amp;IF(AND(ISNUMBER($Q369),$Q369&lt;0)," · UTILIDAD NEGATIVA","")&amp;IF(AND($F369&lt;&gt;"",ISNUMBER(INDEX(tblInventario[Stock actual],MATCH($F369,tblInventario[SKU],0))),INDEX(tblInventario[Stock actual],MATCH($F369,tblInventario[SKU],0))&lt;0)," · Stock negativo del SKU","")&amp;IF(AND($T369="Cobrado",$U369="")," · Cobro sin fecha","")&amp;IF(AND(ISNUMBER($V369),ISNUMBER($N369),$V369&gt;N($N369)+0.01)," · Cobrado &gt; venta neta","")&amp;IF(AND(ISNUMBER($V369),$V369&gt;0,$U369="")," · Monto cobrado sin fecha","")="","OK",MID(IF($B369=""," · Falta fecha","")&amp;IF($D369=""," · Falta cliente","")&amp;IF($E369=""," · Falta canal","")&amp;IF($F369=""," · Falta SKU","")&amp;IF(AND($F369&lt;&gt;"",COUNTIF(tblProductos[SKU],$F369)=0)," · SKU no existe","")&amp;IF(OR($I369="",NOT(ISNUMBER($I369)),$I369&lt;=0)," · Cantidad inválida","")&amp;IF($M369="PRECIO PENDIENTE"," · Falta precio de venta","")&amp;IF($P369="COSTO PENDIENTE"," · Falta costo del producto","")&amp;IF(AND(ISNUMBER($Q369),$Q369&lt;0)," · UTILIDAD NEGATIVA","")&amp;IF(AND($F369&lt;&gt;"",ISNUMBER(INDEX(tblInventario[Stock actual],MATCH($F369,tblInventario[SKU],0))),INDEX(tblInventario[Stock actual],MATCH($F369,tblInventario[SKU],0))&lt;0)," · Stock negativo del SKU","")&amp;IF(AND($T369="Cobrado",$U369="")," · Cobro sin fecha","")&amp;IF(AND(ISNUMBER($V369),ISNUMBER($N369),$V369&gt;N($N369)+0.01)," · Cobrado &gt; venta neta","")&amp;IF(AND(ISNUMBER($V369),$V369&gt;0,$U369="")," · Monto cobrado sin fecha",""),4,900)))</f>
        <v/>
      </c>
    </row>
    <row r="370">
      <c r="A370" s="51">
        <f>IF(COUNTA($B370,$C370,$D370,$E370,$F370,$I370)=0,"","V-"&amp;TEXT(ROW()-6,"0000"))</f>
        <v/>
      </c>
      <c r="B370" s="41" t="n"/>
      <c r="C370" s="33" t="n"/>
      <c r="D370" s="33" t="n"/>
      <c r="E370" s="33" t="n"/>
      <c r="F370" s="33" t="n"/>
      <c r="G370" s="51">
        <f>IF($F370="","",IFERROR(IF(INDEX(tblProductos[Nombre del producto],MATCH($F370,tblProductos[SKU],0))="","",INDEX(tblProductos[Nombre del producto],MATCH($F370,tblProductos[SKU],0))),""))</f>
        <v/>
      </c>
      <c r="H370" s="51">
        <f>IF($F370="","",IFERROR(IF(INDEX(tblProductos[Categoría],MATCH($F370,tblProductos[SKU],0))="","",INDEX(tblProductos[Categoría],MATCH($F370,tblProductos[SKU],0))),""))</f>
        <v/>
      </c>
      <c r="I370" s="34" t="n"/>
      <c r="J370" s="39">
        <f>IF(OR($B370="",$F370="",$I370=""),"",IF($T370="Anulado",0,$I370))</f>
        <v/>
      </c>
      <c r="K370" s="54">
        <f>IF($F370="","",IFERROR(IF(INDEX(tblProductos[Precio de venta actual],MATCH($F370,tblProductos[SKU],0))="","",INDEX(tblProductos[Precio de venta actual],MATCH($F370,tblProductos[SKU],0))),""))</f>
        <v/>
      </c>
      <c r="L370" s="36" t="n"/>
      <c r="M370" s="37">
        <f>IF($J370="","",IF(NOT(ISNUMBER($K370)),"PRECIO PENDIENTE",$J370*$K370))</f>
        <v/>
      </c>
      <c r="N370" s="37">
        <f>IF($J370="","",IF(NOT(ISNUMBER($M370)),"PRECIO PENDIENTE",$M370-IF(ISNUMBER($L370),$L370,0)))</f>
        <v/>
      </c>
      <c r="O370" s="54">
        <f>IF($F370="","",IFERROR(INDEX(tblInventario[Costo unitario aplicado],MATCH($F370,tblInventario[SKU],0)),""))</f>
        <v/>
      </c>
      <c r="P370" s="37">
        <f>IF($J370="","",IF(NOT(ISNUMBER($O370)),"COSTO PENDIENTE",$J370*$O370))</f>
        <v/>
      </c>
      <c r="Q370" s="37">
        <f>IF($J370="","",IF(OR(NOT(ISNUMBER($N370)),NOT(ISNUMBER($P370))),"PENDIENTE",$N370-$P370))</f>
        <v/>
      </c>
      <c r="R370" s="38">
        <f>IF($J370="","",IF(OR(NOT(ISNUMBER($Q370)),NOT(ISNUMBER($N370)),$N370&lt;=0),"PENDIENTE",$Q370/$N370))</f>
        <v/>
      </c>
      <c r="S370" s="33" t="n"/>
      <c r="T370" s="33" t="n"/>
      <c r="U370" s="41" t="n"/>
      <c r="V370" s="36" t="n"/>
      <c r="W370" s="37">
        <f>IF(NOT(ISNUMBER($N370)),"",$N370-IF(ISNUMBER($V370),$V370,0))</f>
        <v/>
      </c>
      <c r="X370" s="33" t="n"/>
      <c r="Y370" s="51">
        <f>IF(COUNTA($B370,$C370,$D370,$E370,$F370,$I370)=0,"",IF(IF($B370=""," · Falta fecha","")&amp;IF($D370=""," · Falta cliente","")&amp;IF($E370=""," · Falta canal","")&amp;IF($F370=""," · Falta SKU","")&amp;IF(AND($F370&lt;&gt;"",COUNTIF(tblProductos[SKU],$F370)=0)," · SKU no existe","")&amp;IF(OR($I370="",NOT(ISNUMBER($I370)),$I370&lt;=0)," · Cantidad inválida","")&amp;IF($M370="PRECIO PENDIENTE"," · Falta precio de venta","")&amp;IF($P370="COSTO PENDIENTE"," · Falta costo del producto","")&amp;IF(AND(ISNUMBER($Q370),$Q370&lt;0)," · UTILIDAD NEGATIVA","")&amp;IF(AND($F370&lt;&gt;"",ISNUMBER(INDEX(tblInventario[Stock actual],MATCH($F370,tblInventario[SKU],0))),INDEX(tblInventario[Stock actual],MATCH($F370,tblInventario[SKU],0))&lt;0)," · Stock negativo del SKU","")&amp;IF(AND($T370="Cobrado",$U370="")," · Cobro sin fecha","")&amp;IF(AND(ISNUMBER($V370),ISNUMBER($N370),$V370&gt;N($N370)+0.01)," · Cobrado &gt; venta neta","")&amp;IF(AND(ISNUMBER($V370),$V370&gt;0,$U370="")," · Monto cobrado sin fecha","")="","OK",MID(IF($B370=""," · Falta fecha","")&amp;IF($D370=""," · Falta cliente","")&amp;IF($E370=""," · Falta canal","")&amp;IF($F370=""," · Falta SKU","")&amp;IF(AND($F370&lt;&gt;"",COUNTIF(tblProductos[SKU],$F370)=0)," · SKU no existe","")&amp;IF(OR($I370="",NOT(ISNUMBER($I370)),$I370&lt;=0)," · Cantidad inválida","")&amp;IF($M370="PRECIO PENDIENTE"," · Falta precio de venta","")&amp;IF($P370="COSTO PENDIENTE"," · Falta costo del producto","")&amp;IF(AND(ISNUMBER($Q370),$Q370&lt;0)," · UTILIDAD NEGATIVA","")&amp;IF(AND($F370&lt;&gt;"",ISNUMBER(INDEX(tblInventario[Stock actual],MATCH($F370,tblInventario[SKU],0))),INDEX(tblInventario[Stock actual],MATCH($F370,tblInventario[SKU],0))&lt;0)," · Stock negativo del SKU","")&amp;IF(AND($T370="Cobrado",$U370="")," · Cobro sin fecha","")&amp;IF(AND(ISNUMBER($V370),ISNUMBER($N370),$V370&gt;N($N370)+0.01)," · Cobrado &gt; venta neta","")&amp;IF(AND(ISNUMBER($V370),$V370&gt;0,$U370="")," · Monto cobrado sin fecha",""),4,900)))</f>
        <v/>
      </c>
    </row>
    <row r="371">
      <c r="A371" s="51">
        <f>IF(COUNTA($B371,$C371,$D371,$E371,$F371,$I371)=0,"","V-"&amp;TEXT(ROW()-6,"0000"))</f>
        <v/>
      </c>
      <c r="B371" s="41" t="n"/>
      <c r="C371" s="33" t="n"/>
      <c r="D371" s="33" t="n"/>
      <c r="E371" s="33" t="n"/>
      <c r="F371" s="33" t="n"/>
      <c r="G371" s="51">
        <f>IF($F371="","",IFERROR(IF(INDEX(tblProductos[Nombre del producto],MATCH($F371,tblProductos[SKU],0))="","",INDEX(tblProductos[Nombre del producto],MATCH($F371,tblProductos[SKU],0))),""))</f>
        <v/>
      </c>
      <c r="H371" s="51">
        <f>IF($F371="","",IFERROR(IF(INDEX(tblProductos[Categoría],MATCH($F371,tblProductos[SKU],0))="","",INDEX(tblProductos[Categoría],MATCH($F371,tblProductos[SKU],0))),""))</f>
        <v/>
      </c>
      <c r="I371" s="34" t="n"/>
      <c r="J371" s="39">
        <f>IF(OR($B371="",$F371="",$I371=""),"",IF($T371="Anulado",0,$I371))</f>
        <v/>
      </c>
      <c r="K371" s="54">
        <f>IF($F371="","",IFERROR(IF(INDEX(tblProductos[Precio de venta actual],MATCH($F371,tblProductos[SKU],0))="","",INDEX(tblProductos[Precio de venta actual],MATCH($F371,tblProductos[SKU],0))),""))</f>
        <v/>
      </c>
      <c r="L371" s="36" t="n"/>
      <c r="M371" s="37">
        <f>IF($J371="","",IF(NOT(ISNUMBER($K371)),"PRECIO PENDIENTE",$J371*$K371))</f>
        <v/>
      </c>
      <c r="N371" s="37">
        <f>IF($J371="","",IF(NOT(ISNUMBER($M371)),"PRECIO PENDIENTE",$M371-IF(ISNUMBER($L371),$L371,0)))</f>
        <v/>
      </c>
      <c r="O371" s="54">
        <f>IF($F371="","",IFERROR(INDEX(tblInventario[Costo unitario aplicado],MATCH($F371,tblInventario[SKU],0)),""))</f>
        <v/>
      </c>
      <c r="P371" s="37">
        <f>IF($J371="","",IF(NOT(ISNUMBER($O371)),"COSTO PENDIENTE",$J371*$O371))</f>
        <v/>
      </c>
      <c r="Q371" s="37">
        <f>IF($J371="","",IF(OR(NOT(ISNUMBER($N371)),NOT(ISNUMBER($P371))),"PENDIENTE",$N371-$P371))</f>
        <v/>
      </c>
      <c r="R371" s="38">
        <f>IF($J371="","",IF(OR(NOT(ISNUMBER($Q371)),NOT(ISNUMBER($N371)),$N371&lt;=0),"PENDIENTE",$Q371/$N371))</f>
        <v/>
      </c>
      <c r="S371" s="33" t="n"/>
      <c r="T371" s="33" t="n"/>
      <c r="U371" s="41" t="n"/>
      <c r="V371" s="36" t="n"/>
      <c r="W371" s="37">
        <f>IF(NOT(ISNUMBER($N371)),"",$N371-IF(ISNUMBER($V371),$V371,0))</f>
        <v/>
      </c>
      <c r="X371" s="33" t="n"/>
      <c r="Y371" s="51">
        <f>IF(COUNTA($B371,$C371,$D371,$E371,$F371,$I371)=0,"",IF(IF($B371=""," · Falta fecha","")&amp;IF($D371=""," · Falta cliente","")&amp;IF($E371=""," · Falta canal","")&amp;IF($F371=""," · Falta SKU","")&amp;IF(AND($F371&lt;&gt;"",COUNTIF(tblProductos[SKU],$F371)=0)," · SKU no existe","")&amp;IF(OR($I371="",NOT(ISNUMBER($I371)),$I371&lt;=0)," · Cantidad inválida","")&amp;IF($M371="PRECIO PENDIENTE"," · Falta precio de venta","")&amp;IF($P371="COSTO PENDIENTE"," · Falta costo del producto","")&amp;IF(AND(ISNUMBER($Q371),$Q371&lt;0)," · UTILIDAD NEGATIVA","")&amp;IF(AND($F371&lt;&gt;"",ISNUMBER(INDEX(tblInventario[Stock actual],MATCH($F371,tblInventario[SKU],0))),INDEX(tblInventario[Stock actual],MATCH($F371,tblInventario[SKU],0))&lt;0)," · Stock negativo del SKU","")&amp;IF(AND($T371="Cobrado",$U371="")," · Cobro sin fecha","")&amp;IF(AND(ISNUMBER($V371),ISNUMBER($N371),$V371&gt;N($N371)+0.01)," · Cobrado &gt; venta neta","")&amp;IF(AND(ISNUMBER($V371),$V371&gt;0,$U371="")," · Monto cobrado sin fecha","")="","OK",MID(IF($B371=""," · Falta fecha","")&amp;IF($D371=""," · Falta cliente","")&amp;IF($E371=""," · Falta canal","")&amp;IF($F371=""," · Falta SKU","")&amp;IF(AND($F371&lt;&gt;"",COUNTIF(tblProductos[SKU],$F371)=0)," · SKU no existe","")&amp;IF(OR($I371="",NOT(ISNUMBER($I371)),$I371&lt;=0)," · Cantidad inválida","")&amp;IF($M371="PRECIO PENDIENTE"," · Falta precio de venta","")&amp;IF($P371="COSTO PENDIENTE"," · Falta costo del producto","")&amp;IF(AND(ISNUMBER($Q371),$Q371&lt;0)," · UTILIDAD NEGATIVA","")&amp;IF(AND($F371&lt;&gt;"",ISNUMBER(INDEX(tblInventario[Stock actual],MATCH($F371,tblInventario[SKU],0))),INDEX(tblInventario[Stock actual],MATCH($F371,tblInventario[SKU],0))&lt;0)," · Stock negativo del SKU","")&amp;IF(AND($T371="Cobrado",$U371="")," · Cobro sin fecha","")&amp;IF(AND(ISNUMBER($V371),ISNUMBER($N371),$V371&gt;N($N371)+0.01)," · Cobrado &gt; venta neta","")&amp;IF(AND(ISNUMBER($V371),$V371&gt;0,$U371="")," · Monto cobrado sin fecha",""),4,900)))</f>
        <v/>
      </c>
    </row>
    <row r="372">
      <c r="A372" s="51">
        <f>IF(COUNTA($B372,$C372,$D372,$E372,$F372,$I372)=0,"","V-"&amp;TEXT(ROW()-6,"0000"))</f>
        <v/>
      </c>
      <c r="B372" s="41" t="n"/>
      <c r="C372" s="33" t="n"/>
      <c r="D372" s="33" t="n"/>
      <c r="E372" s="33" t="n"/>
      <c r="F372" s="33" t="n"/>
      <c r="G372" s="51">
        <f>IF($F372="","",IFERROR(IF(INDEX(tblProductos[Nombre del producto],MATCH($F372,tblProductos[SKU],0))="","",INDEX(tblProductos[Nombre del producto],MATCH($F372,tblProductos[SKU],0))),""))</f>
        <v/>
      </c>
      <c r="H372" s="51">
        <f>IF($F372="","",IFERROR(IF(INDEX(tblProductos[Categoría],MATCH($F372,tblProductos[SKU],0))="","",INDEX(tblProductos[Categoría],MATCH($F372,tblProductos[SKU],0))),""))</f>
        <v/>
      </c>
      <c r="I372" s="34" t="n"/>
      <c r="J372" s="39">
        <f>IF(OR($B372="",$F372="",$I372=""),"",IF($T372="Anulado",0,$I372))</f>
        <v/>
      </c>
      <c r="K372" s="54">
        <f>IF($F372="","",IFERROR(IF(INDEX(tblProductos[Precio de venta actual],MATCH($F372,tblProductos[SKU],0))="","",INDEX(tblProductos[Precio de venta actual],MATCH($F372,tblProductos[SKU],0))),""))</f>
        <v/>
      </c>
      <c r="L372" s="36" t="n"/>
      <c r="M372" s="37">
        <f>IF($J372="","",IF(NOT(ISNUMBER($K372)),"PRECIO PENDIENTE",$J372*$K372))</f>
        <v/>
      </c>
      <c r="N372" s="37">
        <f>IF($J372="","",IF(NOT(ISNUMBER($M372)),"PRECIO PENDIENTE",$M372-IF(ISNUMBER($L372),$L372,0)))</f>
        <v/>
      </c>
      <c r="O372" s="54">
        <f>IF($F372="","",IFERROR(INDEX(tblInventario[Costo unitario aplicado],MATCH($F372,tblInventario[SKU],0)),""))</f>
        <v/>
      </c>
      <c r="P372" s="37">
        <f>IF($J372="","",IF(NOT(ISNUMBER($O372)),"COSTO PENDIENTE",$J372*$O372))</f>
        <v/>
      </c>
      <c r="Q372" s="37">
        <f>IF($J372="","",IF(OR(NOT(ISNUMBER($N372)),NOT(ISNUMBER($P372))),"PENDIENTE",$N372-$P372))</f>
        <v/>
      </c>
      <c r="R372" s="38">
        <f>IF($J372="","",IF(OR(NOT(ISNUMBER($Q372)),NOT(ISNUMBER($N372)),$N372&lt;=0),"PENDIENTE",$Q372/$N372))</f>
        <v/>
      </c>
      <c r="S372" s="33" t="n"/>
      <c r="T372" s="33" t="n"/>
      <c r="U372" s="41" t="n"/>
      <c r="V372" s="36" t="n"/>
      <c r="W372" s="37">
        <f>IF(NOT(ISNUMBER($N372)),"",$N372-IF(ISNUMBER($V372),$V372,0))</f>
        <v/>
      </c>
      <c r="X372" s="33" t="n"/>
      <c r="Y372" s="51">
        <f>IF(COUNTA($B372,$C372,$D372,$E372,$F372,$I372)=0,"",IF(IF($B372=""," · Falta fecha","")&amp;IF($D372=""," · Falta cliente","")&amp;IF($E372=""," · Falta canal","")&amp;IF($F372=""," · Falta SKU","")&amp;IF(AND($F372&lt;&gt;"",COUNTIF(tblProductos[SKU],$F372)=0)," · SKU no existe","")&amp;IF(OR($I372="",NOT(ISNUMBER($I372)),$I372&lt;=0)," · Cantidad inválida","")&amp;IF($M372="PRECIO PENDIENTE"," · Falta precio de venta","")&amp;IF($P372="COSTO PENDIENTE"," · Falta costo del producto","")&amp;IF(AND(ISNUMBER($Q372),$Q372&lt;0)," · UTILIDAD NEGATIVA","")&amp;IF(AND($F372&lt;&gt;"",ISNUMBER(INDEX(tblInventario[Stock actual],MATCH($F372,tblInventario[SKU],0))),INDEX(tblInventario[Stock actual],MATCH($F372,tblInventario[SKU],0))&lt;0)," · Stock negativo del SKU","")&amp;IF(AND($T372="Cobrado",$U372="")," · Cobro sin fecha","")&amp;IF(AND(ISNUMBER($V372),ISNUMBER($N372),$V372&gt;N($N372)+0.01)," · Cobrado &gt; venta neta","")&amp;IF(AND(ISNUMBER($V372),$V372&gt;0,$U372="")," · Monto cobrado sin fecha","")="","OK",MID(IF($B372=""," · Falta fecha","")&amp;IF($D372=""," · Falta cliente","")&amp;IF($E372=""," · Falta canal","")&amp;IF($F372=""," · Falta SKU","")&amp;IF(AND($F372&lt;&gt;"",COUNTIF(tblProductos[SKU],$F372)=0)," · SKU no existe","")&amp;IF(OR($I372="",NOT(ISNUMBER($I372)),$I372&lt;=0)," · Cantidad inválida","")&amp;IF($M372="PRECIO PENDIENTE"," · Falta precio de venta","")&amp;IF($P372="COSTO PENDIENTE"," · Falta costo del producto","")&amp;IF(AND(ISNUMBER($Q372),$Q372&lt;0)," · UTILIDAD NEGATIVA","")&amp;IF(AND($F372&lt;&gt;"",ISNUMBER(INDEX(tblInventario[Stock actual],MATCH($F372,tblInventario[SKU],0))),INDEX(tblInventario[Stock actual],MATCH($F372,tblInventario[SKU],0))&lt;0)," · Stock negativo del SKU","")&amp;IF(AND($T372="Cobrado",$U372="")," · Cobro sin fecha","")&amp;IF(AND(ISNUMBER($V372),ISNUMBER($N372),$V372&gt;N($N372)+0.01)," · Cobrado &gt; venta neta","")&amp;IF(AND(ISNUMBER($V372),$V372&gt;0,$U372="")," · Monto cobrado sin fecha",""),4,900)))</f>
        <v/>
      </c>
    </row>
    <row r="373">
      <c r="A373" s="51">
        <f>IF(COUNTA($B373,$C373,$D373,$E373,$F373,$I373)=0,"","V-"&amp;TEXT(ROW()-6,"0000"))</f>
        <v/>
      </c>
      <c r="B373" s="41" t="n"/>
      <c r="C373" s="33" t="n"/>
      <c r="D373" s="33" t="n"/>
      <c r="E373" s="33" t="n"/>
      <c r="F373" s="33" t="n"/>
      <c r="G373" s="51">
        <f>IF($F373="","",IFERROR(IF(INDEX(tblProductos[Nombre del producto],MATCH($F373,tblProductos[SKU],0))="","",INDEX(tblProductos[Nombre del producto],MATCH($F373,tblProductos[SKU],0))),""))</f>
        <v/>
      </c>
      <c r="H373" s="51">
        <f>IF($F373="","",IFERROR(IF(INDEX(tblProductos[Categoría],MATCH($F373,tblProductos[SKU],0))="","",INDEX(tblProductos[Categoría],MATCH($F373,tblProductos[SKU],0))),""))</f>
        <v/>
      </c>
      <c r="I373" s="34" t="n"/>
      <c r="J373" s="39">
        <f>IF(OR($B373="",$F373="",$I373=""),"",IF($T373="Anulado",0,$I373))</f>
        <v/>
      </c>
      <c r="K373" s="54">
        <f>IF($F373="","",IFERROR(IF(INDEX(tblProductos[Precio de venta actual],MATCH($F373,tblProductos[SKU],0))="","",INDEX(tblProductos[Precio de venta actual],MATCH($F373,tblProductos[SKU],0))),""))</f>
        <v/>
      </c>
      <c r="L373" s="36" t="n"/>
      <c r="M373" s="37">
        <f>IF($J373="","",IF(NOT(ISNUMBER($K373)),"PRECIO PENDIENTE",$J373*$K373))</f>
        <v/>
      </c>
      <c r="N373" s="37">
        <f>IF($J373="","",IF(NOT(ISNUMBER($M373)),"PRECIO PENDIENTE",$M373-IF(ISNUMBER($L373),$L373,0)))</f>
        <v/>
      </c>
      <c r="O373" s="54">
        <f>IF($F373="","",IFERROR(INDEX(tblInventario[Costo unitario aplicado],MATCH($F373,tblInventario[SKU],0)),""))</f>
        <v/>
      </c>
      <c r="P373" s="37">
        <f>IF($J373="","",IF(NOT(ISNUMBER($O373)),"COSTO PENDIENTE",$J373*$O373))</f>
        <v/>
      </c>
      <c r="Q373" s="37">
        <f>IF($J373="","",IF(OR(NOT(ISNUMBER($N373)),NOT(ISNUMBER($P373))),"PENDIENTE",$N373-$P373))</f>
        <v/>
      </c>
      <c r="R373" s="38">
        <f>IF($J373="","",IF(OR(NOT(ISNUMBER($Q373)),NOT(ISNUMBER($N373)),$N373&lt;=0),"PENDIENTE",$Q373/$N373))</f>
        <v/>
      </c>
      <c r="S373" s="33" t="n"/>
      <c r="T373" s="33" t="n"/>
      <c r="U373" s="41" t="n"/>
      <c r="V373" s="36" t="n"/>
      <c r="W373" s="37">
        <f>IF(NOT(ISNUMBER($N373)),"",$N373-IF(ISNUMBER($V373),$V373,0))</f>
        <v/>
      </c>
      <c r="X373" s="33" t="n"/>
      <c r="Y373" s="51">
        <f>IF(COUNTA($B373,$C373,$D373,$E373,$F373,$I373)=0,"",IF(IF($B373=""," · Falta fecha","")&amp;IF($D373=""," · Falta cliente","")&amp;IF($E373=""," · Falta canal","")&amp;IF($F373=""," · Falta SKU","")&amp;IF(AND($F373&lt;&gt;"",COUNTIF(tblProductos[SKU],$F373)=0)," · SKU no existe","")&amp;IF(OR($I373="",NOT(ISNUMBER($I373)),$I373&lt;=0)," · Cantidad inválida","")&amp;IF($M373="PRECIO PENDIENTE"," · Falta precio de venta","")&amp;IF($P373="COSTO PENDIENTE"," · Falta costo del producto","")&amp;IF(AND(ISNUMBER($Q373),$Q373&lt;0)," · UTILIDAD NEGATIVA","")&amp;IF(AND($F373&lt;&gt;"",ISNUMBER(INDEX(tblInventario[Stock actual],MATCH($F373,tblInventario[SKU],0))),INDEX(tblInventario[Stock actual],MATCH($F373,tblInventario[SKU],0))&lt;0)," · Stock negativo del SKU","")&amp;IF(AND($T373="Cobrado",$U373="")," · Cobro sin fecha","")&amp;IF(AND(ISNUMBER($V373),ISNUMBER($N373),$V373&gt;N($N373)+0.01)," · Cobrado &gt; venta neta","")&amp;IF(AND(ISNUMBER($V373),$V373&gt;0,$U373="")," · Monto cobrado sin fecha","")="","OK",MID(IF($B373=""," · Falta fecha","")&amp;IF($D373=""," · Falta cliente","")&amp;IF($E373=""," · Falta canal","")&amp;IF($F373=""," · Falta SKU","")&amp;IF(AND($F373&lt;&gt;"",COUNTIF(tblProductos[SKU],$F373)=0)," · SKU no existe","")&amp;IF(OR($I373="",NOT(ISNUMBER($I373)),$I373&lt;=0)," · Cantidad inválida","")&amp;IF($M373="PRECIO PENDIENTE"," · Falta precio de venta","")&amp;IF($P373="COSTO PENDIENTE"," · Falta costo del producto","")&amp;IF(AND(ISNUMBER($Q373),$Q373&lt;0)," · UTILIDAD NEGATIVA","")&amp;IF(AND($F373&lt;&gt;"",ISNUMBER(INDEX(tblInventario[Stock actual],MATCH($F373,tblInventario[SKU],0))),INDEX(tblInventario[Stock actual],MATCH($F373,tblInventario[SKU],0))&lt;0)," · Stock negativo del SKU","")&amp;IF(AND($T373="Cobrado",$U373="")," · Cobro sin fecha","")&amp;IF(AND(ISNUMBER($V373),ISNUMBER($N373),$V373&gt;N($N373)+0.01)," · Cobrado &gt; venta neta","")&amp;IF(AND(ISNUMBER($V373),$V373&gt;0,$U373="")," · Monto cobrado sin fecha",""),4,900)))</f>
        <v/>
      </c>
    </row>
    <row r="374">
      <c r="A374" s="51">
        <f>IF(COUNTA($B374,$C374,$D374,$E374,$F374,$I374)=0,"","V-"&amp;TEXT(ROW()-6,"0000"))</f>
        <v/>
      </c>
      <c r="B374" s="41" t="n"/>
      <c r="C374" s="33" t="n"/>
      <c r="D374" s="33" t="n"/>
      <c r="E374" s="33" t="n"/>
      <c r="F374" s="33" t="n"/>
      <c r="G374" s="51">
        <f>IF($F374="","",IFERROR(IF(INDEX(tblProductos[Nombre del producto],MATCH($F374,tblProductos[SKU],0))="","",INDEX(tblProductos[Nombre del producto],MATCH($F374,tblProductos[SKU],0))),""))</f>
        <v/>
      </c>
      <c r="H374" s="51">
        <f>IF($F374="","",IFERROR(IF(INDEX(tblProductos[Categoría],MATCH($F374,tblProductos[SKU],0))="","",INDEX(tblProductos[Categoría],MATCH($F374,tblProductos[SKU],0))),""))</f>
        <v/>
      </c>
      <c r="I374" s="34" t="n"/>
      <c r="J374" s="39">
        <f>IF(OR($B374="",$F374="",$I374=""),"",IF($T374="Anulado",0,$I374))</f>
        <v/>
      </c>
      <c r="K374" s="54">
        <f>IF($F374="","",IFERROR(IF(INDEX(tblProductos[Precio de venta actual],MATCH($F374,tblProductos[SKU],0))="","",INDEX(tblProductos[Precio de venta actual],MATCH($F374,tblProductos[SKU],0))),""))</f>
        <v/>
      </c>
      <c r="L374" s="36" t="n"/>
      <c r="M374" s="37">
        <f>IF($J374="","",IF(NOT(ISNUMBER($K374)),"PRECIO PENDIENTE",$J374*$K374))</f>
        <v/>
      </c>
      <c r="N374" s="37">
        <f>IF($J374="","",IF(NOT(ISNUMBER($M374)),"PRECIO PENDIENTE",$M374-IF(ISNUMBER($L374),$L374,0)))</f>
        <v/>
      </c>
      <c r="O374" s="54">
        <f>IF($F374="","",IFERROR(INDEX(tblInventario[Costo unitario aplicado],MATCH($F374,tblInventario[SKU],0)),""))</f>
        <v/>
      </c>
      <c r="P374" s="37">
        <f>IF($J374="","",IF(NOT(ISNUMBER($O374)),"COSTO PENDIENTE",$J374*$O374))</f>
        <v/>
      </c>
      <c r="Q374" s="37">
        <f>IF($J374="","",IF(OR(NOT(ISNUMBER($N374)),NOT(ISNUMBER($P374))),"PENDIENTE",$N374-$P374))</f>
        <v/>
      </c>
      <c r="R374" s="38">
        <f>IF($J374="","",IF(OR(NOT(ISNUMBER($Q374)),NOT(ISNUMBER($N374)),$N374&lt;=0),"PENDIENTE",$Q374/$N374))</f>
        <v/>
      </c>
      <c r="S374" s="33" t="n"/>
      <c r="T374" s="33" t="n"/>
      <c r="U374" s="41" t="n"/>
      <c r="V374" s="36" t="n"/>
      <c r="W374" s="37">
        <f>IF(NOT(ISNUMBER($N374)),"",$N374-IF(ISNUMBER($V374),$V374,0))</f>
        <v/>
      </c>
      <c r="X374" s="33" t="n"/>
      <c r="Y374" s="51">
        <f>IF(COUNTA($B374,$C374,$D374,$E374,$F374,$I374)=0,"",IF(IF($B374=""," · Falta fecha","")&amp;IF($D374=""," · Falta cliente","")&amp;IF($E374=""," · Falta canal","")&amp;IF($F374=""," · Falta SKU","")&amp;IF(AND($F374&lt;&gt;"",COUNTIF(tblProductos[SKU],$F374)=0)," · SKU no existe","")&amp;IF(OR($I374="",NOT(ISNUMBER($I374)),$I374&lt;=0)," · Cantidad inválida","")&amp;IF($M374="PRECIO PENDIENTE"," · Falta precio de venta","")&amp;IF($P374="COSTO PENDIENTE"," · Falta costo del producto","")&amp;IF(AND(ISNUMBER($Q374),$Q374&lt;0)," · UTILIDAD NEGATIVA","")&amp;IF(AND($F374&lt;&gt;"",ISNUMBER(INDEX(tblInventario[Stock actual],MATCH($F374,tblInventario[SKU],0))),INDEX(tblInventario[Stock actual],MATCH($F374,tblInventario[SKU],0))&lt;0)," · Stock negativo del SKU","")&amp;IF(AND($T374="Cobrado",$U374="")," · Cobro sin fecha","")&amp;IF(AND(ISNUMBER($V374),ISNUMBER($N374),$V374&gt;N($N374)+0.01)," · Cobrado &gt; venta neta","")&amp;IF(AND(ISNUMBER($V374),$V374&gt;0,$U374="")," · Monto cobrado sin fecha","")="","OK",MID(IF($B374=""," · Falta fecha","")&amp;IF($D374=""," · Falta cliente","")&amp;IF($E374=""," · Falta canal","")&amp;IF($F374=""," · Falta SKU","")&amp;IF(AND($F374&lt;&gt;"",COUNTIF(tblProductos[SKU],$F374)=0)," · SKU no existe","")&amp;IF(OR($I374="",NOT(ISNUMBER($I374)),$I374&lt;=0)," · Cantidad inválida","")&amp;IF($M374="PRECIO PENDIENTE"," · Falta precio de venta","")&amp;IF($P374="COSTO PENDIENTE"," · Falta costo del producto","")&amp;IF(AND(ISNUMBER($Q374),$Q374&lt;0)," · UTILIDAD NEGATIVA","")&amp;IF(AND($F374&lt;&gt;"",ISNUMBER(INDEX(tblInventario[Stock actual],MATCH($F374,tblInventario[SKU],0))),INDEX(tblInventario[Stock actual],MATCH($F374,tblInventario[SKU],0))&lt;0)," · Stock negativo del SKU","")&amp;IF(AND($T374="Cobrado",$U374="")," · Cobro sin fecha","")&amp;IF(AND(ISNUMBER($V374),ISNUMBER($N374),$V374&gt;N($N374)+0.01)," · Cobrado &gt; venta neta","")&amp;IF(AND(ISNUMBER($V374),$V374&gt;0,$U374="")," · Monto cobrado sin fecha",""),4,900)))</f>
        <v/>
      </c>
    </row>
    <row r="375">
      <c r="A375" s="51">
        <f>IF(COUNTA($B375,$C375,$D375,$E375,$F375,$I375)=0,"","V-"&amp;TEXT(ROW()-6,"0000"))</f>
        <v/>
      </c>
      <c r="B375" s="41" t="n"/>
      <c r="C375" s="33" t="n"/>
      <c r="D375" s="33" t="n"/>
      <c r="E375" s="33" t="n"/>
      <c r="F375" s="33" t="n"/>
      <c r="G375" s="51">
        <f>IF($F375="","",IFERROR(IF(INDEX(tblProductos[Nombre del producto],MATCH($F375,tblProductos[SKU],0))="","",INDEX(tblProductos[Nombre del producto],MATCH($F375,tblProductos[SKU],0))),""))</f>
        <v/>
      </c>
      <c r="H375" s="51">
        <f>IF($F375="","",IFERROR(IF(INDEX(tblProductos[Categoría],MATCH($F375,tblProductos[SKU],0))="","",INDEX(tblProductos[Categoría],MATCH($F375,tblProductos[SKU],0))),""))</f>
        <v/>
      </c>
      <c r="I375" s="34" t="n"/>
      <c r="J375" s="39">
        <f>IF(OR($B375="",$F375="",$I375=""),"",IF($T375="Anulado",0,$I375))</f>
        <v/>
      </c>
      <c r="K375" s="54">
        <f>IF($F375="","",IFERROR(IF(INDEX(tblProductos[Precio de venta actual],MATCH($F375,tblProductos[SKU],0))="","",INDEX(tblProductos[Precio de venta actual],MATCH($F375,tblProductos[SKU],0))),""))</f>
        <v/>
      </c>
      <c r="L375" s="36" t="n"/>
      <c r="M375" s="37">
        <f>IF($J375="","",IF(NOT(ISNUMBER($K375)),"PRECIO PENDIENTE",$J375*$K375))</f>
        <v/>
      </c>
      <c r="N375" s="37">
        <f>IF($J375="","",IF(NOT(ISNUMBER($M375)),"PRECIO PENDIENTE",$M375-IF(ISNUMBER($L375),$L375,0)))</f>
        <v/>
      </c>
      <c r="O375" s="54">
        <f>IF($F375="","",IFERROR(INDEX(tblInventario[Costo unitario aplicado],MATCH($F375,tblInventario[SKU],0)),""))</f>
        <v/>
      </c>
      <c r="P375" s="37">
        <f>IF($J375="","",IF(NOT(ISNUMBER($O375)),"COSTO PENDIENTE",$J375*$O375))</f>
        <v/>
      </c>
      <c r="Q375" s="37">
        <f>IF($J375="","",IF(OR(NOT(ISNUMBER($N375)),NOT(ISNUMBER($P375))),"PENDIENTE",$N375-$P375))</f>
        <v/>
      </c>
      <c r="R375" s="38">
        <f>IF($J375="","",IF(OR(NOT(ISNUMBER($Q375)),NOT(ISNUMBER($N375)),$N375&lt;=0),"PENDIENTE",$Q375/$N375))</f>
        <v/>
      </c>
      <c r="S375" s="33" t="n"/>
      <c r="T375" s="33" t="n"/>
      <c r="U375" s="41" t="n"/>
      <c r="V375" s="36" t="n"/>
      <c r="W375" s="37">
        <f>IF(NOT(ISNUMBER($N375)),"",$N375-IF(ISNUMBER($V375),$V375,0))</f>
        <v/>
      </c>
      <c r="X375" s="33" t="n"/>
      <c r="Y375" s="51">
        <f>IF(COUNTA($B375,$C375,$D375,$E375,$F375,$I375)=0,"",IF(IF($B375=""," · Falta fecha","")&amp;IF($D375=""," · Falta cliente","")&amp;IF($E375=""," · Falta canal","")&amp;IF($F375=""," · Falta SKU","")&amp;IF(AND($F375&lt;&gt;"",COUNTIF(tblProductos[SKU],$F375)=0)," · SKU no existe","")&amp;IF(OR($I375="",NOT(ISNUMBER($I375)),$I375&lt;=0)," · Cantidad inválida","")&amp;IF($M375="PRECIO PENDIENTE"," · Falta precio de venta","")&amp;IF($P375="COSTO PENDIENTE"," · Falta costo del producto","")&amp;IF(AND(ISNUMBER($Q375),$Q375&lt;0)," · UTILIDAD NEGATIVA","")&amp;IF(AND($F375&lt;&gt;"",ISNUMBER(INDEX(tblInventario[Stock actual],MATCH($F375,tblInventario[SKU],0))),INDEX(tblInventario[Stock actual],MATCH($F375,tblInventario[SKU],0))&lt;0)," · Stock negativo del SKU","")&amp;IF(AND($T375="Cobrado",$U375="")," · Cobro sin fecha","")&amp;IF(AND(ISNUMBER($V375),ISNUMBER($N375),$V375&gt;N($N375)+0.01)," · Cobrado &gt; venta neta","")&amp;IF(AND(ISNUMBER($V375),$V375&gt;0,$U375="")," · Monto cobrado sin fecha","")="","OK",MID(IF($B375=""," · Falta fecha","")&amp;IF($D375=""," · Falta cliente","")&amp;IF($E375=""," · Falta canal","")&amp;IF($F375=""," · Falta SKU","")&amp;IF(AND($F375&lt;&gt;"",COUNTIF(tblProductos[SKU],$F375)=0)," · SKU no existe","")&amp;IF(OR($I375="",NOT(ISNUMBER($I375)),$I375&lt;=0)," · Cantidad inválida","")&amp;IF($M375="PRECIO PENDIENTE"," · Falta precio de venta","")&amp;IF($P375="COSTO PENDIENTE"," · Falta costo del producto","")&amp;IF(AND(ISNUMBER($Q375),$Q375&lt;0)," · UTILIDAD NEGATIVA","")&amp;IF(AND($F375&lt;&gt;"",ISNUMBER(INDEX(tblInventario[Stock actual],MATCH($F375,tblInventario[SKU],0))),INDEX(tblInventario[Stock actual],MATCH($F375,tblInventario[SKU],0))&lt;0)," · Stock negativo del SKU","")&amp;IF(AND($T375="Cobrado",$U375="")," · Cobro sin fecha","")&amp;IF(AND(ISNUMBER($V375),ISNUMBER($N375),$V375&gt;N($N375)+0.01)," · Cobrado &gt; venta neta","")&amp;IF(AND(ISNUMBER($V375),$V375&gt;0,$U375="")," · Monto cobrado sin fecha",""),4,900)))</f>
        <v/>
      </c>
    </row>
    <row r="376">
      <c r="A376" s="51">
        <f>IF(COUNTA($B376,$C376,$D376,$E376,$F376,$I376)=0,"","V-"&amp;TEXT(ROW()-6,"0000"))</f>
        <v/>
      </c>
      <c r="B376" s="41" t="n"/>
      <c r="C376" s="33" t="n"/>
      <c r="D376" s="33" t="n"/>
      <c r="E376" s="33" t="n"/>
      <c r="F376" s="33" t="n"/>
      <c r="G376" s="51">
        <f>IF($F376="","",IFERROR(IF(INDEX(tblProductos[Nombre del producto],MATCH($F376,tblProductos[SKU],0))="","",INDEX(tblProductos[Nombre del producto],MATCH($F376,tblProductos[SKU],0))),""))</f>
        <v/>
      </c>
      <c r="H376" s="51">
        <f>IF($F376="","",IFERROR(IF(INDEX(tblProductos[Categoría],MATCH($F376,tblProductos[SKU],0))="","",INDEX(tblProductos[Categoría],MATCH($F376,tblProductos[SKU],0))),""))</f>
        <v/>
      </c>
      <c r="I376" s="34" t="n"/>
      <c r="J376" s="39">
        <f>IF(OR($B376="",$F376="",$I376=""),"",IF($T376="Anulado",0,$I376))</f>
        <v/>
      </c>
      <c r="K376" s="54">
        <f>IF($F376="","",IFERROR(IF(INDEX(tblProductos[Precio de venta actual],MATCH($F376,tblProductos[SKU],0))="","",INDEX(tblProductos[Precio de venta actual],MATCH($F376,tblProductos[SKU],0))),""))</f>
        <v/>
      </c>
      <c r="L376" s="36" t="n"/>
      <c r="M376" s="37">
        <f>IF($J376="","",IF(NOT(ISNUMBER($K376)),"PRECIO PENDIENTE",$J376*$K376))</f>
        <v/>
      </c>
      <c r="N376" s="37">
        <f>IF($J376="","",IF(NOT(ISNUMBER($M376)),"PRECIO PENDIENTE",$M376-IF(ISNUMBER($L376),$L376,0)))</f>
        <v/>
      </c>
      <c r="O376" s="54">
        <f>IF($F376="","",IFERROR(INDEX(tblInventario[Costo unitario aplicado],MATCH($F376,tblInventario[SKU],0)),""))</f>
        <v/>
      </c>
      <c r="P376" s="37">
        <f>IF($J376="","",IF(NOT(ISNUMBER($O376)),"COSTO PENDIENTE",$J376*$O376))</f>
        <v/>
      </c>
      <c r="Q376" s="37">
        <f>IF($J376="","",IF(OR(NOT(ISNUMBER($N376)),NOT(ISNUMBER($P376))),"PENDIENTE",$N376-$P376))</f>
        <v/>
      </c>
      <c r="R376" s="38">
        <f>IF($J376="","",IF(OR(NOT(ISNUMBER($Q376)),NOT(ISNUMBER($N376)),$N376&lt;=0),"PENDIENTE",$Q376/$N376))</f>
        <v/>
      </c>
      <c r="S376" s="33" t="n"/>
      <c r="T376" s="33" t="n"/>
      <c r="U376" s="41" t="n"/>
      <c r="V376" s="36" t="n"/>
      <c r="W376" s="37">
        <f>IF(NOT(ISNUMBER($N376)),"",$N376-IF(ISNUMBER($V376),$V376,0))</f>
        <v/>
      </c>
      <c r="X376" s="33" t="n"/>
      <c r="Y376" s="51">
        <f>IF(COUNTA($B376,$C376,$D376,$E376,$F376,$I376)=0,"",IF(IF($B376=""," · Falta fecha","")&amp;IF($D376=""," · Falta cliente","")&amp;IF($E376=""," · Falta canal","")&amp;IF($F376=""," · Falta SKU","")&amp;IF(AND($F376&lt;&gt;"",COUNTIF(tblProductos[SKU],$F376)=0)," · SKU no existe","")&amp;IF(OR($I376="",NOT(ISNUMBER($I376)),$I376&lt;=0)," · Cantidad inválida","")&amp;IF($M376="PRECIO PENDIENTE"," · Falta precio de venta","")&amp;IF($P376="COSTO PENDIENTE"," · Falta costo del producto","")&amp;IF(AND(ISNUMBER($Q376),$Q376&lt;0)," · UTILIDAD NEGATIVA","")&amp;IF(AND($F376&lt;&gt;"",ISNUMBER(INDEX(tblInventario[Stock actual],MATCH($F376,tblInventario[SKU],0))),INDEX(tblInventario[Stock actual],MATCH($F376,tblInventario[SKU],0))&lt;0)," · Stock negativo del SKU","")&amp;IF(AND($T376="Cobrado",$U376="")," · Cobro sin fecha","")&amp;IF(AND(ISNUMBER($V376),ISNUMBER($N376),$V376&gt;N($N376)+0.01)," · Cobrado &gt; venta neta","")&amp;IF(AND(ISNUMBER($V376),$V376&gt;0,$U376="")," · Monto cobrado sin fecha","")="","OK",MID(IF($B376=""," · Falta fecha","")&amp;IF($D376=""," · Falta cliente","")&amp;IF($E376=""," · Falta canal","")&amp;IF($F376=""," · Falta SKU","")&amp;IF(AND($F376&lt;&gt;"",COUNTIF(tblProductos[SKU],$F376)=0)," · SKU no existe","")&amp;IF(OR($I376="",NOT(ISNUMBER($I376)),$I376&lt;=0)," · Cantidad inválida","")&amp;IF($M376="PRECIO PENDIENTE"," · Falta precio de venta","")&amp;IF($P376="COSTO PENDIENTE"," · Falta costo del producto","")&amp;IF(AND(ISNUMBER($Q376),$Q376&lt;0)," · UTILIDAD NEGATIVA","")&amp;IF(AND($F376&lt;&gt;"",ISNUMBER(INDEX(tblInventario[Stock actual],MATCH($F376,tblInventario[SKU],0))),INDEX(tblInventario[Stock actual],MATCH($F376,tblInventario[SKU],0))&lt;0)," · Stock negativo del SKU","")&amp;IF(AND($T376="Cobrado",$U376="")," · Cobro sin fecha","")&amp;IF(AND(ISNUMBER($V376),ISNUMBER($N376),$V376&gt;N($N376)+0.01)," · Cobrado &gt; venta neta","")&amp;IF(AND(ISNUMBER($V376),$V376&gt;0,$U376="")," · Monto cobrado sin fecha",""),4,900)))</f>
        <v/>
      </c>
    </row>
    <row r="377">
      <c r="A377" s="51">
        <f>IF(COUNTA($B377,$C377,$D377,$E377,$F377,$I377)=0,"","V-"&amp;TEXT(ROW()-6,"0000"))</f>
        <v/>
      </c>
      <c r="B377" s="41" t="n"/>
      <c r="C377" s="33" t="n"/>
      <c r="D377" s="33" t="n"/>
      <c r="E377" s="33" t="n"/>
      <c r="F377" s="33" t="n"/>
      <c r="G377" s="51">
        <f>IF($F377="","",IFERROR(IF(INDEX(tblProductos[Nombre del producto],MATCH($F377,tblProductos[SKU],0))="","",INDEX(tblProductos[Nombre del producto],MATCH($F377,tblProductos[SKU],0))),""))</f>
        <v/>
      </c>
      <c r="H377" s="51">
        <f>IF($F377="","",IFERROR(IF(INDEX(tblProductos[Categoría],MATCH($F377,tblProductos[SKU],0))="","",INDEX(tblProductos[Categoría],MATCH($F377,tblProductos[SKU],0))),""))</f>
        <v/>
      </c>
      <c r="I377" s="34" t="n"/>
      <c r="J377" s="39">
        <f>IF(OR($B377="",$F377="",$I377=""),"",IF($T377="Anulado",0,$I377))</f>
        <v/>
      </c>
      <c r="K377" s="54">
        <f>IF($F377="","",IFERROR(IF(INDEX(tblProductos[Precio de venta actual],MATCH($F377,tblProductos[SKU],0))="","",INDEX(tblProductos[Precio de venta actual],MATCH($F377,tblProductos[SKU],0))),""))</f>
        <v/>
      </c>
      <c r="L377" s="36" t="n"/>
      <c r="M377" s="37">
        <f>IF($J377="","",IF(NOT(ISNUMBER($K377)),"PRECIO PENDIENTE",$J377*$K377))</f>
        <v/>
      </c>
      <c r="N377" s="37">
        <f>IF($J377="","",IF(NOT(ISNUMBER($M377)),"PRECIO PENDIENTE",$M377-IF(ISNUMBER($L377),$L377,0)))</f>
        <v/>
      </c>
      <c r="O377" s="54">
        <f>IF($F377="","",IFERROR(INDEX(tblInventario[Costo unitario aplicado],MATCH($F377,tblInventario[SKU],0)),""))</f>
        <v/>
      </c>
      <c r="P377" s="37">
        <f>IF($J377="","",IF(NOT(ISNUMBER($O377)),"COSTO PENDIENTE",$J377*$O377))</f>
        <v/>
      </c>
      <c r="Q377" s="37">
        <f>IF($J377="","",IF(OR(NOT(ISNUMBER($N377)),NOT(ISNUMBER($P377))),"PENDIENTE",$N377-$P377))</f>
        <v/>
      </c>
      <c r="R377" s="38">
        <f>IF($J377="","",IF(OR(NOT(ISNUMBER($Q377)),NOT(ISNUMBER($N377)),$N377&lt;=0),"PENDIENTE",$Q377/$N377))</f>
        <v/>
      </c>
      <c r="S377" s="33" t="n"/>
      <c r="T377" s="33" t="n"/>
      <c r="U377" s="41" t="n"/>
      <c r="V377" s="36" t="n"/>
      <c r="W377" s="37">
        <f>IF(NOT(ISNUMBER($N377)),"",$N377-IF(ISNUMBER($V377),$V377,0))</f>
        <v/>
      </c>
      <c r="X377" s="33" t="n"/>
      <c r="Y377" s="51">
        <f>IF(COUNTA($B377,$C377,$D377,$E377,$F377,$I377)=0,"",IF(IF($B377=""," · Falta fecha","")&amp;IF($D377=""," · Falta cliente","")&amp;IF($E377=""," · Falta canal","")&amp;IF($F377=""," · Falta SKU","")&amp;IF(AND($F377&lt;&gt;"",COUNTIF(tblProductos[SKU],$F377)=0)," · SKU no existe","")&amp;IF(OR($I377="",NOT(ISNUMBER($I377)),$I377&lt;=0)," · Cantidad inválida","")&amp;IF($M377="PRECIO PENDIENTE"," · Falta precio de venta","")&amp;IF($P377="COSTO PENDIENTE"," · Falta costo del producto","")&amp;IF(AND(ISNUMBER($Q377),$Q377&lt;0)," · UTILIDAD NEGATIVA","")&amp;IF(AND($F377&lt;&gt;"",ISNUMBER(INDEX(tblInventario[Stock actual],MATCH($F377,tblInventario[SKU],0))),INDEX(tblInventario[Stock actual],MATCH($F377,tblInventario[SKU],0))&lt;0)," · Stock negativo del SKU","")&amp;IF(AND($T377="Cobrado",$U377="")," · Cobro sin fecha","")&amp;IF(AND(ISNUMBER($V377),ISNUMBER($N377),$V377&gt;N($N377)+0.01)," · Cobrado &gt; venta neta","")&amp;IF(AND(ISNUMBER($V377),$V377&gt;0,$U377="")," · Monto cobrado sin fecha","")="","OK",MID(IF($B377=""," · Falta fecha","")&amp;IF($D377=""," · Falta cliente","")&amp;IF($E377=""," · Falta canal","")&amp;IF($F377=""," · Falta SKU","")&amp;IF(AND($F377&lt;&gt;"",COUNTIF(tblProductos[SKU],$F377)=0)," · SKU no existe","")&amp;IF(OR($I377="",NOT(ISNUMBER($I377)),$I377&lt;=0)," · Cantidad inválida","")&amp;IF($M377="PRECIO PENDIENTE"," · Falta precio de venta","")&amp;IF($P377="COSTO PENDIENTE"," · Falta costo del producto","")&amp;IF(AND(ISNUMBER($Q377),$Q377&lt;0)," · UTILIDAD NEGATIVA","")&amp;IF(AND($F377&lt;&gt;"",ISNUMBER(INDEX(tblInventario[Stock actual],MATCH($F377,tblInventario[SKU],0))),INDEX(tblInventario[Stock actual],MATCH($F377,tblInventario[SKU],0))&lt;0)," · Stock negativo del SKU","")&amp;IF(AND($T377="Cobrado",$U377="")," · Cobro sin fecha","")&amp;IF(AND(ISNUMBER($V377),ISNUMBER($N377),$V377&gt;N($N377)+0.01)," · Cobrado &gt; venta neta","")&amp;IF(AND(ISNUMBER($V377),$V377&gt;0,$U377="")," · Monto cobrado sin fecha",""),4,900)))</f>
        <v/>
      </c>
    </row>
    <row r="378">
      <c r="A378" s="51">
        <f>IF(COUNTA($B378,$C378,$D378,$E378,$F378,$I378)=0,"","V-"&amp;TEXT(ROW()-6,"0000"))</f>
        <v/>
      </c>
      <c r="B378" s="41" t="n"/>
      <c r="C378" s="33" t="n"/>
      <c r="D378" s="33" t="n"/>
      <c r="E378" s="33" t="n"/>
      <c r="F378" s="33" t="n"/>
      <c r="G378" s="51">
        <f>IF($F378="","",IFERROR(IF(INDEX(tblProductos[Nombre del producto],MATCH($F378,tblProductos[SKU],0))="","",INDEX(tblProductos[Nombre del producto],MATCH($F378,tblProductos[SKU],0))),""))</f>
        <v/>
      </c>
      <c r="H378" s="51">
        <f>IF($F378="","",IFERROR(IF(INDEX(tblProductos[Categoría],MATCH($F378,tblProductos[SKU],0))="","",INDEX(tblProductos[Categoría],MATCH($F378,tblProductos[SKU],0))),""))</f>
        <v/>
      </c>
      <c r="I378" s="34" t="n"/>
      <c r="J378" s="39">
        <f>IF(OR($B378="",$F378="",$I378=""),"",IF($T378="Anulado",0,$I378))</f>
        <v/>
      </c>
      <c r="K378" s="54">
        <f>IF($F378="","",IFERROR(IF(INDEX(tblProductos[Precio de venta actual],MATCH($F378,tblProductos[SKU],0))="","",INDEX(tblProductos[Precio de venta actual],MATCH($F378,tblProductos[SKU],0))),""))</f>
        <v/>
      </c>
      <c r="L378" s="36" t="n"/>
      <c r="M378" s="37">
        <f>IF($J378="","",IF(NOT(ISNUMBER($K378)),"PRECIO PENDIENTE",$J378*$K378))</f>
        <v/>
      </c>
      <c r="N378" s="37">
        <f>IF($J378="","",IF(NOT(ISNUMBER($M378)),"PRECIO PENDIENTE",$M378-IF(ISNUMBER($L378),$L378,0)))</f>
        <v/>
      </c>
      <c r="O378" s="54">
        <f>IF($F378="","",IFERROR(INDEX(tblInventario[Costo unitario aplicado],MATCH($F378,tblInventario[SKU],0)),""))</f>
        <v/>
      </c>
      <c r="P378" s="37">
        <f>IF($J378="","",IF(NOT(ISNUMBER($O378)),"COSTO PENDIENTE",$J378*$O378))</f>
        <v/>
      </c>
      <c r="Q378" s="37">
        <f>IF($J378="","",IF(OR(NOT(ISNUMBER($N378)),NOT(ISNUMBER($P378))),"PENDIENTE",$N378-$P378))</f>
        <v/>
      </c>
      <c r="R378" s="38">
        <f>IF($J378="","",IF(OR(NOT(ISNUMBER($Q378)),NOT(ISNUMBER($N378)),$N378&lt;=0),"PENDIENTE",$Q378/$N378))</f>
        <v/>
      </c>
      <c r="S378" s="33" t="n"/>
      <c r="T378" s="33" t="n"/>
      <c r="U378" s="41" t="n"/>
      <c r="V378" s="36" t="n"/>
      <c r="W378" s="37">
        <f>IF(NOT(ISNUMBER($N378)),"",$N378-IF(ISNUMBER($V378),$V378,0))</f>
        <v/>
      </c>
      <c r="X378" s="33" t="n"/>
      <c r="Y378" s="51">
        <f>IF(COUNTA($B378,$C378,$D378,$E378,$F378,$I378)=0,"",IF(IF($B378=""," · Falta fecha","")&amp;IF($D378=""," · Falta cliente","")&amp;IF($E378=""," · Falta canal","")&amp;IF($F378=""," · Falta SKU","")&amp;IF(AND($F378&lt;&gt;"",COUNTIF(tblProductos[SKU],$F378)=0)," · SKU no existe","")&amp;IF(OR($I378="",NOT(ISNUMBER($I378)),$I378&lt;=0)," · Cantidad inválida","")&amp;IF($M378="PRECIO PENDIENTE"," · Falta precio de venta","")&amp;IF($P378="COSTO PENDIENTE"," · Falta costo del producto","")&amp;IF(AND(ISNUMBER($Q378),$Q378&lt;0)," · UTILIDAD NEGATIVA","")&amp;IF(AND($F378&lt;&gt;"",ISNUMBER(INDEX(tblInventario[Stock actual],MATCH($F378,tblInventario[SKU],0))),INDEX(tblInventario[Stock actual],MATCH($F378,tblInventario[SKU],0))&lt;0)," · Stock negativo del SKU","")&amp;IF(AND($T378="Cobrado",$U378="")," · Cobro sin fecha","")&amp;IF(AND(ISNUMBER($V378),ISNUMBER($N378),$V378&gt;N($N378)+0.01)," · Cobrado &gt; venta neta","")&amp;IF(AND(ISNUMBER($V378),$V378&gt;0,$U378="")," · Monto cobrado sin fecha","")="","OK",MID(IF($B378=""," · Falta fecha","")&amp;IF($D378=""," · Falta cliente","")&amp;IF($E378=""," · Falta canal","")&amp;IF($F378=""," · Falta SKU","")&amp;IF(AND($F378&lt;&gt;"",COUNTIF(tblProductos[SKU],$F378)=0)," · SKU no existe","")&amp;IF(OR($I378="",NOT(ISNUMBER($I378)),$I378&lt;=0)," · Cantidad inválida","")&amp;IF($M378="PRECIO PENDIENTE"," · Falta precio de venta","")&amp;IF($P378="COSTO PENDIENTE"," · Falta costo del producto","")&amp;IF(AND(ISNUMBER($Q378),$Q378&lt;0)," · UTILIDAD NEGATIVA","")&amp;IF(AND($F378&lt;&gt;"",ISNUMBER(INDEX(tblInventario[Stock actual],MATCH($F378,tblInventario[SKU],0))),INDEX(tblInventario[Stock actual],MATCH($F378,tblInventario[SKU],0))&lt;0)," · Stock negativo del SKU","")&amp;IF(AND($T378="Cobrado",$U378="")," · Cobro sin fecha","")&amp;IF(AND(ISNUMBER($V378),ISNUMBER($N378),$V378&gt;N($N378)+0.01)," · Cobrado &gt; venta neta","")&amp;IF(AND(ISNUMBER($V378),$V378&gt;0,$U378="")," · Monto cobrado sin fecha",""),4,900)))</f>
        <v/>
      </c>
    </row>
    <row r="379">
      <c r="A379" s="51">
        <f>IF(COUNTA($B379,$C379,$D379,$E379,$F379,$I379)=0,"","V-"&amp;TEXT(ROW()-6,"0000"))</f>
        <v/>
      </c>
      <c r="B379" s="41" t="n"/>
      <c r="C379" s="33" t="n"/>
      <c r="D379" s="33" t="n"/>
      <c r="E379" s="33" t="n"/>
      <c r="F379" s="33" t="n"/>
      <c r="G379" s="51">
        <f>IF($F379="","",IFERROR(IF(INDEX(tblProductos[Nombre del producto],MATCH($F379,tblProductos[SKU],0))="","",INDEX(tblProductos[Nombre del producto],MATCH($F379,tblProductos[SKU],0))),""))</f>
        <v/>
      </c>
      <c r="H379" s="51">
        <f>IF($F379="","",IFERROR(IF(INDEX(tblProductos[Categoría],MATCH($F379,tblProductos[SKU],0))="","",INDEX(tblProductos[Categoría],MATCH($F379,tblProductos[SKU],0))),""))</f>
        <v/>
      </c>
      <c r="I379" s="34" t="n"/>
      <c r="J379" s="39">
        <f>IF(OR($B379="",$F379="",$I379=""),"",IF($T379="Anulado",0,$I379))</f>
        <v/>
      </c>
      <c r="K379" s="54">
        <f>IF($F379="","",IFERROR(IF(INDEX(tblProductos[Precio de venta actual],MATCH($F379,tblProductos[SKU],0))="","",INDEX(tblProductos[Precio de venta actual],MATCH($F379,tblProductos[SKU],0))),""))</f>
        <v/>
      </c>
      <c r="L379" s="36" t="n"/>
      <c r="M379" s="37">
        <f>IF($J379="","",IF(NOT(ISNUMBER($K379)),"PRECIO PENDIENTE",$J379*$K379))</f>
        <v/>
      </c>
      <c r="N379" s="37">
        <f>IF($J379="","",IF(NOT(ISNUMBER($M379)),"PRECIO PENDIENTE",$M379-IF(ISNUMBER($L379),$L379,0)))</f>
        <v/>
      </c>
      <c r="O379" s="54">
        <f>IF($F379="","",IFERROR(INDEX(tblInventario[Costo unitario aplicado],MATCH($F379,tblInventario[SKU],0)),""))</f>
        <v/>
      </c>
      <c r="P379" s="37">
        <f>IF($J379="","",IF(NOT(ISNUMBER($O379)),"COSTO PENDIENTE",$J379*$O379))</f>
        <v/>
      </c>
      <c r="Q379" s="37">
        <f>IF($J379="","",IF(OR(NOT(ISNUMBER($N379)),NOT(ISNUMBER($P379))),"PENDIENTE",$N379-$P379))</f>
        <v/>
      </c>
      <c r="R379" s="38">
        <f>IF($J379="","",IF(OR(NOT(ISNUMBER($Q379)),NOT(ISNUMBER($N379)),$N379&lt;=0),"PENDIENTE",$Q379/$N379))</f>
        <v/>
      </c>
      <c r="S379" s="33" t="n"/>
      <c r="T379" s="33" t="n"/>
      <c r="U379" s="41" t="n"/>
      <c r="V379" s="36" t="n"/>
      <c r="W379" s="37">
        <f>IF(NOT(ISNUMBER($N379)),"",$N379-IF(ISNUMBER($V379),$V379,0))</f>
        <v/>
      </c>
      <c r="X379" s="33" t="n"/>
      <c r="Y379" s="51">
        <f>IF(COUNTA($B379,$C379,$D379,$E379,$F379,$I379)=0,"",IF(IF($B379=""," · Falta fecha","")&amp;IF($D379=""," · Falta cliente","")&amp;IF($E379=""," · Falta canal","")&amp;IF($F379=""," · Falta SKU","")&amp;IF(AND($F379&lt;&gt;"",COUNTIF(tblProductos[SKU],$F379)=0)," · SKU no existe","")&amp;IF(OR($I379="",NOT(ISNUMBER($I379)),$I379&lt;=0)," · Cantidad inválida","")&amp;IF($M379="PRECIO PENDIENTE"," · Falta precio de venta","")&amp;IF($P379="COSTO PENDIENTE"," · Falta costo del producto","")&amp;IF(AND(ISNUMBER($Q379),$Q379&lt;0)," · UTILIDAD NEGATIVA","")&amp;IF(AND($F379&lt;&gt;"",ISNUMBER(INDEX(tblInventario[Stock actual],MATCH($F379,tblInventario[SKU],0))),INDEX(tblInventario[Stock actual],MATCH($F379,tblInventario[SKU],0))&lt;0)," · Stock negativo del SKU","")&amp;IF(AND($T379="Cobrado",$U379="")," · Cobro sin fecha","")&amp;IF(AND(ISNUMBER($V379),ISNUMBER($N379),$V379&gt;N($N379)+0.01)," · Cobrado &gt; venta neta","")&amp;IF(AND(ISNUMBER($V379),$V379&gt;0,$U379="")," · Monto cobrado sin fecha","")="","OK",MID(IF($B379=""," · Falta fecha","")&amp;IF($D379=""," · Falta cliente","")&amp;IF($E379=""," · Falta canal","")&amp;IF($F379=""," · Falta SKU","")&amp;IF(AND($F379&lt;&gt;"",COUNTIF(tblProductos[SKU],$F379)=0)," · SKU no existe","")&amp;IF(OR($I379="",NOT(ISNUMBER($I379)),$I379&lt;=0)," · Cantidad inválida","")&amp;IF($M379="PRECIO PENDIENTE"," · Falta precio de venta","")&amp;IF($P379="COSTO PENDIENTE"," · Falta costo del producto","")&amp;IF(AND(ISNUMBER($Q379),$Q379&lt;0)," · UTILIDAD NEGATIVA","")&amp;IF(AND($F379&lt;&gt;"",ISNUMBER(INDEX(tblInventario[Stock actual],MATCH($F379,tblInventario[SKU],0))),INDEX(tblInventario[Stock actual],MATCH($F379,tblInventario[SKU],0))&lt;0)," · Stock negativo del SKU","")&amp;IF(AND($T379="Cobrado",$U379="")," · Cobro sin fecha","")&amp;IF(AND(ISNUMBER($V379),ISNUMBER($N379),$V379&gt;N($N379)+0.01)," · Cobrado &gt; venta neta","")&amp;IF(AND(ISNUMBER($V379),$V379&gt;0,$U379="")," · Monto cobrado sin fecha",""),4,900)))</f>
        <v/>
      </c>
    </row>
    <row r="380">
      <c r="A380" s="51">
        <f>IF(COUNTA($B380,$C380,$D380,$E380,$F380,$I380)=0,"","V-"&amp;TEXT(ROW()-6,"0000"))</f>
        <v/>
      </c>
      <c r="B380" s="41" t="n"/>
      <c r="C380" s="33" t="n"/>
      <c r="D380" s="33" t="n"/>
      <c r="E380" s="33" t="n"/>
      <c r="F380" s="33" t="n"/>
      <c r="G380" s="51">
        <f>IF($F380="","",IFERROR(IF(INDEX(tblProductos[Nombre del producto],MATCH($F380,tblProductos[SKU],0))="","",INDEX(tblProductos[Nombre del producto],MATCH($F380,tblProductos[SKU],0))),""))</f>
        <v/>
      </c>
      <c r="H380" s="51">
        <f>IF($F380="","",IFERROR(IF(INDEX(tblProductos[Categoría],MATCH($F380,tblProductos[SKU],0))="","",INDEX(tblProductos[Categoría],MATCH($F380,tblProductos[SKU],0))),""))</f>
        <v/>
      </c>
      <c r="I380" s="34" t="n"/>
      <c r="J380" s="39">
        <f>IF(OR($B380="",$F380="",$I380=""),"",IF($T380="Anulado",0,$I380))</f>
        <v/>
      </c>
      <c r="K380" s="54">
        <f>IF($F380="","",IFERROR(IF(INDEX(tblProductos[Precio de venta actual],MATCH($F380,tblProductos[SKU],0))="","",INDEX(tblProductos[Precio de venta actual],MATCH($F380,tblProductos[SKU],0))),""))</f>
        <v/>
      </c>
      <c r="L380" s="36" t="n"/>
      <c r="M380" s="37">
        <f>IF($J380="","",IF(NOT(ISNUMBER($K380)),"PRECIO PENDIENTE",$J380*$K380))</f>
        <v/>
      </c>
      <c r="N380" s="37">
        <f>IF($J380="","",IF(NOT(ISNUMBER($M380)),"PRECIO PENDIENTE",$M380-IF(ISNUMBER($L380),$L380,0)))</f>
        <v/>
      </c>
      <c r="O380" s="54">
        <f>IF($F380="","",IFERROR(INDEX(tblInventario[Costo unitario aplicado],MATCH($F380,tblInventario[SKU],0)),""))</f>
        <v/>
      </c>
      <c r="P380" s="37">
        <f>IF($J380="","",IF(NOT(ISNUMBER($O380)),"COSTO PENDIENTE",$J380*$O380))</f>
        <v/>
      </c>
      <c r="Q380" s="37">
        <f>IF($J380="","",IF(OR(NOT(ISNUMBER($N380)),NOT(ISNUMBER($P380))),"PENDIENTE",$N380-$P380))</f>
        <v/>
      </c>
      <c r="R380" s="38">
        <f>IF($J380="","",IF(OR(NOT(ISNUMBER($Q380)),NOT(ISNUMBER($N380)),$N380&lt;=0),"PENDIENTE",$Q380/$N380))</f>
        <v/>
      </c>
      <c r="S380" s="33" t="n"/>
      <c r="T380" s="33" t="n"/>
      <c r="U380" s="41" t="n"/>
      <c r="V380" s="36" t="n"/>
      <c r="W380" s="37">
        <f>IF(NOT(ISNUMBER($N380)),"",$N380-IF(ISNUMBER($V380),$V380,0))</f>
        <v/>
      </c>
      <c r="X380" s="33" t="n"/>
      <c r="Y380" s="51">
        <f>IF(COUNTA($B380,$C380,$D380,$E380,$F380,$I380)=0,"",IF(IF($B380=""," · Falta fecha","")&amp;IF($D380=""," · Falta cliente","")&amp;IF($E380=""," · Falta canal","")&amp;IF($F380=""," · Falta SKU","")&amp;IF(AND($F380&lt;&gt;"",COUNTIF(tblProductos[SKU],$F380)=0)," · SKU no existe","")&amp;IF(OR($I380="",NOT(ISNUMBER($I380)),$I380&lt;=0)," · Cantidad inválida","")&amp;IF($M380="PRECIO PENDIENTE"," · Falta precio de venta","")&amp;IF($P380="COSTO PENDIENTE"," · Falta costo del producto","")&amp;IF(AND(ISNUMBER($Q380),$Q380&lt;0)," · UTILIDAD NEGATIVA","")&amp;IF(AND($F380&lt;&gt;"",ISNUMBER(INDEX(tblInventario[Stock actual],MATCH($F380,tblInventario[SKU],0))),INDEX(tblInventario[Stock actual],MATCH($F380,tblInventario[SKU],0))&lt;0)," · Stock negativo del SKU","")&amp;IF(AND($T380="Cobrado",$U380="")," · Cobro sin fecha","")&amp;IF(AND(ISNUMBER($V380),ISNUMBER($N380),$V380&gt;N($N380)+0.01)," · Cobrado &gt; venta neta","")&amp;IF(AND(ISNUMBER($V380),$V380&gt;0,$U380="")," · Monto cobrado sin fecha","")="","OK",MID(IF($B380=""," · Falta fecha","")&amp;IF($D380=""," · Falta cliente","")&amp;IF($E380=""," · Falta canal","")&amp;IF($F380=""," · Falta SKU","")&amp;IF(AND($F380&lt;&gt;"",COUNTIF(tblProductos[SKU],$F380)=0)," · SKU no existe","")&amp;IF(OR($I380="",NOT(ISNUMBER($I380)),$I380&lt;=0)," · Cantidad inválida","")&amp;IF($M380="PRECIO PENDIENTE"," · Falta precio de venta","")&amp;IF($P380="COSTO PENDIENTE"," · Falta costo del producto","")&amp;IF(AND(ISNUMBER($Q380),$Q380&lt;0)," · UTILIDAD NEGATIVA","")&amp;IF(AND($F380&lt;&gt;"",ISNUMBER(INDEX(tblInventario[Stock actual],MATCH($F380,tblInventario[SKU],0))),INDEX(tblInventario[Stock actual],MATCH($F380,tblInventario[SKU],0))&lt;0)," · Stock negativo del SKU","")&amp;IF(AND($T380="Cobrado",$U380="")," · Cobro sin fecha","")&amp;IF(AND(ISNUMBER($V380),ISNUMBER($N380),$V380&gt;N($N380)+0.01)," · Cobrado &gt; venta neta","")&amp;IF(AND(ISNUMBER($V380),$V380&gt;0,$U380="")," · Monto cobrado sin fecha",""),4,900)))</f>
        <v/>
      </c>
    </row>
    <row r="381">
      <c r="A381" s="51">
        <f>IF(COUNTA($B381,$C381,$D381,$E381,$F381,$I381)=0,"","V-"&amp;TEXT(ROW()-6,"0000"))</f>
        <v/>
      </c>
      <c r="B381" s="41" t="n"/>
      <c r="C381" s="33" t="n"/>
      <c r="D381" s="33" t="n"/>
      <c r="E381" s="33" t="n"/>
      <c r="F381" s="33" t="n"/>
      <c r="G381" s="51">
        <f>IF($F381="","",IFERROR(IF(INDEX(tblProductos[Nombre del producto],MATCH($F381,tblProductos[SKU],0))="","",INDEX(tblProductos[Nombre del producto],MATCH($F381,tblProductos[SKU],0))),""))</f>
        <v/>
      </c>
      <c r="H381" s="51">
        <f>IF($F381="","",IFERROR(IF(INDEX(tblProductos[Categoría],MATCH($F381,tblProductos[SKU],0))="","",INDEX(tblProductos[Categoría],MATCH($F381,tblProductos[SKU],0))),""))</f>
        <v/>
      </c>
      <c r="I381" s="34" t="n"/>
      <c r="J381" s="39">
        <f>IF(OR($B381="",$F381="",$I381=""),"",IF($T381="Anulado",0,$I381))</f>
        <v/>
      </c>
      <c r="K381" s="54">
        <f>IF($F381="","",IFERROR(IF(INDEX(tblProductos[Precio de venta actual],MATCH($F381,tblProductos[SKU],0))="","",INDEX(tblProductos[Precio de venta actual],MATCH($F381,tblProductos[SKU],0))),""))</f>
        <v/>
      </c>
      <c r="L381" s="36" t="n"/>
      <c r="M381" s="37">
        <f>IF($J381="","",IF(NOT(ISNUMBER($K381)),"PRECIO PENDIENTE",$J381*$K381))</f>
        <v/>
      </c>
      <c r="N381" s="37">
        <f>IF($J381="","",IF(NOT(ISNUMBER($M381)),"PRECIO PENDIENTE",$M381-IF(ISNUMBER($L381),$L381,0)))</f>
        <v/>
      </c>
      <c r="O381" s="54">
        <f>IF($F381="","",IFERROR(INDEX(tblInventario[Costo unitario aplicado],MATCH($F381,tblInventario[SKU],0)),""))</f>
        <v/>
      </c>
      <c r="P381" s="37">
        <f>IF($J381="","",IF(NOT(ISNUMBER($O381)),"COSTO PENDIENTE",$J381*$O381))</f>
        <v/>
      </c>
      <c r="Q381" s="37">
        <f>IF($J381="","",IF(OR(NOT(ISNUMBER($N381)),NOT(ISNUMBER($P381))),"PENDIENTE",$N381-$P381))</f>
        <v/>
      </c>
      <c r="R381" s="38">
        <f>IF($J381="","",IF(OR(NOT(ISNUMBER($Q381)),NOT(ISNUMBER($N381)),$N381&lt;=0),"PENDIENTE",$Q381/$N381))</f>
        <v/>
      </c>
      <c r="S381" s="33" t="n"/>
      <c r="T381" s="33" t="n"/>
      <c r="U381" s="41" t="n"/>
      <c r="V381" s="36" t="n"/>
      <c r="W381" s="37">
        <f>IF(NOT(ISNUMBER($N381)),"",$N381-IF(ISNUMBER($V381),$V381,0))</f>
        <v/>
      </c>
      <c r="X381" s="33" t="n"/>
      <c r="Y381" s="51">
        <f>IF(COUNTA($B381,$C381,$D381,$E381,$F381,$I381)=0,"",IF(IF($B381=""," · Falta fecha","")&amp;IF($D381=""," · Falta cliente","")&amp;IF($E381=""," · Falta canal","")&amp;IF($F381=""," · Falta SKU","")&amp;IF(AND($F381&lt;&gt;"",COUNTIF(tblProductos[SKU],$F381)=0)," · SKU no existe","")&amp;IF(OR($I381="",NOT(ISNUMBER($I381)),$I381&lt;=0)," · Cantidad inválida","")&amp;IF($M381="PRECIO PENDIENTE"," · Falta precio de venta","")&amp;IF($P381="COSTO PENDIENTE"," · Falta costo del producto","")&amp;IF(AND(ISNUMBER($Q381),$Q381&lt;0)," · UTILIDAD NEGATIVA","")&amp;IF(AND($F381&lt;&gt;"",ISNUMBER(INDEX(tblInventario[Stock actual],MATCH($F381,tblInventario[SKU],0))),INDEX(tblInventario[Stock actual],MATCH($F381,tblInventario[SKU],0))&lt;0)," · Stock negativo del SKU","")&amp;IF(AND($T381="Cobrado",$U381="")," · Cobro sin fecha","")&amp;IF(AND(ISNUMBER($V381),ISNUMBER($N381),$V381&gt;N($N381)+0.01)," · Cobrado &gt; venta neta","")&amp;IF(AND(ISNUMBER($V381),$V381&gt;0,$U381="")," · Monto cobrado sin fecha","")="","OK",MID(IF($B381=""," · Falta fecha","")&amp;IF($D381=""," · Falta cliente","")&amp;IF($E381=""," · Falta canal","")&amp;IF($F381=""," · Falta SKU","")&amp;IF(AND($F381&lt;&gt;"",COUNTIF(tblProductos[SKU],$F381)=0)," · SKU no existe","")&amp;IF(OR($I381="",NOT(ISNUMBER($I381)),$I381&lt;=0)," · Cantidad inválida","")&amp;IF($M381="PRECIO PENDIENTE"," · Falta precio de venta","")&amp;IF($P381="COSTO PENDIENTE"," · Falta costo del producto","")&amp;IF(AND(ISNUMBER($Q381),$Q381&lt;0)," · UTILIDAD NEGATIVA","")&amp;IF(AND($F381&lt;&gt;"",ISNUMBER(INDEX(tblInventario[Stock actual],MATCH($F381,tblInventario[SKU],0))),INDEX(tblInventario[Stock actual],MATCH($F381,tblInventario[SKU],0))&lt;0)," · Stock negativo del SKU","")&amp;IF(AND($T381="Cobrado",$U381="")," · Cobro sin fecha","")&amp;IF(AND(ISNUMBER($V381),ISNUMBER($N381),$V381&gt;N($N381)+0.01)," · Cobrado &gt; venta neta","")&amp;IF(AND(ISNUMBER($V381),$V381&gt;0,$U381="")," · Monto cobrado sin fecha",""),4,900)))</f>
        <v/>
      </c>
    </row>
    <row r="382">
      <c r="A382" s="51">
        <f>IF(COUNTA($B382,$C382,$D382,$E382,$F382,$I382)=0,"","V-"&amp;TEXT(ROW()-6,"0000"))</f>
        <v/>
      </c>
      <c r="B382" s="41" t="n"/>
      <c r="C382" s="33" t="n"/>
      <c r="D382" s="33" t="n"/>
      <c r="E382" s="33" t="n"/>
      <c r="F382" s="33" t="n"/>
      <c r="G382" s="51">
        <f>IF($F382="","",IFERROR(IF(INDEX(tblProductos[Nombre del producto],MATCH($F382,tblProductos[SKU],0))="","",INDEX(tblProductos[Nombre del producto],MATCH($F382,tblProductos[SKU],0))),""))</f>
        <v/>
      </c>
      <c r="H382" s="51">
        <f>IF($F382="","",IFERROR(IF(INDEX(tblProductos[Categoría],MATCH($F382,tblProductos[SKU],0))="","",INDEX(tblProductos[Categoría],MATCH($F382,tblProductos[SKU],0))),""))</f>
        <v/>
      </c>
      <c r="I382" s="34" t="n"/>
      <c r="J382" s="39">
        <f>IF(OR($B382="",$F382="",$I382=""),"",IF($T382="Anulado",0,$I382))</f>
        <v/>
      </c>
      <c r="K382" s="54">
        <f>IF($F382="","",IFERROR(IF(INDEX(tblProductos[Precio de venta actual],MATCH($F382,tblProductos[SKU],0))="","",INDEX(tblProductos[Precio de venta actual],MATCH($F382,tblProductos[SKU],0))),""))</f>
        <v/>
      </c>
      <c r="L382" s="36" t="n"/>
      <c r="M382" s="37">
        <f>IF($J382="","",IF(NOT(ISNUMBER($K382)),"PRECIO PENDIENTE",$J382*$K382))</f>
        <v/>
      </c>
      <c r="N382" s="37">
        <f>IF($J382="","",IF(NOT(ISNUMBER($M382)),"PRECIO PENDIENTE",$M382-IF(ISNUMBER($L382),$L382,0)))</f>
        <v/>
      </c>
      <c r="O382" s="54">
        <f>IF($F382="","",IFERROR(INDEX(tblInventario[Costo unitario aplicado],MATCH($F382,tblInventario[SKU],0)),""))</f>
        <v/>
      </c>
      <c r="P382" s="37">
        <f>IF($J382="","",IF(NOT(ISNUMBER($O382)),"COSTO PENDIENTE",$J382*$O382))</f>
        <v/>
      </c>
      <c r="Q382" s="37">
        <f>IF($J382="","",IF(OR(NOT(ISNUMBER($N382)),NOT(ISNUMBER($P382))),"PENDIENTE",$N382-$P382))</f>
        <v/>
      </c>
      <c r="R382" s="38">
        <f>IF($J382="","",IF(OR(NOT(ISNUMBER($Q382)),NOT(ISNUMBER($N382)),$N382&lt;=0),"PENDIENTE",$Q382/$N382))</f>
        <v/>
      </c>
      <c r="S382" s="33" t="n"/>
      <c r="T382" s="33" t="n"/>
      <c r="U382" s="41" t="n"/>
      <c r="V382" s="36" t="n"/>
      <c r="W382" s="37">
        <f>IF(NOT(ISNUMBER($N382)),"",$N382-IF(ISNUMBER($V382),$V382,0))</f>
        <v/>
      </c>
      <c r="X382" s="33" t="n"/>
      <c r="Y382" s="51">
        <f>IF(COUNTA($B382,$C382,$D382,$E382,$F382,$I382)=0,"",IF(IF($B382=""," · Falta fecha","")&amp;IF($D382=""," · Falta cliente","")&amp;IF($E382=""," · Falta canal","")&amp;IF($F382=""," · Falta SKU","")&amp;IF(AND($F382&lt;&gt;"",COUNTIF(tblProductos[SKU],$F382)=0)," · SKU no existe","")&amp;IF(OR($I382="",NOT(ISNUMBER($I382)),$I382&lt;=0)," · Cantidad inválida","")&amp;IF($M382="PRECIO PENDIENTE"," · Falta precio de venta","")&amp;IF($P382="COSTO PENDIENTE"," · Falta costo del producto","")&amp;IF(AND(ISNUMBER($Q382),$Q382&lt;0)," · UTILIDAD NEGATIVA","")&amp;IF(AND($F382&lt;&gt;"",ISNUMBER(INDEX(tblInventario[Stock actual],MATCH($F382,tblInventario[SKU],0))),INDEX(tblInventario[Stock actual],MATCH($F382,tblInventario[SKU],0))&lt;0)," · Stock negativo del SKU","")&amp;IF(AND($T382="Cobrado",$U382="")," · Cobro sin fecha","")&amp;IF(AND(ISNUMBER($V382),ISNUMBER($N382),$V382&gt;N($N382)+0.01)," · Cobrado &gt; venta neta","")&amp;IF(AND(ISNUMBER($V382),$V382&gt;0,$U382="")," · Monto cobrado sin fecha","")="","OK",MID(IF($B382=""," · Falta fecha","")&amp;IF($D382=""," · Falta cliente","")&amp;IF($E382=""," · Falta canal","")&amp;IF($F382=""," · Falta SKU","")&amp;IF(AND($F382&lt;&gt;"",COUNTIF(tblProductos[SKU],$F382)=0)," · SKU no existe","")&amp;IF(OR($I382="",NOT(ISNUMBER($I382)),$I382&lt;=0)," · Cantidad inválida","")&amp;IF($M382="PRECIO PENDIENTE"," · Falta precio de venta","")&amp;IF($P382="COSTO PENDIENTE"," · Falta costo del producto","")&amp;IF(AND(ISNUMBER($Q382),$Q382&lt;0)," · UTILIDAD NEGATIVA","")&amp;IF(AND($F382&lt;&gt;"",ISNUMBER(INDEX(tblInventario[Stock actual],MATCH($F382,tblInventario[SKU],0))),INDEX(tblInventario[Stock actual],MATCH($F382,tblInventario[SKU],0))&lt;0)," · Stock negativo del SKU","")&amp;IF(AND($T382="Cobrado",$U382="")," · Cobro sin fecha","")&amp;IF(AND(ISNUMBER($V382),ISNUMBER($N382),$V382&gt;N($N382)+0.01)," · Cobrado &gt; venta neta","")&amp;IF(AND(ISNUMBER($V382),$V382&gt;0,$U382="")," · Monto cobrado sin fecha",""),4,900)))</f>
        <v/>
      </c>
    </row>
    <row r="383">
      <c r="A383" s="51">
        <f>IF(COUNTA($B383,$C383,$D383,$E383,$F383,$I383)=0,"","V-"&amp;TEXT(ROW()-6,"0000"))</f>
        <v/>
      </c>
      <c r="B383" s="41" t="n"/>
      <c r="C383" s="33" t="n"/>
      <c r="D383" s="33" t="n"/>
      <c r="E383" s="33" t="n"/>
      <c r="F383" s="33" t="n"/>
      <c r="G383" s="51">
        <f>IF($F383="","",IFERROR(IF(INDEX(tblProductos[Nombre del producto],MATCH($F383,tblProductos[SKU],0))="","",INDEX(tblProductos[Nombre del producto],MATCH($F383,tblProductos[SKU],0))),""))</f>
        <v/>
      </c>
      <c r="H383" s="51">
        <f>IF($F383="","",IFERROR(IF(INDEX(tblProductos[Categoría],MATCH($F383,tblProductos[SKU],0))="","",INDEX(tblProductos[Categoría],MATCH($F383,tblProductos[SKU],0))),""))</f>
        <v/>
      </c>
      <c r="I383" s="34" t="n"/>
      <c r="J383" s="39">
        <f>IF(OR($B383="",$F383="",$I383=""),"",IF($T383="Anulado",0,$I383))</f>
        <v/>
      </c>
      <c r="K383" s="54">
        <f>IF($F383="","",IFERROR(IF(INDEX(tblProductos[Precio de venta actual],MATCH($F383,tblProductos[SKU],0))="","",INDEX(tblProductos[Precio de venta actual],MATCH($F383,tblProductos[SKU],0))),""))</f>
        <v/>
      </c>
      <c r="L383" s="36" t="n"/>
      <c r="M383" s="37">
        <f>IF($J383="","",IF(NOT(ISNUMBER($K383)),"PRECIO PENDIENTE",$J383*$K383))</f>
        <v/>
      </c>
      <c r="N383" s="37">
        <f>IF($J383="","",IF(NOT(ISNUMBER($M383)),"PRECIO PENDIENTE",$M383-IF(ISNUMBER($L383),$L383,0)))</f>
        <v/>
      </c>
      <c r="O383" s="54">
        <f>IF($F383="","",IFERROR(INDEX(tblInventario[Costo unitario aplicado],MATCH($F383,tblInventario[SKU],0)),""))</f>
        <v/>
      </c>
      <c r="P383" s="37">
        <f>IF($J383="","",IF(NOT(ISNUMBER($O383)),"COSTO PENDIENTE",$J383*$O383))</f>
        <v/>
      </c>
      <c r="Q383" s="37">
        <f>IF($J383="","",IF(OR(NOT(ISNUMBER($N383)),NOT(ISNUMBER($P383))),"PENDIENTE",$N383-$P383))</f>
        <v/>
      </c>
      <c r="R383" s="38">
        <f>IF($J383="","",IF(OR(NOT(ISNUMBER($Q383)),NOT(ISNUMBER($N383)),$N383&lt;=0),"PENDIENTE",$Q383/$N383))</f>
        <v/>
      </c>
      <c r="S383" s="33" t="n"/>
      <c r="T383" s="33" t="n"/>
      <c r="U383" s="41" t="n"/>
      <c r="V383" s="36" t="n"/>
      <c r="W383" s="37">
        <f>IF(NOT(ISNUMBER($N383)),"",$N383-IF(ISNUMBER($V383),$V383,0))</f>
        <v/>
      </c>
      <c r="X383" s="33" t="n"/>
      <c r="Y383" s="51">
        <f>IF(COUNTA($B383,$C383,$D383,$E383,$F383,$I383)=0,"",IF(IF($B383=""," · Falta fecha","")&amp;IF($D383=""," · Falta cliente","")&amp;IF($E383=""," · Falta canal","")&amp;IF($F383=""," · Falta SKU","")&amp;IF(AND($F383&lt;&gt;"",COUNTIF(tblProductos[SKU],$F383)=0)," · SKU no existe","")&amp;IF(OR($I383="",NOT(ISNUMBER($I383)),$I383&lt;=0)," · Cantidad inválida","")&amp;IF($M383="PRECIO PENDIENTE"," · Falta precio de venta","")&amp;IF($P383="COSTO PENDIENTE"," · Falta costo del producto","")&amp;IF(AND(ISNUMBER($Q383),$Q383&lt;0)," · UTILIDAD NEGATIVA","")&amp;IF(AND($F383&lt;&gt;"",ISNUMBER(INDEX(tblInventario[Stock actual],MATCH($F383,tblInventario[SKU],0))),INDEX(tblInventario[Stock actual],MATCH($F383,tblInventario[SKU],0))&lt;0)," · Stock negativo del SKU","")&amp;IF(AND($T383="Cobrado",$U383="")," · Cobro sin fecha","")&amp;IF(AND(ISNUMBER($V383),ISNUMBER($N383),$V383&gt;N($N383)+0.01)," · Cobrado &gt; venta neta","")&amp;IF(AND(ISNUMBER($V383),$V383&gt;0,$U383="")," · Monto cobrado sin fecha","")="","OK",MID(IF($B383=""," · Falta fecha","")&amp;IF($D383=""," · Falta cliente","")&amp;IF($E383=""," · Falta canal","")&amp;IF($F383=""," · Falta SKU","")&amp;IF(AND($F383&lt;&gt;"",COUNTIF(tblProductos[SKU],$F383)=0)," · SKU no existe","")&amp;IF(OR($I383="",NOT(ISNUMBER($I383)),$I383&lt;=0)," · Cantidad inválida","")&amp;IF($M383="PRECIO PENDIENTE"," · Falta precio de venta","")&amp;IF($P383="COSTO PENDIENTE"," · Falta costo del producto","")&amp;IF(AND(ISNUMBER($Q383),$Q383&lt;0)," · UTILIDAD NEGATIVA","")&amp;IF(AND($F383&lt;&gt;"",ISNUMBER(INDEX(tblInventario[Stock actual],MATCH($F383,tblInventario[SKU],0))),INDEX(tblInventario[Stock actual],MATCH($F383,tblInventario[SKU],0))&lt;0)," · Stock negativo del SKU","")&amp;IF(AND($T383="Cobrado",$U383="")," · Cobro sin fecha","")&amp;IF(AND(ISNUMBER($V383),ISNUMBER($N383),$V383&gt;N($N383)+0.01)," · Cobrado &gt; venta neta","")&amp;IF(AND(ISNUMBER($V383),$V383&gt;0,$U383="")," · Monto cobrado sin fecha",""),4,900)))</f>
        <v/>
      </c>
    </row>
    <row r="384">
      <c r="A384" s="51">
        <f>IF(COUNTA($B384,$C384,$D384,$E384,$F384,$I384)=0,"","V-"&amp;TEXT(ROW()-6,"0000"))</f>
        <v/>
      </c>
      <c r="B384" s="41" t="n"/>
      <c r="C384" s="33" t="n"/>
      <c r="D384" s="33" t="n"/>
      <c r="E384" s="33" t="n"/>
      <c r="F384" s="33" t="n"/>
      <c r="G384" s="51">
        <f>IF($F384="","",IFERROR(IF(INDEX(tblProductos[Nombre del producto],MATCH($F384,tblProductos[SKU],0))="","",INDEX(tblProductos[Nombre del producto],MATCH($F384,tblProductos[SKU],0))),""))</f>
        <v/>
      </c>
      <c r="H384" s="51">
        <f>IF($F384="","",IFERROR(IF(INDEX(tblProductos[Categoría],MATCH($F384,tblProductos[SKU],0))="","",INDEX(tblProductos[Categoría],MATCH($F384,tblProductos[SKU],0))),""))</f>
        <v/>
      </c>
      <c r="I384" s="34" t="n"/>
      <c r="J384" s="39">
        <f>IF(OR($B384="",$F384="",$I384=""),"",IF($T384="Anulado",0,$I384))</f>
        <v/>
      </c>
      <c r="K384" s="54">
        <f>IF($F384="","",IFERROR(IF(INDEX(tblProductos[Precio de venta actual],MATCH($F384,tblProductos[SKU],0))="","",INDEX(tblProductos[Precio de venta actual],MATCH($F384,tblProductos[SKU],0))),""))</f>
        <v/>
      </c>
      <c r="L384" s="36" t="n"/>
      <c r="M384" s="37">
        <f>IF($J384="","",IF(NOT(ISNUMBER($K384)),"PRECIO PENDIENTE",$J384*$K384))</f>
        <v/>
      </c>
      <c r="N384" s="37">
        <f>IF($J384="","",IF(NOT(ISNUMBER($M384)),"PRECIO PENDIENTE",$M384-IF(ISNUMBER($L384),$L384,0)))</f>
        <v/>
      </c>
      <c r="O384" s="54">
        <f>IF($F384="","",IFERROR(INDEX(tblInventario[Costo unitario aplicado],MATCH($F384,tblInventario[SKU],0)),""))</f>
        <v/>
      </c>
      <c r="P384" s="37">
        <f>IF($J384="","",IF(NOT(ISNUMBER($O384)),"COSTO PENDIENTE",$J384*$O384))</f>
        <v/>
      </c>
      <c r="Q384" s="37">
        <f>IF($J384="","",IF(OR(NOT(ISNUMBER($N384)),NOT(ISNUMBER($P384))),"PENDIENTE",$N384-$P384))</f>
        <v/>
      </c>
      <c r="R384" s="38">
        <f>IF($J384="","",IF(OR(NOT(ISNUMBER($Q384)),NOT(ISNUMBER($N384)),$N384&lt;=0),"PENDIENTE",$Q384/$N384))</f>
        <v/>
      </c>
      <c r="S384" s="33" t="n"/>
      <c r="T384" s="33" t="n"/>
      <c r="U384" s="41" t="n"/>
      <c r="V384" s="36" t="n"/>
      <c r="W384" s="37">
        <f>IF(NOT(ISNUMBER($N384)),"",$N384-IF(ISNUMBER($V384),$V384,0))</f>
        <v/>
      </c>
      <c r="X384" s="33" t="n"/>
      <c r="Y384" s="51">
        <f>IF(COUNTA($B384,$C384,$D384,$E384,$F384,$I384)=0,"",IF(IF($B384=""," · Falta fecha","")&amp;IF($D384=""," · Falta cliente","")&amp;IF($E384=""," · Falta canal","")&amp;IF($F384=""," · Falta SKU","")&amp;IF(AND($F384&lt;&gt;"",COUNTIF(tblProductos[SKU],$F384)=0)," · SKU no existe","")&amp;IF(OR($I384="",NOT(ISNUMBER($I384)),$I384&lt;=0)," · Cantidad inválida","")&amp;IF($M384="PRECIO PENDIENTE"," · Falta precio de venta","")&amp;IF($P384="COSTO PENDIENTE"," · Falta costo del producto","")&amp;IF(AND(ISNUMBER($Q384),$Q384&lt;0)," · UTILIDAD NEGATIVA","")&amp;IF(AND($F384&lt;&gt;"",ISNUMBER(INDEX(tblInventario[Stock actual],MATCH($F384,tblInventario[SKU],0))),INDEX(tblInventario[Stock actual],MATCH($F384,tblInventario[SKU],0))&lt;0)," · Stock negativo del SKU","")&amp;IF(AND($T384="Cobrado",$U384="")," · Cobro sin fecha","")&amp;IF(AND(ISNUMBER($V384),ISNUMBER($N384),$V384&gt;N($N384)+0.01)," · Cobrado &gt; venta neta","")&amp;IF(AND(ISNUMBER($V384),$V384&gt;0,$U384="")," · Monto cobrado sin fecha","")="","OK",MID(IF($B384=""," · Falta fecha","")&amp;IF($D384=""," · Falta cliente","")&amp;IF($E384=""," · Falta canal","")&amp;IF($F384=""," · Falta SKU","")&amp;IF(AND($F384&lt;&gt;"",COUNTIF(tblProductos[SKU],$F384)=0)," · SKU no existe","")&amp;IF(OR($I384="",NOT(ISNUMBER($I384)),$I384&lt;=0)," · Cantidad inválida","")&amp;IF($M384="PRECIO PENDIENTE"," · Falta precio de venta","")&amp;IF($P384="COSTO PENDIENTE"," · Falta costo del producto","")&amp;IF(AND(ISNUMBER($Q384),$Q384&lt;0)," · UTILIDAD NEGATIVA","")&amp;IF(AND($F384&lt;&gt;"",ISNUMBER(INDEX(tblInventario[Stock actual],MATCH($F384,tblInventario[SKU],0))),INDEX(tblInventario[Stock actual],MATCH($F384,tblInventario[SKU],0))&lt;0)," · Stock negativo del SKU","")&amp;IF(AND($T384="Cobrado",$U384="")," · Cobro sin fecha","")&amp;IF(AND(ISNUMBER($V384),ISNUMBER($N384),$V384&gt;N($N384)+0.01)," · Cobrado &gt; venta neta","")&amp;IF(AND(ISNUMBER($V384),$V384&gt;0,$U384="")," · Monto cobrado sin fecha",""),4,900)))</f>
        <v/>
      </c>
    </row>
    <row r="385">
      <c r="A385" s="51">
        <f>IF(COUNTA($B385,$C385,$D385,$E385,$F385,$I385)=0,"","V-"&amp;TEXT(ROW()-6,"0000"))</f>
        <v/>
      </c>
      <c r="B385" s="41" t="n"/>
      <c r="C385" s="33" t="n"/>
      <c r="D385" s="33" t="n"/>
      <c r="E385" s="33" t="n"/>
      <c r="F385" s="33" t="n"/>
      <c r="G385" s="51">
        <f>IF($F385="","",IFERROR(IF(INDEX(tblProductos[Nombre del producto],MATCH($F385,tblProductos[SKU],0))="","",INDEX(tblProductos[Nombre del producto],MATCH($F385,tblProductos[SKU],0))),""))</f>
        <v/>
      </c>
      <c r="H385" s="51">
        <f>IF($F385="","",IFERROR(IF(INDEX(tblProductos[Categoría],MATCH($F385,tblProductos[SKU],0))="","",INDEX(tblProductos[Categoría],MATCH($F385,tblProductos[SKU],0))),""))</f>
        <v/>
      </c>
      <c r="I385" s="34" t="n"/>
      <c r="J385" s="39">
        <f>IF(OR($B385="",$F385="",$I385=""),"",IF($T385="Anulado",0,$I385))</f>
        <v/>
      </c>
      <c r="K385" s="54">
        <f>IF($F385="","",IFERROR(IF(INDEX(tblProductos[Precio de venta actual],MATCH($F385,tblProductos[SKU],0))="","",INDEX(tblProductos[Precio de venta actual],MATCH($F385,tblProductos[SKU],0))),""))</f>
        <v/>
      </c>
      <c r="L385" s="36" t="n"/>
      <c r="M385" s="37">
        <f>IF($J385="","",IF(NOT(ISNUMBER($K385)),"PRECIO PENDIENTE",$J385*$K385))</f>
        <v/>
      </c>
      <c r="N385" s="37">
        <f>IF($J385="","",IF(NOT(ISNUMBER($M385)),"PRECIO PENDIENTE",$M385-IF(ISNUMBER($L385),$L385,0)))</f>
        <v/>
      </c>
      <c r="O385" s="54">
        <f>IF($F385="","",IFERROR(INDEX(tblInventario[Costo unitario aplicado],MATCH($F385,tblInventario[SKU],0)),""))</f>
        <v/>
      </c>
      <c r="P385" s="37">
        <f>IF($J385="","",IF(NOT(ISNUMBER($O385)),"COSTO PENDIENTE",$J385*$O385))</f>
        <v/>
      </c>
      <c r="Q385" s="37">
        <f>IF($J385="","",IF(OR(NOT(ISNUMBER($N385)),NOT(ISNUMBER($P385))),"PENDIENTE",$N385-$P385))</f>
        <v/>
      </c>
      <c r="R385" s="38">
        <f>IF($J385="","",IF(OR(NOT(ISNUMBER($Q385)),NOT(ISNUMBER($N385)),$N385&lt;=0),"PENDIENTE",$Q385/$N385))</f>
        <v/>
      </c>
      <c r="S385" s="33" t="n"/>
      <c r="T385" s="33" t="n"/>
      <c r="U385" s="41" t="n"/>
      <c r="V385" s="36" t="n"/>
      <c r="W385" s="37">
        <f>IF(NOT(ISNUMBER($N385)),"",$N385-IF(ISNUMBER($V385),$V385,0))</f>
        <v/>
      </c>
      <c r="X385" s="33" t="n"/>
      <c r="Y385" s="51">
        <f>IF(COUNTA($B385,$C385,$D385,$E385,$F385,$I385)=0,"",IF(IF($B385=""," · Falta fecha","")&amp;IF($D385=""," · Falta cliente","")&amp;IF($E385=""," · Falta canal","")&amp;IF($F385=""," · Falta SKU","")&amp;IF(AND($F385&lt;&gt;"",COUNTIF(tblProductos[SKU],$F385)=0)," · SKU no existe","")&amp;IF(OR($I385="",NOT(ISNUMBER($I385)),$I385&lt;=0)," · Cantidad inválida","")&amp;IF($M385="PRECIO PENDIENTE"," · Falta precio de venta","")&amp;IF($P385="COSTO PENDIENTE"," · Falta costo del producto","")&amp;IF(AND(ISNUMBER($Q385),$Q385&lt;0)," · UTILIDAD NEGATIVA","")&amp;IF(AND($F385&lt;&gt;"",ISNUMBER(INDEX(tblInventario[Stock actual],MATCH($F385,tblInventario[SKU],0))),INDEX(tblInventario[Stock actual],MATCH($F385,tblInventario[SKU],0))&lt;0)," · Stock negativo del SKU","")&amp;IF(AND($T385="Cobrado",$U385="")," · Cobro sin fecha","")&amp;IF(AND(ISNUMBER($V385),ISNUMBER($N385),$V385&gt;N($N385)+0.01)," · Cobrado &gt; venta neta","")&amp;IF(AND(ISNUMBER($V385),$V385&gt;0,$U385="")," · Monto cobrado sin fecha","")="","OK",MID(IF($B385=""," · Falta fecha","")&amp;IF($D385=""," · Falta cliente","")&amp;IF($E385=""," · Falta canal","")&amp;IF($F385=""," · Falta SKU","")&amp;IF(AND($F385&lt;&gt;"",COUNTIF(tblProductos[SKU],$F385)=0)," · SKU no existe","")&amp;IF(OR($I385="",NOT(ISNUMBER($I385)),$I385&lt;=0)," · Cantidad inválida","")&amp;IF($M385="PRECIO PENDIENTE"," · Falta precio de venta","")&amp;IF($P385="COSTO PENDIENTE"," · Falta costo del producto","")&amp;IF(AND(ISNUMBER($Q385),$Q385&lt;0)," · UTILIDAD NEGATIVA","")&amp;IF(AND($F385&lt;&gt;"",ISNUMBER(INDEX(tblInventario[Stock actual],MATCH($F385,tblInventario[SKU],0))),INDEX(tblInventario[Stock actual],MATCH($F385,tblInventario[SKU],0))&lt;0)," · Stock negativo del SKU","")&amp;IF(AND($T385="Cobrado",$U385="")," · Cobro sin fecha","")&amp;IF(AND(ISNUMBER($V385),ISNUMBER($N385),$V385&gt;N($N385)+0.01)," · Cobrado &gt; venta neta","")&amp;IF(AND(ISNUMBER($V385),$V385&gt;0,$U385="")," · Monto cobrado sin fecha",""),4,900)))</f>
        <v/>
      </c>
    </row>
    <row r="386">
      <c r="A386" s="51">
        <f>IF(COUNTA($B386,$C386,$D386,$E386,$F386,$I386)=0,"","V-"&amp;TEXT(ROW()-6,"0000"))</f>
        <v/>
      </c>
      <c r="B386" s="41" t="n"/>
      <c r="C386" s="33" t="n"/>
      <c r="D386" s="33" t="n"/>
      <c r="E386" s="33" t="n"/>
      <c r="F386" s="33" t="n"/>
      <c r="G386" s="51">
        <f>IF($F386="","",IFERROR(IF(INDEX(tblProductos[Nombre del producto],MATCH($F386,tblProductos[SKU],0))="","",INDEX(tblProductos[Nombre del producto],MATCH($F386,tblProductos[SKU],0))),""))</f>
        <v/>
      </c>
      <c r="H386" s="51">
        <f>IF($F386="","",IFERROR(IF(INDEX(tblProductos[Categoría],MATCH($F386,tblProductos[SKU],0))="","",INDEX(tblProductos[Categoría],MATCH($F386,tblProductos[SKU],0))),""))</f>
        <v/>
      </c>
      <c r="I386" s="34" t="n"/>
      <c r="J386" s="39">
        <f>IF(OR($B386="",$F386="",$I386=""),"",IF($T386="Anulado",0,$I386))</f>
        <v/>
      </c>
      <c r="K386" s="54">
        <f>IF($F386="","",IFERROR(IF(INDEX(tblProductos[Precio de venta actual],MATCH($F386,tblProductos[SKU],0))="","",INDEX(tblProductos[Precio de venta actual],MATCH($F386,tblProductos[SKU],0))),""))</f>
        <v/>
      </c>
      <c r="L386" s="36" t="n"/>
      <c r="M386" s="37">
        <f>IF($J386="","",IF(NOT(ISNUMBER($K386)),"PRECIO PENDIENTE",$J386*$K386))</f>
        <v/>
      </c>
      <c r="N386" s="37">
        <f>IF($J386="","",IF(NOT(ISNUMBER($M386)),"PRECIO PENDIENTE",$M386-IF(ISNUMBER($L386),$L386,0)))</f>
        <v/>
      </c>
      <c r="O386" s="54">
        <f>IF($F386="","",IFERROR(INDEX(tblInventario[Costo unitario aplicado],MATCH($F386,tblInventario[SKU],0)),""))</f>
        <v/>
      </c>
      <c r="P386" s="37">
        <f>IF($J386="","",IF(NOT(ISNUMBER($O386)),"COSTO PENDIENTE",$J386*$O386))</f>
        <v/>
      </c>
      <c r="Q386" s="37">
        <f>IF($J386="","",IF(OR(NOT(ISNUMBER($N386)),NOT(ISNUMBER($P386))),"PENDIENTE",$N386-$P386))</f>
        <v/>
      </c>
      <c r="R386" s="38">
        <f>IF($J386="","",IF(OR(NOT(ISNUMBER($Q386)),NOT(ISNUMBER($N386)),$N386&lt;=0),"PENDIENTE",$Q386/$N386))</f>
        <v/>
      </c>
      <c r="S386" s="33" t="n"/>
      <c r="T386" s="33" t="n"/>
      <c r="U386" s="41" t="n"/>
      <c r="V386" s="36" t="n"/>
      <c r="W386" s="37">
        <f>IF(NOT(ISNUMBER($N386)),"",$N386-IF(ISNUMBER($V386),$V386,0))</f>
        <v/>
      </c>
      <c r="X386" s="33" t="n"/>
      <c r="Y386" s="51">
        <f>IF(COUNTA($B386,$C386,$D386,$E386,$F386,$I386)=0,"",IF(IF($B386=""," · Falta fecha","")&amp;IF($D386=""," · Falta cliente","")&amp;IF($E386=""," · Falta canal","")&amp;IF($F386=""," · Falta SKU","")&amp;IF(AND($F386&lt;&gt;"",COUNTIF(tblProductos[SKU],$F386)=0)," · SKU no existe","")&amp;IF(OR($I386="",NOT(ISNUMBER($I386)),$I386&lt;=0)," · Cantidad inválida","")&amp;IF($M386="PRECIO PENDIENTE"," · Falta precio de venta","")&amp;IF($P386="COSTO PENDIENTE"," · Falta costo del producto","")&amp;IF(AND(ISNUMBER($Q386),$Q386&lt;0)," · UTILIDAD NEGATIVA","")&amp;IF(AND($F386&lt;&gt;"",ISNUMBER(INDEX(tblInventario[Stock actual],MATCH($F386,tblInventario[SKU],0))),INDEX(tblInventario[Stock actual],MATCH($F386,tblInventario[SKU],0))&lt;0)," · Stock negativo del SKU","")&amp;IF(AND($T386="Cobrado",$U386="")," · Cobro sin fecha","")&amp;IF(AND(ISNUMBER($V386),ISNUMBER($N386),$V386&gt;N($N386)+0.01)," · Cobrado &gt; venta neta","")&amp;IF(AND(ISNUMBER($V386),$V386&gt;0,$U386="")," · Monto cobrado sin fecha","")="","OK",MID(IF($B386=""," · Falta fecha","")&amp;IF($D386=""," · Falta cliente","")&amp;IF($E386=""," · Falta canal","")&amp;IF($F386=""," · Falta SKU","")&amp;IF(AND($F386&lt;&gt;"",COUNTIF(tblProductos[SKU],$F386)=0)," · SKU no existe","")&amp;IF(OR($I386="",NOT(ISNUMBER($I386)),$I386&lt;=0)," · Cantidad inválida","")&amp;IF($M386="PRECIO PENDIENTE"," · Falta precio de venta","")&amp;IF($P386="COSTO PENDIENTE"," · Falta costo del producto","")&amp;IF(AND(ISNUMBER($Q386),$Q386&lt;0)," · UTILIDAD NEGATIVA","")&amp;IF(AND($F386&lt;&gt;"",ISNUMBER(INDEX(tblInventario[Stock actual],MATCH($F386,tblInventario[SKU],0))),INDEX(tblInventario[Stock actual],MATCH($F386,tblInventario[SKU],0))&lt;0)," · Stock negativo del SKU","")&amp;IF(AND($T386="Cobrado",$U386="")," · Cobro sin fecha","")&amp;IF(AND(ISNUMBER($V386),ISNUMBER($N386),$V386&gt;N($N386)+0.01)," · Cobrado &gt; venta neta","")&amp;IF(AND(ISNUMBER($V386),$V386&gt;0,$U386="")," · Monto cobrado sin fecha",""),4,900)))</f>
        <v/>
      </c>
    </row>
    <row r="387">
      <c r="A387" s="51">
        <f>IF(COUNTA($B387,$C387,$D387,$E387,$F387,$I387)=0,"","V-"&amp;TEXT(ROW()-6,"0000"))</f>
        <v/>
      </c>
      <c r="B387" s="41" t="n"/>
      <c r="C387" s="33" t="n"/>
      <c r="D387" s="33" t="n"/>
      <c r="E387" s="33" t="n"/>
      <c r="F387" s="33" t="n"/>
      <c r="G387" s="51">
        <f>IF($F387="","",IFERROR(IF(INDEX(tblProductos[Nombre del producto],MATCH($F387,tblProductos[SKU],0))="","",INDEX(tblProductos[Nombre del producto],MATCH($F387,tblProductos[SKU],0))),""))</f>
        <v/>
      </c>
      <c r="H387" s="51">
        <f>IF($F387="","",IFERROR(IF(INDEX(tblProductos[Categoría],MATCH($F387,tblProductos[SKU],0))="","",INDEX(tblProductos[Categoría],MATCH($F387,tblProductos[SKU],0))),""))</f>
        <v/>
      </c>
      <c r="I387" s="34" t="n"/>
      <c r="J387" s="39">
        <f>IF(OR($B387="",$F387="",$I387=""),"",IF($T387="Anulado",0,$I387))</f>
        <v/>
      </c>
      <c r="K387" s="54">
        <f>IF($F387="","",IFERROR(IF(INDEX(tblProductos[Precio de venta actual],MATCH($F387,tblProductos[SKU],0))="","",INDEX(tblProductos[Precio de venta actual],MATCH($F387,tblProductos[SKU],0))),""))</f>
        <v/>
      </c>
      <c r="L387" s="36" t="n"/>
      <c r="M387" s="37">
        <f>IF($J387="","",IF(NOT(ISNUMBER($K387)),"PRECIO PENDIENTE",$J387*$K387))</f>
        <v/>
      </c>
      <c r="N387" s="37">
        <f>IF($J387="","",IF(NOT(ISNUMBER($M387)),"PRECIO PENDIENTE",$M387-IF(ISNUMBER($L387),$L387,0)))</f>
        <v/>
      </c>
      <c r="O387" s="54">
        <f>IF($F387="","",IFERROR(INDEX(tblInventario[Costo unitario aplicado],MATCH($F387,tblInventario[SKU],0)),""))</f>
        <v/>
      </c>
      <c r="P387" s="37">
        <f>IF($J387="","",IF(NOT(ISNUMBER($O387)),"COSTO PENDIENTE",$J387*$O387))</f>
        <v/>
      </c>
      <c r="Q387" s="37">
        <f>IF($J387="","",IF(OR(NOT(ISNUMBER($N387)),NOT(ISNUMBER($P387))),"PENDIENTE",$N387-$P387))</f>
        <v/>
      </c>
      <c r="R387" s="38">
        <f>IF($J387="","",IF(OR(NOT(ISNUMBER($Q387)),NOT(ISNUMBER($N387)),$N387&lt;=0),"PENDIENTE",$Q387/$N387))</f>
        <v/>
      </c>
      <c r="S387" s="33" t="n"/>
      <c r="T387" s="33" t="n"/>
      <c r="U387" s="41" t="n"/>
      <c r="V387" s="36" t="n"/>
      <c r="W387" s="37">
        <f>IF(NOT(ISNUMBER($N387)),"",$N387-IF(ISNUMBER($V387),$V387,0))</f>
        <v/>
      </c>
      <c r="X387" s="33" t="n"/>
      <c r="Y387" s="51">
        <f>IF(COUNTA($B387,$C387,$D387,$E387,$F387,$I387)=0,"",IF(IF($B387=""," · Falta fecha","")&amp;IF($D387=""," · Falta cliente","")&amp;IF($E387=""," · Falta canal","")&amp;IF($F387=""," · Falta SKU","")&amp;IF(AND($F387&lt;&gt;"",COUNTIF(tblProductos[SKU],$F387)=0)," · SKU no existe","")&amp;IF(OR($I387="",NOT(ISNUMBER($I387)),$I387&lt;=0)," · Cantidad inválida","")&amp;IF($M387="PRECIO PENDIENTE"," · Falta precio de venta","")&amp;IF($P387="COSTO PENDIENTE"," · Falta costo del producto","")&amp;IF(AND(ISNUMBER($Q387),$Q387&lt;0)," · UTILIDAD NEGATIVA","")&amp;IF(AND($F387&lt;&gt;"",ISNUMBER(INDEX(tblInventario[Stock actual],MATCH($F387,tblInventario[SKU],0))),INDEX(tblInventario[Stock actual],MATCH($F387,tblInventario[SKU],0))&lt;0)," · Stock negativo del SKU","")&amp;IF(AND($T387="Cobrado",$U387="")," · Cobro sin fecha","")&amp;IF(AND(ISNUMBER($V387),ISNUMBER($N387),$V387&gt;N($N387)+0.01)," · Cobrado &gt; venta neta","")&amp;IF(AND(ISNUMBER($V387),$V387&gt;0,$U387="")," · Monto cobrado sin fecha","")="","OK",MID(IF($B387=""," · Falta fecha","")&amp;IF($D387=""," · Falta cliente","")&amp;IF($E387=""," · Falta canal","")&amp;IF($F387=""," · Falta SKU","")&amp;IF(AND($F387&lt;&gt;"",COUNTIF(tblProductos[SKU],$F387)=0)," · SKU no existe","")&amp;IF(OR($I387="",NOT(ISNUMBER($I387)),$I387&lt;=0)," · Cantidad inválida","")&amp;IF($M387="PRECIO PENDIENTE"," · Falta precio de venta","")&amp;IF($P387="COSTO PENDIENTE"," · Falta costo del producto","")&amp;IF(AND(ISNUMBER($Q387),$Q387&lt;0)," · UTILIDAD NEGATIVA","")&amp;IF(AND($F387&lt;&gt;"",ISNUMBER(INDEX(tblInventario[Stock actual],MATCH($F387,tblInventario[SKU],0))),INDEX(tblInventario[Stock actual],MATCH($F387,tblInventario[SKU],0))&lt;0)," · Stock negativo del SKU","")&amp;IF(AND($T387="Cobrado",$U387="")," · Cobro sin fecha","")&amp;IF(AND(ISNUMBER($V387),ISNUMBER($N387),$V387&gt;N($N387)+0.01)," · Cobrado &gt; venta neta","")&amp;IF(AND(ISNUMBER($V387),$V387&gt;0,$U387="")," · Monto cobrado sin fecha",""),4,900)))</f>
        <v/>
      </c>
    </row>
    <row r="388">
      <c r="A388" s="51">
        <f>IF(COUNTA($B388,$C388,$D388,$E388,$F388,$I388)=0,"","V-"&amp;TEXT(ROW()-6,"0000"))</f>
        <v/>
      </c>
      <c r="B388" s="41" t="n"/>
      <c r="C388" s="33" t="n"/>
      <c r="D388" s="33" t="n"/>
      <c r="E388" s="33" t="n"/>
      <c r="F388" s="33" t="n"/>
      <c r="G388" s="51">
        <f>IF($F388="","",IFERROR(IF(INDEX(tblProductos[Nombre del producto],MATCH($F388,tblProductos[SKU],0))="","",INDEX(tblProductos[Nombre del producto],MATCH($F388,tblProductos[SKU],0))),""))</f>
        <v/>
      </c>
      <c r="H388" s="51">
        <f>IF($F388="","",IFERROR(IF(INDEX(tblProductos[Categoría],MATCH($F388,tblProductos[SKU],0))="","",INDEX(tblProductos[Categoría],MATCH($F388,tblProductos[SKU],0))),""))</f>
        <v/>
      </c>
      <c r="I388" s="34" t="n"/>
      <c r="J388" s="39">
        <f>IF(OR($B388="",$F388="",$I388=""),"",IF($T388="Anulado",0,$I388))</f>
        <v/>
      </c>
      <c r="K388" s="54">
        <f>IF($F388="","",IFERROR(IF(INDEX(tblProductos[Precio de venta actual],MATCH($F388,tblProductos[SKU],0))="","",INDEX(tblProductos[Precio de venta actual],MATCH($F388,tblProductos[SKU],0))),""))</f>
        <v/>
      </c>
      <c r="L388" s="36" t="n"/>
      <c r="M388" s="37">
        <f>IF($J388="","",IF(NOT(ISNUMBER($K388)),"PRECIO PENDIENTE",$J388*$K388))</f>
        <v/>
      </c>
      <c r="N388" s="37">
        <f>IF($J388="","",IF(NOT(ISNUMBER($M388)),"PRECIO PENDIENTE",$M388-IF(ISNUMBER($L388),$L388,0)))</f>
        <v/>
      </c>
      <c r="O388" s="54">
        <f>IF($F388="","",IFERROR(INDEX(tblInventario[Costo unitario aplicado],MATCH($F388,tblInventario[SKU],0)),""))</f>
        <v/>
      </c>
      <c r="P388" s="37">
        <f>IF($J388="","",IF(NOT(ISNUMBER($O388)),"COSTO PENDIENTE",$J388*$O388))</f>
        <v/>
      </c>
      <c r="Q388" s="37">
        <f>IF($J388="","",IF(OR(NOT(ISNUMBER($N388)),NOT(ISNUMBER($P388))),"PENDIENTE",$N388-$P388))</f>
        <v/>
      </c>
      <c r="R388" s="38">
        <f>IF($J388="","",IF(OR(NOT(ISNUMBER($Q388)),NOT(ISNUMBER($N388)),$N388&lt;=0),"PENDIENTE",$Q388/$N388))</f>
        <v/>
      </c>
      <c r="S388" s="33" t="n"/>
      <c r="T388" s="33" t="n"/>
      <c r="U388" s="41" t="n"/>
      <c r="V388" s="36" t="n"/>
      <c r="W388" s="37">
        <f>IF(NOT(ISNUMBER($N388)),"",$N388-IF(ISNUMBER($V388),$V388,0))</f>
        <v/>
      </c>
      <c r="X388" s="33" t="n"/>
      <c r="Y388" s="51">
        <f>IF(COUNTA($B388,$C388,$D388,$E388,$F388,$I388)=0,"",IF(IF($B388=""," · Falta fecha","")&amp;IF($D388=""," · Falta cliente","")&amp;IF($E388=""," · Falta canal","")&amp;IF($F388=""," · Falta SKU","")&amp;IF(AND($F388&lt;&gt;"",COUNTIF(tblProductos[SKU],$F388)=0)," · SKU no existe","")&amp;IF(OR($I388="",NOT(ISNUMBER($I388)),$I388&lt;=0)," · Cantidad inválida","")&amp;IF($M388="PRECIO PENDIENTE"," · Falta precio de venta","")&amp;IF($P388="COSTO PENDIENTE"," · Falta costo del producto","")&amp;IF(AND(ISNUMBER($Q388),$Q388&lt;0)," · UTILIDAD NEGATIVA","")&amp;IF(AND($F388&lt;&gt;"",ISNUMBER(INDEX(tblInventario[Stock actual],MATCH($F388,tblInventario[SKU],0))),INDEX(tblInventario[Stock actual],MATCH($F388,tblInventario[SKU],0))&lt;0)," · Stock negativo del SKU","")&amp;IF(AND($T388="Cobrado",$U388="")," · Cobro sin fecha","")&amp;IF(AND(ISNUMBER($V388),ISNUMBER($N388),$V388&gt;N($N388)+0.01)," · Cobrado &gt; venta neta","")&amp;IF(AND(ISNUMBER($V388),$V388&gt;0,$U388="")," · Monto cobrado sin fecha","")="","OK",MID(IF($B388=""," · Falta fecha","")&amp;IF($D388=""," · Falta cliente","")&amp;IF($E388=""," · Falta canal","")&amp;IF($F388=""," · Falta SKU","")&amp;IF(AND($F388&lt;&gt;"",COUNTIF(tblProductos[SKU],$F388)=0)," · SKU no existe","")&amp;IF(OR($I388="",NOT(ISNUMBER($I388)),$I388&lt;=0)," · Cantidad inválida","")&amp;IF($M388="PRECIO PENDIENTE"," · Falta precio de venta","")&amp;IF($P388="COSTO PENDIENTE"," · Falta costo del producto","")&amp;IF(AND(ISNUMBER($Q388),$Q388&lt;0)," · UTILIDAD NEGATIVA","")&amp;IF(AND($F388&lt;&gt;"",ISNUMBER(INDEX(tblInventario[Stock actual],MATCH($F388,tblInventario[SKU],0))),INDEX(tblInventario[Stock actual],MATCH($F388,tblInventario[SKU],0))&lt;0)," · Stock negativo del SKU","")&amp;IF(AND($T388="Cobrado",$U388="")," · Cobro sin fecha","")&amp;IF(AND(ISNUMBER($V388),ISNUMBER($N388),$V388&gt;N($N388)+0.01)," · Cobrado &gt; venta neta","")&amp;IF(AND(ISNUMBER($V388),$V388&gt;0,$U388="")," · Monto cobrado sin fecha",""),4,900)))</f>
        <v/>
      </c>
    </row>
    <row r="389">
      <c r="A389" s="51">
        <f>IF(COUNTA($B389,$C389,$D389,$E389,$F389,$I389)=0,"","V-"&amp;TEXT(ROW()-6,"0000"))</f>
        <v/>
      </c>
      <c r="B389" s="41" t="n"/>
      <c r="C389" s="33" t="n"/>
      <c r="D389" s="33" t="n"/>
      <c r="E389" s="33" t="n"/>
      <c r="F389" s="33" t="n"/>
      <c r="G389" s="51">
        <f>IF($F389="","",IFERROR(IF(INDEX(tblProductos[Nombre del producto],MATCH($F389,tblProductos[SKU],0))="","",INDEX(tblProductos[Nombre del producto],MATCH($F389,tblProductos[SKU],0))),""))</f>
        <v/>
      </c>
      <c r="H389" s="51">
        <f>IF($F389="","",IFERROR(IF(INDEX(tblProductos[Categoría],MATCH($F389,tblProductos[SKU],0))="","",INDEX(tblProductos[Categoría],MATCH($F389,tblProductos[SKU],0))),""))</f>
        <v/>
      </c>
      <c r="I389" s="34" t="n"/>
      <c r="J389" s="39">
        <f>IF(OR($B389="",$F389="",$I389=""),"",IF($T389="Anulado",0,$I389))</f>
        <v/>
      </c>
      <c r="K389" s="54">
        <f>IF($F389="","",IFERROR(IF(INDEX(tblProductos[Precio de venta actual],MATCH($F389,tblProductos[SKU],0))="","",INDEX(tblProductos[Precio de venta actual],MATCH($F389,tblProductos[SKU],0))),""))</f>
        <v/>
      </c>
      <c r="L389" s="36" t="n"/>
      <c r="M389" s="37">
        <f>IF($J389="","",IF(NOT(ISNUMBER($K389)),"PRECIO PENDIENTE",$J389*$K389))</f>
        <v/>
      </c>
      <c r="N389" s="37">
        <f>IF($J389="","",IF(NOT(ISNUMBER($M389)),"PRECIO PENDIENTE",$M389-IF(ISNUMBER($L389),$L389,0)))</f>
        <v/>
      </c>
      <c r="O389" s="54">
        <f>IF($F389="","",IFERROR(INDEX(tblInventario[Costo unitario aplicado],MATCH($F389,tblInventario[SKU],0)),""))</f>
        <v/>
      </c>
      <c r="P389" s="37">
        <f>IF($J389="","",IF(NOT(ISNUMBER($O389)),"COSTO PENDIENTE",$J389*$O389))</f>
        <v/>
      </c>
      <c r="Q389" s="37">
        <f>IF($J389="","",IF(OR(NOT(ISNUMBER($N389)),NOT(ISNUMBER($P389))),"PENDIENTE",$N389-$P389))</f>
        <v/>
      </c>
      <c r="R389" s="38">
        <f>IF($J389="","",IF(OR(NOT(ISNUMBER($Q389)),NOT(ISNUMBER($N389)),$N389&lt;=0),"PENDIENTE",$Q389/$N389))</f>
        <v/>
      </c>
      <c r="S389" s="33" t="n"/>
      <c r="T389" s="33" t="n"/>
      <c r="U389" s="41" t="n"/>
      <c r="V389" s="36" t="n"/>
      <c r="W389" s="37">
        <f>IF(NOT(ISNUMBER($N389)),"",$N389-IF(ISNUMBER($V389),$V389,0))</f>
        <v/>
      </c>
      <c r="X389" s="33" t="n"/>
      <c r="Y389" s="51">
        <f>IF(COUNTA($B389,$C389,$D389,$E389,$F389,$I389)=0,"",IF(IF($B389=""," · Falta fecha","")&amp;IF($D389=""," · Falta cliente","")&amp;IF($E389=""," · Falta canal","")&amp;IF($F389=""," · Falta SKU","")&amp;IF(AND($F389&lt;&gt;"",COUNTIF(tblProductos[SKU],$F389)=0)," · SKU no existe","")&amp;IF(OR($I389="",NOT(ISNUMBER($I389)),$I389&lt;=0)," · Cantidad inválida","")&amp;IF($M389="PRECIO PENDIENTE"," · Falta precio de venta","")&amp;IF($P389="COSTO PENDIENTE"," · Falta costo del producto","")&amp;IF(AND(ISNUMBER($Q389),$Q389&lt;0)," · UTILIDAD NEGATIVA","")&amp;IF(AND($F389&lt;&gt;"",ISNUMBER(INDEX(tblInventario[Stock actual],MATCH($F389,tblInventario[SKU],0))),INDEX(tblInventario[Stock actual],MATCH($F389,tblInventario[SKU],0))&lt;0)," · Stock negativo del SKU","")&amp;IF(AND($T389="Cobrado",$U389="")," · Cobro sin fecha","")&amp;IF(AND(ISNUMBER($V389),ISNUMBER($N389),$V389&gt;N($N389)+0.01)," · Cobrado &gt; venta neta","")&amp;IF(AND(ISNUMBER($V389),$V389&gt;0,$U389="")," · Monto cobrado sin fecha","")="","OK",MID(IF($B389=""," · Falta fecha","")&amp;IF($D389=""," · Falta cliente","")&amp;IF($E389=""," · Falta canal","")&amp;IF($F389=""," · Falta SKU","")&amp;IF(AND($F389&lt;&gt;"",COUNTIF(tblProductos[SKU],$F389)=0)," · SKU no existe","")&amp;IF(OR($I389="",NOT(ISNUMBER($I389)),$I389&lt;=0)," · Cantidad inválida","")&amp;IF($M389="PRECIO PENDIENTE"," · Falta precio de venta","")&amp;IF($P389="COSTO PENDIENTE"," · Falta costo del producto","")&amp;IF(AND(ISNUMBER($Q389),$Q389&lt;0)," · UTILIDAD NEGATIVA","")&amp;IF(AND($F389&lt;&gt;"",ISNUMBER(INDEX(tblInventario[Stock actual],MATCH($F389,tblInventario[SKU],0))),INDEX(tblInventario[Stock actual],MATCH($F389,tblInventario[SKU],0))&lt;0)," · Stock negativo del SKU","")&amp;IF(AND($T389="Cobrado",$U389="")," · Cobro sin fecha","")&amp;IF(AND(ISNUMBER($V389),ISNUMBER($N389),$V389&gt;N($N389)+0.01)," · Cobrado &gt; venta neta","")&amp;IF(AND(ISNUMBER($V389),$V389&gt;0,$U389="")," · Monto cobrado sin fecha",""),4,900)))</f>
        <v/>
      </c>
    </row>
    <row r="390">
      <c r="A390" s="51">
        <f>IF(COUNTA($B390,$C390,$D390,$E390,$F390,$I390)=0,"","V-"&amp;TEXT(ROW()-6,"0000"))</f>
        <v/>
      </c>
      <c r="B390" s="41" t="n"/>
      <c r="C390" s="33" t="n"/>
      <c r="D390" s="33" t="n"/>
      <c r="E390" s="33" t="n"/>
      <c r="F390" s="33" t="n"/>
      <c r="G390" s="51">
        <f>IF($F390="","",IFERROR(IF(INDEX(tblProductos[Nombre del producto],MATCH($F390,tblProductos[SKU],0))="","",INDEX(tblProductos[Nombre del producto],MATCH($F390,tblProductos[SKU],0))),""))</f>
        <v/>
      </c>
      <c r="H390" s="51">
        <f>IF($F390="","",IFERROR(IF(INDEX(tblProductos[Categoría],MATCH($F390,tblProductos[SKU],0))="","",INDEX(tblProductos[Categoría],MATCH($F390,tblProductos[SKU],0))),""))</f>
        <v/>
      </c>
      <c r="I390" s="34" t="n"/>
      <c r="J390" s="39">
        <f>IF(OR($B390="",$F390="",$I390=""),"",IF($T390="Anulado",0,$I390))</f>
        <v/>
      </c>
      <c r="K390" s="54">
        <f>IF($F390="","",IFERROR(IF(INDEX(tblProductos[Precio de venta actual],MATCH($F390,tblProductos[SKU],0))="","",INDEX(tblProductos[Precio de venta actual],MATCH($F390,tblProductos[SKU],0))),""))</f>
        <v/>
      </c>
      <c r="L390" s="36" t="n"/>
      <c r="M390" s="37">
        <f>IF($J390="","",IF(NOT(ISNUMBER($K390)),"PRECIO PENDIENTE",$J390*$K390))</f>
        <v/>
      </c>
      <c r="N390" s="37">
        <f>IF($J390="","",IF(NOT(ISNUMBER($M390)),"PRECIO PENDIENTE",$M390-IF(ISNUMBER($L390),$L390,0)))</f>
        <v/>
      </c>
      <c r="O390" s="54">
        <f>IF($F390="","",IFERROR(INDEX(tblInventario[Costo unitario aplicado],MATCH($F390,tblInventario[SKU],0)),""))</f>
        <v/>
      </c>
      <c r="P390" s="37">
        <f>IF($J390="","",IF(NOT(ISNUMBER($O390)),"COSTO PENDIENTE",$J390*$O390))</f>
        <v/>
      </c>
      <c r="Q390" s="37">
        <f>IF($J390="","",IF(OR(NOT(ISNUMBER($N390)),NOT(ISNUMBER($P390))),"PENDIENTE",$N390-$P390))</f>
        <v/>
      </c>
      <c r="R390" s="38">
        <f>IF($J390="","",IF(OR(NOT(ISNUMBER($Q390)),NOT(ISNUMBER($N390)),$N390&lt;=0),"PENDIENTE",$Q390/$N390))</f>
        <v/>
      </c>
      <c r="S390" s="33" t="n"/>
      <c r="T390" s="33" t="n"/>
      <c r="U390" s="41" t="n"/>
      <c r="V390" s="36" t="n"/>
      <c r="W390" s="37">
        <f>IF(NOT(ISNUMBER($N390)),"",$N390-IF(ISNUMBER($V390),$V390,0))</f>
        <v/>
      </c>
      <c r="X390" s="33" t="n"/>
      <c r="Y390" s="51">
        <f>IF(COUNTA($B390,$C390,$D390,$E390,$F390,$I390)=0,"",IF(IF($B390=""," · Falta fecha","")&amp;IF($D390=""," · Falta cliente","")&amp;IF($E390=""," · Falta canal","")&amp;IF($F390=""," · Falta SKU","")&amp;IF(AND($F390&lt;&gt;"",COUNTIF(tblProductos[SKU],$F390)=0)," · SKU no existe","")&amp;IF(OR($I390="",NOT(ISNUMBER($I390)),$I390&lt;=0)," · Cantidad inválida","")&amp;IF($M390="PRECIO PENDIENTE"," · Falta precio de venta","")&amp;IF($P390="COSTO PENDIENTE"," · Falta costo del producto","")&amp;IF(AND(ISNUMBER($Q390),$Q390&lt;0)," · UTILIDAD NEGATIVA","")&amp;IF(AND($F390&lt;&gt;"",ISNUMBER(INDEX(tblInventario[Stock actual],MATCH($F390,tblInventario[SKU],0))),INDEX(tblInventario[Stock actual],MATCH($F390,tblInventario[SKU],0))&lt;0)," · Stock negativo del SKU","")&amp;IF(AND($T390="Cobrado",$U390="")," · Cobro sin fecha","")&amp;IF(AND(ISNUMBER($V390),ISNUMBER($N390),$V390&gt;N($N390)+0.01)," · Cobrado &gt; venta neta","")&amp;IF(AND(ISNUMBER($V390),$V390&gt;0,$U390="")," · Monto cobrado sin fecha","")="","OK",MID(IF($B390=""," · Falta fecha","")&amp;IF($D390=""," · Falta cliente","")&amp;IF($E390=""," · Falta canal","")&amp;IF($F390=""," · Falta SKU","")&amp;IF(AND($F390&lt;&gt;"",COUNTIF(tblProductos[SKU],$F390)=0)," · SKU no existe","")&amp;IF(OR($I390="",NOT(ISNUMBER($I390)),$I390&lt;=0)," · Cantidad inválida","")&amp;IF($M390="PRECIO PENDIENTE"," · Falta precio de venta","")&amp;IF($P390="COSTO PENDIENTE"," · Falta costo del producto","")&amp;IF(AND(ISNUMBER($Q390),$Q390&lt;0)," · UTILIDAD NEGATIVA","")&amp;IF(AND($F390&lt;&gt;"",ISNUMBER(INDEX(tblInventario[Stock actual],MATCH($F390,tblInventario[SKU],0))),INDEX(tblInventario[Stock actual],MATCH($F390,tblInventario[SKU],0))&lt;0)," · Stock negativo del SKU","")&amp;IF(AND($T390="Cobrado",$U390="")," · Cobro sin fecha","")&amp;IF(AND(ISNUMBER($V390),ISNUMBER($N390),$V390&gt;N($N390)+0.01)," · Cobrado &gt; venta neta","")&amp;IF(AND(ISNUMBER($V390),$V390&gt;0,$U390="")," · Monto cobrado sin fecha",""),4,900)))</f>
        <v/>
      </c>
    </row>
    <row r="391">
      <c r="A391" s="51">
        <f>IF(COUNTA($B391,$C391,$D391,$E391,$F391,$I391)=0,"","V-"&amp;TEXT(ROW()-6,"0000"))</f>
        <v/>
      </c>
      <c r="B391" s="41" t="n"/>
      <c r="C391" s="33" t="n"/>
      <c r="D391" s="33" t="n"/>
      <c r="E391" s="33" t="n"/>
      <c r="F391" s="33" t="n"/>
      <c r="G391" s="51">
        <f>IF($F391="","",IFERROR(IF(INDEX(tblProductos[Nombre del producto],MATCH($F391,tblProductos[SKU],0))="","",INDEX(tblProductos[Nombre del producto],MATCH($F391,tblProductos[SKU],0))),""))</f>
        <v/>
      </c>
      <c r="H391" s="51">
        <f>IF($F391="","",IFERROR(IF(INDEX(tblProductos[Categoría],MATCH($F391,tblProductos[SKU],0))="","",INDEX(tblProductos[Categoría],MATCH($F391,tblProductos[SKU],0))),""))</f>
        <v/>
      </c>
      <c r="I391" s="34" t="n"/>
      <c r="J391" s="39">
        <f>IF(OR($B391="",$F391="",$I391=""),"",IF($T391="Anulado",0,$I391))</f>
        <v/>
      </c>
      <c r="K391" s="54">
        <f>IF($F391="","",IFERROR(IF(INDEX(tblProductos[Precio de venta actual],MATCH($F391,tblProductos[SKU],0))="","",INDEX(tblProductos[Precio de venta actual],MATCH($F391,tblProductos[SKU],0))),""))</f>
        <v/>
      </c>
      <c r="L391" s="36" t="n"/>
      <c r="M391" s="37">
        <f>IF($J391="","",IF(NOT(ISNUMBER($K391)),"PRECIO PENDIENTE",$J391*$K391))</f>
        <v/>
      </c>
      <c r="N391" s="37">
        <f>IF($J391="","",IF(NOT(ISNUMBER($M391)),"PRECIO PENDIENTE",$M391-IF(ISNUMBER($L391),$L391,0)))</f>
        <v/>
      </c>
      <c r="O391" s="54">
        <f>IF($F391="","",IFERROR(INDEX(tblInventario[Costo unitario aplicado],MATCH($F391,tblInventario[SKU],0)),""))</f>
        <v/>
      </c>
      <c r="P391" s="37">
        <f>IF($J391="","",IF(NOT(ISNUMBER($O391)),"COSTO PENDIENTE",$J391*$O391))</f>
        <v/>
      </c>
      <c r="Q391" s="37">
        <f>IF($J391="","",IF(OR(NOT(ISNUMBER($N391)),NOT(ISNUMBER($P391))),"PENDIENTE",$N391-$P391))</f>
        <v/>
      </c>
      <c r="R391" s="38">
        <f>IF($J391="","",IF(OR(NOT(ISNUMBER($Q391)),NOT(ISNUMBER($N391)),$N391&lt;=0),"PENDIENTE",$Q391/$N391))</f>
        <v/>
      </c>
      <c r="S391" s="33" t="n"/>
      <c r="T391" s="33" t="n"/>
      <c r="U391" s="41" t="n"/>
      <c r="V391" s="36" t="n"/>
      <c r="W391" s="37">
        <f>IF(NOT(ISNUMBER($N391)),"",$N391-IF(ISNUMBER($V391),$V391,0))</f>
        <v/>
      </c>
      <c r="X391" s="33" t="n"/>
      <c r="Y391" s="51">
        <f>IF(COUNTA($B391,$C391,$D391,$E391,$F391,$I391)=0,"",IF(IF($B391=""," · Falta fecha","")&amp;IF($D391=""," · Falta cliente","")&amp;IF($E391=""," · Falta canal","")&amp;IF($F391=""," · Falta SKU","")&amp;IF(AND($F391&lt;&gt;"",COUNTIF(tblProductos[SKU],$F391)=0)," · SKU no existe","")&amp;IF(OR($I391="",NOT(ISNUMBER($I391)),$I391&lt;=0)," · Cantidad inválida","")&amp;IF($M391="PRECIO PENDIENTE"," · Falta precio de venta","")&amp;IF($P391="COSTO PENDIENTE"," · Falta costo del producto","")&amp;IF(AND(ISNUMBER($Q391),$Q391&lt;0)," · UTILIDAD NEGATIVA","")&amp;IF(AND($F391&lt;&gt;"",ISNUMBER(INDEX(tblInventario[Stock actual],MATCH($F391,tblInventario[SKU],0))),INDEX(tblInventario[Stock actual],MATCH($F391,tblInventario[SKU],0))&lt;0)," · Stock negativo del SKU","")&amp;IF(AND($T391="Cobrado",$U391="")," · Cobro sin fecha","")&amp;IF(AND(ISNUMBER($V391),ISNUMBER($N391),$V391&gt;N($N391)+0.01)," · Cobrado &gt; venta neta","")&amp;IF(AND(ISNUMBER($V391),$V391&gt;0,$U391="")," · Monto cobrado sin fecha","")="","OK",MID(IF($B391=""," · Falta fecha","")&amp;IF($D391=""," · Falta cliente","")&amp;IF($E391=""," · Falta canal","")&amp;IF($F391=""," · Falta SKU","")&amp;IF(AND($F391&lt;&gt;"",COUNTIF(tblProductos[SKU],$F391)=0)," · SKU no existe","")&amp;IF(OR($I391="",NOT(ISNUMBER($I391)),$I391&lt;=0)," · Cantidad inválida","")&amp;IF($M391="PRECIO PENDIENTE"," · Falta precio de venta","")&amp;IF($P391="COSTO PENDIENTE"," · Falta costo del producto","")&amp;IF(AND(ISNUMBER($Q391),$Q391&lt;0)," · UTILIDAD NEGATIVA","")&amp;IF(AND($F391&lt;&gt;"",ISNUMBER(INDEX(tblInventario[Stock actual],MATCH($F391,tblInventario[SKU],0))),INDEX(tblInventario[Stock actual],MATCH($F391,tblInventario[SKU],0))&lt;0)," · Stock negativo del SKU","")&amp;IF(AND($T391="Cobrado",$U391="")," · Cobro sin fecha","")&amp;IF(AND(ISNUMBER($V391),ISNUMBER($N391),$V391&gt;N($N391)+0.01)," · Cobrado &gt; venta neta","")&amp;IF(AND(ISNUMBER($V391),$V391&gt;0,$U391="")," · Monto cobrado sin fecha",""),4,900)))</f>
        <v/>
      </c>
    </row>
    <row r="392">
      <c r="A392" s="51">
        <f>IF(COUNTA($B392,$C392,$D392,$E392,$F392,$I392)=0,"","V-"&amp;TEXT(ROW()-6,"0000"))</f>
        <v/>
      </c>
      <c r="B392" s="41" t="n"/>
      <c r="C392" s="33" t="n"/>
      <c r="D392" s="33" t="n"/>
      <c r="E392" s="33" t="n"/>
      <c r="F392" s="33" t="n"/>
      <c r="G392" s="51">
        <f>IF($F392="","",IFERROR(IF(INDEX(tblProductos[Nombre del producto],MATCH($F392,tblProductos[SKU],0))="","",INDEX(tblProductos[Nombre del producto],MATCH($F392,tblProductos[SKU],0))),""))</f>
        <v/>
      </c>
      <c r="H392" s="51">
        <f>IF($F392="","",IFERROR(IF(INDEX(tblProductos[Categoría],MATCH($F392,tblProductos[SKU],0))="","",INDEX(tblProductos[Categoría],MATCH($F392,tblProductos[SKU],0))),""))</f>
        <v/>
      </c>
      <c r="I392" s="34" t="n"/>
      <c r="J392" s="39">
        <f>IF(OR($B392="",$F392="",$I392=""),"",IF($T392="Anulado",0,$I392))</f>
        <v/>
      </c>
      <c r="K392" s="54">
        <f>IF($F392="","",IFERROR(IF(INDEX(tblProductos[Precio de venta actual],MATCH($F392,tblProductos[SKU],0))="","",INDEX(tblProductos[Precio de venta actual],MATCH($F392,tblProductos[SKU],0))),""))</f>
        <v/>
      </c>
      <c r="L392" s="36" t="n"/>
      <c r="M392" s="37">
        <f>IF($J392="","",IF(NOT(ISNUMBER($K392)),"PRECIO PENDIENTE",$J392*$K392))</f>
        <v/>
      </c>
      <c r="N392" s="37">
        <f>IF($J392="","",IF(NOT(ISNUMBER($M392)),"PRECIO PENDIENTE",$M392-IF(ISNUMBER($L392),$L392,0)))</f>
        <v/>
      </c>
      <c r="O392" s="54">
        <f>IF($F392="","",IFERROR(INDEX(tblInventario[Costo unitario aplicado],MATCH($F392,tblInventario[SKU],0)),""))</f>
        <v/>
      </c>
      <c r="P392" s="37">
        <f>IF($J392="","",IF(NOT(ISNUMBER($O392)),"COSTO PENDIENTE",$J392*$O392))</f>
        <v/>
      </c>
      <c r="Q392" s="37">
        <f>IF($J392="","",IF(OR(NOT(ISNUMBER($N392)),NOT(ISNUMBER($P392))),"PENDIENTE",$N392-$P392))</f>
        <v/>
      </c>
      <c r="R392" s="38">
        <f>IF($J392="","",IF(OR(NOT(ISNUMBER($Q392)),NOT(ISNUMBER($N392)),$N392&lt;=0),"PENDIENTE",$Q392/$N392))</f>
        <v/>
      </c>
      <c r="S392" s="33" t="n"/>
      <c r="T392" s="33" t="n"/>
      <c r="U392" s="41" t="n"/>
      <c r="V392" s="36" t="n"/>
      <c r="W392" s="37">
        <f>IF(NOT(ISNUMBER($N392)),"",$N392-IF(ISNUMBER($V392),$V392,0))</f>
        <v/>
      </c>
      <c r="X392" s="33" t="n"/>
      <c r="Y392" s="51">
        <f>IF(COUNTA($B392,$C392,$D392,$E392,$F392,$I392)=0,"",IF(IF($B392=""," · Falta fecha","")&amp;IF($D392=""," · Falta cliente","")&amp;IF($E392=""," · Falta canal","")&amp;IF($F392=""," · Falta SKU","")&amp;IF(AND($F392&lt;&gt;"",COUNTIF(tblProductos[SKU],$F392)=0)," · SKU no existe","")&amp;IF(OR($I392="",NOT(ISNUMBER($I392)),$I392&lt;=0)," · Cantidad inválida","")&amp;IF($M392="PRECIO PENDIENTE"," · Falta precio de venta","")&amp;IF($P392="COSTO PENDIENTE"," · Falta costo del producto","")&amp;IF(AND(ISNUMBER($Q392),$Q392&lt;0)," · UTILIDAD NEGATIVA","")&amp;IF(AND($F392&lt;&gt;"",ISNUMBER(INDEX(tblInventario[Stock actual],MATCH($F392,tblInventario[SKU],0))),INDEX(tblInventario[Stock actual],MATCH($F392,tblInventario[SKU],0))&lt;0)," · Stock negativo del SKU","")&amp;IF(AND($T392="Cobrado",$U392="")," · Cobro sin fecha","")&amp;IF(AND(ISNUMBER($V392),ISNUMBER($N392),$V392&gt;N($N392)+0.01)," · Cobrado &gt; venta neta","")&amp;IF(AND(ISNUMBER($V392),$V392&gt;0,$U392="")," · Monto cobrado sin fecha","")="","OK",MID(IF($B392=""," · Falta fecha","")&amp;IF($D392=""," · Falta cliente","")&amp;IF($E392=""," · Falta canal","")&amp;IF($F392=""," · Falta SKU","")&amp;IF(AND($F392&lt;&gt;"",COUNTIF(tblProductos[SKU],$F392)=0)," · SKU no existe","")&amp;IF(OR($I392="",NOT(ISNUMBER($I392)),$I392&lt;=0)," · Cantidad inválida","")&amp;IF($M392="PRECIO PENDIENTE"," · Falta precio de venta","")&amp;IF($P392="COSTO PENDIENTE"," · Falta costo del producto","")&amp;IF(AND(ISNUMBER($Q392),$Q392&lt;0)," · UTILIDAD NEGATIVA","")&amp;IF(AND($F392&lt;&gt;"",ISNUMBER(INDEX(tblInventario[Stock actual],MATCH($F392,tblInventario[SKU],0))),INDEX(tblInventario[Stock actual],MATCH($F392,tblInventario[SKU],0))&lt;0)," · Stock negativo del SKU","")&amp;IF(AND($T392="Cobrado",$U392="")," · Cobro sin fecha","")&amp;IF(AND(ISNUMBER($V392),ISNUMBER($N392),$V392&gt;N($N392)+0.01)," · Cobrado &gt; venta neta","")&amp;IF(AND(ISNUMBER($V392),$V392&gt;0,$U392="")," · Monto cobrado sin fecha",""),4,900)))</f>
        <v/>
      </c>
    </row>
    <row r="393">
      <c r="A393" s="51">
        <f>IF(COUNTA($B393,$C393,$D393,$E393,$F393,$I393)=0,"","V-"&amp;TEXT(ROW()-6,"0000"))</f>
        <v/>
      </c>
      <c r="B393" s="41" t="n"/>
      <c r="C393" s="33" t="n"/>
      <c r="D393" s="33" t="n"/>
      <c r="E393" s="33" t="n"/>
      <c r="F393" s="33" t="n"/>
      <c r="G393" s="51">
        <f>IF($F393="","",IFERROR(IF(INDEX(tblProductos[Nombre del producto],MATCH($F393,tblProductos[SKU],0))="","",INDEX(tblProductos[Nombre del producto],MATCH($F393,tblProductos[SKU],0))),""))</f>
        <v/>
      </c>
      <c r="H393" s="51">
        <f>IF($F393="","",IFERROR(IF(INDEX(tblProductos[Categoría],MATCH($F393,tblProductos[SKU],0))="","",INDEX(tblProductos[Categoría],MATCH($F393,tblProductos[SKU],0))),""))</f>
        <v/>
      </c>
      <c r="I393" s="34" t="n"/>
      <c r="J393" s="39">
        <f>IF(OR($B393="",$F393="",$I393=""),"",IF($T393="Anulado",0,$I393))</f>
        <v/>
      </c>
      <c r="K393" s="54">
        <f>IF($F393="","",IFERROR(IF(INDEX(tblProductos[Precio de venta actual],MATCH($F393,tblProductos[SKU],0))="","",INDEX(tblProductos[Precio de venta actual],MATCH($F393,tblProductos[SKU],0))),""))</f>
        <v/>
      </c>
      <c r="L393" s="36" t="n"/>
      <c r="M393" s="37">
        <f>IF($J393="","",IF(NOT(ISNUMBER($K393)),"PRECIO PENDIENTE",$J393*$K393))</f>
        <v/>
      </c>
      <c r="N393" s="37">
        <f>IF($J393="","",IF(NOT(ISNUMBER($M393)),"PRECIO PENDIENTE",$M393-IF(ISNUMBER($L393),$L393,0)))</f>
        <v/>
      </c>
      <c r="O393" s="54">
        <f>IF($F393="","",IFERROR(INDEX(tblInventario[Costo unitario aplicado],MATCH($F393,tblInventario[SKU],0)),""))</f>
        <v/>
      </c>
      <c r="P393" s="37">
        <f>IF($J393="","",IF(NOT(ISNUMBER($O393)),"COSTO PENDIENTE",$J393*$O393))</f>
        <v/>
      </c>
      <c r="Q393" s="37">
        <f>IF($J393="","",IF(OR(NOT(ISNUMBER($N393)),NOT(ISNUMBER($P393))),"PENDIENTE",$N393-$P393))</f>
        <v/>
      </c>
      <c r="R393" s="38">
        <f>IF($J393="","",IF(OR(NOT(ISNUMBER($Q393)),NOT(ISNUMBER($N393)),$N393&lt;=0),"PENDIENTE",$Q393/$N393))</f>
        <v/>
      </c>
      <c r="S393" s="33" t="n"/>
      <c r="T393" s="33" t="n"/>
      <c r="U393" s="41" t="n"/>
      <c r="V393" s="36" t="n"/>
      <c r="W393" s="37">
        <f>IF(NOT(ISNUMBER($N393)),"",$N393-IF(ISNUMBER($V393),$V393,0))</f>
        <v/>
      </c>
      <c r="X393" s="33" t="n"/>
      <c r="Y393" s="51">
        <f>IF(COUNTA($B393,$C393,$D393,$E393,$F393,$I393)=0,"",IF(IF($B393=""," · Falta fecha","")&amp;IF($D393=""," · Falta cliente","")&amp;IF($E393=""," · Falta canal","")&amp;IF($F393=""," · Falta SKU","")&amp;IF(AND($F393&lt;&gt;"",COUNTIF(tblProductos[SKU],$F393)=0)," · SKU no existe","")&amp;IF(OR($I393="",NOT(ISNUMBER($I393)),$I393&lt;=0)," · Cantidad inválida","")&amp;IF($M393="PRECIO PENDIENTE"," · Falta precio de venta","")&amp;IF($P393="COSTO PENDIENTE"," · Falta costo del producto","")&amp;IF(AND(ISNUMBER($Q393),$Q393&lt;0)," · UTILIDAD NEGATIVA","")&amp;IF(AND($F393&lt;&gt;"",ISNUMBER(INDEX(tblInventario[Stock actual],MATCH($F393,tblInventario[SKU],0))),INDEX(tblInventario[Stock actual],MATCH($F393,tblInventario[SKU],0))&lt;0)," · Stock negativo del SKU","")&amp;IF(AND($T393="Cobrado",$U393="")," · Cobro sin fecha","")&amp;IF(AND(ISNUMBER($V393),ISNUMBER($N393),$V393&gt;N($N393)+0.01)," · Cobrado &gt; venta neta","")&amp;IF(AND(ISNUMBER($V393),$V393&gt;0,$U393="")," · Monto cobrado sin fecha","")="","OK",MID(IF($B393=""," · Falta fecha","")&amp;IF($D393=""," · Falta cliente","")&amp;IF($E393=""," · Falta canal","")&amp;IF($F393=""," · Falta SKU","")&amp;IF(AND($F393&lt;&gt;"",COUNTIF(tblProductos[SKU],$F393)=0)," · SKU no existe","")&amp;IF(OR($I393="",NOT(ISNUMBER($I393)),$I393&lt;=0)," · Cantidad inválida","")&amp;IF($M393="PRECIO PENDIENTE"," · Falta precio de venta","")&amp;IF($P393="COSTO PENDIENTE"," · Falta costo del producto","")&amp;IF(AND(ISNUMBER($Q393),$Q393&lt;0)," · UTILIDAD NEGATIVA","")&amp;IF(AND($F393&lt;&gt;"",ISNUMBER(INDEX(tblInventario[Stock actual],MATCH($F393,tblInventario[SKU],0))),INDEX(tblInventario[Stock actual],MATCH($F393,tblInventario[SKU],0))&lt;0)," · Stock negativo del SKU","")&amp;IF(AND($T393="Cobrado",$U393="")," · Cobro sin fecha","")&amp;IF(AND(ISNUMBER($V393),ISNUMBER($N393),$V393&gt;N($N393)+0.01)," · Cobrado &gt; venta neta","")&amp;IF(AND(ISNUMBER($V393),$V393&gt;0,$U393="")," · Monto cobrado sin fecha",""),4,900)))</f>
        <v/>
      </c>
    </row>
    <row r="394">
      <c r="A394" s="51">
        <f>IF(COUNTA($B394,$C394,$D394,$E394,$F394,$I394)=0,"","V-"&amp;TEXT(ROW()-6,"0000"))</f>
        <v/>
      </c>
      <c r="B394" s="41" t="n"/>
      <c r="C394" s="33" t="n"/>
      <c r="D394" s="33" t="n"/>
      <c r="E394" s="33" t="n"/>
      <c r="F394" s="33" t="n"/>
      <c r="G394" s="51">
        <f>IF($F394="","",IFERROR(IF(INDEX(tblProductos[Nombre del producto],MATCH($F394,tblProductos[SKU],0))="","",INDEX(tblProductos[Nombre del producto],MATCH($F394,tblProductos[SKU],0))),""))</f>
        <v/>
      </c>
      <c r="H394" s="51">
        <f>IF($F394="","",IFERROR(IF(INDEX(tblProductos[Categoría],MATCH($F394,tblProductos[SKU],0))="","",INDEX(tblProductos[Categoría],MATCH($F394,tblProductos[SKU],0))),""))</f>
        <v/>
      </c>
      <c r="I394" s="34" t="n"/>
      <c r="J394" s="39">
        <f>IF(OR($B394="",$F394="",$I394=""),"",IF($T394="Anulado",0,$I394))</f>
        <v/>
      </c>
      <c r="K394" s="54">
        <f>IF($F394="","",IFERROR(IF(INDEX(tblProductos[Precio de venta actual],MATCH($F394,tblProductos[SKU],0))="","",INDEX(tblProductos[Precio de venta actual],MATCH($F394,tblProductos[SKU],0))),""))</f>
        <v/>
      </c>
      <c r="L394" s="36" t="n"/>
      <c r="M394" s="37">
        <f>IF($J394="","",IF(NOT(ISNUMBER($K394)),"PRECIO PENDIENTE",$J394*$K394))</f>
        <v/>
      </c>
      <c r="N394" s="37">
        <f>IF($J394="","",IF(NOT(ISNUMBER($M394)),"PRECIO PENDIENTE",$M394-IF(ISNUMBER($L394),$L394,0)))</f>
        <v/>
      </c>
      <c r="O394" s="54">
        <f>IF($F394="","",IFERROR(INDEX(tblInventario[Costo unitario aplicado],MATCH($F394,tblInventario[SKU],0)),""))</f>
        <v/>
      </c>
      <c r="P394" s="37">
        <f>IF($J394="","",IF(NOT(ISNUMBER($O394)),"COSTO PENDIENTE",$J394*$O394))</f>
        <v/>
      </c>
      <c r="Q394" s="37">
        <f>IF($J394="","",IF(OR(NOT(ISNUMBER($N394)),NOT(ISNUMBER($P394))),"PENDIENTE",$N394-$P394))</f>
        <v/>
      </c>
      <c r="R394" s="38">
        <f>IF($J394="","",IF(OR(NOT(ISNUMBER($Q394)),NOT(ISNUMBER($N394)),$N394&lt;=0),"PENDIENTE",$Q394/$N394))</f>
        <v/>
      </c>
      <c r="S394" s="33" t="n"/>
      <c r="T394" s="33" t="n"/>
      <c r="U394" s="41" t="n"/>
      <c r="V394" s="36" t="n"/>
      <c r="W394" s="37">
        <f>IF(NOT(ISNUMBER($N394)),"",$N394-IF(ISNUMBER($V394),$V394,0))</f>
        <v/>
      </c>
      <c r="X394" s="33" t="n"/>
      <c r="Y394" s="51">
        <f>IF(COUNTA($B394,$C394,$D394,$E394,$F394,$I394)=0,"",IF(IF($B394=""," · Falta fecha","")&amp;IF($D394=""," · Falta cliente","")&amp;IF($E394=""," · Falta canal","")&amp;IF($F394=""," · Falta SKU","")&amp;IF(AND($F394&lt;&gt;"",COUNTIF(tblProductos[SKU],$F394)=0)," · SKU no existe","")&amp;IF(OR($I394="",NOT(ISNUMBER($I394)),$I394&lt;=0)," · Cantidad inválida","")&amp;IF($M394="PRECIO PENDIENTE"," · Falta precio de venta","")&amp;IF($P394="COSTO PENDIENTE"," · Falta costo del producto","")&amp;IF(AND(ISNUMBER($Q394),$Q394&lt;0)," · UTILIDAD NEGATIVA","")&amp;IF(AND($F394&lt;&gt;"",ISNUMBER(INDEX(tblInventario[Stock actual],MATCH($F394,tblInventario[SKU],0))),INDEX(tblInventario[Stock actual],MATCH($F394,tblInventario[SKU],0))&lt;0)," · Stock negativo del SKU","")&amp;IF(AND($T394="Cobrado",$U394="")," · Cobro sin fecha","")&amp;IF(AND(ISNUMBER($V394),ISNUMBER($N394),$V394&gt;N($N394)+0.01)," · Cobrado &gt; venta neta","")&amp;IF(AND(ISNUMBER($V394),$V394&gt;0,$U394="")," · Monto cobrado sin fecha","")="","OK",MID(IF($B394=""," · Falta fecha","")&amp;IF($D394=""," · Falta cliente","")&amp;IF($E394=""," · Falta canal","")&amp;IF($F394=""," · Falta SKU","")&amp;IF(AND($F394&lt;&gt;"",COUNTIF(tblProductos[SKU],$F394)=0)," · SKU no existe","")&amp;IF(OR($I394="",NOT(ISNUMBER($I394)),$I394&lt;=0)," · Cantidad inválida","")&amp;IF($M394="PRECIO PENDIENTE"," · Falta precio de venta","")&amp;IF($P394="COSTO PENDIENTE"," · Falta costo del producto","")&amp;IF(AND(ISNUMBER($Q394),$Q394&lt;0)," · UTILIDAD NEGATIVA","")&amp;IF(AND($F394&lt;&gt;"",ISNUMBER(INDEX(tblInventario[Stock actual],MATCH($F394,tblInventario[SKU],0))),INDEX(tblInventario[Stock actual],MATCH($F394,tblInventario[SKU],0))&lt;0)," · Stock negativo del SKU","")&amp;IF(AND($T394="Cobrado",$U394="")," · Cobro sin fecha","")&amp;IF(AND(ISNUMBER($V394),ISNUMBER($N394),$V394&gt;N($N394)+0.01)," · Cobrado &gt; venta neta","")&amp;IF(AND(ISNUMBER($V394),$V394&gt;0,$U394="")," · Monto cobrado sin fecha",""),4,900)))</f>
        <v/>
      </c>
    </row>
    <row r="395">
      <c r="A395" s="51">
        <f>IF(COUNTA($B395,$C395,$D395,$E395,$F395,$I395)=0,"","V-"&amp;TEXT(ROW()-6,"0000"))</f>
        <v/>
      </c>
      <c r="B395" s="41" t="n"/>
      <c r="C395" s="33" t="n"/>
      <c r="D395" s="33" t="n"/>
      <c r="E395" s="33" t="n"/>
      <c r="F395" s="33" t="n"/>
      <c r="G395" s="51">
        <f>IF($F395="","",IFERROR(IF(INDEX(tblProductos[Nombre del producto],MATCH($F395,tblProductos[SKU],0))="","",INDEX(tblProductos[Nombre del producto],MATCH($F395,tblProductos[SKU],0))),""))</f>
        <v/>
      </c>
      <c r="H395" s="51">
        <f>IF($F395="","",IFERROR(IF(INDEX(tblProductos[Categoría],MATCH($F395,tblProductos[SKU],0))="","",INDEX(tblProductos[Categoría],MATCH($F395,tblProductos[SKU],0))),""))</f>
        <v/>
      </c>
      <c r="I395" s="34" t="n"/>
      <c r="J395" s="39">
        <f>IF(OR($B395="",$F395="",$I395=""),"",IF($T395="Anulado",0,$I395))</f>
        <v/>
      </c>
      <c r="K395" s="54">
        <f>IF($F395="","",IFERROR(IF(INDEX(tblProductos[Precio de venta actual],MATCH($F395,tblProductos[SKU],0))="","",INDEX(tblProductos[Precio de venta actual],MATCH($F395,tblProductos[SKU],0))),""))</f>
        <v/>
      </c>
      <c r="L395" s="36" t="n"/>
      <c r="M395" s="37">
        <f>IF($J395="","",IF(NOT(ISNUMBER($K395)),"PRECIO PENDIENTE",$J395*$K395))</f>
        <v/>
      </c>
      <c r="N395" s="37">
        <f>IF($J395="","",IF(NOT(ISNUMBER($M395)),"PRECIO PENDIENTE",$M395-IF(ISNUMBER($L395),$L395,0)))</f>
        <v/>
      </c>
      <c r="O395" s="54">
        <f>IF($F395="","",IFERROR(INDEX(tblInventario[Costo unitario aplicado],MATCH($F395,tblInventario[SKU],0)),""))</f>
        <v/>
      </c>
      <c r="P395" s="37">
        <f>IF($J395="","",IF(NOT(ISNUMBER($O395)),"COSTO PENDIENTE",$J395*$O395))</f>
        <v/>
      </c>
      <c r="Q395" s="37">
        <f>IF($J395="","",IF(OR(NOT(ISNUMBER($N395)),NOT(ISNUMBER($P395))),"PENDIENTE",$N395-$P395))</f>
        <v/>
      </c>
      <c r="R395" s="38">
        <f>IF($J395="","",IF(OR(NOT(ISNUMBER($Q395)),NOT(ISNUMBER($N395)),$N395&lt;=0),"PENDIENTE",$Q395/$N395))</f>
        <v/>
      </c>
      <c r="S395" s="33" t="n"/>
      <c r="T395" s="33" t="n"/>
      <c r="U395" s="41" t="n"/>
      <c r="V395" s="36" t="n"/>
      <c r="W395" s="37">
        <f>IF(NOT(ISNUMBER($N395)),"",$N395-IF(ISNUMBER($V395),$V395,0))</f>
        <v/>
      </c>
      <c r="X395" s="33" t="n"/>
      <c r="Y395" s="51">
        <f>IF(COUNTA($B395,$C395,$D395,$E395,$F395,$I395)=0,"",IF(IF($B395=""," · Falta fecha","")&amp;IF($D395=""," · Falta cliente","")&amp;IF($E395=""," · Falta canal","")&amp;IF($F395=""," · Falta SKU","")&amp;IF(AND($F395&lt;&gt;"",COUNTIF(tblProductos[SKU],$F395)=0)," · SKU no existe","")&amp;IF(OR($I395="",NOT(ISNUMBER($I395)),$I395&lt;=0)," · Cantidad inválida","")&amp;IF($M395="PRECIO PENDIENTE"," · Falta precio de venta","")&amp;IF($P395="COSTO PENDIENTE"," · Falta costo del producto","")&amp;IF(AND(ISNUMBER($Q395),$Q395&lt;0)," · UTILIDAD NEGATIVA","")&amp;IF(AND($F395&lt;&gt;"",ISNUMBER(INDEX(tblInventario[Stock actual],MATCH($F395,tblInventario[SKU],0))),INDEX(tblInventario[Stock actual],MATCH($F395,tblInventario[SKU],0))&lt;0)," · Stock negativo del SKU","")&amp;IF(AND($T395="Cobrado",$U395="")," · Cobro sin fecha","")&amp;IF(AND(ISNUMBER($V395),ISNUMBER($N395),$V395&gt;N($N395)+0.01)," · Cobrado &gt; venta neta","")&amp;IF(AND(ISNUMBER($V395),$V395&gt;0,$U395="")," · Monto cobrado sin fecha","")="","OK",MID(IF($B395=""," · Falta fecha","")&amp;IF($D395=""," · Falta cliente","")&amp;IF($E395=""," · Falta canal","")&amp;IF($F395=""," · Falta SKU","")&amp;IF(AND($F395&lt;&gt;"",COUNTIF(tblProductos[SKU],$F395)=0)," · SKU no existe","")&amp;IF(OR($I395="",NOT(ISNUMBER($I395)),$I395&lt;=0)," · Cantidad inválida","")&amp;IF($M395="PRECIO PENDIENTE"," · Falta precio de venta","")&amp;IF($P395="COSTO PENDIENTE"," · Falta costo del producto","")&amp;IF(AND(ISNUMBER($Q395),$Q395&lt;0)," · UTILIDAD NEGATIVA","")&amp;IF(AND($F395&lt;&gt;"",ISNUMBER(INDEX(tblInventario[Stock actual],MATCH($F395,tblInventario[SKU],0))),INDEX(tblInventario[Stock actual],MATCH($F395,tblInventario[SKU],0))&lt;0)," · Stock negativo del SKU","")&amp;IF(AND($T395="Cobrado",$U395="")," · Cobro sin fecha","")&amp;IF(AND(ISNUMBER($V395),ISNUMBER($N395),$V395&gt;N($N395)+0.01)," · Cobrado &gt; venta neta","")&amp;IF(AND(ISNUMBER($V395),$V395&gt;0,$U395="")," · Monto cobrado sin fecha",""),4,900)))</f>
        <v/>
      </c>
    </row>
    <row r="396">
      <c r="A396" s="51">
        <f>IF(COUNTA($B396,$C396,$D396,$E396,$F396,$I396)=0,"","V-"&amp;TEXT(ROW()-6,"0000"))</f>
        <v/>
      </c>
      <c r="B396" s="41" t="n"/>
      <c r="C396" s="33" t="n"/>
      <c r="D396" s="33" t="n"/>
      <c r="E396" s="33" t="n"/>
      <c r="F396" s="33" t="n"/>
      <c r="G396" s="51">
        <f>IF($F396="","",IFERROR(IF(INDEX(tblProductos[Nombre del producto],MATCH($F396,tblProductos[SKU],0))="","",INDEX(tblProductos[Nombre del producto],MATCH($F396,tblProductos[SKU],0))),""))</f>
        <v/>
      </c>
      <c r="H396" s="51">
        <f>IF($F396="","",IFERROR(IF(INDEX(tblProductos[Categoría],MATCH($F396,tblProductos[SKU],0))="","",INDEX(tblProductos[Categoría],MATCH($F396,tblProductos[SKU],0))),""))</f>
        <v/>
      </c>
      <c r="I396" s="34" t="n"/>
      <c r="J396" s="39">
        <f>IF(OR($B396="",$F396="",$I396=""),"",IF($T396="Anulado",0,$I396))</f>
        <v/>
      </c>
      <c r="K396" s="54">
        <f>IF($F396="","",IFERROR(IF(INDEX(tblProductos[Precio de venta actual],MATCH($F396,tblProductos[SKU],0))="","",INDEX(tblProductos[Precio de venta actual],MATCH($F396,tblProductos[SKU],0))),""))</f>
        <v/>
      </c>
      <c r="L396" s="36" t="n"/>
      <c r="M396" s="37">
        <f>IF($J396="","",IF(NOT(ISNUMBER($K396)),"PRECIO PENDIENTE",$J396*$K396))</f>
        <v/>
      </c>
      <c r="N396" s="37">
        <f>IF($J396="","",IF(NOT(ISNUMBER($M396)),"PRECIO PENDIENTE",$M396-IF(ISNUMBER($L396),$L396,0)))</f>
        <v/>
      </c>
      <c r="O396" s="54">
        <f>IF($F396="","",IFERROR(INDEX(tblInventario[Costo unitario aplicado],MATCH($F396,tblInventario[SKU],0)),""))</f>
        <v/>
      </c>
      <c r="P396" s="37">
        <f>IF($J396="","",IF(NOT(ISNUMBER($O396)),"COSTO PENDIENTE",$J396*$O396))</f>
        <v/>
      </c>
      <c r="Q396" s="37">
        <f>IF($J396="","",IF(OR(NOT(ISNUMBER($N396)),NOT(ISNUMBER($P396))),"PENDIENTE",$N396-$P396))</f>
        <v/>
      </c>
      <c r="R396" s="38">
        <f>IF($J396="","",IF(OR(NOT(ISNUMBER($Q396)),NOT(ISNUMBER($N396)),$N396&lt;=0),"PENDIENTE",$Q396/$N396))</f>
        <v/>
      </c>
      <c r="S396" s="33" t="n"/>
      <c r="T396" s="33" t="n"/>
      <c r="U396" s="41" t="n"/>
      <c r="V396" s="36" t="n"/>
      <c r="W396" s="37">
        <f>IF(NOT(ISNUMBER($N396)),"",$N396-IF(ISNUMBER($V396),$V396,0))</f>
        <v/>
      </c>
      <c r="X396" s="33" t="n"/>
      <c r="Y396" s="51">
        <f>IF(COUNTA($B396,$C396,$D396,$E396,$F396,$I396)=0,"",IF(IF($B396=""," · Falta fecha","")&amp;IF($D396=""," · Falta cliente","")&amp;IF($E396=""," · Falta canal","")&amp;IF($F396=""," · Falta SKU","")&amp;IF(AND($F396&lt;&gt;"",COUNTIF(tblProductos[SKU],$F396)=0)," · SKU no existe","")&amp;IF(OR($I396="",NOT(ISNUMBER($I396)),$I396&lt;=0)," · Cantidad inválida","")&amp;IF($M396="PRECIO PENDIENTE"," · Falta precio de venta","")&amp;IF($P396="COSTO PENDIENTE"," · Falta costo del producto","")&amp;IF(AND(ISNUMBER($Q396),$Q396&lt;0)," · UTILIDAD NEGATIVA","")&amp;IF(AND($F396&lt;&gt;"",ISNUMBER(INDEX(tblInventario[Stock actual],MATCH($F396,tblInventario[SKU],0))),INDEX(tblInventario[Stock actual],MATCH($F396,tblInventario[SKU],0))&lt;0)," · Stock negativo del SKU","")&amp;IF(AND($T396="Cobrado",$U396="")," · Cobro sin fecha","")&amp;IF(AND(ISNUMBER($V396),ISNUMBER($N396),$V396&gt;N($N396)+0.01)," · Cobrado &gt; venta neta","")&amp;IF(AND(ISNUMBER($V396),$V396&gt;0,$U396="")," · Monto cobrado sin fecha","")="","OK",MID(IF($B396=""," · Falta fecha","")&amp;IF($D396=""," · Falta cliente","")&amp;IF($E396=""," · Falta canal","")&amp;IF($F396=""," · Falta SKU","")&amp;IF(AND($F396&lt;&gt;"",COUNTIF(tblProductos[SKU],$F396)=0)," · SKU no existe","")&amp;IF(OR($I396="",NOT(ISNUMBER($I396)),$I396&lt;=0)," · Cantidad inválida","")&amp;IF($M396="PRECIO PENDIENTE"," · Falta precio de venta","")&amp;IF($P396="COSTO PENDIENTE"," · Falta costo del producto","")&amp;IF(AND(ISNUMBER($Q396),$Q396&lt;0)," · UTILIDAD NEGATIVA","")&amp;IF(AND($F396&lt;&gt;"",ISNUMBER(INDEX(tblInventario[Stock actual],MATCH($F396,tblInventario[SKU],0))),INDEX(tblInventario[Stock actual],MATCH($F396,tblInventario[SKU],0))&lt;0)," · Stock negativo del SKU","")&amp;IF(AND($T396="Cobrado",$U396="")," · Cobro sin fecha","")&amp;IF(AND(ISNUMBER($V396),ISNUMBER($N396),$V396&gt;N($N396)+0.01)," · Cobrado &gt; venta neta","")&amp;IF(AND(ISNUMBER($V396),$V396&gt;0,$U396="")," · Monto cobrado sin fecha",""),4,900)))</f>
        <v/>
      </c>
    </row>
    <row r="397">
      <c r="A397" s="51">
        <f>IF(COUNTA($B397,$C397,$D397,$E397,$F397,$I397)=0,"","V-"&amp;TEXT(ROW()-6,"0000"))</f>
        <v/>
      </c>
      <c r="B397" s="41" t="n"/>
      <c r="C397" s="33" t="n"/>
      <c r="D397" s="33" t="n"/>
      <c r="E397" s="33" t="n"/>
      <c r="F397" s="33" t="n"/>
      <c r="G397" s="51">
        <f>IF($F397="","",IFERROR(IF(INDEX(tblProductos[Nombre del producto],MATCH($F397,tblProductos[SKU],0))="","",INDEX(tblProductos[Nombre del producto],MATCH($F397,tblProductos[SKU],0))),""))</f>
        <v/>
      </c>
      <c r="H397" s="51">
        <f>IF($F397="","",IFERROR(IF(INDEX(tblProductos[Categoría],MATCH($F397,tblProductos[SKU],0))="","",INDEX(tblProductos[Categoría],MATCH($F397,tblProductos[SKU],0))),""))</f>
        <v/>
      </c>
      <c r="I397" s="34" t="n"/>
      <c r="J397" s="39">
        <f>IF(OR($B397="",$F397="",$I397=""),"",IF($T397="Anulado",0,$I397))</f>
        <v/>
      </c>
      <c r="K397" s="54">
        <f>IF($F397="","",IFERROR(IF(INDEX(tblProductos[Precio de venta actual],MATCH($F397,tblProductos[SKU],0))="","",INDEX(tblProductos[Precio de venta actual],MATCH($F397,tblProductos[SKU],0))),""))</f>
        <v/>
      </c>
      <c r="L397" s="36" t="n"/>
      <c r="M397" s="37">
        <f>IF($J397="","",IF(NOT(ISNUMBER($K397)),"PRECIO PENDIENTE",$J397*$K397))</f>
        <v/>
      </c>
      <c r="N397" s="37">
        <f>IF($J397="","",IF(NOT(ISNUMBER($M397)),"PRECIO PENDIENTE",$M397-IF(ISNUMBER($L397),$L397,0)))</f>
        <v/>
      </c>
      <c r="O397" s="54">
        <f>IF($F397="","",IFERROR(INDEX(tblInventario[Costo unitario aplicado],MATCH($F397,tblInventario[SKU],0)),""))</f>
        <v/>
      </c>
      <c r="P397" s="37">
        <f>IF($J397="","",IF(NOT(ISNUMBER($O397)),"COSTO PENDIENTE",$J397*$O397))</f>
        <v/>
      </c>
      <c r="Q397" s="37">
        <f>IF($J397="","",IF(OR(NOT(ISNUMBER($N397)),NOT(ISNUMBER($P397))),"PENDIENTE",$N397-$P397))</f>
        <v/>
      </c>
      <c r="R397" s="38">
        <f>IF($J397="","",IF(OR(NOT(ISNUMBER($Q397)),NOT(ISNUMBER($N397)),$N397&lt;=0),"PENDIENTE",$Q397/$N397))</f>
        <v/>
      </c>
      <c r="S397" s="33" t="n"/>
      <c r="T397" s="33" t="n"/>
      <c r="U397" s="41" t="n"/>
      <c r="V397" s="36" t="n"/>
      <c r="W397" s="37">
        <f>IF(NOT(ISNUMBER($N397)),"",$N397-IF(ISNUMBER($V397),$V397,0))</f>
        <v/>
      </c>
      <c r="X397" s="33" t="n"/>
      <c r="Y397" s="51">
        <f>IF(COUNTA($B397,$C397,$D397,$E397,$F397,$I397)=0,"",IF(IF($B397=""," · Falta fecha","")&amp;IF($D397=""," · Falta cliente","")&amp;IF($E397=""," · Falta canal","")&amp;IF($F397=""," · Falta SKU","")&amp;IF(AND($F397&lt;&gt;"",COUNTIF(tblProductos[SKU],$F397)=0)," · SKU no existe","")&amp;IF(OR($I397="",NOT(ISNUMBER($I397)),$I397&lt;=0)," · Cantidad inválida","")&amp;IF($M397="PRECIO PENDIENTE"," · Falta precio de venta","")&amp;IF($P397="COSTO PENDIENTE"," · Falta costo del producto","")&amp;IF(AND(ISNUMBER($Q397),$Q397&lt;0)," · UTILIDAD NEGATIVA","")&amp;IF(AND($F397&lt;&gt;"",ISNUMBER(INDEX(tblInventario[Stock actual],MATCH($F397,tblInventario[SKU],0))),INDEX(tblInventario[Stock actual],MATCH($F397,tblInventario[SKU],0))&lt;0)," · Stock negativo del SKU","")&amp;IF(AND($T397="Cobrado",$U397="")," · Cobro sin fecha","")&amp;IF(AND(ISNUMBER($V397),ISNUMBER($N397),$V397&gt;N($N397)+0.01)," · Cobrado &gt; venta neta","")&amp;IF(AND(ISNUMBER($V397),$V397&gt;0,$U397="")," · Monto cobrado sin fecha","")="","OK",MID(IF($B397=""," · Falta fecha","")&amp;IF($D397=""," · Falta cliente","")&amp;IF($E397=""," · Falta canal","")&amp;IF($F397=""," · Falta SKU","")&amp;IF(AND($F397&lt;&gt;"",COUNTIF(tblProductos[SKU],$F397)=0)," · SKU no existe","")&amp;IF(OR($I397="",NOT(ISNUMBER($I397)),$I397&lt;=0)," · Cantidad inválida","")&amp;IF($M397="PRECIO PENDIENTE"," · Falta precio de venta","")&amp;IF($P397="COSTO PENDIENTE"," · Falta costo del producto","")&amp;IF(AND(ISNUMBER($Q397),$Q397&lt;0)," · UTILIDAD NEGATIVA","")&amp;IF(AND($F397&lt;&gt;"",ISNUMBER(INDEX(tblInventario[Stock actual],MATCH($F397,tblInventario[SKU],0))),INDEX(tblInventario[Stock actual],MATCH($F397,tblInventario[SKU],0))&lt;0)," · Stock negativo del SKU","")&amp;IF(AND($T397="Cobrado",$U397="")," · Cobro sin fecha","")&amp;IF(AND(ISNUMBER($V397),ISNUMBER($N397),$V397&gt;N($N397)+0.01)," · Cobrado &gt; venta neta","")&amp;IF(AND(ISNUMBER($V397),$V397&gt;0,$U397="")," · Monto cobrado sin fecha",""),4,900)))</f>
        <v/>
      </c>
    </row>
    <row r="398">
      <c r="A398" s="51">
        <f>IF(COUNTA($B398,$C398,$D398,$E398,$F398,$I398)=0,"","V-"&amp;TEXT(ROW()-6,"0000"))</f>
        <v/>
      </c>
      <c r="B398" s="41" t="n"/>
      <c r="C398" s="33" t="n"/>
      <c r="D398" s="33" t="n"/>
      <c r="E398" s="33" t="n"/>
      <c r="F398" s="33" t="n"/>
      <c r="G398" s="51">
        <f>IF($F398="","",IFERROR(IF(INDEX(tblProductos[Nombre del producto],MATCH($F398,tblProductos[SKU],0))="","",INDEX(tblProductos[Nombre del producto],MATCH($F398,tblProductos[SKU],0))),""))</f>
        <v/>
      </c>
      <c r="H398" s="51">
        <f>IF($F398="","",IFERROR(IF(INDEX(tblProductos[Categoría],MATCH($F398,tblProductos[SKU],0))="","",INDEX(tblProductos[Categoría],MATCH($F398,tblProductos[SKU],0))),""))</f>
        <v/>
      </c>
      <c r="I398" s="34" t="n"/>
      <c r="J398" s="39">
        <f>IF(OR($B398="",$F398="",$I398=""),"",IF($T398="Anulado",0,$I398))</f>
        <v/>
      </c>
      <c r="K398" s="54">
        <f>IF($F398="","",IFERROR(IF(INDEX(tblProductos[Precio de venta actual],MATCH($F398,tblProductos[SKU],0))="","",INDEX(tblProductos[Precio de venta actual],MATCH($F398,tblProductos[SKU],0))),""))</f>
        <v/>
      </c>
      <c r="L398" s="36" t="n"/>
      <c r="M398" s="37">
        <f>IF($J398="","",IF(NOT(ISNUMBER($K398)),"PRECIO PENDIENTE",$J398*$K398))</f>
        <v/>
      </c>
      <c r="N398" s="37">
        <f>IF($J398="","",IF(NOT(ISNUMBER($M398)),"PRECIO PENDIENTE",$M398-IF(ISNUMBER($L398),$L398,0)))</f>
        <v/>
      </c>
      <c r="O398" s="54">
        <f>IF($F398="","",IFERROR(INDEX(tblInventario[Costo unitario aplicado],MATCH($F398,tblInventario[SKU],0)),""))</f>
        <v/>
      </c>
      <c r="P398" s="37">
        <f>IF($J398="","",IF(NOT(ISNUMBER($O398)),"COSTO PENDIENTE",$J398*$O398))</f>
        <v/>
      </c>
      <c r="Q398" s="37">
        <f>IF($J398="","",IF(OR(NOT(ISNUMBER($N398)),NOT(ISNUMBER($P398))),"PENDIENTE",$N398-$P398))</f>
        <v/>
      </c>
      <c r="R398" s="38">
        <f>IF($J398="","",IF(OR(NOT(ISNUMBER($Q398)),NOT(ISNUMBER($N398)),$N398&lt;=0),"PENDIENTE",$Q398/$N398))</f>
        <v/>
      </c>
      <c r="S398" s="33" t="n"/>
      <c r="T398" s="33" t="n"/>
      <c r="U398" s="41" t="n"/>
      <c r="V398" s="36" t="n"/>
      <c r="W398" s="37">
        <f>IF(NOT(ISNUMBER($N398)),"",$N398-IF(ISNUMBER($V398),$V398,0))</f>
        <v/>
      </c>
      <c r="X398" s="33" t="n"/>
      <c r="Y398" s="51">
        <f>IF(COUNTA($B398,$C398,$D398,$E398,$F398,$I398)=0,"",IF(IF($B398=""," · Falta fecha","")&amp;IF($D398=""," · Falta cliente","")&amp;IF($E398=""," · Falta canal","")&amp;IF($F398=""," · Falta SKU","")&amp;IF(AND($F398&lt;&gt;"",COUNTIF(tblProductos[SKU],$F398)=0)," · SKU no existe","")&amp;IF(OR($I398="",NOT(ISNUMBER($I398)),$I398&lt;=0)," · Cantidad inválida","")&amp;IF($M398="PRECIO PENDIENTE"," · Falta precio de venta","")&amp;IF($P398="COSTO PENDIENTE"," · Falta costo del producto","")&amp;IF(AND(ISNUMBER($Q398),$Q398&lt;0)," · UTILIDAD NEGATIVA","")&amp;IF(AND($F398&lt;&gt;"",ISNUMBER(INDEX(tblInventario[Stock actual],MATCH($F398,tblInventario[SKU],0))),INDEX(tblInventario[Stock actual],MATCH($F398,tblInventario[SKU],0))&lt;0)," · Stock negativo del SKU","")&amp;IF(AND($T398="Cobrado",$U398="")," · Cobro sin fecha","")&amp;IF(AND(ISNUMBER($V398),ISNUMBER($N398),$V398&gt;N($N398)+0.01)," · Cobrado &gt; venta neta","")&amp;IF(AND(ISNUMBER($V398),$V398&gt;0,$U398="")," · Monto cobrado sin fecha","")="","OK",MID(IF($B398=""," · Falta fecha","")&amp;IF($D398=""," · Falta cliente","")&amp;IF($E398=""," · Falta canal","")&amp;IF($F398=""," · Falta SKU","")&amp;IF(AND($F398&lt;&gt;"",COUNTIF(tblProductos[SKU],$F398)=0)," · SKU no existe","")&amp;IF(OR($I398="",NOT(ISNUMBER($I398)),$I398&lt;=0)," · Cantidad inválida","")&amp;IF($M398="PRECIO PENDIENTE"," · Falta precio de venta","")&amp;IF($P398="COSTO PENDIENTE"," · Falta costo del producto","")&amp;IF(AND(ISNUMBER($Q398),$Q398&lt;0)," · UTILIDAD NEGATIVA","")&amp;IF(AND($F398&lt;&gt;"",ISNUMBER(INDEX(tblInventario[Stock actual],MATCH($F398,tblInventario[SKU],0))),INDEX(tblInventario[Stock actual],MATCH($F398,tblInventario[SKU],0))&lt;0)," · Stock negativo del SKU","")&amp;IF(AND($T398="Cobrado",$U398="")," · Cobro sin fecha","")&amp;IF(AND(ISNUMBER($V398),ISNUMBER($N398),$V398&gt;N($N398)+0.01)," · Cobrado &gt; venta neta","")&amp;IF(AND(ISNUMBER($V398),$V398&gt;0,$U398="")," · Monto cobrado sin fecha",""),4,900)))</f>
        <v/>
      </c>
    </row>
    <row r="399">
      <c r="A399" s="51">
        <f>IF(COUNTA($B399,$C399,$D399,$E399,$F399,$I399)=0,"","V-"&amp;TEXT(ROW()-6,"0000"))</f>
        <v/>
      </c>
      <c r="B399" s="41" t="n"/>
      <c r="C399" s="33" t="n"/>
      <c r="D399" s="33" t="n"/>
      <c r="E399" s="33" t="n"/>
      <c r="F399" s="33" t="n"/>
      <c r="G399" s="51">
        <f>IF($F399="","",IFERROR(IF(INDEX(tblProductos[Nombre del producto],MATCH($F399,tblProductos[SKU],0))="","",INDEX(tblProductos[Nombre del producto],MATCH($F399,tblProductos[SKU],0))),""))</f>
        <v/>
      </c>
      <c r="H399" s="51">
        <f>IF($F399="","",IFERROR(IF(INDEX(tblProductos[Categoría],MATCH($F399,tblProductos[SKU],0))="","",INDEX(tblProductos[Categoría],MATCH($F399,tblProductos[SKU],0))),""))</f>
        <v/>
      </c>
      <c r="I399" s="34" t="n"/>
      <c r="J399" s="39">
        <f>IF(OR($B399="",$F399="",$I399=""),"",IF($T399="Anulado",0,$I399))</f>
        <v/>
      </c>
      <c r="K399" s="54">
        <f>IF($F399="","",IFERROR(IF(INDEX(tblProductos[Precio de venta actual],MATCH($F399,tblProductos[SKU],0))="","",INDEX(tblProductos[Precio de venta actual],MATCH($F399,tblProductos[SKU],0))),""))</f>
        <v/>
      </c>
      <c r="L399" s="36" t="n"/>
      <c r="M399" s="37">
        <f>IF($J399="","",IF(NOT(ISNUMBER($K399)),"PRECIO PENDIENTE",$J399*$K399))</f>
        <v/>
      </c>
      <c r="N399" s="37">
        <f>IF($J399="","",IF(NOT(ISNUMBER($M399)),"PRECIO PENDIENTE",$M399-IF(ISNUMBER($L399),$L399,0)))</f>
        <v/>
      </c>
      <c r="O399" s="54">
        <f>IF($F399="","",IFERROR(INDEX(tblInventario[Costo unitario aplicado],MATCH($F399,tblInventario[SKU],0)),""))</f>
        <v/>
      </c>
      <c r="P399" s="37">
        <f>IF($J399="","",IF(NOT(ISNUMBER($O399)),"COSTO PENDIENTE",$J399*$O399))</f>
        <v/>
      </c>
      <c r="Q399" s="37">
        <f>IF($J399="","",IF(OR(NOT(ISNUMBER($N399)),NOT(ISNUMBER($P399))),"PENDIENTE",$N399-$P399))</f>
        <v/>
      </c>
      <c r="R399" s="38">
        <f>IF($J399="","",IF(OR(NOT(ISNUMBER($Q399)),NOT(ISNUMBER($N399)),$N399&lt;=0),"PENDIENTE",$Q399/$N399))</f>
        <v/>
      </c>
      <c r="S399" s="33" t="n"/>
      <c r="T399" s="33" t="n"/>
      <c r="U399" s="41" t="n"/>
      <c r="V399" s="36" t="n"/>
      <c r="W399" s="37">
        <f>IF(NOT(ISNUMBER($N399)),"",$N399-IF(ISNUMBER($V399),$V399,0))</f>
        <v/>
      </c>
      <c r="X399" s="33" t="n"/>
      <c r="Y399" s="51">
        <f>IF(COUNTA($B399,$C399,$D399,$E399,$F399,$I399)=0,"",IF(IF($B399=""," · Falta fecha","")&amp;IF($D399=""," · Falta cliente","")&amp;IF($E399=""," · Falta canal","")&amp;IF($F399=""," · Falta SKU","")&amp;IF(AND($F399&lt;&gt;"",COUNTIF(tblProductos[SKU],$F399)=0)," · SKU no existe","")&amp;IF(OR($I399="",NOT(ISNUMBER($I399)),$I399&lt;=0)," · Cantidad inválida","")&amp;IF($M399="PRECIO PENDIENTE"," · Falta precio de venta","")&amp;IF($P399="COSTO PENDIENTE"," · Falta costo del producto","")&amp;IF(AND(ISNUMBER($Q399),$Q399&lt;0)," · UTILIDAD NEGATIVA","")&amp;IF(AND($F399&lt;&gt;"",ISNUMBER(INDEX(tblInventario[Stock actual],MATCH($F399,tblInventario[SKU],0))),INDEX(tblInventario[Stock actual],MATCH($F399,tblInventario[SKU],0))&lt;0)," · Stock negativo del SKU","")&amp;IF(AND($T399="Cobrado",$U399="")," · Cobro sin fecha","")&amp;IF(AND(ISNUMBER($V399),ISNUMBER($N399),$V399&gt;N($N399)+0.01)," · Cobrado &gt; venta neta","")&amp;IF(AND(ISNUMBER($V399),$V399&gt;0,$U399="")," · Monto cobrado sin fecha","")="","OK",MID(IF($B399=""," · Falta fecha","")&amp;IF($D399=""," · Falta cliente","")&amp;IF($E399=""," · Falta canal","")&amp;IF($F399=""," · Falta SKU","")&amp;IF(AND($F399&lt;&gt;"",COUNTIF(tblProductos[SKU],$F399)=0)," · SKU no existe","")&amp;IF(OR($I399="",NOT(ISNUMBER($I399)),$I399&lt;=0)," · Cantidad inválida","")&amp;IF($M399="PRECIO PENDIENTE"," · Falta precio de venta","")&amp;IF($P399="COSTO PENDIENTE"," · Falta costo del producto","")&amp;IF(AND(ISNUMBER($Q399),$Q399&lt;0)," · UTILIDAD NEGATIVA","")&amp;IF(AND($F399&lt;&gt;"",ISNUMBER(INDEX(tblInventario[Stock actual],MATCH($F399,tblInventario[SKU],0))),INDEX(tblInventario[Stock actual],MATCH($F399,tblInventario[SKU],0))&lt;0)," · Stock negativo del SKU","")&amp;IF(AND($T399="Cobrado",$U399="")," · Cobro sin fecha","")&amp;IF(AND(ISNUMBER($V399),ISNUMBER($N399),$V399&gt;N($N399)+0.01)," · Cobrado &gt; venta neta","")&amp;IF(AND(ISNUMBER($V399),$V399&gt;0,$U399="")," · Monto cobrado sin fecha",""),4,900)))</f>
        <v/>
      </c>
    </row>
    <row r="400">
      <c r="A400" s="51">
        <f>IF(COUNTA($B400,$C400,$D400,$E400,$F400,$I400)=0,"","V-"&amp;TEXT(ROW()-6,"0000"))</f>
        <v/>
      </c>
      <c r="B400" s="41" t="n"/>
      <c r="C400" s="33" t="n"/>
      <c r="D400" s="33" t="n"/>
      <c r="E400" s="33" t="n"/>
      <c r="F400" s="33" t="n"/>
      <c r="G400" s="51">
        <f>IF($F400="","",IFERROR(IF(INDEX(tblProductos[Nombre del producto],MATCH($F400,tblProductos[SKU],0))="","",INDEX(tblProductos[Nombre del producto],MATCH($F400,tblProductos[SKU],0))),""))</f>
        <v/>
      </c>
      <c r="H400" s="51">
        <f>IF($F400="","",IFERROR(IF(INDEX(tblProductos[Categoría],MATCH($F400,tblProductos[SKU],0))="","",INDEX(tblProductos[Categoría],MATCH($F400,tblProductos[SKU],0))),""))</f>
        <v/>
      </c>
      <c r="I400" s="34" t="n"/>
      <c r="J400" s="39">
        <f>IF(OR($B400="",$F400="",$I400=""),"",IF($T400="Anulado",0,$I400))</f>
        <v/>
      </c>
      <c r="K400" s="54">
        <f>IF($F400="","",IFERROR(IF(INDEX(tblProductos[Precio de venta actual],MATCH($F400,tblProductos[SKU],0))="","",INDEX(tblProductos[Precio de venta actual],MATCH($F400,tblProductos[SKU],0))),""))</f>
        <v/>
      </c>
      <c r="L400" s="36" t="n"/>
      <c r="M400" s="37">
        <f>IF($J400="","",IF(NOT(ISNUMBER($K400)),"PRECIO PENDIENTE",$J400*$K400))</f>
        <v/>
      </c>
      <c r="N400" s="37">
        <f>IF($J400="","",IF(NOT(ISNUMBER($M400)),"PRECIO PENDIENTE",$M400-IF(ISNUMBER($L400),$L400,0)))</f>
        <v/>
      </c>
      <c r="O400" s="54">
        <f>IF($F400="","",IFERROR(INDEX(tblInventario[Costo unitario aplicado],MATCH($F400,tblInventario[SKU],0)),""))</f>
        <v/>
      </c>
      <c r="P400" s="37">
        <f>IF($J400="","",IF(NOT(ISNUMBER($O400)),"COSTO PENDIENTE",$J400*$O400))</f>
        <v/>
      </c>
      <c r="Q400" s="37">
        <f>IF($J400="","",IF(OR(NOT(ISNUMBER($N400)),NOT(ISNUMBER($P400))),"PENDIENTE",$N400-$P400))</f>
        <v/>
      </c>
      <c r="R400" s="38">
        <f>IF($J400="","",IF(OR(NOT(ISNUMBER($Q400)),NOT(ISNUMBER($N400)),$N400&lt;=0),"PENDIENTE",$Q400/$N400))</f>
        <v/>
      </c>
      <c r="S400" s="33" t="n"/>
      <c r="T400" s="33" t="n"/>
      <c r="U400" s="41" t="n"/>
      <c r="V400" s="36" t="n"/>
      <c r="W400" s="37">
        <f>IF(NOT(ISNUMBER($N400)),"",$N400-IF(ISNUMBER($V400),$V400,0))</f>
        <v/>
      </c>
      <c r="X400" s="33" t="n"/>
      <c r="Y400" s="51">
        <f>IF(COUNTA($B400,$C400,$D400,$E400,$F400,$I400)=0,"",IF(IF($B400=""," · Falta fecha","")&amp;IF($D400=""," · Falta cliente","")&amp;IF($E400=""," · Falta canal","")&amp;IF($F400=""," · Falta SKU","")&amp;IF(AND($F400&lt;&gt;"",COUNTIF(tblProductos[SKU],$F400)=0)," · SKU no existe","")&amp;IF(OR($I400="",NOT(ISNUMBER($I400)),$I400&lt;=0)," · Cantidad inválida","")&amp;IF($M400="PRECIO PENDIENTE"," · Falta precio de venta","")&amp;IF($P400="COSTO PENDIENTE"," · Falta costo del producto","")&amp;IF(AND(ISNUMBER($Q400),$Q400&lt;0)," · UTILIDAD NEGATIVA","")&amp;IF(AND($F400&lt;&gt;"",ISNUMBER(INDEX(tblInventario[Stock actual],MATCH($F400,tblInventario[SKU],0))),INDEX(tblInventario[Stock actual],MATCH($F400,tblInventario[SKU],0))&lt;0)," · Stock negativo del SKU","")&amp;IF(AND($T400="Cobrado",$U400="")," · Cobro sin fecha","")&amp;IF(AND(ISNUMBER($V400),ISNUMBER($N400),$V400&gt;N($N400)+0.01)," · Cobrado &gt; venta neta","")&amp;IF(AND(ISNUMBER($V400),$V400&gt;0,$U400="")," · Monto cobrado sin fecha","")="","OK",MID(IF($B400=""," · Falta fecha","")&amp;IF($D400=""," · Falta cliente","")&amp;IF($E400=""," · Falta canal","")&amp;IF($F400=""," · Falta SKU","")&amp;IF(AND($F400&lt;&gt;"",COUNTIF(tblProductos[SKU],$F400)=0)," · SKU no existe","")&amp;IF(OR($I400="",NOT(ISNUMBER($I400)),$I400&lt;=0)," · Cantidad inválida","")&amp;IF($M400="PRECIO PENDIENTE"," · Falta precio de venta","")&amp;IF($P400="COSTO PENDIENTE"," · Falta costo del producto","")&amp;IF(AND(ISNUMBER($Q400),$Q400&lt;0)," · UTILIDAD NEGATIVA","")&amp;IF(AND($F400&lt;&gt;"",ISNUMBER(INDEX(tblInventario[Stock actual],MATCH($F400,tblInventario[SKU],0))),INDEX(tblInventario[Stock actual],MATCH($F400,tblInventario[SKU],0))&lt;0)," · Stock negativo del SKU","")&amp;IF(AND($T400="Cobrado",$U400="")," · Cobro sin fecha","")&amp;IF(AND(ISNUMBER($V400),ISNUMBER($N400),$V400&gt;N($N400)+0.01)," · Cobrado &gt; venta neta","")&amp;IF(AND(ISNUMBER($V400),$V400&gt;0,$U400="")," · Monto cobrado sin fecha",""),4,900)))</f>
        <v/>
      </c>
    </row>
    <row r="401">
      <c r="A401" s="51">
        <f>IF(COUNTA($B401,$C401,$D401,$E401,$F401,$I401)=0,"","V-"&amp;TEXT(ROW()-6,"0000"))</f>
        <v/>
      </c>
      <c r="B401" s="41" t="n"/>
      <c r="C401" s="33" t="n"/>
      <c r="D401" s="33" t="n"/>
      <c r="E401" s="33" t="n"/>
      <c r="F401" s="33" t="n"/>
      <c r="G401" s="51">
        <f>IF($F401="","",IFERROR(IF(INDEX(tblProductos[Nombre del producto],MATCH($F401,tblProductos[SKU],0))="","",INDEX(tblProductos[Nombre del producto],MATCH($F401,tblProductos[SKU],0))),""))</f>
        <v/>
      </c>
      <c r="H401" s="51">
        <f>IF($F401="","",IFERROR(IF(INDEX(tblProductos[Categoría],MATCH($F401,tblProductos[SKU],0))="","",INDEX(tblProductos[Categoría],MATCH($F401,tblProductos[SKU],0))),""))</f>
        <v/>
      </c>
      <c r="I401" s="34" t="n"/>
      <c r="J401" s="39">
        <f>IF(OR($B401="",$F401="",$I401=""),"",IF($T401="Anulado",0,$I401))</f>
        <v/>
      </c>
      <c r="K401" s="54">
        <f>IF($F401="","",IFERROR(IF(INDEX(tblProductos[Precio de venta actual],MATCH($F401,tblProductos[SKU],0))="","",INDEX(tblProductos[Precio de venta actual],MATCH($F401,tblProductos[SKU],0))),""))</f>
        <v/>
      </c>
      <c r="L401" s="36" t="n"/>
      <c r="M401" s="37">
        <f>IF($J401="","",IF(NOT(ISNUMBER($K401)),"PRECIO PENDIENTE",$J401*$K401))</f>
        <v/>
      </c>
      <c r="N401" s="37">
        <f>IF($J401="","",IF(NOT(ISNUMBER($M401)),"PRECIO PENDIENTE",$M401-IF(ISNUMBER($L401),$L401,0)))</f>
        <v/>
      </c>
      <c r="O401" s="54">
        <f>IF($F401="","",IFERROR(INDEX(tblInventario[Costo unitario aplicado],MATCH($F401,tblInventario[SKU],0)),""))</f>
        <v/>
      </c>
      <c r="P401" s="37">
        <f>IF($J401="","",IF(NOT(ISNUMBER($O401)),"COSTO PENDIENTE",$J401*$O401))</f>
        <v/>
      </c>
      <c r="Q401" s="37">
        <f>IF($J401="","",IF(OR(NOT(ISNUMBER($N401)),NOT(ISNUMBER($P401))),"PENDIENTE",$N401-$P401))</f>
        <v/>
      </c>
      <c r="R401" s="38">
        <f>IF($J401="","",IF(OR(NOT(ISNUMBER($Q401)),NOT(ISNUMBER($N401)),$N401&lt;=0),"PENDIENTE",$Q401/$N401))</f>
        <v/>
      </c>
      <c r="S401" s="33" t="n"/>
      <c r="T401" s="33" t="n"/>
      <c r="U401" s="41" t="n"/>
      <c r="V401" s="36" t="n"/>
      <c r="W401" s="37">
        <f>IF(NOT(ISNUMBER($N401)),"",$N401-IF(ISNUMBER($V401),$V401,0))</f>
        <v/>
      </c>
      <c r="X401" s="33" t="n"/>
      <c r="Y401" s="51">
        <f>IF(COUNTA($B401,$C401,$D401,$E401,$F401,$I401)=0,"",IF(IF($B401=""," · Falta fecha","")&amp;IF($D401=""," · Falta cliente","")&amp;IF($E401=""," · Falta canal","")&amp;IF($F401=""," · Falta SKU","")&amp;IF(AND($F401&lt;&gt;"",COUNTIF(tblProductos[SKU],$F401)=0)," · SKU no existe","")&amp;IF(OR($I401="",NOT(ISNUMBER($I401)),$I401&lt;=0)," · Cantidad inválida","")&amp;IF($M401="PRECIO PENDIENTE"," · Falta precio de venta","")&amp;IF($P401="COSTO PENDIENTE"," · Falta costo del producto","")&amp;IF(AND(ISNUMBER($Q401),$Q401&lt;0)," · UTILIDAD NEGATIVA","")&amp;IF(AND($F401&lt;&gt;"",ISNUMBER(INDEX(tblInventario[Stock actual],MATCH($F401,tblInventario[SKU],0))),INDEX(tblInventario[Stock actual],MATCH($F401,tblInventario[SKU],0))&lt;0)," · Stock negativo del SKU","")&amp;IF(AND($T401="Cobrado",$U401="")," · Cobro sin fecha","")&amp;IF(AND(ISNUMBER($V401),ISNUMBER($N401),$V401&gt;N($N401)+0.01)," · Cobrado &gt; venta neta","")&amp;IF(AND(ISNUMBER($V401),$V401&gt;0,$U401="")," · Monto cobrado sin fecha","")="","OK",MID(IF($B401=""," · Falta fecha","")&amp;IF($D401=""," · Falta cliente","")&amp;IF($E401=""," · Falta canal","")&amp;IF($F401=""," · Falta SKU","")&amp;IF(AND($F401&lt;&gt;"",COUNTIF(tblProductos[SKU],$F401)=0)," · SKU no existe","")&amp;IF(OR($I401="",NOT(ISNUMBER($I401)),$I401&lt;=0)," · Cantidad inválida","")&amp;IF($M401="PRECIO PENDIENTE"," · Falta precio de venta","")&amp;IF($P401="COSTO PENDIENTE"," · Falta costo del producto","")&amp;IF(AND(ISNUMBER($Q401),$Q401&lt;0)," · UTILIDAD NEGATIVA","")&amp;IF(AND($F401&lt;&gt;"",ISNUMBER(INDEX(tblInventario[Stock actual],MATCH($F401,tblInventario[SKU],0))),INDEX(tblInventario[Stock actual],MATCH($F401,tblInventario[SKU],0))&lt;0)," · Stock negativo del SKU","")&amp;IF(AND($T401="Cobrado",$U401="")," · Cobro sin fecha","")&amp;IF(AND(ISNUMBER($V401),ISNUMBER($N401),$V401&gt;N($N401)+0.01)," · Cobrado &gt; venta neta","")&amp;IF(AND(ISNUMBER($V401),$V401&gt;0,$U401="")," · Monto cobrado sin fecha",""),4,900)))</f>
        <v/>
      </c>
    </row>
    <row r="402">
      <c r="A402" s="51">
        <f>IF(COUNTA($B402,$C402,$D402,$E402,$F402,$I402)=0,"","V-"&amp;TEXT(ROW()-6,"0000"))</f>
        <v/>
      </c>
      <c r="B402" s="41" t="n"/>
      <c r="C402" s="33" t="n"/>
      <c r="D402" s="33" t="n"/>
      <c r="E402" s="33" t="n"/>
      <c r="F402" s="33" t="n"/>
      <c r="G402" s="51">
        <f>IF($F402="","",IFERROR(IF(INDEX(tblProductos[Nombre del producto],MATCH($F402,tblProductos[SKU],0))="","",INDEX(tblProductos[Nombre del producto],MATCH($F402,tblProductos[SKU],0))),""))</f>
        <v/>
      </c>
      <c r="H402" s="51">
        <f>IF($F402="","",IFERROR(IF(INDEX(tblProductos[Categoría],MATCH($F402,tblProductos[SKU],0))="","",INDEX(tblProductos[Categoría],MATCH($F402,tblProductos[SKU],0))),""))</f>
        <v/>
      </c>
      <c r="I402" s="34" t="n"/>
      <c r="J402" s="39">
        <f>IF(OR($B402="",$F402="",$I402=""),"",IF($T402="Anulado",0,$I402))</f>
        <v/>
      </c>
      <c r="K402" s="54">
        <f>IF($F402="","",IFERROR(IF(INDEX(tblProductos[Precio de venta actual],MATCH($F402,tblProductos[SKU],0))="","",INDEX(tblProductos[Precio de venta actual],MATCH($F402,tblProductos[SKU],0))),""))</f>
        <v/>
      </c>
      <c r="L402" s="36" t="n"/>
      <c r="M402" s="37">
        <f>IF($J402="","",IF(NOT(ISNUMBER($K402)),"PRECIO PENDIENTE",$J402*$K402))</f>
        <v/>
      </c>
      <c r="N402" s="37">
        <f>IF($J402="","",IF(NOT(ISNUMBER($M402)),"PRECIO PENDIENTE",$M402-IF(ISNUMBER($L402),$L402,0)))</f>
        <v/>
      </c>
      <c r="O402" s="54">
        <f>IF($F402="","",IFERROR(INDEX(tblInventario[Costo unitario aplicado],MATCH($F402,tblInventario[SKU],0)),""))</f>
        <v/>
      </c>
      <c r="P402" s="37">
        <f>IF($J402="","",IF(NOT(ISNUMBER($O402)),"COSTO PENDIENTE",$J402*$O402))</f>
        <v/>
      </c>
      <c r="Q402" s="37">
        <f>IF($J402="","",IF(OR(NOT(ISNUMBER($N402)),NOT(ISNUMBER($P402))),"PENDIENTE",$N402-$P402))</f>
        <v/>
      </c>
      <c r="R402" s="38">
        <f>IF($J402="","",IF(OR(NOT(ISNUMBER($Q402)),NOT(ISNUMBER($N402)),$N402&lt;=0),"PENDIENTE",$Q402/$N402))</f>
        <v/>
      </c>
      <c r="S402" s="33" t="n"/>
      <c r="T402" s="33" t="n"/>
      <c r="U402" s="41" t="n"/>
      <c r="V402" s="36" t="n"/>
      <c r="W402" s="37">
        <f>IF(NOT(ISNUMBER($N402)),"",$N402-IF(ISNUMBER($V402),$V402,0))</f>
        <v/>
      </c>
      <c r="X402" s="33" t="n"/>
      <c r="Y402" s="51">
        <f>IF(COUNTA($B402,$C402,$D402,$E402,$F402,$I402)=0,"",IF(IF($B402=""," · Falta fecha","")&amp;IF($D402=""," · Falta cliente","")&amp;IF($E402=""," · Falta canal","")&amp;IF($F402=""," · Falta SKU","")&amp;IF(AND($F402&lt;&gt;"",COUNTIF(tblProductos[SKU],$F402)=0)," · SKU no existe","")&amp;IF(OR($I402="",NOT(ISNUMBER($I402)),$I402&lt;=0)," · Cantidad inválida","")&amp;IF($M402="PRECIO PENDIENTE"," · Falta precio de venta","")&amp;IF($P402="COSTO PENDIENTE"," · Falta costo del producto","")&amp;IF(AND(ISNUMBER($Q402),$Q402&lt;0)," · UTILIDAD NEGATIVA","")&amp;IF(AND($F402&lt;&gt;"",ISNUMBER(INDEX(tblInventario[Stock actual],MATCH($F402,tblInventario[SKU],0))),INDEX(tblInventario[Stock actual],MATCH($F402,tblInventario[SKU],0))&lt;0)," · Stock negativo del SKU","")&amp;IF(AND($T402="Cobrado",$U402="")," · Cobro sin fecha","")&amp;IF(AND(ISNUMBER($V402),ISNUMBER($N402),$V402&gt;N($N402)+0.01)," · Cobrado &gt; venta neta","")&amp;IF(AND(ISNUMBER($V402),$V402&gt;0,$U402="")," · Monto cobrado sin fecha","")="","OK",MID(IF($B402=""," · Falta fecha","")&amp;IF($D402=""," · Falta cliente","")&amp;IF($E402=""," · Falta canal","")&amp;IF($F402=""," · Falta SKU","")&amp;IF(AND($F402&lt;&gt;"",COUNTIF(tblProductos[SKU],$F402)=0)," · SKU no existe","")&amp;IF(OR($I402="",NOT(ISNUMBER($I402)),$I402&lt;=0)," · Cantidad inválida","")&amp;IF($M402="PRECIO PENDIENTE"," · Falta precio de venta","")&amp;IF($P402="COSTO PENDIENTE"," · Falta costo del producto","")&amp;IF(AND(ISNUMBER($Q402),$Q402&lt;0)," · UTILIDAD NEGATIVA","")&amp;IF(AND($F402&lt;&gt;"",ISNUMBER(INDEX(tblInventario[Stock actual],MATCH($F402,tblInventario[SKU],0))),INDEX(tblInventario[Stock actual],MATCH($F402,tblInventario[SKU],0))&lt;0)," · Stock negativo del SKU","")&amp;IF(AND($T402="Cobrado",$U402="")," · Cobro sin fecha","")&amp;IF(AND(ISNUMBER($V402),ISNUMBER($N402),$V402&gt;N($N402)+0.01)," · Cobrado &gt; venta neta","")&amp;IF(AND(ISNUMBER($V402),$V402&gt;0,$U402="")," · Monto cobrado sin fecha",""),4,900)))</f>
        <v/>
      </c>
    </row>
    <row r="403">
      <c r="A403" s="51">
        <f>IF(COUNTA($B403,$C403,$D403,$E403,$F403,$I403)=0,"","V-"&amp;TEXT(ROW()-6,"0000"))</f>
        <v/>
      </c>
      <c r="B403" s="41" t="n"/>
      <c r="C403" s="33" t="n"/>
      <c r="D403" s="33" t="n"/>
      <c r="E403" s="33" t="n"/>
      <c r="F403" s="33" t="n"/>
      <c r="G403" s="51">
        <f>IF($F403="","",IFERROR(IF(INDEX(tblProductos[Nombre del producto],MATCH($F403,tblProductos[SKU],0))="","",INDEX(tblProductos[Nombre del producto],MATCH($F403,tblProductos[SKU],0))),""))</f>
        <v/>
      </c>
      <c r="H403" s="51">
        <f>IF($F403="","",IFERROR(IF(INDEX(tblProductos[Categoría],MATCH($F403,tblProductos[SKU],0))="","",INDEX(tblProductos[Categoría],MATCH($F403,tblProductos[SKU],0))),""))</f>
        <v/>
      </c>
      <c r="I403" s="34" t="n"/>
      <c r="J403" s="39">
        <f>IF(OR($B403="",$F403="",$I403=""),"",IF($T403="Anulado",0,$I403))</f>
        <v/>
      </c>
      <c r="K403" s="54">
        <f>IF($F403="","",IFERROR(IF(INDEX(tblProductos[Precio de venta actual],MATCH($F403,tblProductos[SKU],0))="","",INDEX(tblProductos[Precio de venta actual],MATCH($F403,tblProductos[SKU],0))),""))</f>
        <v/>
      </c>
      <c r="L403" s="36" t="n"/>
      <c r="M403" s="37">
        <f>IF($J403="","",IF(NOT(ISNUMBER($K403)),"PRECIO PENDIENTE",$J403*$K403))</f>
        <v/>
      </c>
      <c r="N403" s="37">
        <f>IF($J403="","",IF(NOT(ISNUMBER($M403)),"PRECIO PENDIENTE",$M403-IF(ISNUMBER($L403),$L403,0)))</f>
        <v/>
      </c>
      <c r="O403" s="54">
        <f>IF($F403="","",IFERROR(INDEX(tblInventario[Costo unitario aplicado],MATCH($F403,tblInventario[SKU],0)),""))</f>
        <v/>
      </c>
      <c r="P403" s="37">
        <f>IF($J403="","",IF(NOT(ISNUMBER($O403)),"COSTO PENDIENTE",$J403*$O403))</f>
        <v/>
      </c>
      <c r="Q403" s="37">
        <f>IF($J403="","",IF(OR(NOT(ISNUMBER($N403)),NOT(ISNUMBER($P403))),"PENDIENTE",$N403-$P403))</f>
        <v/>
      </c>
      <c r="R403" s="38">
        <f>IF($J403="","",IF(OR(NOT(ISNUMBER($Q403)),NOT(ISNUMBER($N403)),$N403&lt;=0),"PENDIENTE",$Q403/$N403))</f>
        <v/>
      </c>
      <c r="S403" s="33" t="n"/>
      <c r="T403" s="33" t="n"/>
      <c r="U403" s="41" t="n"/>
      <c r="V403" s="36" t="n"/>
      <c r="W403" s="37">
        <f>IF(NOT(ISNUMBER($N403)),"",$N403-IF(ISNUMBER($V403),$V403,0))</f>
        <v/>
      </c>
      <c r="X403" s="33" t="n"/>
      <c r="Y403" s="51">
        <f>IF(COUNTA($B403,$C403,$D403,$E403,$F403,$I403)=0,"",IF(IF($B403=""," · Falta fecha","")&amp;IF($D403=""," · Falta cliente","")&amp;IF($E403=""," · Falta canal","")&amp;IF($F403=""," · Falta SKU","")&amp;IF(AND($F403&lt;&gt;"",COUNTIF(tblProductos[SKU],$F403)=0)," · SKU no existe","")&amp;IF(OR($I403="",NOT(ISNUMBER($I403)),$I403&lt;=0)," · Cantidad inválida","")&amp;IF($M403="PRECIO PENDIENTE"," · Falta precio de venta","")&amp;IF($P403="COSTO PENDIENTE"," · Falta costo del producto","")&amp;IF(AND(ISNUMBER($Q403),$Q403&lt;0)," · UTILIDAD NEGATIVA","")&amp;IF(AND($F403&lt;&gt;"",ISNUMBER(INDEX(tblInventario[Stock actual],MATCH($F403,tblInventario[SKU],0))),INDEX(tblInventario[Stock actual],MATCH($F403,tblInventario[SKU],0))&lt;0)," · Stock negativo del SKU","")&amp;IF(AND($T403="Cobrado",$U403="")," · Cobro sin fecha","")&amp;IF(AND(ISNUMBER($V403),ISNUMBER($N403),$V403&gt;N($N403)+0.01)," · Cobrado &gt; venta neta","")&amp;IF(AND(ISNUMBER($V403),$V403&gt;0,$U403="")," · Monto cobrado sin fecha","")="","OK",MID(IF($B403=""," · Falta fecha","")&amp;IF($D403=""," · Falta cliente","")&amp;IF($E403=""," · Falta canal","")&amp;IF($F403=""," · Falta SKU","")&amp;IF(AND($F403&lt;&gt;"",COUNTIF(tblProductos[SKU],$F403)=0)," · SKU no existe","")&amp;IF(OR($I403="",NOT(ISNUMBER($I403)),$I403&lt;=0)," · Cantidad inválida","")&amp;IF($M403="PRECIO PENDIENTE"," · Falta precio de venta","")&amp;IF($P403="COSTO PENDIENTE"," · Falta costo del producto","")&amp;IF(AND(ISNUMBER($Q403),$Q403&lt;0)," · UTILIDAD NEGATIVA","")&amp;IF(AND($F403&lt;&gt;"",ISNUMBER(INDEX(tblInventario[Stock actual],MATCH($F403,tblInventario[SKU],0))),INDEX(tblInventario[Stock actual],MATCH($F403,tblInventario[SKU],0))&lt;0)," · Stock negativo del SKU","")&amp;IF(AND($T403="Cobrado",$U403="")," · Cobro sin fecha","")&amp;IF(AND(ISNUMBER($V403),ISNUMBER($N403),$V403&gt;N($N403)+0.01)," · Cobrado &gt; venta neta","")&amp;IF(AND(ISNUMBER($V403),$V403&gt;0,$U403="")," · Monto cobrado sin fecha",""),4,900)))</f>
        <v/>
      </c>
    </row>
    <row r="404">
      <c r="A404" s="51">
        <f>IF(COUNTA($B404,$C404,$D404,$E404,$F404,$I404)=0,"","V-"&amp;TEXT(ROW()-6,"0000"))</f>
        <v/>
      </c>
      <c r="B404" s="41" t="n"/>
      <c r="C404" s="33" t="n"/>
      <c r="D404" s="33" t="n"/>
      <c r="E404" s="33" t="n"/>
      <c r="F404" s="33" t="n"/>
      <c r="G404" s="51">
        <f>IF($F404="","",IFERROR(IF(INDEX(tblProductos[Nombre del producto],MATCH($F404,tblProductos[SKU],0))="","",INDEX(tblProductos[Nombre del producto],MATCH($F404,tblProductos[SKU],0))),""))</f>
        <v/>
      </c>
      <c r="H404" s="51">
        <f>IF($F404="","",IFERROR(IF(INDEX(tblProductos[Categoría],MATCH($F404,tblProductos[SKU],0))="","",INDEX(tblProductos[Categoría],MATCH($F404,tblProductos[SKU],0))),""))</f>
        <v/>
      </c>
      <c r="I404" s="34" t="n"/>
      <c r="J404" s="39">
        <f>IF(OR($B404="",$F404="",$I404=""),"",IF($T404="Anulado",0,$I404))</f>
        <v/>
      </c>
      <c r="K404" s="54">
        <f>IF($F404="","",IFERROR(IF(INDEX(tblProductos[Precio de venta actual],MATCH($F404,tblProductos[SKU],0))="","",INDEX(tblProductos[Precio de venta actual],MATCH($F404,tblProductos[SKU],0))),""))</f>
        <v/>
      </c>
      <c r="L404" s="36" t="n"/>
      <c r="M404" s="37">
        <f>IF($J404="","",IF(NOT(ISNUMBER($K404)),"PRECIO PENDIENTE",$J404*$K404))</f>
        <v/>
      </c>
      <c r="N404" s="37">
        <f>IF($J404="","",IF(NOT(ISNUMBER($M404)),"PRECIO PENDIENTE",$M404-IF(ISNUMBER($L404),$L404,0)))</f>
        <v/>
      </c>
      <c r="O404" s="54">
        <f>IF($F404="","",IFERROR(INDEX(tblInventario[Costo unitario aplicado],MATCH($F404,tblInventario[SKU],0)),""))</f>
        <v/>
      </c>
      <c r="P404" s="37">
        <f>IF($J404="","",IF(NOT(ISNUMBER($O404)),"COSTO PENDIENTE",$J404*$O404))</f>
        <v/>
      </c>
      <c r="Q404" s="37">
        <f>IF($J404="","",IF(OR(NOT(ISNUMBER($N404)),NOT(ISNUMBER($P404))),"PENDIENTE",$N404-$P404))</f>
        <v/>
      </c>
      <c r="R404" s="38">
        <f>IF($J404="","",IF(OR(NOT(ISNUMBER($Q404)),NOT(ISNUMBER($N404)),$N404&lt;=0),"PENDIENTE",$Q404/$N404))</f>
        <v/>
      </c>
      <c r="S404" s="33" t="n"/>
      <c r="T404" s="33" t="n"/>
      <c r="U404" s="41" t="n"/>
      <c r="V404" s="36" t="n"/>
      <c r="W404" s="37">
        <f>IF(NOT(ISNUMBER($N404)),"",$N404-IF(ISNUMBER($V404),$V404,0))</f>
        <v/>
      </c>
      <c r="X404" s="33" t="n"/>
      <c r="Y404" s="51">
        <f>IF(COUNTA($B404,$C404,$D404,$E404,$F404,$I404)=0,"",IF(IF($B404=""," · Falta fecha","")&amp;IF($D404=""," · Falta cliente","")&amp;IF($E404=""," · Falta canal","")&amp;IF($F404=""," · Falta SKU","")&amp;IF(AND($F404&lt;&gt;"",COUNTIF(tblProductos[SKU],$F404)=0)," · SKU no existe","")&amp;IF(OR($I404="",NOT(ISNUMBER($I404)),$I404&lt;=0)," · Cantidad inválida","")&amp;IF($M404="PRECIO PENDIENTE"," · Falta precio de venta","")&amp;IF($P404="COSTO PENDIENTE"," · Falta costo del producto","")&amp;IF(AND(ISNUMBER($Q404),$Q404&lt;0)," · UTILIDAD NEGATIVA","")&amp;IF(AND($F404&lt;&gt;"",ISNUMBER(INDEX(tblInventario[Stock actual],MATCH($F404,tblInventario[SKU],0))),INDEX(tblInventario[Stock actual],MATCH($F404,tblInventario[SKU],0))&lt;0)," · Stock negativo del SKU","")&amp;IF(AND($T404="Cobrado",$U404="")," · Cobro sin fecha","")&amp;IF(AND(ISNUMBER($V404),ISNUMBER($N404),$V404&gt;N($N404)+0.01)," · Cobrado &gt; venta neta","")&amp;IF(AND(ISNUMBER($V404),$V404&gt;0,$U404="")," · Monto cobrado sin fecha","")="","OK",MID(IF($B404=""," · Falta fecha","")&amp;IF($D404=""," · Falta cliente","")&amp;IF($E404=""," · Falta canal","")&amp;IF($F404=""," · Falta SKU","")&amp;IF(AND($F404&lt;&gt;"",COUNTIF(tblProductos[SKU],$F404)=0)," · SKU no existe","")&amp;IF(OR($I404="",NOT(ISNUMBER($I404)),$I404&lt;=0)," · Cantidad inválida","")&amp;IF($M404="PRECIO PENDIENTE"," · Falta precio de venta","")&amp;IF($P404="COSTO PENDIENTE"," · Falta costo del producto","")&amp;IF(AND(ISNUMBER($Q404),$Q404&lt;0)," · UTILIDAD NEGATIVA","")&amp;IF(AND($F404&lt;&gt;"",ISNUMBER(INDEX(tblInventario[Stock actual],MATCH($F404,tblInventario[SKU],0))),INDEX(tblInventario[Stock actual],MATCH($F404,tblInventario[SKU],0))&lt;0)," · Stock negativo del SKU","")&amp;IF(AND($T404="Cobrado",$U404="")," · Cobro sin fecha","")&amp;IF(AND(ISNUMBER($V404),ISNUMBER($N404),$V404&gt;N($N404)+0.01)," · Cobrado &gt; venta neta","")&amp;IF(AND(ISNUMBER($V404),$V404&gt;0,$U404="")," · Monto cobrado sin fecha",""),4,900)))</f>
        <v/>
      </c>
    </row>
    <row r="405">
      <c r="A405" s="51">
        <f>IF(COUNTA($B405,$C405,$D405,$E405,$F405,$I405)=0,"","V-"&amp;TEXT(ROW()-6,"0000"))</f>
        <v/>
      </c>
      <c r="B405" s="41" t="n"/>
      <c r="C405" s="33" t="n"/>
      <c r="D405" s="33" t="n"/>
      <c r="E405" s="33" t="n"/>
      <c r="F405" s="33" t="n"/>
      <c r="G405" s="51">
        <f>IF($F405="","",IFERROR(IF(INDEX(tblProductos[Nombre del producto],MATCH($F405,tblProductos[SKU],0))="","",INDEX(tblProductos[Nombre del producto],MATCH($F405,tblProductos[SKU],0))),""))</f>
        <v/>
      </c>
      <c r="H405" s="51">
        <f>IF($F405="","",IFERROR(IF(INDEX(tblProductos[Categoría],MATCH($F405,tblProductos[SKU],0))="","",INDEX(tblProductos[Categoría],MATCH($F405,tblProductos[SKU],0))),""))</f>
        <v/>
      </c>
      <c r="I405" s="34" t="n"/>
      <c r="J405" s="39">
        <f>IF(OR($B405="",$F405="",$I405=""),"",IF($T405="Anulado",0,$I405))</f>
        <v/>
      </c>
      <c r="K405" s="54">
        <f>IF($F405="","",IFERROR(IF(INDEX(tblProductos[Precio de venta actual],MATCH($F405,tblProductos[SKU],0))="","",INDEX(tblProductos[Precio de venta actual],MATCH($F405,tblProductos[SKU],0))),""))</f>
        <v/>
      </c>
      <c r="L405" s="36" t="n"/>
      <c r="M405" s="37">
        <f>IF($J405="","",IF(NOT(ISNUMBER($K405)),"PRECIO PENDIENTE",$J405*$K405))</f>
        <v/>
      </c>
      <c r="N405" s="37">
        <f>IF($J405="","",IF(NOT(ISNUMBER($M405)),"PRECIO PENDIENTE",$M405-IF(ISNUMBER($L405),$L405,0)))</f>
        <v/>
      </c>
      <c r="O405" s="54">
        <f>IF($F405="","",IFERROR(INDEX(tblInventario[Costo unitario aplicado],MATCH($F405,tblInventario[SKU],0)),""))</f>
        <v/>
      </c>
      <c r="P405" s="37">
        <f>IF($J405="","",IF(NOT(ISNUMBER($O405)),"COSTO PENDIENTE",$J405*$O405))</f>
        <v/>
      </c>
      <c r="Q405" s="37">
        <f>IF($J405="","",IF(OR(NOT(ISNUMBER($N405)),NOT(ISNUMBER($P405))),"PENDIENTE",$N405-$P405))</f>
        <v/>
      </c>
      <c r="R405" s="38">
        <f>IF($J405="","",IF(OR(NOT(ISNUMBER($Q405)),NOT(ISNUMBER($N405)),$N405&lt;=0),"PENDIENTE",$Q405/$N405))</f>
        <v/>
      </c>
      <c r="S405" s="33" t="n"/>
      <c r="T405" s="33" t="n"/>
      <c r="U405" s="41" t="n"/>
      <c r="V405" s="36" t="n"/>
      <c r="W405" s="37">
        <f>IF(NOT(ISNUMBER($N405)),"",$N405-IF(ISNUMBER($V405),$V405,0))</f>
        <v/>
      </c>
      <c r="X405" s="33" t="n"/>
      <c r="Y405" s="51">
        <f>IF(COUNTA($B405,$C405,$D405,$E405,$F405,$I405)=0,"",IF(IF($B405=""," · Falta fecha","")&amp;IF($D405=""," · Falta cliente","")&amp;IF($E405=""," · Falta canal","")&amp;IF($F405=""," · Falta SKU","")&amp;IF(AND($F405&lt;&gt;"",COUNTIF(tblProductos[SKU],$F405)=0)," · SKU no existe","")&amp;IF(OR($I405="",NOT(ISNUMBER($I405)),$I405&lt;=0)," · Cantidad inválida","")&amp;IF($M405="PRECIO PENDIENTE"," · Falta precio de venta","")&amp;IF($P405="COSTO PENDIENTE"," · Falta costo del producto","")&amp;IF(AND(ISNUMBER($Q405),$Q405&lt;0)," · UTILIDAD NEGATIVA","")&amp;IF(AND($F405&lt;&gt;"",ISNUMBER(INDEX(tblInventario[Stock actual],MATCH($F405,tblInventario[SKU],0))),INDEX(tblInventario[Stock actual],MATCH($F405,tblInventario[SKU],0))&lt;0)," · Stock negativo del SKU","")&amp;IF(AND($T405="Cobrado",$U405="")," · Cobro sin fecha","")&amp;IF(AND(ISNUMBER($V405),ISNUMBER($N405),$V405&gt;N($N405)+0.01)," · Cobrado &gt; venta neta","")&amp;IF(AND(ISNUMBER($V405),$V405&gt;0,$U405="")," · Monto cobrado sin fecha","")="","OK",MID(IF($B405=""," · Falta fecha","")&amp;IF($D405=""," · Falta cliente","")&amp;IF($E405=""," · Falta canal","")&amp;IF($F405=""," · Falta SKU","")&amp;IF(AND($F405&lt;&gt;"",COUNTIF(tblProductos[SKU],$F405)=0)," · SKU no existe","")&amp;IF(OR($I405="",NOT(ISNUMBER($I405)),$I405&lt;=0)," · Cantidad inválida","")&amp;IF($M405="PRECIO PENDIENTE"," · Falta precio de venta","")&amp;IF($P405="COSTO PENDIENTE"," · Falta costo del producto","")&amp;IF(AND(ISNUMBER($Q405),$Q405&lt;0)," · UTILIDAD NEGATIVA","")&amp;IF(AND($F405&lt;&gt;"",ISNUMBER(INDEX(tblInventario[Stock actual],MATCH($F405,tblInventario[SKU],0))),INDEX(tblInventario[Stock actual],MATCH($F405,tblInventario[SKU],0))&lt;0)," · Stock negativo del SKU","")&amp;IF(AND($T405="Cobrado",$U405="")," · Cobro sin fecha","")&amp;IF(AND(ISNUMBER($V405),ISNUMBER($N405),$V405&gt;N($N405)+0.01)," · Cobrado &gt; venta neta","")&amp;IF(AND(ISNUMBER($V405),$V405&gt;0,$U405="")," · Monto cobrado sin fecha",""),4,900)))</f>
        <v/>
      </c>
    </row>
    <row r="406">
      <c r="A406" s="51">
        <f>IF(COUNTA($B406,$C406,$D406,$E406,$F406,$I406)=0,"","V-"&amp;TEXT(ROW()-6,"0000"))</f>
        <v/>
      </c>
      <c r="B406" s="41" t="n"/>
      <c r="C406" s="33" t="n"/>
      <c r="D406" s="33" t="n"/>
      <c r="E406" s="33" t="n"/>
      <c r="F406" s="33" t="n"/>
      <c r="G406" s="51">
        <f>IF($F406="","",IFERROR(IF(INDEX(tblProductos[Nombre del producto],MATCH($F406,tblProductos[SKU],0))="","",INDEX(tblProductos[Nombre del producto],MATCH($F406,tblProductos[SKU],0))),""))</f>
        <v/>
      </c>
      <c r="H406" s="51">
        <f>IF($F406="","",IFERROR(IF(INDEX(tblProductos[Categoría],MATCH($F406,tblProductos[SKU],0))="","",INDEX(tblProductos[Categoría],MATCH($F406,tblProductos[SKU],0))),""))</f>
        <v/>
      </c>
      <c r="I406" s="34" t="n"/>
      <c r="J406" s="39">
        <f>IF(OR($B406="",$F406="",$I406=""),"",IF($T406="Anulado",0,$I406))</f>
        <v/>
      </c>
      <c r="K406" s="54">
        <f>IF($F406="","",IFERROR(IF(INDEX(tblProductos[Precio de venta actual],MATCH($F406,tblProductos[SKU],0))="","",INDEX(tblProductos[Precio de venta actual],MATCH($F406,tblProductos[SKU],0))),""))</f>
        <v/>
      </c>
      <c r="L406" s="36" t="n"/>
      <c r="M406" s="37">
        <f>IF($J406="","",IF(NOT(ISNUMBER($K406)),"PRECIO PENDIENTE",$J406*$K406))</f>
        <v/>
      </c>
      <c r="N406" s="37">
        <f>IF($J406="","",IF(NOT(ISNUMBER($M406)),"PRECIO PENDIENTE",$M406-IF(ISNUMBER($L406),$L406,0)))</f>
        <v/>
      </c>
      <c r="O406" s="54">
        <f>IF($F406="","",IFERROR(INDEX(tblInventario[Costo unitario aplicado],MATCH($F406,tblInventario[SKU],0)),""))</f>
        <v/>
      </c>
      <c r="P406" s="37">
        <f>IF($J406="","",IF(NOT(ISNUMBER($O406)),"COSTO PENDIENTE",$J406*$O406))</f>
        <v/>
      </c>
      <c r="Q406" s="37">
        <f>IF($J406="","",IF(OR(NOT(ISNUMBER($N406)),NOT(ISNUMBER($P406))),"PENDIENTE",$N406-$P406))</f>
        <v/>
      </c>
      <c r="R406" s="38">
        <f>IF($J406="","",IF(OR(NOT(ISNUMBER($Q406)),NOT(ISNUMBER($N406)),$N406&lt;=0),"PENDIENTE",$Q406/$N406))</f>
        <v/>
      </c>
      <c r="S406" s="33" t="n"/>
      <c r="T406" s="33" t="n"/>
      <c r="U406" s="41" t="n"/>
      <c r="V406" s="36" t="n"/>
      <c r="W406" s="37">
        <f>IF(NOT(ISNUMBER($N406)),"",$N406-IF(ISNUMBER($V406),$V406,0))</f>
        <v/>
      </c>
      <c r="X406" s="33" t="n"/>
      <c r="Y406" s="51">
        <f>IF(COUNTA($B406,$C406,$D406,$E406,$F406,$I406)=0,"",IF(IF($B406=""," · Falta fecha","")&amp;IF($D406=""," · Falta cliente","")&amp;IF($E406=""," · Falta canal","")&amp;IF($F406=""," · Falta SKU","")&amp;IF(AND($F406&lt;&gt;"",COUNTIF(tblProductos[SKU],$F406)=0)," · SKU no existe","")&amp;IF(OR($I406="",NOT(ISNUMBER($I406)),$I406&lt;=0)," · Cantidad inválida","")&amp;IF($M406="PRECIO PENDIENTE"," · Falta precio de venta","")&amp;IF($P406="COSTO PENDIENTE"," · Falta costo del producto","")&amp;IF(AND(ISNUMBER($Q406),$Q406&lt;0)," · UTILIDAD NEGATIVA","")&amp;IF(AND($F406&lt;&gt;"",ISNUMBER(INDEX(tblInventario[Stock actual],MATCH($F406,tblInventario[SKU],0))),INDEX(tblInventario[Stock actual],MATCH($F406,tblInventario[SKU],0))&lt;0)," · Stock negativo del SKU","")&amp;IF(AND($T406="Cobrado",$U406="")," · Cobro sin fecha","")&amp;IF(AND(ISNUMBER($V406),ISNUMBER($N406),$V406&gt;N($N406)+0.01)," · Cobrado &gt; venta neta","")&amp;IF(AND(ISNUMBER($V406),$V406&gt;0,$U406="")," · Monto cobrado sin fecha","")="","OK",MID(IF($B406=""," · Falta fecha","")&amp;IF($D406=""," · Falta cliente","")&amp;IF($E406=""," · Falta canal","")&amp;IF($F406=""," · Falta SKU","")&amp;IF(AND($F406&lt;&gt;"",COUNTIF(tblProductos[SKU],$F406)=0)," · SKU no existe","")&amp;IF(OR($I406="",NOT(ISNUMBER($I406)),$I406&lt;=0)," · Cantidad inválida","")&amp;IF($M406="PRECIO PENDIENTE"," · Falta precio de venta","")&amp;IF($P406="COSTO PENDIENTE"," · Falta costo del producto","")&amp;IF(AND(ISNUMBER($Q406),$Q406&lt;0)," · UTILIDAD NEGATIVA","")&amp;IF(AND($F406&lt;&gt;"",ISNUMBER(INDEX(tblInventario[Stock actual],MATCH($F406,tblInventario[SKU],0))),INDEX(tblInventario[Stock actual],MATCH($F406,tblInventario[SKU],0))&lt;0)," · Stock negativo del SKU","")&amp;IF(AND($T406="Cobrado",$U406="")," · Cobro sin fecha","")&amp;IF(AND(ISNUMBER($V406),ISNUMBER($N406),$V406&gt;N($N406)+0.01)," · Cobrado &gt; venta neta","")&amp;IF(AND(ISNUMBER($V406),$V406&gt;0,$U406="")," · Monto cobrado sin fecha",""),4,900)))</f>
        <v/>
      </c>
    </row>
    <row r="407">
      <c r="A407" s="51">
        <f>IF(COUNTA($B407,$C407,$D407,$E407,$F407,$I407)=0,"","V-"&amp;TEXT(ROW()-6,"0000"))</f>
        <v/>
      </c>
      <c r="B407" s="41" t="n"/>
      <c r="C407" s="33" t="n"/>
      <c r="D407" s="33" t="n"/>
      <c r="E407" s="33" t="n"/>
      <c r="F407" s="33" t="n"/>
      <c r="G407" s="51">
        <f>IF($F407="","",IFERROR(IF(INDEX(tblProductos[Nombre del producto],MATCH($F407,tblProductos[SKU],0))="","",INDEX(tblProductos[Nombre del producto],MATCH($F407,tblProductos[SKU],0))),""))</f>
        <v/>
      </c>
      <c r="H407" s="51">
        <f>IF($F407="","",IFERROR(IF(INDEX(tblProductos[Categoría],MATCH($F407,tblProductos[SKU],0))="","",INDEX(tblProductos[Categoría],MATCH($F407,tblProductos[SKU],0))),""))</f>
        <v/>
      </c>
      <c r="I407" s="34" t="n"/>
      <c r="J407" s="39">
        <f>IF(OR($B407="",$F407="",$I407=""),"",IF($T407="Anulado",0,$I407))</f>
        <v/>
      </c>
      <c r="K407" s="54">
        <f>IF($F407="","",IFERROR(IF(INDEX(tblProductos[Precio de venta actual],MATCH($F407,tblProductos[SKU],0))="","",INDEX(tblProductos[Precio de venta actual],MATCH($F407,tblProductos[SKU],0))),""))</f>
        <v/>
      </c>
      <c r="L407" s="36" t="n"/>
      <c r="M407" s="37">
        <f>IF($J407="","",IF(NOT(ISNUMBER($K407)),"PRECIO PENDIENTE",$J407*$K407))</f>
        <v/>
      </c>
      <c r="N407" s="37">
        <f>IF($J407="","",IF(NOT(ISNUMBER($M407)),"PRECIO PENDIENTE",$M407-IF(ISNUMBER($L407),$L407,0)))</f>
        <v/>
      </c>
      <c r="O407" s="54">
        <f>IF($F407="","",IFERROR(INDEX(tblInventario[Costo unitario aplicado],MATCH($F407,tblInventario[SKU],0)),""))</f>
        <v/>
      </c>
      <c r="P407" s="37">
        <f>IF($J407="","",IF(NOT(ISNUMBER($O407)),"COSTO PENDIENTE",$J407*$O407))</f>
        <v/>
      </c>
      <c r="Q407" s="37">
        <f>IF($J407="","",IF(OR(NOT(ISNUMBER($N407)),NOT(ISNUMBER($P407))),"PENDIENTE",$N407-$P407))</f>
        <v/>
      </c>
      <c r="R407" s="38">
        <f>IF($J407="","",IF(OR(NOT(ISNUMBER($Q407)),NOT(ISNUMBER($N407)),$N407&lt;=0),"PENDIENTE",$Q407/$N407))</f>
        <v/>
      </c>
      <c r="S407" s="33" t="n"/>
      <c r="T407" s="33" t="n"/>
      <c r="U407" s="41" t="n"/>
      <c r="V407" s="36" t="n"/>
      <c r="W407" s="37">
        <f>IF(NOT(ISNUMBER($N407)),"",$N407-IF(ISNUMBER($V407),$V407,0))</f>
        <v/>
      </c>
      <c r="X407" s="33" t="n"/>
      <c r="Y407" s="51">
        <f>IF(COUNTA($B407,$C407,$D407,$E407,$F407,$I407)=0,"",IF(IF($B407=""," · Falta fecha","")&amp;IF($D407=""," · Falta cliente","")&amp;IF($E407=""," · Falta canal","")&amp;IF($F407=""," · Falta SKU","")&amp;IF(AND($F407&lt;&gt;"",COUNTIF(tblProductos[SKU],$F407)=0)," · SKU no existe","")&amp;IF(OR($I407="",NOT(ISNUMBER($I407)),$I407&lt;=0)," · Cantidad inválida","")&amp;IF($M407="PRECIO PENDIENTE"," · Falta precio de venta","")&amp;IF($P407="COSTO PENDIENTE"," · Falta costo del producto","")&amp;IF(AND(ISNUMBER($Q407),$Q407&lt;0)," · UTILIDAD NEGATIVA","")&amp;IF(AND($F407&lt;&gt;"",ISNUMBER(INDEX(tblInventario[Stock actual],MATCH($F407,tblInventario[SKU],0))),INDEX(tblInventario[Stock actual],MATCH($F407,tblInventario[SKU],0))&lt;0)," · Stock negativo del SKU","")&amp;IF(AND($T407="Cobrado",$U407="")," · Cobro sin fecha","")&amp;IF(AND(ISNUMBER($V407),ISNUMBER($N407),$V407&gt;N($N407)+0.01)," · Cobrado &gt; venta neta","")&amp;IF(AND(ISNUMBER($V407),$V407&gt;0,$U407="")," · Monto cobrado sin fecha","")="","OK",MID(IF($B407=""," · Falta fecha","")&amp;IF($D407=""," · Falta cliente","")&amp;IF($E407=""," · Falta canal","")&amp;IF($F407=""," · Falta SKU","")&amp;IF(AND($F407&lt;&gt;"",COUNTIF(tblProductos[SKU],$F407)=0)," · SKU no existe","")&amp;IF(OR($I407="",NOT(ISNUMBER($I407)),$I407&lt;=0)," · Cantidad inválida","")&amp;IF($M407="PRECIO PENDIENTE"," · Falta precio de venta","")&amp;IF($P407="COSTO PENDIENTE"," · Falta costo del producto","")&amp;IF(AND(ISNUMBER($Q407),$Q407&lt;0)," · UTILIDAD NEGATIVA","")&amp;IF(AND($F407&lt;&gt;"",ISNUMBER(INDEX(tblInventario[Stock actual],MATCH($F407,tblInventario[SKU],0))),INDEX(tblInventario[Stock actual],MATCH($F407,tblInventario[SKU],0))&lt;0)," · Stock negativo del SKU","")&amp;IF(AND($T407="Cobrado",$U407="")," · Cobro sin fecha","")&amp;IF(AND(ISNUMBER($V407),ISNUMBER($N407),$V407&gt;N($N407)+0.01)," · Cobrado &gt; venta neta","")&amp;IF(AND(ISNUMBER($V407),$V407&gt;0,$U407="")," · Monto cobrado sin fecha",""),4,900)))</f>
        <v/>
      </c>
    </row>
    <row r="408">
      <c r="A408" s="51">
        <f>IF(COUNTA($B408,$C408,$D408,$E408,$F408,$I408)=0,"","V-"&amp;TEXT(ROW()-6,"0000"))</f>
        <v/>
      </c>
      <c r="B408" s="41" t="n"/>
      <c r="C408" s="33" t="n"/>
      <c r="D408" s="33" t="n"/>
      <c r="E408" s="33" t="n"/>
      <c r="F408" s="33" t="n"/>
      <c r="G408" s="51">
        <f>IF($F408="","",IFERROR(IF(INDEX(tblProductos[Nombre del producto],MATCH($F408,tblProductos[SKU],0))="","",INDEX(tblProductos[Nombre del producto],MATCH($F408,tblProductos[SKU],0))),""))</f>
        <v/>
      </c>
      <c r="H408" s="51">
        <f>IF($F408="","",IFERROR(IF(INDEX(tblProductos[Categoría],MATCH($F408,tblProductos[SKU],0))="","",INDEX(tblProductos[Categoría],MATCH($F408,tblProductos[SKU],0))),""))</f>
        <v/>
      </c>
      <c r="I408" s="34" t="n"/>
      <c r="J408" s="39">
        <f>IF(OR($B408="",$F408="",$I408=""),"",IF($T408="Anulado",0,$I408))</f>
        <v/>
      </c>
      <c r="K408" s="54">
        <f>IF($F408="","",IFERROR(IF(INDEX(tblProductos[Precio de venta actual],MATCH($F408,tblProductos[SKU],0))="","",INDEX(tblProductos[Precio de venta actual],MATCH($F408,tblProductos[SKU],0))),""))</f>
        <v/>
      </c>
      <c r="L408" s="36" t="n"/>
      <c r="M408" s="37">
        <f>IF($J408="","",IF(NOT(ISNUMBER($K408)),"PRECIO PENDIENTE",$J408*$K408))</f>
        <v/>
      </c>
      <c r="N408" s="37">
        <f>IF($J408="","",IF(NOT(ISNUMBER($M408)),"PRECIO PENDIENTE",$M408-IF(ISNUMBER($L408),$L408,0)))</f>
        <v/>
      </c>
      <c r="O408" s="54">
        <f>IF($F408="","",IFERROR(INDEX(tblInventario[Costo unitario aplicado],MATCH($F408,tblInventario[SKU],0)),""))</f>
        <v/>
      </c>
      <c r="P408" s="37">
        <f>IF($J408="","",IF(NOT(ISNUMBER($O408)),"COSTO PENDIENTE",$J408*$O408))</f>
        <v/>
      </c>
      <c r="Q408" s="37">
        <f>IF($J408="","",IF(OR(NOT(ISNUMBER($N408)),NOT(ISNUMBER($P408))),"PENDIENTE",$N408-$P408))</f>
        <v/>
      </c>
      <c r="R408" s="38">
        <f>IF($J408="","",IF(OR(NOT(ISNUMBER($Q408)),NOT(ISNUMBER($N408)),$N408&lt;=0),"PENDIENTE",$Q408/$N408))</f>
        <v/>
      </c>
      <c r="S408" s="33" t="n"/>
      <c r="T408" s="33" t="n"/>
      <c r="U408" s="41" t="n"/>
      <c r="V408" s="36" t="n"/>
      <c r="W408" s="37">
        <f>IF(NOT(ISNUMBER($N408)),"",$N408-IF(ISNUMBER($V408),$V408,0))</f>
        <v/>
      </c>
      <c r="X408" s="33" t="n"/>
      <c r="Y408" s="51">
        <f>IF(COUNTA($B408,$C408,$D408,$E408,$F408,$I408)=0,"",IF(IF($B408=""," · Falta fecha","")&amp;IF($D408=""," · Falta cliente","")&amp;IF($E408=""," · Falta canal","")&amp;IF($F408=""," · Falta SKU","")&amp;IF(AND($F408&lt;&gt;"",COUNTIF(tblProductos[SKU],$F408)=0)," · SKU no existe","")&amp;IF(OR($I408="",NOT(ISNUMBER($I408)),$I408&lt;=0)," · Cantidad inválida","")&amp;IF($M408="PRECIO PENDIENTE"," · Falta precio de venta","")&amp;IF($P408="COSTO PENDIENTE"," · Falta costo del producto","")&amp;IF(AND(ISNUMBER($Q408),$Q408&lt;0)," · UTILIDAD NEGATIVA","")&amp;IF(AND($F408&lt;&gt;"",ISNUMBER(INDEX(tblInventario[Stock actual],MATCH($F408,tblInventario[SKU],0))),INDEX(tblInventario[Stock actual],MATCH($F408,tblInventario[SKU],0))&lt;0)," · Stock negativo del SKU","")&amp;IF(AND($T408="Cobrado",$U408="")," · Cobro sin fecha","")&amp;IF(AND(ISNUMBER($V408),ISNUMBER($N408),$V408&gt;N($N408)+0.01)," · Cobrado &gt; venta neta","")&amp;IF(AND(ISNUMBER($V408),$V408&gt;0,$U408="")," · Monto cobrado sin fecha","")="","OK",MID(IF($B408=""," · Falta fecha","")&amp;IF($D408=""," · Falta cliente","")&amp;IF($E408=""," · Falta canal","")&amp;IF($F408=""," · Falta SKU","")&amp;IF(AND($F408&lt;&gt;"",COUNTIF(tblProductos[SKU],$F408)=0)," · SKU no existe","")&amp;IF(OR($I408="",NOT(ISNUMBER($I408)),$I408&lt;=0)," · Cantidad inválida","")&amp;IF($M408="PRECIO PENDIENTE"," · Falta precio de venta","")&amp;IF($P408="COSTO PENDIENTE"," · Falta costo del producto","")&amp;IF(AND(ISNUMBER($Q408),$Q408&lt;0)," · UTILIDAD NEGATIVA","")&amp;IF(AND($F408&lt;&gt;"",ISNUMBER(INDEX(tblInventario[Stock actual],MATCH($F408,tblInventario[SKU],0))),INDEX(tblInventario[Stock actual],MATCH($F408,tblInventario[SKU],0))&lt;0)," · Stock negativo del SKU","")&amp;IF(AND($T408="Cobrado",$U408="")," · Cobro sin fecha","")&amp;IF(AND(ISNUMBER($V408),ISNUMBER($N408),$V408&gt;N($N408)+0.01)," · Cobrado &gt; venta neta","")&amp;IF(AND(ISNUMBER($V408),$V408&gt;0,$U408="")," · Monto cobrado sin fecha",""),4,900)))</f>
        <v/>
      </c>
    </row>
    <row r="409">
      <c r="A409" s="51">
        <f>IF(COUNTA($B409,$C409,$D409,$E409,$F409,$I409)=0,"","V-"&amp;TEXT(ROW()-6,"0000"))</f>
        <v/>
      </c>
      <c r="B409" s="41" t="n"/>
      <c r="C409" s="33" t="n"/>
      <c r="D409" s="33" t="n"/>
      <c r="E409" s="33" t="n"/>
      <c r="F409" s="33" t="n"/>
      <c r="G409" s="51">
        <f>IF($F409="","",IFERROR(IF(INDEX(tblProductos[Nombre del producto],MATCH($F409,tblProductos[SKU],0))="","",INDEX(tblProductos[Nombre del producto],MATCH($F409,tblProductos[SKU],0))),""))</f>
        <v/>
      </c>
      <c r="H409" s="51">
        <f>IF($F409="","",IFERROR(IF(INDEX(tblProductos[Categoría],MATCH($F409,tblProductos[SKU],0))="","",INDEX(tblProductos[Categoría],MATCH($F409,tblProductos[SKU],0))),""))</f>
        <v/>
      </c>
      <c r="I409" s="34" t="n"/>
      <c r="J409" s="39">
        <f>IF(OR($B409="",$F409="",$I409=""),"",IF($T409="Anulado",0,$I409))</f>
        <v/>
      </c>
      <c r="K409" s="54">
        <f>IF($F409="","",IFERROR(IF(INDEX(tblProductos[Precio de venta actual],MATCH($F409,tblProductos[SKU],0))="","",INDEX(tblProductos[Precio de venta actual],MATCH($F409,tblProductos[SKU],0))),""))</f>
        <v/>
      </c>
      <c r="L409" s="36" t="n"/>
      <c r="M409" s="37">
        <f>IF($J409="","",IF(NOT(ISNUMBER($K409)),"PRECIO PENDIENTE",$J409*$K409))</f>
        <v/>
      </c>
      <c r="N409" s="37">
        <f>IF($J409="","",IF(NOT(ISNUMBER($M409)),"PRECIO PENDIENTE",$M409-IF(ISNUMBER($L409),$L409,0)))</f>
        <v/>
      </c>
      <c r="O409" s="54">
        <f>IF($F409="","",IFERROR(INDEX(tblInventario[Costo unitario aplicado],MATCH($F409,tblInventario[SKU],0)),""))</f>
        <v/>
      </c>
      <c r="P409" s="37">
        <f>IF($J409="","",IF(NOT(ISNUMBER($O409)),"COSTO PENDIENTE",$J409*$O409))</f>
        <v/>
      </c>
      <c r="Q409" s="37">
        <f>IF($J409="","",IF(OR(NOT(ISNUMBER($N409)),NOT(ISNUMBER($P409))),"PENDIENTE",$N409-$P409))</f>
        <v/>
      </c>
      <c r="R409" s="38">
        <f>IF($J409="","",IF(OR(NOT(ISNUMBER($Q409)),NOT(ISNUMBER($N409)),$N409&lt;=0),"PENDIENTE",$Q409/$N409))</f>
        <v/>
      </c>
      <c r="S409" s="33" t="n"/>
      <c r="T409" s="33" t="n"/>
      <c r="U409" s="41" t="n"/>
      <c r="V409" s="36" t="n"/>
      <c r="W409" s="37">
        <f>IF(NOT(ISNUMBER($N409)),"",$N409-IF(ISNUMBER($V409),$V409,0))</f>
        <v/>
      </c>
      <c r="X409" s="33" t="n"/>
      <c r="Y409" s="51">
        <f>IF(COUNTA($B409,$C409,$D409,$E409,$F409,$I409)=0,"",IF(IF($B409=""," · Falta fecha","")&amp;IF($D409=""," · Falta cliente","")&amp;IF($E409=""," · Falta canal","")&amp;IF($F409=""," · Falta SKU","")&amp;IF(AND($F409&lt;&gt;"",COUNTIF(tblProductos[SKU],$F409)=0)," · SKU no existe","")&amp;IF(OR($I409="",NOT(ISNUMBER($I409)),$I409&lt;=0)," · Cantidad inválida","")&amp;IF($M409="PRECIO PENDIENTE"," · Falta precio de venta","")&amp;IF($P409="COSTO PENDIENTE"," · Falta costo del producto","")&amp;IF(AND(ISNUMBER($Q409),$Q409&lt;0)," · UTILIDAD NEGATIVA","")&amp;IF(AND($F409&lt;&gt;"",ISNUMBER(INDEX(tblInventario[Stock actual],MATCH($F409,tblInventario[SKU],0))),INDEX(tblInventario[Stock actual],MATCH($F409,tblInventario[SKU],0))&lt;0)," · Stock negativo del SKU","")&amp;IF(AND($T409="Cobrado",$U409="")," · Cobro sin fecha","")&amp;IF(AND(ISNUMBER($V409),ISNUMBER($N409),$V409&gt;N($N409)+0.01)," · Cobrado &gt; venta neta","")&amp;IF(AND(ISNUMBER($V409),$V409&gt;0,$U409="")," · Monto cobrado sin fecha","")="","OK",MID(IF($B409=""," · Falta fecha","")&amp;IF($D409=""," · Falta cliente","")&amp;IF($E409=""," · Falta canal","")&amp;IF($F409=""," · Falta SKU","")&amp;IF(AND($F409&lt;&gt;"",COUNTIF(tblProductos[SKU],$F409)=0)," · SKU no existe","")&amp;IF(OR($I409="",NOT(ISNUMBER($I409)),$I409&lt;=0)," · Cantidad inválida","")&amp;IF($M409="PRECIO PENDIENTE"," · Falta precio de venta","")&amp;IF($P409="COSTO PENDIENTE"," · Falta costo del producto","")&amp;IF(AND(ISNUMBER($Q409),$Q409&lt;0)," · UTILIDAD NEGATIVA","")&amp;IF(AND($F409&lt;&gt;"",ISNUMBER(INDEX(tblInventario[Stock actual],MATCH($F409,tblInventario[SKU],0))),INDEX(tblInventario[Stock actual],MATCH($F409,tblInventario[SKU],0))&lt;0)," · Stock negativo del SKU","")&amp;IF(AND($T409="Cobrado",$U409="")," · Cobro sin fecha","")&amp;IF(AND(ISNUMBER($V409),ISNUMBER($N409),$V409&gt;N($N409)+0.01)," · Cobrado &gt; venta neta","")&amp;IF(AND(ISNUMBER($V409),$V409&gt;0,$U409="")," · Monto cobrado sin fecha",""),4,900)))</f>
        <v/>
      </c>
    </row>
    <row r="410">
      <c r="A410" s="51">
        <f>IF(COUNTA($B410,$C410,$D410,$E410,$F410,$I410)=0,"","V-"&amp;TEXT(ROW()-6,"0000"))</f>
        <v/>
      </c>
      <c r="B410" s="41" t="n"/>
      <c r="C410" s="33" t="n"/>
      <c r="D410" s="33" t="n"/>
      <c r="E410" s="33" t="n"/>
      <c r="F410" s="33" t="n"/>
      <c r="G410" s="51">
        <f>IF($F410="","",IFERROR(IF(INDEX(tblProductos[Nombre del producto],MATCH($F410,tblProductos[SKU],0))="","",INDEX(tblProductos[Nombre del producto],MATCH($F410,tblProductos[SKU],0))),""))</f>
        <v/>
      </c>
      <c r="H410" s="51">
        <f>IF($F410="","",IFERROR(IF(INDEX(tblProductos[Categoría],MATCH($F410,tblProductos[SKU],0))="","",INDEX(tblProductos[Categoría],MATCH($F410,tblProductos[SKU],0))),""))</f>
        <v/>
      </c>
      <c r="I410" s="34" t="n"/>
      <c r="J410" s="39">
        <f>IF(OR($B410="",$F410="",$I410=""),"",IF($T410="Anulado",0,$I410))</f>
        <v/>
      </c>
      <c r="K410" s="54">
        <f>IF($F410="","",IFERROR(IF(INDEX(tblProductos[Precio de venta actual],MATCH($F410,tblProductos[SKU],0))="","",INDEX(tblProductos[Precio de venta actual],MATCH($F410,tblProductos[SKU],0))),""))</f>
        <v/>
      </c>
      <c r="L410" s="36" t="n"/>
      <c r="M410" s="37">
        <f>IF($J410="","",IF(NOT(ISNUMBER($K410)),"PRECIO PENDIENTE",$J410*$K410))</f>
        <v/>
      </c>
      <c r="N410" s="37">
        <f>IF($J410="","",IF(NOT(ISNUMBER($M410)),"PRECIO PENDIENTE",$M410-IF(ISNUMBER($L410),$L410,0)))</f>
        <v/>
      </c>
      <c r="O410" s="54">
        <f>IF($F410="","",IFERROR(INDEX(tblInventario[Costo unitario aplicado],MATCH($F410,tblInventario[SKU],0)),""))</f>
        <v/>
      </c>
      <c r="P410" s="37">
        <f>IF($J410="","",IF(NOT(ISNUMBER($O410)),"COSTO PENDIENTE",$J410*$O410))</f>
        <v/>
      </c>
      <c r="Q410" s="37">
        <f>IF($J410="","",IF(OR(NOT(ISNUMBER($N410)),NOT(ISNUMBER($P410))),"PENDIENTE",$N410-$P410))</f>
        <v/>
      </c>
      <c r="R410" s="38">
        <f>IF($J410="","",IF(OR(NOT(ISNUMBER($Q410)),NOT(ISNUMBER($N410)),$N410&lt;=0),"PENDIENTE",$Q410/$N410))</f>
        <v/>
      </c>
      <c r="S410" s="33" t="n"/>
      <c r="T410" s="33" t="n"/>
      <c r="U410" s="41" t="n"/>
      <c r="V410" s="36" t="n"/>
      <c r="W410" s="37">
        <f>IF(NOT(ISNUMBER($N410)),"",$N410-IF(ISNUMBER($V410),$V410,0))</f>
        <v/>
      </c>
      <c r="X410" s="33" t="n"/>
      <c r="Y410" s="51">
        <f>IF(COUNTA($B410,$C410,$D410,$E410,$F410,$I410)=0,"",IF(IF($B410=""," · Falta fecha","")&amp;IF($D410=""," · Falta cliente","")&amp;IF($E410=""," · Falta canal","")&amp;IF($F410=""," · Falta SKU","")&amp;IF(AND($F410&lt;&gt;"",COUNTIF(tblProductos[SKU],$F410)=0)," · SKU no existe","")&amp;IF(OR($I410="",NOT(ISNUMBER($I410)),$I410&lt;=0)," · Cantidad inválida","")&amp;IF($M410="PRECIO PENDIENTE"," · Falta precio de venta","")&amp;IF($P410="COSTO PENDIENTE"," · Falta costo del producto","")&amp;IF(AND(ISNUMBER($Q410),$Q410&lt;0)," · UTILIDAD NEGATIVA","")&amp;IF(AND($F410&lt;&gt;"",ISNUMBER(INDEX(tblInventario[Stock actual],MATCH($F410,tblInventario[SKU],0))),INDEX(tblInventario[Stock actual],MATCH($F410,tblInventario[SKU],0))&lt;0)," · Stock negativo del SKU","")&amp;IF(AND($T410="Cobrado",$U410="")," · Cobro sin fecha","")&amp;IF(AND(ISNUMBER($V410),ISNUMBER($N410),$V410&gt;N($N410)+0.01)," · Cobrado &gt; venta neta","")&amp;IF(AND(ISNUMBER($V410),$V410&gt;0,$U410="")," · Monto cobrado sin fecha","")="","OK",MID(IF($B410=""," · Falta fecha","")&amp;IF($D410=""," · Falta cliente","")&amp;IF($E410=""," · Falta canal","")&amp;IF($F410=""," · Falta SKU","")&amp;IF(AND($F410&lt;&gt;"",COUNTIF(tblProductos[SKU],$F410)=0)," · SKU no existe","")&amp;IF(OR($I410="",NOT(ISNUMBER($I410)),$I410&lt;=0)," · Cantidad inválida","")&amp;IF($M410="PRECIO PENDIENTE"," · Falta precio de venta","")&amp;IF($P410="COSTO PENDIENTE"," · Falta costo del producto","")&amp;IF(AND(ISNUMBER($Q410),$Q410&lt;0)," · UTILIDAD NEGATIVA","")&amp;IF(AND($F410&lt;&gt;"",ISNUMBER(INDEX(tblInventario[Stock actual],MATCH($F410,tblInventario[SKU],0))),INDEX(tblInventario[Stock actual],MATCH($F410,tblInventario[SKU],0))&lt;0)," · Stock negativo del SKU","")&amp;IF(AND($T410="Cobrado",$U410="")," · Cobro sin fecha","")&amp;IF(AND(ISNUMBER($V410),ISNUMBER($N410),$V410&gt;N($N410)+0.01)," · Cobrado &gt; venta neta","")&amp;IF(AND(ISNUMBER($V410),$V410&gt;0,$U410="")," · Monto cobrado sin fecha",""),4,900)))</f>
        <v/>
      </c>
    </row>
    <row r="411">
      <c r="A411" s="51">
        <f>IF(COUNTA($B411,$C411,$D411,$E411,$F411,$I411)=0,"","V-"&amp;TEXT(ROW()-6,"0000"))</f>
        <v/>
      </c>
      <c r="B411" s="41" t="n"/>
      <c r="C411" s="33" t="n"/>
      <c r="D411" s="33" t="n"/>
      <c r="E411" s="33" t="n"/>
      <c r="F411" s="33" t="n"/>
      <c r="G411" s="51">
        <f>IF($F411="","",IFERROR(IF(INDEX(tblProductos[Nombre del producto],MATCH($F411,tblProductos[SKU],0))="","",INDEX(tblProductos[Nombre del producto],MATCH($F411,tblProductos[SKU],0))),""))</f>
        <v/>
      </c>
      <c r="H411" s="51">
        <f>IF($F411="","",IFERROR(IF(INDEX(tblProductos[Categoría],MATCH($F411,tblProductos[SKU],0))="","",INDEX(tblProductos[Categoría],MATCH($F411,tblProductos[SKU],0))),""))</f>
        <v/>
      </c>
      <c r="I411" s="34" t="n"/>
      <c r="J411" s="39">
        <f>IF(OR($B411="",$F411="",$I411=""),"",IF($T411="Anulado",0,$I411))</f>
        <v/>
      </c>
      <c r="K411" s="54">
        <f>IF($F411="","",IFERROR(IF(INDEX(tblProductos[Precio de venta actual],MATCH($F411,tblProductos[SKU],0))="","",INDEX(tblProductos[Precio de venta actual],MATCH($F411,tblProductos[SKU],0))),""))</f>
        <v/>
      </c>
      <c r="L411" s="36" t="n"/>
      <c r="M411" s="37">
        <f>IF($J411="","",IF(NOT(ISNUMBER($K411)),"PRECIO PENDIENTE",$J411*$K411))</f>
        <v/>
      </c>
      <c r="N411" s="37">
        <f>IF($J411="","",IF(NOT(ISNUMBER($M411)),"PRECIO PENDIENTE",$M411-IF(ISNUMBER($L411),$L411,0)))</f>
        <v/>
      </c>
      <c r="O411" s="54">
        <f>IF($F411="","",IFERROR(INDEX(tblInventario[Costo unitario aplicado],MATCH($F411,tblInventario[SKU],0)),""))</f>
        <v/>
      </c>
      <c r="P411" s="37">
        <f>IF($J411="","",IF(NOT(ISNUMBER($O411)),"COSTO PENDIENTE",$J411*$O411))</f>
        <v/>
      </c>
      <c r="Q411" s="37">
        <f>IF($J411="","",IF(OR(NOT(ISNUMBER($N411)),NOT(ISNUMBER($P411))),"PENDIENTE",$N411-$P411))</f>
        <v/>
      </c>
      <c r="R411" s="38">
        <f>IF($J411="","",IF(OR(NOT(ISNUMBER($Q411)),NOT(ISNUMBER($N411)),$N411&lt;=0),"PENDIENTE",$Q411/$N411))</f>
        <v/>
      </c>
      <c r="S411" s="33" t="n"/>
      <c r="T411" s="33" t="n"/>
      <c r="U411" s="41" t="n"/>
      <c r="V411" s="36" t="n"/>
      <c r="W411" s="37">
        <f>IF(NOT(ISNUMBER($N411)),"",$N411-IF(ISNUMBER($V411),$V411,0))</f>
        <v/>
      </c>
      <c r="X411" s="33" t="n"/>
      <c r="Y411" s="51">
        <f>IF(COUNTA($B411,$C411,$D411,$E411,$F411,$I411)=0,"",IF(IF($B411=""," · Falta fecha","")&amp;IF($D411=""," · Falta cliente","")&amp;IF($E411=""," · Falta canal","")&amp;IF($F411=""," · Falta SKU","")&amp;IF(AND($F411&lt;&gt;"",COUNTIF(tblProductos[SKU],$F411)=0)," · SKU no existe","")&amp;IF(OR($I411="",NOT(ISNUMBER($I411)),$I411&lt;=0)," · Cantidad inválida","")&amp;IF($M411="PRECIO PENDIENTE"," · Falta precio de venta","")&amp;IF($P411="COSTO PENDIENTE"," · Falta costo del producto","")&amp;IF(AND(ISNUMBER($Q411),$Q411&lt;0)," · UTILIDAD NEGATIVA","")&amp;IF(AND($F411&lt;&gt;"",ISNUMBER(INDEX(tblInventario[Stock actual],MATCH($F411,tblInventario[SKU],0))),INDEX(tblInventario[Stock actual],MATCH($F411,tblInventario[SKU],0))&lt;0)," · Stock negativo del SKU","")&amp;IF(AND($T411="Cobrado",$U411="")," · Cobro sin fecha","")&amp;IF(AND(ISNUMBER($V411),ISNUMBER($N411),$V411&gt;N($N411)+0.01)," · Cobrado &gt; venta neta","")&amp;IF(AND(ISNUMBER($V411),$V411&gt;0,$U411="")," · Monto cobrado sin fecha","")="","OK",MID(IF($B411=""," · Falta fecha","")&amp;IF($D411=""," · Falta cliente","")&amp;IF($E411=""," · Falta canal","")&amp;IF($F411=""," · Falta SKU","")&amp;IF(AND($F411&lt;&gt;"",COUNTIF(tblProductos[SKU],$F411)=0)," · SKU no existe","")&amp;IF(OR($I411="",NOT(ISNUMBER($I411)),$I411&lt;=0)," · Cantidad inválida","")&amp;IF($M411="PRECIO PENDIENTE"," · Falta precio de venta","")&amp;IF($P411="COSTO PENDIENTE"," · Falta costo del producto","")&amp;IF(AND(ISNUMBER($Q411),$Q411&lt;0)," · UTILIDAD NEGATIVA","")&amp;IF(AND($F411&lt;&gt;"",ISNUMBER(INDEX(tblInventario[Stock actual],MATCH($F411,tblInventario[SKU],0))),INDEX(tblInventario[Stock actual],MATCH($F411,tblInventario[SKU],0))&lt;0)," · Stock negativo del SKU","")&amp;IF(AND($T411="Cobrado",$U411="")," · Cobro sin fecha","")&amp;IF(AND(ISNUMBER($V411),ISNUMBER($N411),$V411&gt;N($N411)+0.01)," · Cobrado &gt; venta neta","")&amp;IF(AND(ISNUMBER($V411),$V411&gt;0,$U411="")," · Monto cobrado sin fecha",""),4,900)))</f>
        <v/>
      </c>
    </row>
    <row r="412">
      <c r="A412" s="51">
        <f>IF(COUNTA($B412,$C412,$D412,$E412,$F412,$I412)=0,"","V-"&amp;TEXT(ROW()-6,"0000"))</f>
        <v/>
      </c>
      <c r="B412" s="41" t="n"/>
      <c r="C412" s="33" t="n"/>
      <c r="D412" s="33" t="n"/>
      <c r="E412" s="33" t="n"/>
      <c r="F412" s="33" t="n"/>
      <c r="G412" s="51">
        <f>IF($F412="","",IFERROR(IF(INDEX(tblProductos[Nombre del producto],MATCH($F412,tblProductos[SKU],0))="","",INDEX(tblProductos[Nombre del producto],MATCH($F412,tblProductos[SKU],0))),""))</f>
        <v/>
      </c>
      <c r="H412" s="51">
        <f>IF($F412="","",IFERROR(IF(INDEX(tblProductos[Categoría],MATCH($F412,tblProductos[SKU],0))="","",INDEX(tblProductos[Categoría],MATCH($F412,tblProductos[SKU],0))),""))</f>
        <v/>
      </c>
      <c r="I412" s="34" t="n"/>
      <c r="J412" s="39">
        <f>IF(OR($B412="",$F412="",$I412=""),"",IF($T412="Anulado",0,$I412))</f>
        <v/>
      </c>
      <c r="K412" s="54">
        <f>IF($F412="","",IFERROR(IF(INDEX(tblProductos[Precio de venta actual],MATCH($F412,tblProductos[SKU],0))="","",INDEX(tblProductos[Precio de venta actual],MATCH($F412,tblProductos[SKU],0))),""))</f>
        <v/>
      </c>
      <c r="L412" s="36" t="n"/>
      <c r="M412" s="37">
        <f>IF($J412="","",IF(NOT(ISNUMBER($K412)),"PRECIO PENDIENTE",$J412*$K412))</f>
        <v/>
      </c>
      <c r="N412" s="37">
        <f>IF($J412="","",IF(NOT(ISNUMBER($M412)),"PRECIO PENDIENTE",$M412-IF(ISNUMBER($L412),$L412,0)))</f>
        <v/>
      </c>
      <c r="O412" s="54">
        <f>IF($F412="","",IFERROR(INDEX(tblInventario[Costo unitario aplicado],MATCH($F412,tblInventario[SKU],0)),""))</f>
        <v/>
      </c>
      <c r="P412" s="37">
        <f>IF($J412="","",IF(NOT(ISNUMBER($O412)),"COSTO PENDIENTE",$J412*$O412))</f>
        <v/>
      </c>
      <c r="Q412" s="37">
        <f>IF($J412="","",IF(OR(NOT(ISNUMBER($N412)),NOT(ISNUMBER($P412))),"PENDIENTE",$N412-$P412))</f>
        <v/>
      </c>
      <c r="R412" s="38">
        <f>IF($J412="","",IF(OR(NOT(ISNUMBER($Q412)),NOT(ISNUMBER($N412)),$N412&lt;=0),"PENDIENTE",$Q412/$N412))</f>
        <v/>
      </c>
      <c r="S412" s="33" t="n"/>
      <c r="T412" s="33" t="n"/>
      <c r="U412" s="41" t="n"/>
      <c r="V412" s="36" t="n"/>
      <c r="W412" s="37">
        <f>IF(NOT(ISNUMBER($N412)),"",$N412-IF(ISNUMBER($V412),$V412,0))</f>
        <v/>
      </c>
      <c r="X412" s="33" t="n"/>
      <c r="Y412" s="51">
        <f>IF(COUNTA($B412,$C412,$D412,$E412,$F412,$I412)=0,"",IF(IF($B412=""," · Falta fecha","")&amp;IF($D412=""," · Falta cliente","")&amp;IF($E412=""," · Falta canal","")&amp;IF($F412=""," · Falta SKU","")&amp;IF(AND($F412&lt;&gt;"",COUNTIF(tblProductos[SKU],$F412)=0)," · SKU no existe","")&amp;IF(OR($I412="",NOT(ISNUMBER($I412)),$I412&lt;=0)," · Cantidad inválida","")&amp;IF($M412="PRECIO PENDIENTE"," · Falta precio de venta","")&amp;IF($P412="COSTO PENDIENTE"," · Falta costo del producto","")&amp;IF(AND(ISNUMBER($Q412),$Q412&lt;0)," · UTILIDAD NEGATIVA","")&amp;IF(AND($F412&lt;&gt;"",ISNUMBER(INDEX(tblInventario[Stock actual],MATCH($F412,tblInventario[SKU],0))),INDEX(tblInventario[Stock actual],MATCH($F412,tblInventario[SKU],0))&lt;0)," · Stock negativo del SKU","")&amp;IF(AND($T412="Cobrado",$U412="")," · Cobro sin fecha","")&amp;IF(AND(ISNUMBER($V412),ISNUMBER($N412),$V412&gt;N($N412)+0.01)," · Cobrado &gt; venta neta","")&amp;IF(AND(ISNUMBER($V412),$V412&gt;0,$U412="")," · Monto cobrado sin fecha","")="","OK",MID(IF($B412=""," · Falta fecha","")&amp;IF($D412=""," · Falta cliente","")&amp;IF($E412=""," · Falta canal","")&amp;IF($F412=""," · Falta SKU","")&amp;IF(AND($F412&lt;&gt;"",COUNTIF(tblProductos[SKU],$F412)=0)," · SKU no existe","")&amp;IF(OR($I412="",NOT(ISNUMBER($I412)),$I412&lt;=0)," · Cantidad inválida","")&amp;IF($M412="PRECIO PENDIENTE"," · Falta precio de venta","")&amp;IF($P412="COSTO PENDIENTE"," · Falta costo del producto","")&amp;IF(AND(ISNUMBER($Q412),$Q412&lt;0)," · UTILIDAD NEGATIVA","")&amp;IF(AND($F412&lt;&gt;"",ISNUMBER(INDEX(tblInventario[Stock actual],MATCH($F412,tblInventario[SKU],0))),INDEX(tblInventario[Stock actual],MATCH($F412,tblInventario[SKU],0))&lt;0)," · Stock negativo del SKU","")&amp;IF(AND($T412="Cobrado",$U412="")," · Cobro sin fecha","")&amp;IF(AND(ISNUMBER($V412),ISNUMBER($N412),$V412&gt;N($N412)+0.01)," · Cobrado &gt; venta neta","")&amp;IF(AND(ISNUMBER($V412),$V412&gt;0,$U412="")," · Monto cobrado sin fecha",""),4,900)))</f>
        <v/>
      </c>
    </row>
    <row r="413">
      <c r="A413" s="51">
        <f>IF(COUNTA($B413,$C413,$D413,$E413,$F413,$I413)=0,"","V-"&amp;TEXT(ROW()-6,"0000"))</f>
        <v/>
      </c>
      <c r="B413" s="41" t="n"/>
      <c r="C413" s="33" t="n"/>
      <c r="D413" s="33" t="n"/>
      <c r="E413" s="33" t="n"/>
      <c r="F413" s="33" t="n"/>
      <c r="G413" s="51">
        <f>IF($F413="","",IFERROR(IF(INDEX(tblProductos[Nombre del producto],MATCH($F413,tblProductos[SKU],0))="","",INDEX(tblProductos[Nombre del producto],MATCH($F413,tblProductos[SKU],0))),""))</f>
        <v/>
      </c>
      <c r="H413" s="51">
        <f>IF($F413="","",IFERROR(IF(INDEX(tblProductos[Categoría],MATCH($F413,tblProductos[SKU],0))="","",INDEX(tblProductos[Categoría],MATCH($F413,tblProductos[SKU],0))),""))</f>
        <v/>
      </c>
      <c r="I413" s="34" t="n"/>
      <c r="J413" s="39">
        <f>IF(OR($B413="",$F413="",$I413=""),"",IF($T413="Anulado",0,$I413))</f>
        <v/>
      </c>
      <c r="K413" s="54">
        <f>IF($F413="","",IFERROR(IF(INDEX(tblProductos[Precio de venta actual],MATCH($F413,tblProductos[SKU],0))="","",INDEX(tblProductos[Precio de venta actual],MATCH($F413,tblProductos[SKU],0))),""))</f>
        <v/>
      </c>
      <c r="L413" s="36" t="n"/>
      <c r="M413" s="37">
        <f>IF($J413="","",IF(NOT(ISNUMBER($K413)),"PRECIO PENDIENTE",$J413*$K413))</f>
        <v/>
      </c>
      <c r="N413" s="37">
        <f>IF($J413="","",IF(NOT(ISNUMBER($M413)),"PRECIO PENDIENTE",$M413-IF(ISNUMBER($L413),$L413,0)))</f>
        <v/>
      </c>
      <c r="O413" s="54">
        <f>IF($F413="","",IFERROR(INDEX(tblInventario[Costo unitario aplicado],MATCH($F413,tblInventario[SKU],0)),""))</f>
        <v/>
      </c>
      <c r="P413" s="37">
        <f>IF($J413="","",IF(NOT(ISNUMBER($O413)),"COSTO PENDIENTE",$J413*$O413))</f>
        <v/>
      </c>
      <c r="Q413" s="37">
        <f>IF($J413="","",IF(OR(NOT(ISNUMBER($N413)),NOT(ISNUMBER($P413))),"PENDIENTE",$N413-$P413))</f>
        <v/>
      </c>
      <c r="R413" s="38">
        <f>IF($J413="","",IF(OR(NOT(ISNUMBER($Q413)),NOT(ISNUMBER($N413)),$N413&lt;=0),"PENDIENTE",$Q413/$N413))</f>
        <v/>
      </c>
      <c r="S413" s="33" t="n"/>
      <c r="T413" s="33" t="n"/>
      <c r="U413" s="41" t="n"/>
      <c r="V413" s="36" t="n"/>
      <c r="W413" s="37">
        <f>IF(NOT(ISNUMBER($N413)),"",$N413-IF(ISNUMBER($V413),$V413,0))</f>
        <v/>
      </c>
      <c r="X413" s="33" t="n"/>
      <c r="Y413" s="51">
        <f>IF(COUNTA($B413,$C413,$D413,$E413,$F413,$I413)=0,"",IF(IF($B413=""," · Falta fecha","")&amp;IF($D413=""," · Falta cliente","")&amp;IF($E413=""," · Falta canal","")&amp;IF($F413=""," · Falta SKU","")&amp;IF(AND($F413&lt;&gt;"",COUNTIF(tblProductos[SKU],$F413)=0)," · SKU no existe","")&amp;IF(OR($I413="",NOT(ISNUMBER($I413)),$I413&lt;=0)," · Cantidad inválida","")&amp;IF($M413="PRECIO PENDIENTE"," · Falta precio de venta","")&amp;IF($P413="COSTO PENDIENTE"," · Falta costo del producto","")&amp;IF(AND(ISNUMBER($Q413),$Q413&lt;0)," · UTILIDAD NEGATIVA","")&amp;IF(AND($F413&lt;&gt;"",ISNUMBER(INDEX(tblInventario[Stock actual],MATCH($F413,tblInventario[SKU],0))),INDEX(tblInventario[Stock actual],MATCH($F413,tblInventario[SKU],0))&lt;0)," · Stock negativo del SKU","")&amp;IF(AND($T413="Cobrado",$U413="")," · Cobro sin fecha","")&amp;IF(AND(ISNUMBER($V413),ISNUMBER($N413),$V413&gt;N($N413)+0.01)," · Cobrado &gt; venta neta","")&amp;IF(AND(ISNUMBER($V413),$V413&gt;0,$U413="")," · Monto cobrado sin fecha","")="","OK",MID(IF($B413=""," · Falta fecha","")&amp;IF($D413=""," · Falta cliente","")&amp;IF($E413=""," · Falta canal","")&amp;IF($F413=""," · Falta SKU","")&amp;IF(AND($F413&lt;&gt;"",COUNTIF(tblProductos[SKU],$F413)=0)," · SKU no existe","")&amp;IF(OR($I413="",NOT(ISNUMBER($I413)),$I413&lt;=0)," · Cantidad inválida","")&amp;IF($M413="PRECIO PENDIENTE"," · Falta precio de venta","")&amp;IF($P413="COSTO PENDIENTE"," · Falta costo del producto","")&amp;IF(AND(ISNUMBER($Q413),$Q413&lt;0)," · UTILIDAD NEGATIVA","")&amp;IF(AND($F413&lt;&gt;"",ISNUMBER(INDEX(tblInventario[Stock actual],MATCH($F413,tblInventario[SKU],0))),INDEX(tblInventario[Stock actual],MATCH($F413,tblInventario[SKU],0))&lt;0)," · Stock negativo del SKU","")&amp;IF(AND($T413="Cobrado",$U413="")," · Cobro sin fecha","")&amp;IF(AND(ISNUMBER($V413),ISNUMBER($N413),$V413&gt;N($N413)+0.01)," · Cobrado &gt; venta neta","")&amp;IF(AND(ISNUMBER($V413),$V413&gt;0,$U413="")," · Monto cobrado sin fecha",""),4,900)))</f>
        <v/>
      </c>
    </row>
    <row r="414">
      <c r="A414" s="51">
        <f>IF(COUNTA($B414,$C414,$D414,$E414,$F414,$I414)=0,"","V-"&amp;TEXT(ROW()-6,"0000"))</f>
        <v/>
      </c>
      <c r="B414" s="41" t="n"/>
      <c r="C414" s="33" t="n"/>
      <c r="D414" s="33" t="n"/>
      <c r="E414" s="33" t="n"/>
      <c r="F414" s="33" t="n"/>
      <c r="G414" s="51">
        <f>IF($F414="","",IFERROR(IF(INDEX(tblProductos[Nombre del producto],MATCH($F414,tblProductos[SKU],0))="","",INDEX(tblProductos[Nombre del producto],MATCH($F414,tblProductos[SKU],0))),""))</f>
        <v/>
      </c>
      <c r="H414" s="51">
        <f>IF($F414="","",IFERROR(IF(INDEX(tblProductos[Categoría],MATCH($F414,tblProductos[SKU],0))="","",INDEX(tblProductos[Categoría],MATCH($F414,tblProductos[SKU],0))),""))</f>
        <v/>
      </c>
      <c r="I414" s="34" t="n"/>
      <c r="J414" s="39">
        <f>IF(OR($B414="",$F414="",$I414=""),"",IF($T414="Anulado",0,$I414))</f>
        <v/>
      </c>
      <c r="K414" s="54">
        <f>IF($F414="","",IFERROR(IF(INDEX(tblProductos[Precio de venta actual],MATCH($F414,tblProductos[SKU],0))="","",INDEX(tblProductos[Precio de venta actual],MATCH($F414,tblProductos[SKU],0))),""))</f>
        <v/>
      </c>
      <c r="L414" s="36" t="n"/>
      <c r="M414" s="37">
        <f>IF($J414="","",IF(NOT(ISNUMBER($K414)),"PRECIO PENDIENTE",$J414*$K414))</f>
        <v/>
      </c>
      <c r="N414" s="37">
        <f>IF($J414="","",IF(NOT(ISNUMBER($M414)),"PRECIO PENDIENTE",$M414-IF(ISNUMBER($L414),$L414,0)))</f>
        <v/>
      </c>
      <c r="O414" s="54">
        <f>IF($F414="","",IFERROR(INDEX(tblInventario[Costo unitario aplicado],MATCH($F414,tblInventario[SKU],0)),""))</f>
        <v/>
      </c>
      <c r="P414" s="37">
        <f>IF($J414="","",IF(NOT(ISNUMBER($O414)),"COSTO PENDIENTE",$J414*$O414))</f>
        <v/>
      </c>
      <c r="Q414" s="37">
        <f>IF($J414="","",IF(OR(NOT(ISNUMBER($N414)),NOT(ISNUMBER($P414))),"PENDIENTE",$N414-$P414))</f>
        <v/>
      </c>
      <c r="R414" s="38">
        <f>IF($J414="","",IF(OR(NOT(ISNUMBER($Q414)),NOT(ISNUMBER($N414)),$N414&lt;=0),"PENDIENTE",$Q414/$N414))</f>
        <v/>
      </c>
      <c r="S414" s="33" t="n"/>
      <c r="T414" s="33" t="n"/>
      <c r="U414" s="41" t="n"/>
      <c r="V414" s="36" t="n"/>
      <c r="W414" s="37">
        <f>IF(NOT(ISNUMBER($N414)),"",$N414-IF(ISNUMBER($V414),$V414,0))</f>
        <v/>
      </c>
      <c r="X414" s="33" t="n"/>
      <c r="Y414" s="51">
        <f>IF(COUNTA($B414,$C414,$D414,$E414,$F414,$I414)=0,"",IF(IF($B414=""," · Falta fecha","")&amp;IF($D414=""," · Falta cliente","")&amp;IF($E414=""," · Falta canal","")&amp;IF($F414=""," · Falta SKU","")&amp;IF(AND($F414&lt;&gt;"",COUNTIF(tblProductos[SKU],$F414)=0)," · SKU no existe","")&amp;IF(OR($I414="",NOT(ISNUMBER($I414)),$I414&lt;=0)," · Cantidad inválida","")&amp;IF($M414="PRECIO PENDIENTE"," · Falta precio de venta","")&amp;IF($P414="COSTO PENDIENTE"," · Falta costo del producto","")&amp;IF(AND(ISNUMBER($Q414),$Q414&lt;0)," · UTILIDAD NEGATIVA","")&amp;IF(AND($F414&lt;&gt;"",ISNUMBER(INDEX(tblInventario[Stock actual],MATCH($F414,tblInventario[SKU],0))),INDEX(tblInventario[Stock actual],MATCH($F414,tblInventario[SKU],0))&lt;0)," · Stock negativo del SKU","")&amp;IF(AND($T414="Cobrado",$U414="")," · Cobro sin fecha","")&amp;IF(AND(ISNUMBER($V414),ISNUMBER($N414),$V414&gt;N($N414)+0.01)," · Cobrado &gt; venta neta","")&amp;IF(AND(ISNUMBER($V414),$V414&gt;0,$U414="")," · Monto cobrado sin fecha","")="","OK",MID(IF($B414=""," · Falta fecha","")&amp;IF($D414=""," · Falta cliente","")&amp;IF($E414=""," · Falta canal","")&amp;IF($F414=""," · Falta SKU","")&amp;IF(AND($F414&lt;&gt;"",COUNTIF(tblProductos[SKU],$F414)=0)," · SKU no existe","")&amp;IF(OR($I414="",NOT(ISNUMBER($I414)),$I414&lt;=0)," · Cantidad inválida","")&amp;IF($M414="PRECIO PENDIENTE"," · Falta precio de venta","")&amp;IF($P414="COSTO PENDIENTE"," · Falta costo del producto","")&amp;IF(AND(ISNUMBER($Q414),$Q414&lt;0)," · UTILIDAD NEGATIVA","")&amp;IF(AND($F414&lt;&gt;"",ISNUMBER(INDEX(tblInventario[Stock actual],MATCH($F414,tblInventario[SKU],0))),INDEX(tblInventario[Stock actual],MATCH($F414,tblInventario[SKU],0))&lt;0)," · Stock negativo del SKU","")&amp;IF(AND($T414="Cobrado",$U414="")," · Cobro sin fecha","")&amp;IF(AND(ISNUMBER($V414),ISNUMBER($N414),$V414&gt;N($N414)+0.01)," · Cobrado &gt; venta neta","")&amp;IF(AND(ISNUMBER($V414),$V414&gt;0,$U414="")," · Monto cobrado sin fecha",""),4,900)))</f>
        <v/>
      </c>
    </row>
    <row r="415">
      <c r="A415" s="51">
        <f>IF(COUNTA($B415,$C415,$D415,$E415,$F415,$I415)=0,"","V-"&amp;TEXT(ROW()-6,"0000"))</f>
        <v/>
      </c>
      <c r="B415" s="41" t="n"/>
      <c r="C415" s="33" t="n"/>
      <c r="D415" s="33" t="n"/>
      <c r="E415" s="33" t="n"/>
      <c r="F415" s="33" t="n"/>
      <c r="G415" s="51">
        <f>IF($F415="","",IFERROR(IF(INDEX(tblProductos[Nombre del producto],MATCH($F415,tblProductos[SKU],0))="","",INDEX(tblProductos[Nombre del producto],MATCH($F415,tblProductos[SKU],0))),""))</f>
        <v/>
      </c>
      <c r="H415" s="51">
        <f>IF($F415="","",IFERROR(IF(INDEX(tblProductos[Categoría],MATCH($F415,tblProductos[SKU],0))="","",INDEX(tblProductos[Categoría],MATCH($F415,tblProductos[SKU],0))),""))</f>
        <v/>
      </c>
      <c r="I415" s="34" t="n"/>
      <c r="J415" s="39">
        <f>IF(OR($B415="",$F415="",$I415=""),"",IF($T415="Anulado",0,$I415))</f>
        <v/>
      </c>
      <c r="K415" s="54">
        <f>IF($F415="","",IFERROR(IF(INDEX(tblProductos[Precio de venta actual],MATCH($F415,tblProductos[SKU],0))="","",INDEX(tblProductos[Precio de venta actual],MATCH($F415,tblProductos[SKU],0))),""))</f>
        <v/>
      </c>
      <c r="L415" s="36" t="n"/>
      <c r="M415" s="37">
        <f>IF($J415="","",IF(NOT(ISNUMBER($K415)),"PRECIO PENDIENTE",$J415*$K415))</f>
        <v/>
      </c>
      <c r="N415" s="37">
        <f>IF($J415="","",IF(NOT(ISNUMBER($M415)),"PRECIO PENDIENTE",$M415-IF(ISNUMBER($L415),$L415,0)))</f>
        <v/>
      </c>
      <c r="O415" s="54">
        <f>IF($F415="","",IFERROR(INDEX(tblInventario[Costo unitario aplicado],MATCH($F415,tblInventario[SKU],0)),""))</f>
        <v/>
      </c>
      <c r="P415" s="37">
        <f>IF($J415="","",IF(NOT(ISNUMBER($O415)),"COSTO PENDIENTE",$J415*$O415))</f>
        <v/>
      </c>
      <c r="Q415" s="37">
        <f>IF($J415="","",IF(OR(NOT(ISNUMBER($N415)),NOT(ISNUMBER($P415))),"PENDIENTE",$N415-$P415))</f>
        <v/>
      </c>
      <c r="R415" s="38">
        <f>IF($J415="","",IF(OR(NOT(ISNUMBER($Q415)),NOT(ISNUMBER($N415)),$N415&lt;=0),"PENDIENTE",$Q415/$N415))</f>
        <v/>
      </c>
      <c r="S415" s="33" t="n"/>
      <c r="T415" s="33" t="n"/>
      <c r="U415" s="41" t="n"/>
      <c r="V415" s="36" t="n"/>
      <c r="W415" s="37">
        <f>IF(NOT(ISNUMBER($N415)),"",$N415-IF(ISNUMBER($V415),$V415,0))</f>
        <v/>
      </c>
      <c r="X415" s="33" t="n"/>
      <c r="Y415" s="51">
        <f>IF(COUNTA($B415,$C415,$D415,$E415,$F415,$I415)=0,"",IF(IF($B415=""," · Falta fecha","")&amp;IF($D415=""," · Falta cliente","")&amp;IF($E415=""," · Falta canal","")&amp;IF($F415=""," · Falta SKU","")&amp;IF(AND($F415&lt;&gt;"",COUNTIF(tblProductos[SKU],$F415)=0)," · SKU no existe","")&amp;IF(OR($I415="",NOT(ISNUMBER($I415)),$I415&lt;=0)," · Cantidad inválida","")&amp;IF($M415="PRECIO PENDIENTE"," · Falta precio de venta","")&amp;IF($P415="COSTO PENDIENTE"," · Falta costo del producto","")&amp;IF(AND(ISNUMBER($Q415),$Q415&lt;0)," · UTILIDAD NEGATIVA","")&amp;IF(AND($F415&lt;&gt;"",ISNUMBER(INDEX(tblInventario[Stock actual],MATCH($F415,tblInventario[SKU],0))),INDEX(tblInventario[Stock actual],MATCH($F415,tblInventario[SKU],0))&lt;0)," · Stock negativo del SKU","")&amp;IF(AND($T415="Cobrado",$U415="")," · Cobro sin fecha","")&amp;IF(AND(ISNUMBER($V415),ISNUMBER($N415),$V415&gt;N($N415)+0.01)," · Cobrado &gt; venta neta","")&amp;IF(AND(ISNUMBER($V415),$V415&gt;0,$U415="")," · Monto cobrado sin fecha","")="","OK",MID(IF($B415=""," · Falta fecha","")&amp;IF($D415=""," · Falta cliente","")&amp;IF($E415=""," · Falta canal","")&amp;IF($F415=""," · Falta SKU","")&amp;IF(AND($F415&lt;&gt;"",COUNTIF(tblProductos[SKU],$F415)=0)," · SKU no existe","")&amp;IF(OR($I415="",NOT(ISNUMBER($I415)),$I415&lt;=0)," · Cantidad inválida","")&amp;IF($M415="PRECIO PENDIENTE"," · Falta precio de venta","")&amp;IF($P415="COSTO PENDIENTE"," · Falta costo del producto","")&amp;IF(AND(ISNUMBER($Q415),$Q415&lt;0)," · UTILIDAD NEGATIVA","")&amp;IF(AND($F415&lt;&gt;"",ISNUMBER(INDEX(tblInventario[Stock actual],MATCH($F415,tblInventario[SKU],0))),INDEX(tblInventario[Stock actual],MATCH($F415,tblInventario[SKU],0))&lt;0)," · Stock negativo del SKU","")&amp;IF(AND($T415="Cobrado",$U415="")," · Cobro sin fecha","")&amp;IF(AND(ISNUMBER($V415),ISNUMBER($N415),$V415&gt;N($N415)+0.01)," · Cobrado &gt; venta neta","")&amp;IF(AND(ISNUMBER($V415),$V415&gt;0,$U415="")," · Monto cobrado sin fecha",""),4,900)))</f>
        <v/>
      </c>
    </row>
    <row r="416">
      <c r="A416" s="51">
        <f>IF(COUNTA($B416,$C416,$D416,$E416,$F416,$I416)=0,"","V-"&amp;TEXT(ROW()-6,"0000"))</f>
        <v/>
      </c>
      <c r="B416" s="41" t="n"/>
      <c r="C416" s="33" t="n"/>
      <c r="D416" s="33" t="n"/>
      <c r="E416" s="33" t="n"/>
      <c r="F416" s="33" t="n"/>
      <c r="G416" s="51">
        <f>IF($F416="","",IFERROR(IF(INDEX(tblProductos[Nombre del producto],MATCH($F416,tblProductos[SKU],0))="","",INDEX(tblProductos[Nombre del producto],MATCH($F416,tblProductos[SKU],0))),""))</f>
        <v/>
      </c>
      <c r="H416" s="51">
        <f>IF($F416="","",IFERROR(IF(INDEX(tblProductos[Categoría],MATCH($F416,tblProductos[SKU],0))="","",INDEX(tblProductos[Categoría],MATCH($F416,tblProductos[SKU],0))),""))</f>
        <v/>
      </c>
      <c r="I416" s="34" t="n"/>
      <c r="J416" s="39">
        <f>IF(OR($B416="",$F416="",$I416=""),"",IF($T416="Anulado",0,$I416))</f>
        <v/>
      </c>
      <c r="K416" s="54">
        <f>IF($F416="","",IFERROR(IF(INDEX(tblProductos[Precio de venta actual],MATCH($F416,tblProductos[SKU],0))="","",INDEX(tblProductos[Precio de venta actual],MATCH($F416,tblProductos[SKU],0))),""))</f>
        <v/>
      </c>
      <c r="L416" s="36" t="n"/>
      <c r="M416" s="37">
        <f>IF($J416="","",IF(NOT(ISNUMBER($K416)),"PRECIO PENDIENTE",$J416*$K416))</f>
        <v/>
      </c>
      <c r="N416" s="37">
        <f>IF($J416="","",IF(NOT(ISNUMBER($M416)),"PRECIO PENDIENTE",$M416-IF(ISNUMBER($L416),$L416,0)))</f>
        <v/>
      </c>
      <c r="O416" s="54">
        <f>IF($F416="","",IFERROR(INDEX(tblInventario[Costo unitario aplicado],MATCH($F416,tblInventario[SKU],0)),""))</f>
        <v/>
      </c>
      <c r="P416" s="37">
        <f>IF($J416="","",IF(NOT(ISNUMBER($O416)),"COSTO PENDIENTE",$J416*$O416))</f>
        <v/>
      </c>
      <c r="Q416" s="37">
        <f>IF($J416="","",IF(OR(NOT(ISNUMBER($N416)),NOT(ISNUMBER($P416))),"PENDIENTE",$N416-$P416))</f>
        <v/>
      </c>
      <c r="R416" s="38">
        <f>IF($J416="","",IF(OR(NOT(ISNUMBER($Q416)),NOT(ISNUMBER($N416)),$N416&lt;=0),"PENDIENTE",$Q416/$N416))</f>
        <v/>
      </c>
      <c r="S416" s="33" t="n"/>
      <c r="T416" s="33" t="n"/>
      <c r="U416" s="41" t="n"/>
      <c r="V416" s="36" t="n"/>
      <c r="W416" s="37">
        <f>IF(NOT(ISNUMBER($N416)),"",$N416-IF(ISNUMBER($V416),$V416,0))</f>
        <v/>
      </c>
      <c r="X416" s="33" t="n"/>
      <c r="Y416" s="51">
        <f>IF(COUNTA($B416,$C416,$D416,$E416,$F416,$I416)=0,"",IF(IF($B416=""," · Falta fecha","")&amp;IF($D416=""," · Falta cliente","")&amp;IF($E416=""," · Falta canal","")&amp;IF($F416=""," · Falta SKU","")&amp;IF(AND($F416&lt;&gt;"",COUNTIF(tblProductos[SKU],$F416)=0)," · SKU no existe","")&amp;IF(OR($I416="",NOT(ISNUMBER($I416)),$I416&lt;=0)," · Cantidad inválida","")&amp;IF($M416="PRECIO PENDIENTE"," · Falta precio de venta","")&amp;IF($P416="COSTO PENDIENTE"," · Falta costo del producto","")&amp;IF(AND(ISNUMBER($Q416),$Q416&lt;0)," · UTILIDAD NEGATIVA","")&amp;IF(AND($F416&lt;&gt;"",ISNUMBER(INDEX(tblInventario[Stock actual],MATCH($F416,tblInventario[SKU],0))),INDEX(tblInventario[Stock actual],MATCH($F416,tblInventario[SKU],0))&lt;0)," · Stock negativo del SKU","")&amp;IF(AND($T416="Cobrado",$U416="")," · Cobro sin fecha","")&amp;IF(AND(ISNUMBER($V416),ISNUMBER($N416),$V416&gt;N($N416)+0.01)," · Cobrado &gt; venta neta","")&amp;IF(AND(ISNUMBER($V416),$V416&gt;0,$U416="")," · Monto cobrado sin fecha","")="","OK",MID(IF($B416=""," · Falta fecha","")&amp;IF($D416=""," · Falta cliente","")&amp;IF($E416=""," · Falta canal","")&amp;IF($F416=""," · Falta SKU","")&amp;IF(AND($F416&lt;&gt;"",COUNTIF(tblProductos[SKU],$F416)=0)," · SKU no existe","")&amp;IF(OR($I416="",NOT(ISNUMBER($I416)),$I416&lt;=0)," · Cantidad inválida","")&amp;IF($M416="PRECIO PENDIENTE"," · Falta precio de venta","")&amp;IF($P416="COSTO PENDIENTE"," · Falta costo del producto","")&amp;IF(AND(ISNUMBER($Q416),$Q416&lt;0)," · UTILIDAD NEGATIVA","")&amp;IF(AND($F416&lt;&gt;"",ISNUMBER(INDEX(tblInventario[Stock actual],MATCH($F416,tblInventario[SKU],0))),INDEX(tblInventario[Stock actual],MATCH($F416,tblInventario[SKU],0))&lt;0)," · Stock negativo del SKU","")&amp;IF(AND($T416="Cobrado",$U416="")," · Cobro sin fecha","")&amp;IF(AND(ISNUMBER($V416),ISNUMBER($N416),$V416&gt;N($N416)+0.01)," · Cobrado &gt; venta neta","")&amp;IF(AND(ISNUMBER($V416),$V416&gt;0,$U416="")," · Monto cobrado sin fecha",""),4,900)))</f>
        <v/>
      </c>
    </row>
    <row r="417">
      <c r="A417" s="51">
        <f>IF(COUNTA($B417,$C417,$D417,$E417,$F417,$I417)=0,"","V-"&amp;TEXT(ROW()-6,"0000"))</f>
        <v/>
      </c>
      <c r="B417" s="41" t="n"/>
      <c r="C417" s="33" t="n"/>
      <c r="D417" s="33" t="n"/>
      <c r="E417" s="33" t="n"/>
      <c r="F417" s="33" t="n"/>
      <c r="G417" s="51">
        <f>IF($F417="","",IFERROR(IF(INDEX(tblProductos[Nombre del producto],MATCH($F417,tblProductos[SKU],0))="","",INDEX(tblProductos[Nombre del producto],MATCH($F417,tblProductos[SKU],0))),""))</f>
        <v/>
      </c>
      <c r="H417" s="51">
        <f>IF($F417="","",IFERROR(IF(INDEX(tblProductos[Categoría],MATCH($F417,tblProductos[SKU],0))="","",INDEX(tblProductos[Categoría],MATCH($F417,tblProductos[SKU],0))),""))</f>
        <v/>
      </c>
      <c r="I417" s="34" t="n"/>
      <c r="J417" s="39">
        <f>IF(OR($B417="",$F417="",$I417=""),"",IF($T417="Anulado",0,$I417))</f>
        <v/>
      </c>
      <c r="K417" s="54">
        <f>IF($F417="","",IFERROR(IF(INDEX(tblProductos[Precio de venta actual],MATCH($F417,tblProductos[SKU],0))="","",INDEX(tblProductos[Precio de venta actual],MATCH($F417,tblProductos[SKU],0))),""))</f>
        <v/>
      </c>
      <c r="L417" s="36" t="n"/>
      <c r="M417" s="37">
        <f>IF($J417="","",IF(NOT(ISNUMBER($K417)),"PRECIO PENDIENTE",$J417*$K417))</f>
        <v/>
      </c>
      <c r="N417" s="37">
        <f>IF($J417="","",IF(NOT(ISNUMBER($M417)),"PRECIO PENDIENTE",$M417-IF(ISNUMBER($L417),$L417,0)))</f>
        <v/>
      </c>
      <c r="O417" s="54">
        <f>IF($F417="","",IFERROR(INDEX(tblInventario[Costo unitario aplicado],MATCH($F417,tblInventario[SKU],0)),""))</f>
        <v/>
      </c>
      <c r="P417" s="37">
        <f>IF($J417="","",IF(NOT(ISNUMBER($O417)),"COSTO PENDIENTE",$J417*$O417))</f>
        <v/>
      </c>
      <c r="Q417" s="37">
        <f>IF($J417="","",IF(OR(NOT(ISNUMBER($N417)),NOT(ISNUMBER($P417))),"PENDIENTE",$N417-$P417))</f>
        <v/>
      </c>
      <c r="R417" s="38">
        <f>IF($J417="","",IF(OR(NOT(ISNUMBER($Q417)),NOT(ISNUMBER($N417)),$N417&lt;=0),"PENDIENTE",$Q417/$N417))</f>
        <v/>
      </c>
      <c r="S417" s="33" t="n"/>
      <c r="T417" s="33" t="n"/>
      <c r="U417" s="41" t="n"/>
      <c r="V417" s="36" t="n"/>
      <c r="W417" s="37">
        <f>IF(NOT(ISNUMBER($N417)),"",$N417-IF(ISNUMBER($V417),$V417,0))</f>
        <v/>
      </c>
      <c r="X417" s="33" t="n"/>
      <c r="Y417" s="51">
        <f>IF(COUNTA($B417,$C417,$D417,$E417,$F417,$I417)=0,"",IF(IF($B417=""," · Falta fecha","")&amp;IF($D417=""," · Falta cliente","")&amp;IF($E417=""," · Falta canal","")&amp;IF($F417=""," · Falta SKU","")&amp;IF(AND($F417&lt;&gt;"",COUNTIF(tblProductos[SKU],$F417)=0)," · SKU no existe","")&amp;IF(OR($I417="",NOT(ISNUMBER($I417)),$I417&lt;=0)," · Cantidad inválida","")&amp;IF($M417="PRECIO PENDIENTE"," · Falta precio de venta","")&amp;IF($P417="COSTO PENDIENTE"," · Falta costo del producto","")&amp;IF(AND(ISNUMBER($Q417),$Q417&lt;0)," · UTILIDAD NEGATIVA","")&amp;IF(AND($F417&lt;&gt;"",ISNUMBER(INDEX(tblInventario[Stock actual],MATCH($F417,tblInventario[SKU],0))),INDEX(tblInventario[Stock actual],MATCH($F417,tblInventario[SKU],0))&lt;0)," · Stock negativo del SKU","")&amp;IF(AND($T417="Cobrado",$U417="")," · Cobro sin fecha","")&amp;IF(AND(ISNUMBER($V417),ISNUMBER($N417),$V417&gt;N($N417)+0.01)," · Cobrado &gt; venta neta","")&amp;IF(AND(ISNUMBER($V417),$V417&gt;0,$U417="")," · Monto cobrado sin fecha","")="","OK",MID(IF($B417=""," · Falta fecha","")&amp;IF($D417=""," · Falta cliente","")&amp;IF($E417=""," · Falta canal","")&amp;IF($F417=""," · Falta SKU","")&amp;IF(AND($F417&lt;&gt;"",COUNTIF(tblProductos[SKU],$F417)=0)," · SKU no existe","")&amp;IF(OR($I417="",NOT(ISNUMBER($I417)),$I417&lt;=0)," · Cantidad inválida","")&amp;IF($M417="PRECIO PENDIENTE"," · Falta precio de venta","")&amp;IF($P417="COSTO PENDIENTE"," · Falta costo del producto","")&amp;IF(AND(ISNUMBER($Q417),$Q417&lt;0)," · UTILIDAD NEGATIVA","")&amp;IF(AND($F417&lt;&gt;"",ISNUMBER(INDEX(tblInventario[Stock actual],MATCH($F417,tblInventario[SKU],0))),INDEX(tblInventario[Stock actual],MATCH($F417,tblInventario[SKU],0))&lt;0)," · Stock negativo del SKU","")&amp;IF(AND($T417="Cobrado",$U417="")," · Cobro sin fecha","")&amp;IF(AND(ISNUMBER($V417),ISNUMBER($N417),$V417&gt;N($N417)+0.01)," · Cobrado &gt; venta neta","")&amp;IF(AND(ISNUMBER($V417),$V417&gt;0,$U417="")," · Monto cobrado sin fecha",""),4,900)))</f>
        <v/>
      </c>
    </row>
    <row r="418">
      <c r="A418" s="51">
        <f>IF(COUNTA($B418,$C418,$D418,$E418,$F418,$I418)=0,"","V-"&amp;TEXT(ROW()-6,"0000"))</f>
        <v/>
      </c>
      <c r="B418" s="41" t="n"/>
      <c r="C418" s="33" t="n"/>
      <c r="D418" s="33" t="n"/>
      <c r="E418" s="33" t="n"/>
      <c r="F418" s="33" t="n"/>
      <c r="G418" s="51">
        <f>IF($F418="","",IFERROR(IF(INDEX(tblProductos[Nombre del producto],MATCH($F418,tblProductos[SKU],0))="","",INDEX(tblProductos[Nombre del producto],MATCH($F418,tblProductos[SKU],0))),""))</f>
        <v/>
      </c>
      <c r="H418" s="51">
        <f>IF($F418="","",IFERROR(IF(INDEX(tblProductos[Categoría],MATCH($F418,tblProductos[SKU],0))="","",INDEX(tblProductos[Categoría],MATCH($F418,tblProductos[SKU],0))),""))</f>
        <v/>
      </c>
      <c r="I418" s="34" t="n"/>
      <c r="J418" s="39">
        <f>IF(OR($B418="",$F418="",$I418=""),"",IF($T418="Anulado",0,$I418))</f>
        <v/>
      </c>
      <c r="K418" s="54">
        <f>IF($F418="","",IFERROR(IF(INDEX(tblProductos[Precio de venta actual],MATCH($F418,tblProductos[SKU],0))="","",INDEX(tblProductos[Precio de venta actual],MATCH($F418,tblProductos[SKU],0))),""))</f>
        <v/>
      </c>
      <c r="L418" s="36" t="n"/>
      <c r="M418" s="37">
        <f>IF($J418="","",IF(NOT(ISNUMBER($K418)),"PRECIO PENDIENTE",$J418*$K418))</f>
        <v/>
      </c>
      <c r="N418" s="37">
        <f>IF($J418="","",IF(NOT(ISNUMBER($M418)),"PRECIO PENDIENTE",$M418-IF(ISNUMBER($L418),$L418,0)))</f>
        <v/>
      </c>
      <c r="O418" s="54">
        <f>IF($F418="","",IFERROR(INDEX(tblInventario[Costo unitario aplicado],MATCH($F418,tblInventario[SKU],0)),""))</f>
        <v/>
      </c>
      <c r="P418" s="37">
        <f>IF($J418="","",IF(NOT(ISNUMBER($O418)),"COSTO PENDIENTE",$J418*$O418))</f>
        <v/>
      </c>
      <c r="Q418" s="37">
        <f>IF($J418="","",IF(OR(NOT(ISNUMBER($N418)),NOT(ISNUMBER($P418))),"PENDIENTE",$N418-$P418))</f>
        <v/>
      </c>
      <c r="R418" s="38">
        <f>IF($J418="","",IF(OR(NOT(ISNUMBER($Q418)),NOT(ISNUMBER($N418)),$N418&lt;=0),"PENDIENTE",$Q418/$N418))</f>
        <v/>
      </c>
      <c r="S418" s="33" t="n"/>
      <c r="T418" s="33" t="n"/>
      <c r="U418" s="41" t="n"/>
      <c r="V418" s="36" t="n"/>
      <c r="W418" s="37">
        <f>IF(NOT(ISNUMBER($N418)),"",$N418-IF(ISNUMBER($V418),$V418,0))</f>
        <v/>
      </c>
      <c r="X418" s="33" t="n"/>
      <c r="Y418" s="51">
        <f>IF(COUNTA($B418,$C418,$D418,$E418,$F418,$I418)=0,"",IF(IF($B418=""," · Falta fecha","")&amp;IF($D418=""," · Falta cliente","")&amp;IF($E418=""," · Falta canal","")&amp;IF($F418=""," · Falta SKU","")&amp;IF(AND($F418&lt;&gt;"",COUNTIF(tblProductos[SKU],$F418)=0)," · SKU no existe","")&amp;IF(OR($I418="",NOT(ISNUMBER($I418)),$I418&lt;=0)," · Cantidad inválida","")&amp;IF($M418="PRECIO PENDIENTE"," · Falta precio de venta","")&amp;IF($P418="COSTO PENDIENTE"," · Falta costo del producto","")&amp;IF(AND(ISNUMBER($Q418),$Q418&lt;0)," · UTILIDAD NEGATIVA","")&amp;IF(AND($F418&lt;&gt;"",ISNUMBER(INDEX(tblInventario[Stock actual],MATCH($F418,tblInventario[SKU],0))),INDEX(tblInventario[Stock actual],MATCH($F418,tblInventario[SKU],0))&lt;0)," · Stock negativo del SKU","")&amp;IF(AND($T418="Cobrado",$U418="")," · Cobro sin fecha","")&amp;IF(AND(ISNUMBER($V418),ISNUMBER($N418),$V418&gt;N($N418)+0.01)," · Cobrado &gt; venta neta","")&amp;IF(AND(ISNUMBER($V418),$V418&gt;0,$U418="")," · Monto cobrado sin fecha","")="","OK",MID(IF($B418=""," · Falta fecha","")&amp;IF($D418=""," · Falta cliente","")&amp;IF($E418=""," · Falta canal","")&amp;IF($F418=""," · Falta SKU","")&amp;IF(AND($F418&lt;&gt;"",COUNTIF(tblProductos[SKU],$F418)=0)," · SKU no existe","")&amp;IF(OR($I418="",NOT(ISNUMBER($I418)),$I418&lt;=0)," · Cantidad inválida","")&amp;IF($M418="PRECIO PENDIENTE"," · Falta precio de venta","")&amp;IF($P418="COSTO PENDIENTE"," · Falta costo del producto","")&amp;IF(AND(ISNUMBER($Q418),$Q418&lt;0)," · UTILIDAD NEGATIVA","")&amp;IF(AND($F418&lt;&gt;"",ISNUMBER(INDEX(tblInventario[Stock actual],MATCH($F418,tblInventario[SKU],0))),INDEX(tblInventario[Stock actual],MATCH($F418,tblInventario[SKU],0))&lt;0)," · Stock negativo del SKU","")&amp;IF(AND($T418="Cobrado",$U418="")," · Cobro sin fecha","")&amp;IF(AND(ISNUMBER($V418),ISNUMBER($N418),$V418&gt;N($N418)+0.01)," · Cobrado &gt; venta neta","")&amp;IF(AND(ISNUMBER($V418),$V418&gt;0,$U418="")," · Monto cobrado sin fecha",""),4,900)))</f>
        <v/>
      </c>
    </row>
    <row r="419">
      <c r="A419" s="51">
        <f>IF(COUNTA($B419,$C419,$D419,$E419,$F419,$I419)=0,"","V-"&amp;TEXT(ROW()-6,"0000"))</f>
        <v/>
      </c>
      <c r="B419" s="41" t="n"/>
      <c r="C419" s="33" t="n"/>
      <c r="D419" s="33" t="n"/>
      <c r="E419" s="33" t="n"/>
      <c r="F419" s="33" t="n"/>
      <c r="G419" s="51">
        <f>IF($F419="","",IFERROR(IF(INDEX(tblProductos[Nombre del producto],MATCH($F419,tblProductos[SKU],0))="","",INDEX(tblProductos[Nombre del producto],MATCH($F419,tblProductos[SKU],0))),""))</f>
        <v/>
      </c>
      <c r="H419" s="51">
        <f>IF($F419="","",IFERROR(IF(INDEX(tblProductos[Categoría],MATCH($F419,tblProductos[SKU],0))="","",INDEX(tblProductos[Categoría],MATCH($F419,tblProductos[SKU],0))),""))</f>
        <v/>
      </c>
      <c r="I419" s="34" t="n"/>
      <c r="J419" s="39">
        <f>IF(OR($B419="",$F419="",$I419=""),"",IF($T419="Anulado",0,$I419))</f>
        <v/>
      </c>
      <c r="K419" s="54">
        <f>IF($F419="","",IFERROR(IF(INDEX(tblProductos[Precio de venta actual],MATCH($F419,tblProductos[SKU],0))="","",INDEX(tblProductos[Precio de venta actual],MATCH($F419,tblProductos[SKU],0))),""))</f>
        <v/>
      </c>
      <c r="L419" s="36" t="n"/>
      <c r="M419" s="37">
        <f>IF($J419="","",IF(NOT(ISNUMBER($K419)),"PRECIO PENDIENTE",$J419*$K419))</f>
        <v/>
      </c>
      <c r="N419" s="37">
        <f>IF($J419="","",IF(NOT(ISNUMBER($M419)),"PRECIO PENDIENTE",$M419-IF(ISNUMBER($L419),$L419,0)))</f>
        <v/>
      </c>
      <c r="O419" s="54">
        <f>IF($F419="","",IFERROR(INDEX(tblInventario[Costo unitario aplicado],MATCH($F419,tblInventario[SKU],0)),""))</f>
        <v/>
      </c>
      <c r="P419" s="37">
        <f>IF($J419="","",IF(NOT(ISNUMBER($O419)),"COSTO PENDIENTE",$J419*$O419))</f>
        <v/>
      </c>
      <c r="Q419" s="37">
        <f>IF($J419="","",IF(OR(NOT(ISNUMBER($N419)),NOT(ISNUMBER($P419))),"PENDIENTE",$N419-$P419))</f>
        <v/>
      </c>
      <c r="R419" s="38">
        <f>IF($J419="","",IF(OR(NOT(ISNUMBER($Q419)),NOT(ISNUMBER($N419)),$N419&lt;=0),"PENDIENTE",$Q419/$N419))</f>
        <v/>
      </c>
      <c r="S419" s="33" t="n"/>
      <c r="T419" s="33" t="n"/>
      <c r="U419" s="41" t="n"/>
      <c r="V419" s="36" t="n"/>
      <c r="W419" s="37">
        <f>IF(NOT(ISNUMBER($N419)),"",$N419-IF(ISNUMBER($V419),$V419,0))</f>
        <v/>
      </c>
      <c r="X419" s="33" t="n"/>
      <c r="Y419" s="51">
        <f>IF(COUNTA($B419,$C419,$D419,$E419,$F419,$I419)=0,"",IF(IF($B419=""," · Falta fecha","")&amp;IF($D419=""," · Falta cliente","")&amp;IF($E419=""," · Falta canal","")&amp;IF($F419=""," · Falta SKU","")&amp;IF(AND($F419&lt;&gt;"",COUNTIF(tblProductos[SKU],$F419)=0)," · SKU no existe","")&amp;IF(OR($I419="",NOT(ISNUMBER($I419)),$I419&lt;=0)," · Cantidad inválida","")&amp;IF($M419="PRECIO PENDIENTE"," · Falta precio de venta","")&amp;IF($P419="COSTO PENDIENTE"," · Falta costo del producto","")&amp;IF(AND(ISNUMBER($Q419),$Q419&lt;0)," · UTILIDAD NEGATIVA","")&amp;IF(AND($F419&lt;&gt;"",ISNUMBER(INDEX(tblInventario[Stock actual],MATCH($F419,tblInventario[SKU],0))),INDEX(tblInventario[Stock actual],MATCH($F419,tblInventario[SKU],0))&lt;0)," · Stock negativo del SKU","")&amp;IF(AND($T419="Cobrado",$U419="")," · Cobro sin fecha","")&amp;IF(AND(ISNUMBER($V419),ISNUMBER($N419),$V419&gt;N($N419)+0.01)," · Cobrado &gt; venta neta","")&amp;IF(AND(ISNUMBER($V419),$V419&gt;0,$U419="")," · Monto cobrado sin fecha","")="","OK",MID(IF($B419=""," · Falta fecha","")&amp;IF($D419=""," · Falta cliente","")&amp;IF($E419=""," · Falta canal","")&amp;IF($F419=""," · Falta SKU","")&amp;IF(AND($F419&lt;&gt;"",COUNTIF(tblProductos[SKU],$F419)=0)," · SKU no existe","")&amp;IF(OR($I419="",NOT(ISNUMBER($I419)),$I419&lt;=0)," · Cantidad inválida","")&amp;IF($M419="PRECIO PENDIENTE"," · Falta precio de venta","")&amp;IF($P419="COSTO PENDIENTE"," · Falta costo del producto","")&amp;IF(AND(ISNUMBER($Q419),$Q419&lt;0)," · UTILIDAD NEGATIVA","")&amp;IF(AND($F419&lt;&gt;"",ISNUMBER(INDEX(tblInventario[Stock actual],MATCH($F419,tblInventario[SKU],0))),INDEX(tblInventario[Stock actual],MATCH($F419,tblInventario[SKU],0))&lt;0)," · Stock negativo del SKU","")&amp;IF(AND($T419="Cobrado",$U419="")," · Cobro sin fecha","")&amp;IF(AND(ISNUMBER($V419),ISNUMBER($N419),$V419&gt;N($N419)+0.01)," · Cobrado &gt; venta neta","")&amp;IF(AND(ISNUMBER($V419),$V419&gt;0,$U419="")," · Monto cobrado sin fecha",""),4,900)))</f>
        <v/>
      </c>
    </row>
    <row r="420">
      <c r="A420" s="51">
        <f>IF(COUNTA($B420,$C420,$D420,$E420,$F420,$I420)=0,"","V-"&amp;TEXT(ROW()-6,"0000"))</f>
        <v/>
      </c>
      <c r="B420" s="41" t="n"/>
      <c r="C420" s="33" t="n"/>
      <c r="D420" s="33" t="n"/>
      <c r="E420" s="33" t="n"/>
      <c r="F420" s="33" t="n"/>
      <c r="G420" s="51">
        <f>IF($F420="","",IFERROR(IF(INDEX(tblProductos[Nombre del producto],MATCH($F420,tblProductos[SKU],0))="","",INDEX(tblProductos[Nombre del producto],MATCH($F420,tblProductos[SKU],0))),""))</f>
        <v/>
      </c>
      <c r="H420" s="51">
        <f>IF($F420="","",IFERROR(IF(INDEX(tblProductos[Categoría],MATCH($F420,tblProductos[SKU],0))="","",INDEX(tblProductos[Categoría],MATCH($F420,tblProductos[SKU],0))),""))</f>
        <v/>
      </c>
      <c r="I420" s="34" t="n"/>
      <c r="J420" s="39">
        <f>IF(OR($B420="",$F420="",$I420=""),"",IF($T420="Anulado",0,$I420))</f>
        <v/>
      </c>
      <c r="K420" s="54">
        <f>IF($F420="","",IFERROR(IF(INDEX(tblProductos[Precio de venta actual],MATCH($F420,tblProductos[SKU],0))="","",INDEX(tblProductos[Precio de venta actual],MATCH($F420,tblProductos[SKU],0))),""))</f>
        <v/>
      </c>
      <c r="L420" s="36" t="n"/>
      <c r="M420" s="37">
        <f>IF($J420="","",IF(NOT(ISNUMBER($K420)),"PRECIO PENDIENTE",$J420*$K420))</f>
        <v/>
      </c>
      <c r="N420" s="37">
        <f>IF($J420="","",IF(NOT(ISNUMBER($M420)),"PRECIO PENDIENTE",$M420-IF(ISNUMBER($L420),$L420,0)))</f>
        <v/>
      </c>
      <c r="O420" s="54">
        <f>IF($F420="","",IFERROR(INDEX(tblInventario[Costo unitario aplicado],MATCH($F420,tblInventario[SKU],0)),""))</f>
        <v/>
      </c>
      <c r="P420" s="37">
        <f>IF($J420="","",IF(NOT(ISNUMBER($O420)),"COSTO PENDIENTE",$J420*$O420))</f>
        <v/>
      </c>
      <c r="Q420" s="37">
        <f>IF($J420="","",IF(OR(NOT(ISNUMBER($N420)),NOT(ISNUMBER($P420))),"PENDIENTE",$N420-$P420))</f>
        <v/>
      </c>
      <c r="R420" s="38">
        <f>IF($J420="","",IF(OR(NOT(ISNUMBER($Q420)),NOT(ISNUMBER($N420)),$N420&lt;=0),"PENDIENTE",$Q420/$N420))</f>
        <v/>
      </c>
      <c r="S420" s="33" t="n"/>
      <c r="T420" s="33" t="n"/>
      <c r="U420" s="41" t="n"/>
      <c r="V420" s="36" t="n"/>
      <c r="W420" s="37">
        <f>IF(NOT(ISNUMBER($N420)),"",$N420-IF(ISNUMBER($V420),$V420,0))</f>
        <v/>
      </c>
      <c r="X420" s="33" t="n"/>
      <c r="Y420" s="51">
        <f>IF(COUNTA($B420,$C420,$D420,$E420,$F420,$I420)=0,"",IF(IF($B420=""," · Falta fecha","")&amp;IF($D420=""," · Falta cliente","")&amp;IF($E420=""," · Falta canal","")&amp;IF($F420=""," · Falta SKU","")&amp;IF(AND($F420&lt;&gt;"",COUNTIF(tblProductos[SKU],$F420)=0)," · SKU no existe","")&amp;IF(OR($I420="",NOT(ISNUMBER($I420)),$I420&lt;=0)," · Cantidad inválida","")&amp;IF($M420="PRECIO PENDIENTE"," · Falta precio de venta","")&amp;IF($P420="COSTO PENDIENTE"," · Falta costo del producto","")&amp;IF(AND(ISNUMBER($Q420),$Q420&lt;0)," · UTILIDAD NEGATIVA","")&amp;IF(AND($F420&lt;&gt;"",ISNUMBER(INDEX(tblInventario[Stock actual],MATCH($F420,tblInventario[SKU],0))),INDEX(tblInventario[Stock actual],MATCH($F420,tblInventario[SKU],0))&lt;0)," · Stock negativo del SKU","")&amp;IF(AND($T420="Cobrado",$U420="")," · Cobro sin fecha","")&amp;IF(AND(ISNUMBER($V420),ISNUMBER($N420),$V420&gt;N($N420)+0.01)," · Cobrado &gt; venta neta","")&amp;IF(AND(ISNUMBER($V420),$V420&gt;0,$U420="")," · Monto cobrado sin fecha","")="","OK",MID(IF($B420=""," · Falta fecha","")&amp;IF($D420=""," · Falta cliente","")&amp;IF($E420=""," · Falta canal","")&amp;IF($F420=""," · Falta SKU","")&amp;IF(AND($F420&lt;&gt;"",COUNTIF(tblProductos[SKU],$F420)=0)," · SKU no existe","")&amp;IF(OR($I420="",NOT(ISNUMBER($I420)),$I420&lt;=0)," · Cantidad inválida","")&amp;IF($M420="PRECIO PENDIENTE"," · Falta precio de venta","")&amp;IF($P420="COSTO PENDIENTE"," · Falta costo del producto","")&amp;IF(AND(ISNUMBER($Q420),$Q420&lt;0)," · UTILIDAD NEGATIVA","")&amp;IF(AND($F420&lt;&gt;"",ISNUMBER(INDEX(tblInventario[Stock actual],MATCH($F420,tblInventario[SKU],0))),INDEX(tblInventario[Stock actual],MATCH($F420,tblInventario[SKU],0))&lt;0)," · Stock negativo del SKU","")&amp;IF(AND($T420="Cobrado",$U420="")," · Cobro sin fecha","")&amp;IF(AND(ISNUMBER($V420),ISNUMBER($N420),$V420&gt;N($N420)+0.01)," · Cobrado &gt; venta neta","")&amp;IF(AND(ISNUMBER($V420),$V420&gt;0,$U420="")," · Monto cobrado sin fecha",""),4,900)))</f>
        <v/>
      </c>
    </row>
    <row r="421">
      <c r="A421" s="51">
        <f>IF(COUNTA($B421,$C421,$D421,$E421,$F421,$I421)=0,"","V-"&amp;TEXT(ROW()-6,"0000"))</f>
        <v/>
      </c>
      <c r="B421" s="41" t="n"/>
      <c r="C421" s="33" t="n"/>
      <c r="D421" s="33" t="n"/>
      <c r="E421" s="33" t="n"/>
      <c r="F421" s="33" t="n"/>
      <c r="G421" s="51">
        <f>IF($F421="","",IFERROR(IF(INDEX(tblProductos[Nombre del producto],MATCH($F421,tblProductos[SKU],0))="","",INDEX(tblProductos[Nombre del producto],MATCH($F421,tblProductos[SKU],0))),""))</f>
        <v/>
      </c>
      <c r="H421" s="51">
        <f>IF($F421="","",IFERROR(IF(INDEX(tblProductos[Categoría],MATCH($F421,tblProductos[SKU],0))="","",INDEX(tblProductos[Categoría],MATCH($F421,tblProductos[SKU],0))),""))</f>
        <v/>
      </c>
      <c r="I421" s="34" t="n"/>
      <c r="J421" s="39">
        <f>IF(OR($B421="",$F421="",$I421=""),"",IF($T421="Anulado",0,$I421))</f>
        <v/>
      </c>
      <c r="K421" s="54">
        <f>IF($F421="","",IFERROR(IF(INDEX(tblProductos[Precio de venta actual],MATCH($F421,tblProductos[SKU],0))="","",INDEX(tblProductos[Precio de venta actual],MATCH($F421,tblProductos[SKU],0))),""))</f>
        <v/>
      </c>
      <c r="L421" s="36" t="n"/>
      <c r="M421" s="37">
        <f>IF($J421="","",IF(NOT(ISNUMBER($K421)),"PRECIO PENDIENTE",$J421*$K421))</f>
        <v/>
      </c>
      <c r="N421" s="37">
        <f>IF($J421="","",IF(NOT(ISNUMBER($M421)),"PRECIO PENDIENTE",$M421-IF(ISNUMBER($L421),$L421,0)))</f>
        <v/>
      </c>
      <c r="O421" s="54">
        <f>IF($F421="","",IFERROR(INDEX(tblInventario[Costo unitario aplicado],MATCH($F421,tblInventario[SKU],0)),""))</f>
        <v/>
      </c>
      <c r="P421" s="37">
        <f>IF($J421="","",IF(NOT(ISNUMBER($O421)),"COSTO PENDIENTE",$J421*$O421))</f>
        <v/>
      </c>
      <c r="Q421" s="37">
        <f>IF($J421="","",IF(OR(NOT(ISNUMBER($N421)),NOT(ISNUMBER($P421))),"PENDIENTE",$N421-$P421))</f>
        <v/>
      </c>
      <c r="R421" s="38">
        <f>IF($J421="","",IF(OR(NOT(ISNUMBER($Q421)),NOT(ISNUMBER($N421)),$N421&lt;=0),"PENDIENTE",$Q421/$N421))</f>
        <v/>
      </c>
      <c r="S421" s="33" t="n"/>
      <c r="T421" s="33" t="n"/>
      <c r="U421" s="41" t="n"/>
      <c r="V421" s="36" t="n"/>
      <c r="W421" s="37">
        <f>IF(NOT(ISNUMBER($N421)),"",$N421-IF(ISNUMBER($V421),$V421,0))</f>
        <v/>
      </c>
      <c r="X421" s="33" t="n"/>
      <c r="Y421" s="51">
        <f>IF(COUNTA($B421,$C421,$D421,$E421,$F421,$I421)=0,"",IF(IF($B421=""," · Falta fecha","")&amp;IF($D421=""," · Falta cliente","")&amp;IF($E421=""," · Falta canal","")&amp;IF($F421=""," · Falta SKU","")&amp;IF(AND($F421&lt;&gt;"",COUNTIF(tblProductos[SKU],$F421)=0)," · SKU no existe","")&amp;IF(OR($I421="",NOT(ISNUMBER($I421)),$I421&lt;=0)," · Cantidad inválida","")&amp;IF($M421="PRECIO PENDIENTE"," · Falta precio de venta","")&amp;IF($P421="COSTO PENDIENTE"," · Falta costo del producto","")&amp;IF(AND(ISNUMBER($Q421),$Q421&lt;0)," · UTILIDAD NEGATIVA","")&amp;IF(AND($F421&lt;&gt;"",ISNUMBER(INDEX(tblInventario[Stock actual],MATCH($F421,tblInventario[SKU],0))),INDEX(tblInventario[Stock actual],MATCH($F421,tblInventario[SKU],0))&lt;0)," · Stock negativo del SKU","")&amp;IF(AND($T421="Cobrado",$U421="")," · Cobro sin fecha","")&amp;IF(AND(ISNUMBER($V421),ISNUMBER($N421),$V421&gt;N($N421)+0.01)," · Cobrado &gt; venta neta","")&amp;IF(AND(ISNUMBER($V421),$V421&gt;0,$U421="")," · Monto cobrado sin fecha","")="","OK",MID(IF($B421=""," · Falta fecha","")&amp;IF($D421=""," · Falta cliente","")&amp;IF($E421=""," · Falta canal","")&amp;IF($F421=""," · Falta SKU","")&amp;IF(AND($F421&lt;&gt;"",COUNTIF(tblProductos[SKU],$F421)=0)," · SKU no existe","")&amp;IF(OR($I421="",NOT(ISNUMBER($I421)),$I421&lt;=0)," · Cantidad inválida","")&amp;IF($M421="PRECIO PENDIENTE"," · Falta precio de venta","")&amp;IF($P421="COSTO PENDIENTE"," · Falta costo del producto","")&amp;IF(AND(ISNUMBER($Q421),$Q421&lt;0)," · UTILIDAD NEGATIVA","")&amp;IF(AND($F421&lt;&gt;"",ISNUMBER(INDEX(tblInventario[Stock actual],MATCH($F421,tblInventario[SKU],0))),INDEX(tblInventario[Stock actual],MATCH($F421,tblInventario[SKU],0))&lt;0)," · Stock negativo del SKU","")&amp;IF(AND($T421="Cobrado",$U421="")," · Cobro sin fecha","")&amp;IF(AND(ISNUMBER($V421),ISNUMBER($N421),$V421&gt;N($N421)+0.01)," · Cobrado &gt; venta neta","")&amp;IF(AND(ISNUMBER($V421),$V421&gt;0,$U421="")," · Monto cobrado sin fecha",""),4,900)))</f>
        <v/>
      </c>
    </row>
    <row r="422">
      <c r="A422" s="51">
        <f>IF(COUNTA($B422,$C422,$D422,$E422,$F422,$I422)=0,"","V-"&amp;TEXT(ROW()-6,"0000"))</f>
        <v/>
      </c>
      <c r="B422" s="41" t="n"/>
      <c r="C422" s="33" t="n"/>
      <c r="D422" s="33" t="n"/>
      <c r="E422" s="33" t="n"/>
      <c r="F422" s="33" t="n"/>
      <c r="G422" s="51">
        <f>IF($F422="","",IFERROR(IF(INDEX(tblProductos[Nombre del producto],MATCH($F422,tblProductos[SKU],0))="","",INDEX(tblProductos[Nombre del producto],MATCH($F422,tblProductos[SKU],0))),""))</f>
        <v/>
      </c>
      <c r="H422" s="51">
        <f>IF($F422="","",IFERROR(IF(INDEX(tblProductos[Categoría],MATCH($F422,tblProductos[SKU],0))="","",INDEX(tblProductos[Categoría],MATCH($F422,tblProductos[SKU],0))),""))</f>
        <v/>
      </c>
      <c r="I422" s="34" t="n"/>
      <c r="J422" s="39">
        <f>IF(OR($B422="",$F422="",$I422=""),"",IF($T422="Anulado",0,$I422))</f>
        <v/>
      </c>
      <c r="K422" s="54">
        <f>IF($F422="","",IFERROR(IF(INDEX(tblProductos[Precio de venta actual],MATCH($F422,tblProductos[SKU],0))="","",INDEX(tblProductos[Precio de venta actual],MATCH($F422,tblProductos[SKU],0))),""))</f>
        <v/>
      </c>
      <c r="L422" s="36" t="n"/>
      <c r="M422" s="37">
        <f>IF($J422="","",IF(NOT(ISNUMBER($K422)),"PRECIO PENDIENTE",$J422*$K422))</f>
        <v/>
      </c>
      <c r="N422" s="37">
        <f>IF($J422="","",IF(NOT(ISNUMBER($M422)),"PRECIO PENDIENTE",$M422-IF(ISNUMBER($L422),$L422,0)))</f>
        <v/>
      </c>
      <c r="O422" s="54">
        <f>IF($F422="","",IFERROR(INDEX(tblInventario[Costo unitario aplicado],MATCH($F422,tblInventario[SKU],0)),""))</f>
        <v/>
      </c>
      <c r="P422" s="37">
        <f>IF($J422="","",IF(NOT(ISNUMBER($O422)),"COSTO PENDIENTE",$J422*$O422))</f>
        <v/>
      </c>
      <c r="Q422" s="37">
        <f>IF($J422="","",IF(OR(NOT(ISNUMBER($N422)),NOT(ISNUMBER($P422))),"PENDIENTE",$N422-$P422))</f>
        <v/>
      </c>
      <c r="R422" s="38">
        <f>IF($J422="","",IF(OR(NOT(ISNUMBER($Q422)),NOT(ISNUMBER($N422)),$N422&lt;=0),"PENDIENTE",$Q422/$N422))</f>
        <v/>
      </c>
      <c r="S422" s="33" t="n"/>
      <c r="T422" s="33" t="n"/>
      <c r="U422" s="41" t="n"/>
      <c r="V422" s="36" t="n"/>
      <c r="W422" s="37">
        <f>IF(NOT(ISNUMBER($N422)),"",$N422-IF(ISNUMBER($V422),$V422,0))</f>
        <v/>
      </c>
      <c r="X422" s="33" t="n"/>
      <c r="Y422" s="51">
        <f>IF(COUNTA($B422,$C422,$D422,$E422,$F422,$I422)=0,"",IF(IF($B422=""," · Falta fecha","")&amp;IF($D422=""," · Falta cliente","")&amp;IF($E422=""," · Falta canal","")&amp;IF($F422=""," · Falta SKU","")&amp;IF(AND($F422&lt;&gt;"",COUNTIF(tblProductos[SKU],$F422)=0)," · SKU no existe","")&amp;IF(OR($I422="",NOT(ISNUMBER($I422)),$I422&lt;=0)," · Cantidad inválida","")&amp;IF($M422="PRECIO PENDIENTE"," · Falta precio de venta","")&amp;IF($P422="COSTO PENDIENTE"," · Falta costo del producto","")&amp;IF(AND(ISNUMBER($Q422),$Q422&lt;0)," · UTILIDAD NEGATIVA","")&amp;IF(AND($F422&lt;&gt;"",ISNUMBER(INDEX(tblInventario[Stock actual],MATCH($F422,tblInventario[SKU],0))),INDEX(tblInventario[Stock actual],MATCH($F422,tblInventario[SKU],0))&lt;0)," · Stock negativo del SKU","")&amp;IF(AND($T422="Cobrado",$U422="")," · Cobro sin fecha","")&amp;IF(AND(ISNUMBER($V422),ISNUMBER($N422),$V422&gt;N($N422)+0.01)," · Cobrado &gt; venta neta","")&amp;IF(AND(ISNUMBER($V422),$V422&gt;0,$U422="")," · Monto cobrado sin fecha","")="","OK",MID(IF($B422=""," · Falta fecha","")&amp;IF($D422=""," · Falta cliente","")&amp;IF($E422=""," · Falta canal","")&amp;IF($F422=""," · Falta SKU","")&amp;IF(AND($F422&lt;&gt;"",COUNTIF(tblProductos[SKU],$F422)=0)," · SKU no existe","")&amp;IF(OR($I422="",NOT(ISNUMBER($I422)),$I422&lt;=0)," · Cantidad inválida","")&amp;IF($M422="PRECIO PENDIENTE"," · Falta precio de venta","")&amp;IF($P422="COSTO PENDIENTE"," · Falta costo del producto","")&amp;IF(AND(ISNUMBER($Q422),$Q422&lt;0)," · UTILIDAD NEGATIVA","")&amp;IF(AND($F422&lt;&gt;"",ISNUMBER(INDEX(tblInventario[Stock actual],MATCH($F422,tblInventario[SKU],0))),INDEX(tblInventario[Stock actual],MATCH($F422,tblInventario[SKU],0))&lt;0)," · Stock negativo del SKU","")&amp;IF(AND($T422="Cobrado",$U422="")," · Cobro sin fecha","")&amp;IF(AND(ISNUMBER($V422),ISNUMBER($N422),$V422&gt;N($N422)+0.01)," · Cobrado &gt; venta neta","")&amp;IF(AND(ISNUMBER($V422),$V422&gt;0,$U422="")," · Monto cobrado sin fecha",""),4,900)))</f>
        <v/>
      </c>
    </row>
    <row r="423">
      <c r="A423" s="51">
        <f>IF(COUNTA($B423,$C423,$D423,$E423,$F423,$I423)=0,"","V-"&amp;TEXT(ROW()-6,"0000"))</f>
        <v/>
      </c>
      <c r="B423" s="41" t="n"/>
      <c r="C423" s="33" t="n"/>
      <c r="D423" s="33" t="n"/>
      <c r="E423" s="33" t="n"/>
      <c r="F423" s="33" t="n"/>
      <c r="G423" s="51">
        <f>IF($F423="","",IFERROR(IF(INDEX(tblProductos[Nombre del producto],MATCH($F423,tblProductos[SKU],0))="","",INDEX(tblProductos[Nombre del producto],MATCH($F423,tblProductos[SKU],0))),""))</f>
        <v/>
      </c>
      <c r="H423" s="51">
        <f>IF($F423="","",IFERROR(IF(INDEX(tblProductos[Categoría],MATCH($F423,tblProductos[SKU],0))="","",INDEX(tblProductos[Categoría],MATCH($F423,tblProductos[SKU],0))),""))</f>
        <v/>
      </c>
      <c r="I423" s="34" t="n"/>
      <c r="J423" s="39">
        <f>IF(OR($B423="",$F423="",$I423=""),"",IF($T423="Anulado",0,$I423))</f>
        <v/>
      </c>
      <c r="K423" s="54">
        <f>IF($F423="","",IFERROR(IF(INDEX(tblProductos[Precio de venta actual],MATCH($F423,tblProductos[SKU],0))="","",INDEX(tblProductos[Precio de venta actual],MATCH($F423,tblProductos[SKU],0))),""))</f>
        <v/>
      </c>
      <c r="L423" s="36" t="n"/>
      <c r="M423" s="37">
        <f>IF($J423="","",IF(NOT(ISNUMBER($K423)),"PRECIO PENDIENTE",$J423*$K423))</f>
        <v/>
      </c>
      <c r="N423" s="37">
        <f>IF($J423="","",IF(NOT(ISNUMBER($M423)),"PRECIO PENDIENTE",$M423-IF(ISNUMBER($L423),$L423,0)))</f>
        <v/>
      </c>
      <c r="O423" s="54">
        <f>IF($F423="","",IFERROR(INDEX(tblInventario[Costo unitario aplicado],MATCH($F423,tblInventario[SKU],0)),""))</f>
        <v/>
      </c>
      <c r="P423" s="37">
        <f>IF($J423="","",IF(NOT(ISNUMBER($O423)),"COSTO PENDIENTE",$J423*$O423))</f>
        <v/>
      </c>
      <c r="Q423" s="37">
        <f>IF($J423="","",IF(OR(NOT(ISNUMBER($N423)),NOT(ISNUMBER($P423))),"PENDIENTE",$N423-$P423))</f>
        <v/>
      </c>
      <c r="R423" s="38">
        <f>IF($J423="","",IF(OR(NOT(ISNUMBER($Q423)),NOT(ISNUMBER($N423)),$N423&lt;=0),"PENDIENTE",$Q423/$N423))</f>
        <v/>
      </c>
      <c r="S423" s="33" t="n"/>
      <c r="T423" s="33" t="n"/>
      <c r="U423" s="41" t="n"/>
      <c r="V423" s="36" t="n"/>
      <c r="W423" s="37">
        <f>IF(NOT(ISNUMBER($N423)),"",$N423-IF(ISNUMBER($V423),$V423,0))</f>
        <v/>
      </c>
      <c r="X423" s="33" t="n"/>
      <c r="Y423" s="51">
        <f>IF(COUNTA($B423,$C423,$D423,$E423,$F423,$I423)=0,"",IF(IF($B423=""," · Falta fecha","")&amp;IF($D423=""," · Falta cliente","")&amp;IF($E423=""," · Falta canal","")&amp;IF($F423=""," · Falta SKU","")&amp;IF(AND($F423&lt;&gt;"",COUNTIF(tblProductos[SKU],$F423)=0)," · SKU no existe","")&amp;IF(OR($I423="",NOT(ISNUMBER($I423)),$I423&lt;=0)," · Cantidad inválida","")&amp;IF($M423="PRECIO PENDIENTE"," · Falta precio de venta","")&amp;IF($P423="COSTO PENDIENTE"," · Falta costo del producto","")&amp;IF(AND(ISNUMBER($Q423),$Q423&lt;0)," · UTILIDAD NEGATIVA","")&amp;IF(AND($F423&lt;&gt;"",ISNUMBER(INDEX(tblInventario[Stock actual],MATCH($F423,tblInventario[SKU],0))),INDEX(tblInventario[Stock actual],MATCH($F423,tblInventario[SKU],0))&lt;0)," · Stock negativo del SKU","")&amp;IF(AND($T423="Cobrado",$U423="")," · Cobro sin fecha","")&amp;IF(AND(ISNUMBER($V423),ISNUMBER($N423),$V423&gt;N($N423)+0.01)," · Cobrado &gt; venta neta","")&amp;IF(AND(ISNUMBER($V423),$V423&gt;0,$U423="")," · Monto cobrado sin fecha","")="","OK",MID(IF($B423=""," · Falta fecha","")&amp;IF($D423=""," · Falta cliente","")&amp;IF($E423=""," · Falta canal","")&amp;IF($F423=""," · Falta SKU","")&amp;IF(AND($F423&lt;&gt;"",COUNTIF(tblProductos[SKU],$F423)=0)," · SKU no existe","")&amp;IF(OR($I423="",NOT(ISNUMBER($I423)),$I423&lt;=0)," · Cantidad inválida","")&amp;IF($M423="PRECIO PENDIENTE"," · Falta precio de venta","")&amp;IF($P423="COSTO PENDIENTE"," · Falta costo del producto","")&amp;IF(AND(ISNUMBER($Q423),$Q423&lt;0)," · UTILIDAD NEGATIVA","")&amp;IF(AND($F423&lt;&gt;"",ISNUMBER(INDEX(tblInventario[Stock actual],MATCH($F423,tblInventario[SKU],0))),INDEX(tblInventario[Stock actual],MATCH($F423,tblInventario[SKU],0))&lt;0)," · Stock negativo del SKU","")&amp;IF(AND($T423="Cobrado",$U423="")," · Cobro sin fecha","")&amp;IF(AND(ISNUMBER($V423),ISNUMBER($N423),$V423&gt;N($N423)+0.01)," · Cobrado &gt; venta neta","")&amp;IF(AND(ISNUMBER($V423),$V423&gt;0,$U423="")," · Monto cobrado sin fecha",""),4,900)))</f>
        <v/>
      </c>
    </row>
    <row r="424">
      <c r="A424" s="51">
        <f>IF(COUNTA($B424,$C424,$D424,$E424,$F424,$I424)=0,"","V-"&amp;TEXT(ROW()-6,"0000"))</f>
        <v/>
      </c>
      <c r="B424" s="41" t="n"/>
      <c r="C424" s="33" t="n"/>
      <c r="D424" s="33" t="n"/>
      <c r="E424" s="33" t="n"/>
      <c r="F424" s="33" t="n"/>
      <c r="G424" s="51">
        <f>IF($F424="","",IFERROR(IF(INDEX(tblProductos[Nombre del producto],MATCH($F424,tblProductos[SKU],0))="","",INDEX(tblProductos[Nombre del producto],MATCH($F424,tblProductos[SKU],0))),""))</f>
        <v/>
      </c>
      <c r="H424" s="51">
        <f>IF($F424="","",IFERROR(IF(INDEX(tblProductos[Categoría],MATCH($F424,tblProductos[SKU],0))="","",INDEX(tblProductos[Categoría],MATCH($F424,tblProductos[SKU],0))),""))</f>
        <v/>
      </c>
      <c r="I424" s="34" t="n"/>
      <c r="J424" s="39">
        <f>IF(OR($B424="",$F424="",$I424=""),"",IF($T424="Anulado",0,$I424))</f>
        <v/>
      </c>
      <c r="K424" s="54">
        <f>IF($F424="","",IFERROR(IF(INDEX(tblProductos[Precio de venta actual],MATCH($F424,tblProductos[SKU],0))="","",INDEX(tblProductos[Precio de venta actual],MATCH($F424,tblProductos[SKU],0))),""))</f>
        <v/>
      </c>
      <c r="L424" s="36" t="n"/>
      <c r="M424" s="37">
        <f>IF($J424="","",IF(NOT(ISNUMBER($K424)),"PRECIO PENDIENTE",$J424*$K424))</f>
        <v/>
      </c>
      <c r="N424" s="37">
        <f>IF($J424="","",IF(NOT(ISNUMBER($M424)),"PRECIO PENDIENTE",$M424-IF(ISNUMBER($L424),$L424,0)))</f>
        <v/>
      </c>
      <c r="O424" s="54">
        <f>IF($F424="","",IFERROR(INDEX(tblInventario[Costo unitario aplicado],MATCH($F424,tblInventario[SKU],0)),""))</f>
        <v/>
      </c>
      <c r="P424" s="37">
        <f>IF($J424="","",IF(NOT(ISNUMBER($O424)),"COSTO PENDIENTE",$J424*$O424))</f>
        <v/>
      </c>
      <c r="Q424" s="37">
        <f>IF($J424="","",IF(OR(NOT(ISNUMBER($N424)),NOT(ISNUMBER($P424))),"PENDIENTE",$N424-$P424))</f>
        <v/>
      </c>
      <c r="R424" s="38">
        <f>IF($J424="","",IF(OR(NOT(ISNUMBER($Q424)),NOT(ISNUMBER($N424)),$N424&lt;=0),"PENDIENTE",$Q424/$N424))</f>
        <v/>
      </c>
      <c r="S424" s="33" t="n"/>
      <c r="T424" s="33" t="n"/>
      <c r="U424" s="41" t="n"/>
      <c r="V424" s="36" t="n"/>
      <c r="W424" s="37">
        <f>IF(NOT(ISNUMBER($N424)),"",$N424-IF(ISNUMBER($V424),$V424,0))</f>
        <v/>
      </c>
      <c r="X424" s="33" t="n"/>
      <c r="Y424" s="51">
        <f>IF(COUNTA($B424,$C424,$D424,$E424,$F424,$I424)=0,"",IF(IF($B424=""," · Falta fecha","")&amp;IF($D424=""," · Falta cliente","")&amp;IF($E424=""," · Falta canal","")&amp;IF($F424=""," · Falta SKU","")&amp;IF(AND($F424&lt;&gt;"",COUNTIF(tblProductos[SKU],$F424)=0)," · SKU no existe","")&amp;IF(OR($I424="",NOT(ISNUMBER($I424)),$I424&lt;=0)," · Cantidad inválida","")&amp;IF($M424="PRECIO PENDIENTE"," · Falta precio de venta","")&amp;IF($P424="COSTO PENDIENTE"," · Falta costo del producto","")&amp;IF(AND(ISNUMBER($Q424),$Q424&lt;0)," · UTILIDAD NEGATIVA","")&amp;IF(AND($F424&lt;&gt;"",ISNUMBER(INDEX(tblInventario[Stock actual],MATCH($F424,tblInventario[SKU],0))),INDEX(tblInventario[Stock actual],MATCH($F424,tblInventario[SKU],0))&lt;0)," · Stock negativo del SKU","")&amp;IF(AND($T424="Cobrado",$U424="")," · Cobro sin fecha","")&amp;IF(AND(ISNUMBER($V424),ISNUMBER($N424),$V424&gt;N($N424)+0.01)," · Cobrado &gt; venta neta","")&amp;IF(AND(ISNUMBER($V424),$V424&gt;0,$U424="")," · Monto cobrado sin fecha","")="","OK",MID(IF($B424=""," · Falta fecha","")&amp;IF($D424=""," · Falta cliente","")&amp;IF($E424=""," · Falta canal","")&amp;IF($F424=""," · Falta SKU","")&amp;IF(AND($F424&lt;&gt;"",COUNTIF(tblProductos[SKU],$F424)=0)," · SKU no existe","")&amp;IF(OR($I424="",NOT(ISNUMBER($I424)),$I424&lt;=0)," · Cantidad inválida","")&amp;IF($M424="PRECIO PENDIENTE"," · Falta precio de venta","")&amp;IF($P424="COSTO PENDIENTE"," · Falta costo del producto","")&amp;IF(AND(ISNUMBER($Q424),$Q424&lt;0)," · UTILIDAD NEGATIVA","")&amp;IF(AND($F424&lt;&gt;"",ISNUMBER(INDEX(tblInventario[Stock actual],MATCH($F424,tblInventario[SKU],0))),INDEX(tblInventario[Stock actual],MATCH($F424,tblInventario[SKU],0))&lt;0)," · Stock negativo del SKU","")&amp;IF(AND($T424="Cobrado",$U424="")," · Cobro sin fecha","")&amp;IF(AND(ISNUMBER($V424),ISNUMBER($N424),$V424&gt;N($N424)+0.01)," · Cobrado &gt; venta neta","")&amp;IF(AND(ISNUMBER($V424),$V424&gt;0,$U424="")," · Monto cobrado sin fecha",""),4,900)))</f>
        <v/>
      </c>
    </row>
    <row r="425">
      <c r="A425" s="51">
        <f>IF(COUNTA($B425,$C425,$D425,$E425,$F425,$I425)=0,"","V-"&amp;TEXT(ROW()-6,"0000"))</f>
        <v/>
      </c>
      <c r="B425" s="41" t="n"/>
      <c r="C425" s="33" t="n"/>
      <c r="D425" s="33" t="n"/>
      <c r="E425" s="33" t="n"/>
      <c r="F425" s="33" t="n"/>
      <c r="G425" s="51">
        <f>IF($F425="","",IFERROR(IF(INDEX(tblProductos[Nombre del producto],MATCH($F425,tblProductos[SKU],0))="","",INDEX(tblProductos[Nombre del producto],MATCH($F425,tblProductos[SKU],0))),""))</f>
        <v/>
      </c>
      <c r="H425" s="51">
        <f>IF($F425="","",IFERROR(IF(INDEX(tblProductos[Categoría],MATCH($F425,tblProductos[SKU],0))="","",INDEX(tblProductos[Categoría],MATCH($F425,tblProductos[SKU],0))),""))</f>
        <v/>
      </c>
      <c r="I425" s="34" t="n"/>
      <c r="J425" s="39">
        <f>IF(OR($B425="",$F425="",$I425=""),"",IF($T425="Anulado",0,$I425))</f>
        <v/>
      </c>
      <c r="K425" s="54">
        <f>IF($F425="","",IFERROR(IF(INDEX(tblProductos[Precio de venta actual],MATCH($F425,tblProductos[SKU],0))="","",INDEX(tblProductos[Precio de venta actual],MATCH($F425,tblProductos[SKU],0))),""))</f>
        <v/>
      </c>
      <c r="L425" s="36" t="n"/>
      <c r="M425" s="37">
        <f>IF($J425="","",IF(NOT(ISNUMBER($K425)),"PRECIO PENDIENTE",$J425*$K425))</f>
        <v/>
      </c>
      <c r="N425" s="37">
        <f>IF($J425="","",IF(NOT(ISNUMBER($M425)),"PRECIO PENDIENTE",$M425-IF(ISNUMBER($L425),$L425,0)))</f>
        <v/>
      </c>
      <c r="O425" s="54">
        <f>IF($F425="","",IFERROR(INDEX(tblInventario[Costo unitario aplicado],MATCH($F425,tblInventario[SKU],0)),""))</f>
        <v/>
      </c>
      <c r="P425" s="37">
        <f>IF($J425="","",IF(NOT(ISNUMBER($O425)),"COSTO PENDIENTE",$J425*$O425))</f>
        <v/>
      </c>
      <c r="Q425" s="37">
        <f>IF($J425="","",IF(OR(NOT(ISNUMBER($N425)),NOT(ISNUMBER($P425))),"PENDIENTE",$N425-$P425))</f>
        <v/>
      </c>
      <c r="R425" s="38">
        <f>IF($J425="","",IF(OR(NOT(ISNUMBER($Q425)),NOT(ISNUMBER($N425)),$N425&lt;=0),"PENDIENTE",$Q425/$N425))</f>
        <v/>
      </c>
      <c r="S425" s="33" t="n"/>
      <c r="T425" s="33" t="n"/>
      <c r="U425" s="41" t="n"/>
      <c r="V425" s="36" t="n"/>
      <c r="W425" s="37">
        <f>IF(NOT(ISNUMBER($N425)),"",$N425-IF(ISNUMBER($V425),$V425,0))</f>
        <v/>
      </c>
      <c r="X425" s="33" t="n"/>
      <c r="Y425" s="51">
        <f>IF(COUNTA($B425,$C425,$D425,$E425,$F425,$I425)=0,"",IF(IF($B425=""," · Falta fecha","")&amp;IF($D425=""," · Falta cliente","")&amp;IF($E425=""," · Falta canal","")&amp;IF($F425=""," · Falta SKU","")&amp;IF(AND($F425&lt;&gt;"",COUNTIF(tblProductos[SKU],$F425)=0)," · SKU no existe","")&amp;IF(OR($I425="",NOT(ISNUMBER($I425)),$I425&lt;=0)," · Cantidad inválida","")&amp;IF($M425="PRECIO PENDIENTE"," · Falta precio de venta","")&amp;IF($P425="COSTO PENDIENTE"," · Falta costo del producto","")&amp;IF(AND(ISNUMBER($Q425),$Q425&lt;0)," · UTILIDAD NEGATIVA","")&amp;IF(AND($F425&lt;&gt;"",ISNUMBER(INDEX(tblInventario[Stock actual],MATCH($F425,tblInventario[SKU],0))),INDEX(tblInventario[Stock actual],MATCH($F425,tblInventario[SKU],0))&lt;0)," · Stock negativo del SKU","")&amp;IF(AND($T425="Cobrado",$U425="")," · Cobro sin fecha","")&amp;IF(AND(ISNUMBER($V425),ISNUMBER($N425),$V425&gt;N($N425)+0.01)," · Cobrado &gt; venta neta","")&amp;IF(AND(ISNUMBER($V425),$V425&gt;0,$U425="")," · Monto cobrado sin fecha","")="","OK",MID(IF($B425=""," · Falta fecha","")&amp;IF($D425=""," · Falta cliente","")&amp;IF($E425=""," · Falta canal","")&amp;IF($F425=""," · Falta SKU","")&amp;IF(AND($F425&lt;&gt;"",COUNTIF(tblProductos[SKU],$F425)=0)," · SKU no existe","")&amp;IF(OR($I425="",NOT(ISNUMBER($I425)),$I425&lt;=0)," · Cantidad inválida","")&amp;IF($M425="PRECIO PENDIENTE"," · Falta precio de venta","")&amp;IF($P425="COSTO PENDIENTE"," · Falta costo del producto","")&amp;IF(AND(ISNUMBER($Q425),$Q425&lt;0)," · UTILIDAD NEGATIVA","")&amp;IF(AND($F425&lt;&gt;"",ISNUMBER(INDEX(tblInventario[Stock actual],MATCH($F425,tblInventario[SKU],0))),INDEX(tblInventario[Stock actual],MATCH($F425,tblInventario[SKU],0))&lt;0)," · Stock negativo del SKU","")&amp;IF(AND($T425="Cobrado",$U425="")," · Cobro sin fecha","")&amp;IF(AND(ISNUMBER($V425),ISNUMBER($N425),$V425&gt;N($N425)+0.01)," · Cobrado &gt; venta neta","")&amp;IF(AND(ISNUMBER($V425),$V425&gt;0,$U425="")," · Monto cobrado sin fecha",""),4,900)))</f>
        <v/>
      </c>
    </row>
    <row r="426">
      <c r="A426" s="51">
        <f>IF(COUNTA($B426,$C426,$D426,$E426,$F426,$I426)=0,"","V-"&amp;TEXT(ROW()-6,"0000"))</f>
        <v/>
      </c>
      <c r="B426" s="41" t="n"/>
      <c r="C426" s="33" t="n"/>
      <c r="D426" s="33" t="n"/>
      <c r="E426" s="33" t="n"/>
      <c r="F426" s="33" t="n"/>
      <c r="G426" s="51">
        <f>IF($F426="","",IFERROR(IF(INDEX(tblProductos[Nombre del producto],MATCH($F426,tblProductos[SKU],0))="","",INDEX(tblProductos[Nombre del producto],MATCH($F426,tblProductos[SKU],0))),""))</f>
        <v/>
      </c>
      <c r="H426" s="51">
        <f>IF($F426="","",IFERROR(IF(INDEX(tblProductos[Categoría],MATCH($F426,tblProductos[SKU],0))="","",INDEX(tblProductos[Categoría],MATCH($F426,tblProductos[SKU],0))),""))</f>
        <v/>
      </c>
      <c r="I426" s="34" t="n"/>
      <c r="J426" s="39">
        <f>IF(OR($B426="",$F426="",$I426=""),"",IF($T426="Anulado",0,$I426))</f>
        <v/>
      </c>
      <c r="K426" s="54">
        <f>IF($F426="","",IFERROR(IF(INDEX(tblProductos[Precio de venta actual],MATCH($F426,tblProductos[SKU],0))="","",INDEX(tblProductos[Precio de venta actual],MATCH($F426,tblProductos[SKU],0))),""))</f>
        <v/>
      </c>
      <c r="L426" s="36" t="n"/>
      <c r="M426" s="37">
        <f>IF($J426="","",IF(NOT(ISNUMBER($K426)),"PRECIO PENDIENTE",$J426*$K426))</f>
        <v/>
      </c>
      <c r="N426" s="37">
        <f>IF($J426="","",IF(NOT(ISNUMBER($M426)),"PRECIO PENDIENTE",$M426-IF(ISNUMBER($L426),$L426,0)))</f>
        <v/>
      </c>
      <c r="O426" s="54">
        <f>IF($F426="","",IFERROR(INDEX(tblInventario[Costo unitario aplicado],MATCH($F426,tblInventario[SKU],0)),""))</f>
        <v/>
      </c>
      <c r="P426" s="37">
        <f>IF($J426="","",IF(NOT(ISNUMBER($O426)),"COSTO PENDIENTE",$J426*$O426))</f>
        <v/>
      </c>
      <c r="Q426" s="37">
        <f>IF($J426="","",IF(OR(NOT(ISNUMBER($N426)),NOT(ISNUMBER($P426))),"PENDIENTE",$N426-$P426))</f>
        <v/>
      </c>
      <c r="R426" s="38">
        <f>IF($J426="","",IF(OR(NOT(ISNUMBER($Q426)),NOT(ISNUMBER($N426)),$N426&lt;=0),"PENDIENTE",$Q426/$N426))</f>
        <v/>
      </c>
      <c r="S426" s="33" t="n"/>
      <c r="T426" s="33" t="n"/>
      <c r="U426" s="41" t="n"/>
      <c r="V426" s="36" t="n"/>
      <c r="W426" s="37">
        <f>IF(NOT(ISNUMBER($N426)),"",$N426-IF(ISNUMBER($V426),$V426,0))</f>
        <v/>
      </c>
      <c r="X426" s="33" t="n"/>
      <c r="Y426" s="51">
        <f>IF(COUNTA($B426,$C426,$D426,$E426,$F426,$I426)=0,"",IF(IF($B426=""," · Falta fecha","")&amp;IF($D426=""," · Falta cliente","")&amp;IF($E426=""," · Falta canal","")&amp;IF($F426=""," · Falta SKU","")&amp;IF(AND($F426&lt;&gt;"",COUNTIF(tblProductos[SKU],$F426)=0)," · SKU no existe","")&amp;IF(OR($I426="",NOT(ISNUMBER($I426)),$I426&lt;=0)," · Cantidad inválida","")&amp;IF($M426="PRECIO PENDIENTE"," · Falta precio de venta","")&amp;IF($P426="COSTO PENDIENTE"," · Falta costo del producto","")&amp;IF(AND(ISNUMBER($Q426),$Q426&lt;0)," · UTILIDAD NEGATIVA","")&amp;IF(AND($F426&lt;&gt;"",ISNUMBER(INDEX(tblInventario[Stock actual],MATCH($F426,tblInventario[SKU],0))),INDEX(tblInventario[Stock actual],MATCH($F426,tblInventario[SKU],0))&lt;0)," · Stock negativo del SKU","")&amp;IF(AND($T426="Cobrado",$U426="")," · Cobro sin fecha","")&amp;IF(AND(ISNUMBER($V426),ISNUMBER($N426),$V426&gt;N($N426)+0.01)," · Cobrado &gt; venta neta","")&amp;IF(AND(ISNUMBER($V426),$V426&gt;0,$U426="")," · Monto cobrado sin fecha","")="","OK",MID(IF($B426=""," · Falta fecha","")&amp;IF($D426=""," · Falta cliente","")&amp;IF($E426=""," · Falta canal","")&amp;IF($F426=""," · Falta SKU","")&amp;IF(AND($F426&lt;&gt;"",COUNTIF(tblProductos[SKU],$F426)=0)," · SKU no existe","")&amp;IF(OR($I426="",NOT(ISNUMBER($I426)),$I426&lt;=0)," · Cantidad inválida","")&amp;IF($M426="PRECIO PENDIENTE"," · Falta precio de venta","")&amp;IF($P426="COSTO PENDIENTE"," · Falta costo del producto","")&amp;IF(AND(ISNUMBER($Q426),$Q426&lt;0)," · UTILIDAD NEGATIVA","")&amp;IF(AND($F426&lt;&gt;"",ISNUMBER(INDEX(tblInventario[Stock actual],MATCH($F426,tblInventario[SKU],0))),INDEX(tblInventario[Stock actual],MATCH($F426,tblInventario[SKU],0))&lt;0)," · Stock negativo del SKU","")&amp;IF(AND($T426="Cobrado",$U426="")," · Cobro sin fecha","")&amp;IF(AND(ISNUMBER($V426),ISNUMBER($N426),$V426&gt;N($N426)+0.01)," · Cobrado &gt; venta neta","")&amp;IF(AND(ISNUMBER($V426),$V426&gt;0,$U426="")," · Monto cobrado sin fecha",""),4,900)))</f>
        <v/>
      </c>
    </row>
    <row r="427">
      <c r="A427" s="51">
        <f>IF(COUNTA($B427,$C427,$D427,$E427,$F427,$I427)=0,"","V-"&amp;TEXT(ROW()-6,"0000"))</f>
        <v/>
      </c>
      <c r="B427" s="41" t="n"/>
      <c r="C427" s="33" t="n"/>
      <c r="D427" s="33" t="n"/>
      <c r="E427" s="33" t="n"/>
      <c r="F427" s="33" t="n"/>
      <c r="G427" s="51">
        <f>IF($F427="","",IFERROR(IF(INDEX(tblProductos[Nombre del producto],MATCH($F427,tblProductos[SKU],0))="","",INDEX(tblProductos[Nombre del producto],MATCH($F427,tblProductos[SKU],0))),""))</f>
        <v/>
      </c>
      <c r="H427" s="51">
        <f>IF($F427="","",IFERROR(IF(INDEX(tblProductos[Categoría],MATCH($F427,tblProductos[SKU],0))="","",INDEX(tblProductos[Categoría],MATCH($F427,tblProductos[SKU],0))),""))</f>
        <v/>
      </c>
      <c r="I427" s="34" t="n"/>
      <c r="J427" s="39">
        <f>IF(OR($B427="",$F427="",$I427=""),"",IF($T427="Anulado",0,$I427))</f>
        <v/>
      </c>
      <c r="K427" s="54">
        <f>IF($F427="","",IFERROR(IF(INDEX(tblProductos[Precio de venta actual],MATCH($F427,tblProductos[SKU],0))="","",INDEX(tblProductos[Precio de venta actual],MATCH($F427,tblProductos[SKU],0))),""))</f>
        <v/>
      </c>
      <c r="L427" s="36" t="n"/>
      <c r="M427" s="37">
        <f>IF($J427="","",IF(NOT(ISNUMBER($K427)),"PRECIO PENDIENTE",$J427*$K427))</f>
        <v/>
      </c>
      <c r="N427" s="37">
        <f>IF($J427="","",IF(NOT(ISNUMBER($M427)),"PRECIO PENDIENTE",$M427-IF(ISNUMBER($L427),$L427,0)))</f>
        <v/>
      </c>
      <c r="O427" s="54">
        <f>IF($F427="","",IFERROR(INDEX(tblInventario[Costo unitario aplicado],MATCH($F427,tblInventario[SKU],0)),""))</f>
        <v/>
      </c>
      <c r="P427" s="37">
        <f>IF($J427="","",IF(NOT(ISNUMBER($O427)),"COSTO PENDIENTE",$J427*$O427))</f>
        <v/>
      </c>
      <c r="Q427" s="37">
        <f>IF($J427="","",IF(OR(NOT(ISNUMBER($N427)),NOT(ISNUMBER($P427))),"PENDIENTE",$N427-$P427))</f>
        <v/>
      </c>
      <c r="R427" s="38">
        <f>IF($J427="","",IF(OR(NOT(ISNUMBER($Q427)),NOT(ISNUMBER($N427)),$N427&lt;=0),"PENDIENTE",$Q427/$N427))</f>
        <v/>
      </c>
      <c r="S427" s="33" t="n"/>
      <c r="T427" s="33" t="n"/>
      <c r="U427" s="41" t="n"/>
      <c r="V427" s="36" t="n"/>
      <c r="W427" s="37">
        <f>IF(NOT(ISNUMBER($N427)),"",$N427-IF(ISNUMBER($V427),$V427,0))</f>
        <v/>
      </c>
      <c r="X427" s="33" t="n"/>
      <c r="Y427" s="51">
        <f>IF(COUNTA($B427,$C427,$D427,$E427,$F427,$I427)=0,"",IF(IF($B427=""," · Falta fecha","")&amp;IF($D427=""," · Falta cliente","")&amp;IF($E427=""," · Falta canal","")&amp;IF($F427=""," · Falta SKU","")&amp;IF(AND($F427&lt;&gt;"",COUNTIF(tblProductos[SKU],$F427)=0)," · SKU no existe","")&amp;IF(OR($I427="",NOT(ISNUMBER($I427)),$I427&lt;=0)," · Cantidad inválida","")&amp;IF($M427="PRECIO PENDIENTE"," · Falta precio de venta","")&amp;IF($P427="COSTO PENDIENTE"," · Falta costo del producto","")&amp;IF(AND(ISNUMBER($Q427),$Q427&lt;0)," · UTILIDAD NEGATIVA","")&amp;IF(AND($F427&lt;&gt;"",ISNUMBER(INDEX(tblInventario[Stock actual],MATCH($F427,tblInventario[SKU],0))),INDEX(tblInventario[Stock actual],MATCH($F427,tblInventario[SKU],0))&lt;0)," · Stock negativo del SKU","")&amp;IF(AND($T427="Cobrado",$U427="")," · Cobro sin fecha","")&amp;IF(AND(ISNUMBER($V427),ISNUMBER($N427),$V427&gt;N($N427)+0.01)," · Cobrado &gt; venta neta","")&amp;IF(AND(ISNUMBER($V427),$V427&gt;0,$U427="")," · Monto cobrado sin fecha","")="","OK",MID(IF($B427=""," · Falta fecha","")&amp;IF($D427=""," · Falta cliente","")&amp;IF($E427=""," · Falta canal","")&amp;IF($F427=""," · Falta SKU","")&amp;IF(AND($F427&lt;&gt;"",COUNTIF(tblProductos[SKU],$F427)=0)," · SKU no existe","")&amp;IF(OR($I427="",NOT(ISNUMBER($I427)),$I427&lt;=0)," · Cantidad inválida","")&amp;IF($M427="PRECIO PENDIENTE"," · Falta precio de venta","")&amp;IF($P427="COSTO PENDIENTE"," · Falta costo del producto","")&amp;IF(AND(ISNUMBER($Q427),$Q427&lt;0)," · UTILIDAD NEGATIVA","")&amp;IF(AND($F427&lt;&gt;"",ISNUMBER(INDEX(tblInventario[Stock actual],MATCH($F427,tblInventario[SKU],0))),INDEX(tblInventario[Stock actual],MATCH($F427,tblInventario[SKU],0))&lt;0)," · Stock negativo del SKU","")&amp;IF(AND($T427="Cobrado",$U427="")," · Cobro sin fecha","")&amp;IF(AND(ISNUMBER($V427),ISNUMBER($N427),$V427&gt;N($N427)+0.01)," · Cobrado &gt; venta neta","")&amp;IF(AND(ISNUMBER($V427),$V427&gt;0,$U427="")," · Monto cobrado sin fecha",""),4,900)))</f>
        <v/>
      </c>
    </row>
    <row r="428">
      <c r="A428" s="51">
        <f>IF(COUNTA($B428,$C428,$D428,$E428,$F428,$I428)=0,"","V-"&amp;TEXT(ROW()-6,"0000"))</f>
        <v/>
      </c>
      <c r="B428" s="41" t="n"/>
      <c r="C428" s="33" t="n"/>
      <c r="D428" s="33" t="n"/>
      <c r="E428" s="33" t="n"/>
      <c r="F428" s="33" t="n"/>
      <c r="G428" s="51">
        <f>IF($F428="","",IFERROR(IF(INDEX(tblProductos[Nombre del producto],MATCH($F428,tblProductos[SKU],0))="","",INDEX(tblProductos[Nombre del producto],MATCH($F428,tblProductos[SKU],0))),""))</f>
        <v/>
      </c>
      <c r="H428" s="51">
        <f>IF($F428="","",IFERROR(IF(INDEX(tblProductos[Categoría],MATCH($F428,tblProductos[SKU],0))="","",INDEX(tblProductos[Categoría],MATCH($F428,tblProductos[SKU],0))),""))</f>
        <v/>
      </c>
      <c r="I428" s="34" t="n"/>
      <c r="J428" s="39">
        <f>IF(OR($B428="",$F428="",$I428=""),"",IF($T428="Anulado",0,$I428))</f>
        <v/>
      </c>
      <c r="K428" s="54">
        <f>IF($F428="","",IFERROR(IF(INDEX(tblProductos[Precio de venta actual],MATCH($F428,tblProductos[SKU],0))="","",INDEX(tblProductos[Precio de venta actual],MATCH($F428,tblProductos[SKU],0))),""))</f>
        <v/>
      </c>
      <c r="L428" s="36" t="n"/>
      <c r="M428" s="37">
        <f>IF($J428="","",IF(NOT(ISNUMBER($K428)),"PRECIO PENDIENTE",$J428*$K428))</f>
        <v/>
      </c>
      <c r="N428" s="37">
        <f>IF($J428="","",IF(NOT(ISNUMBER($M428)),"PRECIO PENDIENTE",$M428-IF(ISNUMBER($L428),$L428,0)))</f>
        <v/>
      </c>
      <c r="O428" s="54">
        <f>IF($F428="","",IFERROR(INDEX(tblInventario[Costo unitario aplicado],MATCH($F428,tblInventario[SKU],0)),""))</f>
        <v/>
      </c>
      <c r="P428" s="37">
        <f>IF($J428="","",IF(NOT(ISNUMBER($O428)),"COSTO PENDIENTE",$J428*$O428))</f>
        <v/>
      </c>
      <c r="Q428" s="37">
        <f>IF($J428="","",IF(OR(NOT(ISNUMBER($N428)),NOT(ISNUMBER($P428))),"PENDIENTE",$N428-$P428))</f>
        <v/>
      </c>
      <c r="R428" s="38">
        <f>IF($J428="","",IF(OR(NOT(ISNUMBER($Q428)),NOT(ISNUMBER($N428)),$N428&lt;=0),"PENDIENTE",$Q428/$N428))</f>
        <v/>
      </c>
      <c r="S428" s="33" t="n"/>
      <c r="T428" s="33" t="n"/>
      <c r="U428" s="41" t="n"/>
      <c r="V428" s="36" t="n"/>
      <c r="W428" s="37">
        <f>IF(NOT(ISNUMBER($N428)),"",$N428-IF(ISNUMBER($V428),$V428,0))</f>
        <v/>
      </c>
      <c r="X428" s="33" t="n"/>
      <c r="Y428" s="51">
        <f>IF(COUNTA($B428,$C428,$D428,$E428,$F428,$I428)=0,"",IF(IF($B428=""," · Falta fecha","")&amp;IF($D428=""," · Falta cliente","")&amp;IF($E428=""," · Falta canal","")&amp;IF($F428=""," · Falta SKU","")&amp;IF(AND($F428&lt;&gt;"",COUNTIF(tblProductos[SKU],$F428)=0)," · SKU no existe","")&amp;IF(OR($I428="",NOT(ISNUMBER($I428)),$I428&lt;=0)," · Cantidad inválida","")&amp;IF($M428="PRECIO PENDIENTE"," · Falta precio de venta","")&amp;IF($P428="COSTO PENDIENTE"," · Falta costo del producto","")&amp;IF(AND(ISNUMBER($Q428),$Q428&lt;0)," · UTILIDAD NEGATIVA","")&amp;IF(AND($F428&lt;&gt;"",ISNUMBER(INDEX(tblInventario[Stock actual],MATCH($F428,tblInventario[SKU],0))),INDEX(tblInventario[Stock actual],MATCH($F428,tblInventario[SKU],0))&lt;0)," · Stock negativo del SKU","")&amp;IF(AND($T428="Cobrado",$U428="")," · Cobro sin fecha","")&amp;IF(AND(ISNUMBER($V428),ISNUMBER($N428),$V428&gt;N($N428)+0.01)," · Cobrado &gt; venta neta","")&amp;IF(AND(ISNUMBER($V428),$V428&gt;0,$U428="")," · Monto cobrado sin fecha","")="","OK",MID(IF($B428=""," · Falta fecha","")&amp;IF($D428=""," · Falta cliente","")&amp;IF($E428=""," · Falta canal","")&amp;IF($F428=""," · Falta SKU","")&amp;IF(AND($F428&lt;&gt;"",COUNTIF(tblProductos[SKU],$F428)=0)," · SKU no existe","")&amp;IF(OR($I428="",NOT(ISNUMBER($I428)),$I428&lt;=0)," · Cantidad inválida","")&amp;IF($M428="PRECIO PENDIENTE"," · Falta precio de venta","")&amp;IF($P428="COSTO PENDIENTE"," · Falta costo del producto","")&amp;IF(AND(ISNUMBER($Q428),$Q428&lt;0)," · UTILIDAD NEGATIVA","")&amp;IF(AND($F428&lt;&gt;"",ISNUMBER(INDEX(tblInventario[Stock actual],MATCH($F428,tblInventario[SKU],0))),INDEX(tblInventario[Stock actual],MATCH($F428,tblInventario[SKU],0))&lt;0)," · Stock negativo del SKU","")&amp;IF(AND($T428="Cobrado",$U428="")," · Cobro sin fecha","")&amp;IF(AND(ISNUMBER($V428),ISNUMBER($N428),$V428&gt;N($N428)+0.01)," · Cobrado &gt; venta neta","")&amp;IF(AND(ISNUMBER($V428),$V428&gt;0,$U428="")," · Monto cobrado sin fecha",""),4,900)))</f>
        <v/>
      </c>
    </row>
    <row r="429">
      <c r="A429" s="51">
        <f>IF(COUNTA($B429,$C429,$D429,$E429,$F429,$I429)=0,"","V-"&amp;TEXT(ROW()-6,"0000"))</f>
        <v/>
      </c>
      <c r="B429" s="41" t="n"/>
      <c r="C429" s="33" t="n"/>
      <c r="D429" s="33" t="n"/>
      <c r="E429" s="33" t="n"/>
      <c r="F429" s="33" t="n"/>
      <c r="G429" s="51">
        <f>IF($F429="","",IFERROR(IF(INDEX(tblProductos[Nombre del producto],MATCH($F429,tblProductos[SKU],0))="","",INDEX(tblProductos[Nombre del producto],MATCH($F429,tblProductos[SKU],0))),""))</f>
        <v/>
      </c>
      <c r="H429" s="51">
        <f>IF($F429="","",IFERROR(IF(INDEX(tblProductos[Categoría],MATCH($F429,tblProductos[SKU],0))="","",INDEX(tblProductos[Categoría],MATCH($F429,tblProductos[SKU],0))),""))</f>
        <v/>
      </c>
      <c r="I429" s="34" t="n"/>
      <c r="J429" s="39">
        <f>IF(OR($B429="",$F429="",$I429=""),"",IF($T429="Anulado",0,$I429))</f>
        <v/>
      </c>
      <c r="K429" s="54">
        <f>IF($F429="","",IFERROR(IF(INDEX(tblProductos[Precio de venta actual],MATCH($F429,tblProductos[SKU],0))="","",INDEX(tblProductos[Precio de venta actual],MATCH($F429,tblProductos[SKU],0))),""))</f>
        <v/>
      </c>
      <c r="L429" s="36" t="n"/>
      <c r="M429" s="37">
        <f>IF($J429="","",IF(NOT(ISNUMBER($K429)),"PRECIO PENDIENTE",$J429*$K429))</f>
        <v/>
      </c>
      <c r="N429" s="37">
        <f>IF($J429="","",IF(NOT(ISNUMBER($M429)),"PRECIO PENDIENTE",$M429-IF(ISNUMBER($L429),$L429,0)))</f>
        <v/>
      </c>
      <c r="O429" s="54">
        <f>IF($F429="","",IFERROR(INDEX(tblInventario[Costo unitario aplicado],MATCH($F429,tblInventario[SKU],0)),""))</f>
        <v/>
      </c>
      <c r="P429" s="37">
        <f>IF($J429="","",IF(NOT(ISNUMBER($O429)),"COSTO PENDIENTE",$J429*$O429))</f>
        <v/>
      </c>
      <c r="Q429" s="37">
        <f>IF($J429="","",IF(OR(NOT(ISNUMBER($N429)),NOT(ISNUMBER($P429))),"PENDIENTE",$N429-$P429))</f>
        <v/>
      </c>
      <c r="R429" s="38">
        <f>IF($J429="","",IF(OR(NOT(ISNUMBER($Q429)),NOT(ISNUMBER($N429)),$N429&lt;=0),"PENDIENTE",$Q429/$N429))</f>
        <v/>
      </c>
      <c r="S429" s="33" t="n"/>
      <c r="T429" s="33" t="n"/>
      <c r="U429" s="41" t="n"/>
      <c r="V429" s="36" t="n"/>
      <c r="W429" s="37">
        <f>IF(NOT(ISNUMBER($N429)),"",$N429-IF(ISNUMBER($V429),$V429,0))</f>
        <v/>
      </c>
      <c r="X429" s="33" t="n"/>
      <c r="Y429" s="51">
        <f>IF(COUNTA($B429,$C429,$D429,$E429,$F429,$I429)=0,"",IF(IF($B429=""," · Falta fecha","")&amp;IF($D429=""," · Falta cliente","")&amp;IF($E429=""," · Falta canal","")&amp;IF($F429=""," · Falta SKU","")&amp;IF(AND($F429&lt;&gt;"",COUNTIF(tblProductos[SKU],$F429)=0)," · SKU no existe","")&amp;IF(OR($I429="",NOT(ISNUMBER($I429)),$I429&lt;=0)," · Cantidad inválida","")&amp;IF($M429="PRECIO PENDIENTE"," · Falta precio de venta","")&amp;IF($P429="COSTO PENDIENTE"," · Falta costo del producto","")&amp;IF(AND(ISNUMBER($Q429),$Q429&lt;0)," · UTILIDAD NEGATIVA","")&amp;IF(AND($F429&lt;&gt;"",ISNUMBER(INDEX(tblInventario[Stock actual],MATCH($F429,tblInventario[SKU],0))),INDEX(tblInventario[Stock actual],MATCH($F429,tblInventario[SKU],0))&lt;0)," · Stock negativo del SKU","")&amp;IF(AND($T429="Cobrado",$U429="")," · Cobro sin fecha","")&amp;IF(AND(ISNUMBER($V429),ISNUMBER($N429),$V429&gt;N($N429)+0.01)," · Cobrado &gt; venta neta","")&amp;IF(AND(ISNUMBER($V429),$V429&gt;0,$U429="")," · Monto cobrado sin fecha","")="","OK",MID(IF($B429=""," · Falta fecha","")&amp;IF($D429=""," · Falta cliente","")&amp;IF($E429=""," · Falta canal","")&amp;IF($F429=""," · Falta SKU","")&amp;IF(AND($F429&lt;&gt;"",COUNTIF(tblProductos[SKU],$F429)=0)," · SKU no existe","")&amp;IF(OR($I429="",NOT(ISNUMBER($I429)),$I429&lt;=0)," · Cantidad inválida","")&amp;IF($M429="PRECIO PENDIENTE"," · Falta precio de venta","")&amp;IF($P429="COSTO PENDIENTE"," · Falta costo del producto","")&amp;IF(AND(ISNUMBER($Q429),$Q429&lt;0)," · UTILIDAD NEGATIVA","")&amp;IF(AND($F429&lt;&gt;"",ISNUMBER(INDEX(tblInventario[Stock actual],MATCH($F429,tblInventario[SKU],0))),INDEX(tblInventario[Stock actual],MATCH($F429,tblInventario[SKU],0))&lt;0)," · Stock negativo del SKU","")&amp;IF(AND($T429="Cobrado",$U429="")," · Cobro sin fecha","")&amp;IF(AND(ISNUMBER($V429),ISNUMBER($N429),$V429&gt;N($N429)+0.01)," · Cobrado &gt; venta neta","")&amp;IF(AND(ISNUMBER($V429),$V429&gt;0,$U429="")," · Monto cobrado sin fecha",""),4,900)))</f>
        <v/>
      </c>
    </row>
    <row r="430">
      <c r="A430" s="51">
        <f>IF(COUNTA($B430,$C430,$D430,$E430,$F430,$I430)=0,"","V-"&amp;TEXT(ROW()-6,"0000"))</f>
        <v/>
      </c>
      <c r="B430" s="41" t="n"/>
      <c r="C430" s="33" t="n"/>
      <c r="D430" s="33" t="n"/>
      <c r="E430" s="33" t="n"/>
      <c r="F430" s="33" t="n"/>
      <c r="G430" s="51">
        <f>IF($F430="","",IFERROR(IF(INDEX(tblProductos[Nombre del producto],MATCH($F430,tblProductos[SKU],0))="","",INDEX(tblProductos[Nombre del producto],MATCH($F430,tblProductos[SKU],0))),""))</f>
        <v/>
      </c>
      <c r="H430" s="51">
        <f>IF($F430="","",IFERROR(IF(INDEX(tblProductos[Categoría],MATCH($F430,tblProductos[SKU],0))="","",INDEX(tblProductos[Categoría],MATCH($F430,tblProductos[SKU],0))),""))</f>
        <v/>
      </c>
      <c r="I430" s="34" t="n"/>
      <c r="J430" s="39">
        <f>IF(OR($B430="",$F430="",$I430=""),"",IF($T430="Anulado",0,$I430))</f>
        <v/>
      </c>
      <c r="K430" s="54">
        <f>IF($F430="","",IFERROR(IF(INDEX(tblProductos[Precio de venta actual],MATCH($F430,tblProductos[SKU],0))="","",INDEX(tblProductos[Precio de venta actual],MATCH($F430,tblProductos[SKU],0))),""))</f>
        <v/>
      </c>
      <c r="L430" s="36" t="n"/>
      <c r="M430" s="37">
        <f>IF($J430="","",IF(NOT(ISNUMBER($K430)),"PRECIO PENDIENTE",$J430*$K430))</f>
        <v/>
      </c>
      <c r="N430" s="37">
        <f>IF($J430="","",IF(NOT(ISNUMBER($M430)),"PRECIO PENDIENTE",$M430-IF(ISNUMBER($L430),$L430,0)))</f>
        <v/>
      </c>
      <c r="O430" s="54">
        <f>IF($F430="","",IFERROR(INDEX(tblInventario[Costo unitario aplicado],MATCH($F430,tblInventario[SKU],0)),""))</f>
        <v/>
      </c>
      <c r="P430" s="37">
        <f>IF($J430="","",IF(NOT(ISNUMBER($O430)),"COSTO PENDIENTE",$J430*$O430))</f>
        <v/>
      </c>
      <c r="Q430" s="37">
        <f>IF($J430="","",IF(OR(NOT(ISNUMBER($N430)),NOT(ISNUMBER($P430))),"PENDIENTE",$N430-$P430))</f>
        <v/>
      </c>
      <c r="R430" s="38">
        <f>IF($J430="","",IF(OR(NOT(ISNUMBER($Q430)),NOT(ISNUMBER($N430)),$N430&lt;=0),"PENDIENTE",$Q430/$N430))</f>
        <v/>
      </c>
      <c r="S430" s="33" t="n"/>
      <c r="T430" s="33" t="n"/>
      <c r="U430" s="41" t="n"/>
      <c r="V430" s="36" t="n"/>
      <c r="W430" s="37">
        <f>IF(NOT(ISNUMBER($N430)),"",$N430-IF(ISNUMBER($V430),$V430,0))</f>
        <v/>
      </c>
      <c r="X430" s="33" t="n"/>
      <c r="Y430" s="51">
        <f>IF(COUNTA($B430,$C430,$D430,$E430,$F430,$I430)=0,"",IF(IF($B430=""," · Falta fecha","")&amp;IF($D430=""," · Falta cliente","")&amp;IF($E430=""," · Falta canal","")&amp;IF($F430=""," · Falta SKU","")&amp;IF(AND($F430&lt;&gt;"",COUNTIF(tblProductos[SKU],$F430)=0)," · SKU no existe","")&amp;IF(OR($I430="",NOT(ISNUMBER($I430)),$I430&lt;=0)," · Cantidad inválida","")&amp;IF($M430="PRECIO PENDIENTE"," · Falta precio de venta","")&amp;IF($P430="COSTO PENDIENTE"," · Falta costo del producto","")&amp;IF(AND(ISNUMBER($Q430),$Q430&lt;0)," · UTILIDAD NEGATIVA","")&amp;IF(AND($F430&lt;&gt;"",ISNUMBER(INDEX(tblInventario[Stock actual],MATCH($F430,tblInventario[SKU],0))),INDEX(tblInventario[Stock actual],MATCH($F430,tblInventario[SKU],0))&lt;0)," · Stock negativo del SKU","")&amp;IF(AND($T430="Cobrado",$U430="")," · Cobro sin fecha","")&amp;IF(AND(ISNUMBER($V430),ISNUMBER($N430),$V430&gt;N($N430)+0.01)," · Cobrado &gt; venta neta","")&amp;IF(AND(ISNUMBER($V430),$V430&gt;0,$U430="")," · Monto cobrado sin fecha","")="","OK",MID(IF($B430=""," · Falta fecha","")&amp;IF($D430=""," · Falta cliente","")&amp;IF($E430=""," · Falta canal","")&amp;IF($F430=""," · Falta SKU","")&amp;IF(AND($F430&lt;&gt;"",COUNTIF(tblProductos[SKU],$F430)=0)," · SKU no existe","")&amp;IF(OR($I430="",NOT(ISNUMBER($I430)),$I430&lt;=0)," · Cantidad inválida","")&amp;IF($M430="PRECIO PENDIENTE"," · Falta precio de venta","")&amp;IF($P430="COSTO PENDIENTE"," · Falta costo del producto","")&amp;IF(AND(ISNUMBER($Q430),$Q430&lt;0)," · UTILIDAD NEGATIVA","")&amp;IF(AND($F430&lt;&gt;"",ISNUMBER(INDEX(tblInventario[Stock actual],MATCH($F430,tblInventario[SKU],0))),INDEX(tblInventario[Stock actual],MATCH($F430,tblInventario[SKU],0))&lt;0)," · Stock negativo del SKU","")&amp;IF(AND($T430="Cobrado",$U430="")," · Cobro sin fecha","")&amp;IF(AND(ISNUMBER($V430),ISNUMBER($N430),$V430&gt;N($N430)+0.01)," · Cobrado &gt; venta neta","")&amp;IF(AND(ISNUMBER($V430),$V430&gt;0,$U430="")," · Monto cobrado sin fecha",""),4,900)))</f>
        <v/>
      </c>
    </row>
    <row r="431">
      <c r="A431" s="51">
        <f>IF(COUNTA($B431,$C431,$D431,$E431,$F431,$I431)=0,"","V-"&amp;TEXT(ROW()-6,"0000"))</f>
        <v/>
      </c>
      <c r="B431" s="41" t="n"/>
      <c r="C431" s="33" t="n"/>
      <c r="D431" s="33" t="n"/>
      <c r="E431" s="33" t="n"/>
      <c r="F431" s="33" t="n"/>
      <c r="G431" s="51">
        <f>IF($F431="","",IFERROR(IF(INDEX(tblProductos[Nombre del producto],MATCH($F431,tblProductos[SKU],0))="","",INDEX(tblProductos[Nombre del producto],MATCH($F431,tblProductos[SKU],0))),""))</f>
        <v/>
      </c>
      <c r="H431" s="51">
        <f>IF($F431="","",IFERROR(IF(INDEX(tblProductos[Categoría],MATCH($F431,tblProductos[SKU],0))="","",INDEX(tblProductos[Categoría],MATCH($F431,tblProductos[SKU],0))),""))</f>
        <v/>
      </c>
      <c r="I431" s="34" t="n"/>
      <c r="J431" s="39">
        <f>IF(OR($B431="",$F431="",$I431=""),"",IF($T431="Anulado",0,$I431))</f>
        <v/>
      </c>
      <c r="K431" s="54">
        <f>IF($F431="","",IFERROR(IF(INDEX(tblProductos[Precio de venta actual],MATCH($F431,tblProductos[SKU],0))="","",INDEX(tblProductos[Precio de venta actual],MATCH($F431,tblProductos[SKU],0))),""))</f>
        <v/>
      </c>
      <c r="L431" s="36" t="n"/>
      <c r="M431" s="37">
        <f>IF($J431="","",IF(NOT(ISNUMBER($K431)),"PRECIO PENDIENTE",$J431*$K431))</f>
        <v/>
      </c>
      <c r="N431" s="37">
        <f>IF($J431="","",IF(NOT(ISNUMBER($M431)),"PRECIO PENDIENTE",$M431-IF(ISNUMBER($L431),$L431,0)))</f>
        <v/>
      </c>
      <c r="O431" s="54">
        <f>IF($F431="","",IFERROR(INDEX(tblInventario[Costo unitario aplicado],MATCH($F431,tblInventario[SKU],0)),""))</f>
        <v/>
      </c>
      <c r="P431" s="37">
        <f>IF($J431="","",IF(NOT(ISNUMBER($O431)),"COSTO PENDIENTE",$J431*$O431))</f>
        <v/>
      </c>
      <c r="Q431" s="37">
        <f>IF($J431="","",IF(OR(NOT(ISNUMBER($N431)),NOT(ISNUMBER($P431))),"PENDIENTE",$N431-$P431))</f>
        <v/>
      </c>
      <c r="R431" s="38">
        <f>IF($J431="","",IF(OR(NOT(ISNUMBER($Q431)),NOT(ISNUMBER($N431)),$N431&lt;=0),"PENDIENTE",$Q431/$N431))</f>
        <v/>
      </c>
      <c r="S431" s="33" t="n"/>
      <c r="T431" s="33" t="n"/>
      <c r="U431" s="41" t="n"/>
      <c r="V431" s="36" t="n"/>
      <c r="W431" s="37">
        <f>IF(NOT(ISNUMBER($N431)),"",$N431-IF(ISNUMBER($V431),$V431,0))</f>
        <v/>
      </c>
      <c r="X431" s="33" t="n"/>
      <c r="Y431" s="51">
        <f>IF(COUNTA($B431,$C431,$D431,$E431,$F431,$I431)=0,"",IF(IF($B431=""," · Falta fecha","")&amp;IF($D431=""," · Falta cliente","")&amp;IF($E431=""," · Falta canal","")&amp;IF($F431=""," · Falta SKU","")&amp;IF(AND($F431&lt;&gt;"",COUNTIF(tblProductos[SKU],$F431)=0)," · SKU no existe","")&amp;IF(OR($I431="",NOT(ISNUMBER($I431)),$I431&lt;=0)," · Cantidad inválida","")&amp;IF($M431="PRECIO PENDIENTE"," · Falta precio de venta","")&amp;IF($P431="COSTO PENDIENTE"," · Falta costo del producto","")&amp;IF(AND(ISNUMBER($Q431),$Q431&lt;0)," · UTILIDAD NEGATIVA","")&amp;IF(AND($F431&lt;&gt;"",ISNUMBER(INDEX(tblInventario[Stock actual],MATCH($F431,tblInventario[SKU],0))),INDEX(tblInventario[Stock actual],MATCH($F431,tblInventario[SKU],0))&lt;0)," · Stock negativo del SKU","")&amp;IF(AND($T431="Cobrado",$U431="")," · Cobro sin fecha","")&amp;IF(AND(ISNUMBER($V431),ISNUMBER($N431),$V431&gt;N($N431)+0.01)," · Cobrado &gt; venta neta","")&amp;IF(AND(ISNUMBER($V431),$V431&gt;0,$U431="")," · Monto cobrado sin fecha","")="","OK",MID(IF($B431=""," · Falta fecha","")&amp;IF($D431=""," · Falta cliente","")&amp;IF($E431=""," · Falta canal","")&amp;IF($F431=""," · Falta SKU","")&amp;IF(AND($F431&lt;&gt;"",COUNTIF(tblProductos[SKU],$F431)=0)," · SKU no existe","")&amp;IF(OR($I431="",NOT(ISNUMBER($I431)),$I431&lt;=0)," · Cantidad inválida","")&amp;IF($M431="PRECIO PENDIENTE"," · Falta precio de venta","")&amp;IF($P431="COSTO PENDIENTE"," · Falta costo del producto","")&amp;IF(AND(ISNUMBER($Q431),$Q431&lt;0)," · UTILIDAD NEGATIVA","")&amp;IF(AND($F431&lt;&gt;"",ISNUMBER(INDEX(tblInventario[Stock actual],MATCH($F431,tblInventario[SKU],0))),INDEX(tblInventario[Stock actual],MATCH($F431,tblInventario[SKU],0))&lt;0)," · Stock negativo del SKU","")&amp;IF(AND($T431="Cobrado",$U431="")," · Cobro sin fecha","")&amp;IF(AND(ISNUMBER($V431),ISNUMBER($N431),$V431&gt;N($N431)+0.01)," · Cobrado &gt; venta neta","")&amp;IF(AND(ISNUMBER($V431),$V431&gt;0,$U431="")," · Monto cobrado sin fecha",""),4,900)))</f>
        <v/>
      </c>
    </row>
    <row r="432">
      <c r="A432" s="51">
        <f>IF(COUNTA($B432,$C432,$D432,$E432,$F432,$I432)=0,"","V-"&amp;TEXT(ROW()-6,"0000"))</f>
        <v/>
      </c>
      <c r="B432" s="41" t="n"/>
      <c r="C432" s="33" t="n"/>
      <c r="D432" s="33" t="n"/>
      <c r="E432" s="33" t="n"/>
      <c r="F432" s="33" t="n"/>
      <c r="G432" s="51">
        <f>IF($F432="","",IFERROR(IF(INDEX(tblProductos[Nombre del producto],MATCH($F432,tblProductos[SKU],0))="","",INDEX(tblProductos[Nombre del producto],MATCH($F432,tblProductos[SKU],0))),""))</f>
        <v/>
      </c>
      <c r="H432" s="51">
        <f>IF($F432="","",IFERROR(IF(INDEX(tblProductos[Categoría],MATCH($F432,tblProductos[SKU],0))="","",INDEX(tblProductos[Categoría],MATCH($F432,tblProductos[SKU],0))),""))</f>
        <v/>
      </c>
      <c r="I432" s="34" t="n"/>
      <c r="J432" s="39">
        <f>IF(OR($B432="",$F432="",$I432=""),"",IF($T432="Anulado",0,$I432))</f>
        <v/>
      </c>
      <c r="K432" s="54">
        <f>IF($F432="","",IFERROR(IF(INDEX(tblProductos[Precio de venta actual],MATCH($F432,tblProductos[SKU],0))="","",INDEX(tblProductos[Precio de venta actual],MATCH($F432,tblProductos[SKU],0))),""))</f>
        <v/>
      </c>
      <c r="L432" s="36" t="n"/>
      <c r="M432" s="37">
        <f>IF($J432="","",IF(NOT(ISNUMBER($K432)),"PRECIO PENDIENTE",$J432*$K432))</f>
        <v/>
      </c>
      <c r="N432" s="37">
        <f>IF($J432="","",IF(NOT(ISNUMBER($M432)),"PRECIO PENDIENTE",$M432-IF(ISNUMBER($L432),$L432,0)))</f>
        <v/>
      </c>
      <c r="O432" s="54">
        <f>IF($F432="","",IFERROR(INDEX(tblInventario[Costo unitario aplicado],MATCH($F432,tblInventario[SKU],0)),""))</f>
        <v/>
      </c>
      <c r="P432" s="37">
        <f>IF($J432="","",IF(NOT(ISNUMBER($O432)),"COSTO PENDIENTE",$J432*$O432))</f>
        <v/>
      </c>
      <c r="Q432" s="37">
        <f>IF($J432="","",IF(OR(NOT(ISNUMBER($N432)),NOT(ISNUMBER($P432))),"PENDIENTE",$N432-$P432))</f>
        <v/>
      </c>
      <c r="R432" s="38">
        <f>IF($J432="","",IF(OR(NOT(ISNUMBER($Q432)),NOT(ISNUMBER($N432)),$N432&lt;=0),"PENDIENTE",$Q432/$N432))</f>
        <v/>
      </c>
      <c r="S432" s="33" t="n"/>
      <c r="T432" s="33" t="n"/>
      <c r="U432" s="41" t="n"/>
      <c r="V432" s="36" t="n"/>
      <c r="W432" s="37">
        <f>IF(NOT(ISNUMBER($N432)),"",$N432-IF(ISNUMBER($V432),$V432,0))</f>
        <v/>
      </c>
      <c r="X432" s="33" t="n"/>
      <c r="Y432" s="51">
        <f>IF(COUNTA($B432,$C432,$D432,$E432,$F432,$I432)=0,"",IF(IF($B432=""," · Falta fecha","")&amp;IF($D432=""," · Falta cliente","")&amp;IF($E432=""," · Falta canal","")&amp;IF($F432=""," · Falta SKU","")&amp;IF(AND($F432&lt;&gt;"",COUNTIF(tblProductos[SKU],$F432)=0)," · SKU no existe","")&amp;IF(OR($I432="",NOT(ISNUMBER($I432)),$I432&lt;=0)," · Cantidad inválida","")&amp;IF($M432="PRECIO PENDIENTE"," · Falta precio de venta","")&amp;IF($P432="COSTO PENDIENTE"," · Falta costo del producto","")&amp;IF(AND(ISNUMBER($Q432),$Q432&lt;0)," · UTILIDAD NEGATIVA","")&amp;IF(AND($F432&lt;&gt;"",ISNUMBER(INDEX(tblInventario[Stock actual],MATCH($F432,tblInventario[SKU],0))),INDEX(tblInventario[Stock actual],MATCH($F432,tblInventario[SKU],0))&lt;0)," · Stock negativo del SKU","")&amp;IF(AND($T432="Cobrado",$U432="")," · Cobro sin fecha","")&amp;IF(AND(ISNUMBER($V432),ISNUMBER($N432),$V432&gt;N($N432)+0.01)," · Cobrado &gt; venta neta","")&amp;IF(AND(ISNUMBER($V432),$V432&gt;0,$U432="")," · Monto cobrado sin fecha","")="","OK",MID(IF($B432=""," · Falta fecha","")&amp;IF($D432=""," · Falta cliente","")&amp;IF($E432=""," · Falta canal","")&amp;IF($F432=""," · Falta SKU","")&amp;IF(AND($F432&lt;&gt;"",COUNTIF(tblProductos[SKU],$F432)=0)," · SKU no existe","")&amp;IF(OR($I432="",NOT(ISNUMBER($I432)),$I432&lt;=0)," · Cantidad inválida","")&amp;IF($M432="PRECIO PENDIENTE"," · Falta precio de venta","")&amp;IF($P432="COSTO PENDIENTE"," · Falta costo del producto","")&amp;IF(AND(ISNUMBER($Q432),$Q432&lt;0)," · UTILIDAD NEGATIVA","")&amp;IF(AND($F432&lt;&gt;"",ISNUMBER(INDEX(tblInventario[Stock actual],MATCH($F432,tblInventario[SKU],0))),INDEX(tblInventario[Stock actual],MATCH($F432,tblInventario[SKU],0))&lt;0)," · Stock negativo del SKU","")&amp;IF(AND($T432="Cobrado",$U432="")," · Cobro sin fecha","")&amp;IF(AND(ISNUMBER($V432),ISNUMBER($N432),$V432&gt;N($N432)+0.01)," · Cobrado &gt; venta neta","")&amp;IF(AND(ISNUMBER($V432),$V432&gt;0,$U432="")," · Monto cobrado sin fecha",""),4,900)))</f>
        <v/>
      </c>
    </row>
    <row r="433">
      <c r="A433" s="51">
        <f>IF(COUNTA($B433,$C433,$D433,$E433,$F433,$I433)=0,"","V-"&amp;TEXT(ROW()-6,"0000"))</f>
        <v/>
      </c>
      <c r="B433" s="41" t="n"/>
      <c r="C433" s="33" t="n"/>
      <c r="D433" s="33" t="n"/>
      <c r="E433" s="33" t="n"/>
      <c r="F433" s="33" t="n"/>
      <c r="G433" s="51">
        <f>IF($F433="","",IFERROR(IF(INDEX(tblProductos[Nombre del producto],MATCH($F433,tblProductos[SKU],0))="","",INDEX(tblProductos[Nombre del producto],MATCH($F433,tblProductos[SKU],0))),""))</f>
        <v/>
      </c>
      <c r="H433" s="51">
        <f>IF($F433="","",IFERROR(IF(INDEX(tblProductos[Categoría],MATCH($F433,tblProductos[SKU],0))="","",INDEX(tblProductos[Categoría],MATCH($F433,tblProductos[SKU],0))),""))</f>
        <v/>
      </c>
      <c r="I433" s="34" t="n"/>
      <c r="J433" s="39">
        <f>IF(OR($B433="",$F433="",$I433=""),"",IF($T433="Anulado",0,$I433))</f>
        <v/>
      </c>
      <c r="K433" s="54">
        <f>IF($F433="","",IFERROR(IF(INDEX(tblProductos[Precio de venta actual],MATCH($F433,tblProductos[SKU],0))="","",INDEX(tblProductos[Precio de venta actual],MATCH($F433,tblProductos[SKU],0))),""))</f>
        <v/>
      </c>
      <c r="L433" s="36" t="n"/>
      <c r="M433" s="37">
        <f>IF($J433="","",IF(NOT(ISNUMBER($K433)),"PRECIO PENDIENTE",$J433*$K433))</f>
        <v/>
      </c>
      <c r="N433" s="37">
        <f>IF($J433="","",IF(NOT(ISNUMBER($M433)),"PRECIO PENDIENTE",$M433-IF(ISNUMBER($L433),$L433,0)))</f>
        <v/>
      </c>
      <c r="O433" s="54">
        <f>IF($F433="","",IFERROR(INDEX(tblInventario[Costo unitario aplicado],MATCH($F433,tblInventario[SKU],0)),""))</f>
        <v/>
      </c>
      <c r="P433" s="37">
        <f>IF($J433="","",IF(NOT(ISNUMBER($O433)),"COSTO PENDIENTE",$J433*$O433))</f>
        <v/>
      </c>
      <c r="Q433" s="37">
        <f>IF($J433="","",IF(OR(NOT(ISNUMBER($N433)),NOT(ISNUMBER($P433))),"PENDIENTE",$N433-$P433))</f>
        <v/>
      </c>
      <c r="R433" s="38">
        <f>IF($J433="","",IF(OR(NOT(ISNUMBER($Q433)),NOT(ISNUMBER($N433)),$N433&lt;=0),"PENDIENTE",$Q433/$N433))</f>
        <v/>
      </c>
      <c r="S433" s="33" t="n"/>
      <c r="T433" s="33" t="n"/>
      <c r="U433" s="41" t="n"/>
      <c r="V433" s="36" t="n"/>
      <c r="W433" s="37">
        <f>IF(NOT(ISNUMBER($N433)),"",$N433-IF(ISNUMBER($V433),$V433,0))</f>
        <v/>
      </c>
      <c r="X433" s="33" t="n"/>
      <c r="Y433" s="51">
        <f>IF(COUNTA($B433,$C433,$D433,$E433,$F433,$I433)=0,"",IF(IF($B433=""," · Falta fecha","")&amp;IF($D433=""," · Falta cliente","")&amp;IF($E433=""," · Falta canal","")&amp;IF($F433=""," · Falta SKU","")&amp;IF(AND($F433&lt;&gt;"",COUNTIF(tblProductos[SKU],$F433)=0)," · SKU no existe","")&amp;IF(OR($I433="",NOT(ISNUMBER($I433)),$I433&lt;=0)," · Cantidad inválida","")&amp;IF($M433="PRECIO PENDIENTE"," · Falta precio de venta","")&amp;IF($P433="COSTO PENDIENTE"," · Falta costo del producto","")&amp;IF(AND(ISNUMBER($Q433),$Q433&lt;0)," · UTILIDAD NEGATIVA","")&amp;IF(AND($F433&lt;&gt;"",ISNUMBER(INDEX(tblInventario[Stock actual],MATCH($F433,tblInventario[SKU],0))),INDEX(tblInventario[Stock actual],MATCH($F433,tblInventario[SKU],0))&lt;0)," · Stock negativo del SKU","")&amp;IF(AND($T433="Cobrado",$U433="")," · Cobro sin fecha","")&amp;IF(AND(ISNUMBER($V433),ISNUMBER($N433),$V433&gt;N($N433)+0.01)," · Cobrado &gt; venta neta","")&amp;IF(AND(ISNUMBER($V433),$V433&gt;0,$U433="")," · Monto cobrado sin fecha","")="","OK",MID(IF($B433=""," · Falta fecha","")&amp;IF($D433=""," · Falta cliente","")&amp;IF($E433=""," · Falta canal","")&amp;IF($F433=""," · Falta SKU","")&amp;IF(AND($F433&lt;&gt;"",COUNTIF(tblProductos[SKU],$F433)=0)," · SKU no existe","")&amp;IF(OR($I433="",NOT(ISNUMBER($I433)),$I433&lt;=0)," · Cantidad inválida","")&amp;IF($M433="PRECIO PENDIENTE"," · Falta precio de venta","")&amp;IF($P433="COSTO PENDIENTE"," · Falta costo del producto","")&amp;IF(AND(ISNUMBER($Q433),$Q433&lt;0)," · UTILIDAD NEGATIVA","")&amp;IF(AND($F433&lt;&gt;"",ISNUMBER(INDEX(tblInventario[Stock actual],MATCH($F433,tblInventario[SKU],0))),INDEX(tblInventario[Stock actual],MATCH($F433,tblInventario[SKU],0))&lt;0)," · Stock negativo del SKU","")&amp;IF(AND($T433="Cobrado",$U433="")," · Cobro sin fecha","")&amp;IF(AND(ISNUMBER($V433),ISNUMBER($N433),$V433&gt;N($N433)+0.01)," · Cobrado &gt; venta neta","")&amp;IF(AND(ISNUMBER($V433),$V433&gt;0,$U433="")," · Monto cobrado sin fecha",""),4,900)))</f>
        <v/>
      </c>
    </row>
    <row r="434">
      <c r="A434" s="51">
        <f>IF(COUNTA($B434,$C434,$D434,$E434,$F434,$I434)=0,"","V-"&amp;TEXT(ROW()-6,"0000"))</f>
        <v/>
      </c>
      <c r="B434" s="41" t="n"/>
      <c r="C434" s="33" t="n"/>
      <c r="D434" s="33" t="n"/>
      <c r="E434" s="33" t="n"/>
      <c r="F434" s="33" t="n"/>
      <c r="G434" s="51">
        <f>IF($F434="","",IFERROR(IF(INDEX(tblProductos[Nombre del producto],MATCH($F434,tblProductos[SKU],0))="","",INDEX(tblProductos[Nombre del producto],MATCH($F434,tblProductos[SKU],0))),""))</f>
        <v/>
      </c>
      <c r="H434" s="51">
        <f>IF($F434="","",IFERROR(IF(INDEX(tblProductos[Categoría],MATCH($F434,tblProductos[SKU],0))="","",INDEX(tblProductos[Categoría],MATCH($F434,tblProductos[SKU],0))),""))</f>
        <v/>
      </c>
      <c r="I434" s="34" t="n"/>
      <c r="J434" s="39">
        <f>IF(OR($B434="",$F434="",$I434=""),"",IF($T434="Anulado",0,$I434))</f>
        <v/>
      </c>
      <c r="K434" s="54">
        <f>IF($F434="","",IFERROR(IF(INDEX(tblProductos[Precio de venta actual],MATCH($F434,tblProductos[SKU],0))="","",INDEX(tblProductos[Precio de venta actual],MATCH($F434,tblProductos[SKU],0))),""))</f>
        <v/>
      </c>
      <c r="L434" s="36" t="n"/>
      <c r="M434" s="37">
        <f>IF($J434="","",IF(NOT(ISNUMBER($K434)),"PRECIO PENDIENTE",$J434*$K434))</f>
        <v/>
      </c>
      <c r="N434" s="37">
        <f>IF($J434="","",IF(NOT(ISNUMBER($M434)),"PRECIO PENDIENTE",$M434-IF(ISNUMBER($L434),$L434,0)))</f>
        <v/>
      </c>
      <c r="O434" s="54">
        <f>IF($F434="","",IFERROR(INDEX(tblInventario[Costo unitario aplicado],MATCH($F434,tblInventario[SKU],0)),""))</f>
        <v/>
      </c>
      <c r="P434" s="37">
        <f>IF($J434="","",IF(NOT(ISNUMBER($O434)),"COSTO PENDIENTE",$J434*$O434))</f>
        <v/>
      </c>
      <c r="Q434" s="37">
        <f>IF($J434="","",IF(OR(NOT(ISNUMBER($N434)),NOT(ISNUMBER($P434))),"PENDIENTE",$N434-$P434))</f>
        <v/>
      </c>
      <c r="R434" s="38">
        <f>IF($J434="","",IF(OR(NOT(ISNUMBER($Q434)),NOT(ISNUMBER($N434)),$N434&lt;=0),"PENDIENTE",$Q434/$N434))</f>
        <v/>
      </c>
      <c r="S434" s="33" t="n"/>
      <c r="T434" s="33" t="n"/>
      <c r="U434" s="41" t="n"/>
      <c r="V434" s="36" t="n"/>
      <c r="W434" s="37">
        <f>IF(NOT(ISNUMBER($N434)),"",$N434-IF(ISNUMBER($V434),$V434,0))</f>
        <v/>
      </c>
      <c r="X434" s="33" t="n"/>
      <c r="Y434" s="51">
        <f>IF(COUNTA($B434,$C434,$D434,$E434,$F434,$I434)=0,"",IF(IF($B434=""," · Falta fecha","")&amp;IF($D434=""," · Falta cliente","")&amp;IF($E434=""," · Falta canal","")&amp;IF($F434=""," · Falta SKU","")&amp;IF(AND($F434&lt;&gt;"",COUNTIF(tblProductos[SKU],$F434)=0)," · SKU no existe","")&amp;IF(OR($I434="",NOT(ISNUMBER($I434)),$I434&lt;=0)," · Cantidad inválida","")&amp;IF($M434="PRECIO PENDIENTE"," · Falta precio de venta","")&amp;IF($P434="COSTO PENDIENTE"," · Falta costo del producto","")&amp;IF(AND(ISNUMBER($Q434),$Q434&lt;0)," · UTILIDAD NEGATIVA","")&amp;IF(AND($F434&lt;&gt;"",ISNUMBER(INDEX(tblInventario[Stock actual],MATCH($F434,tblInventario[SKU],0))),INDEX(tblInventario[Stock actual],MATCH($F434,tblInventario[SKU],0))&lt;0)," · Stock negativo del SKU","")&amp;IF(AND($T434="Cobrado",$U434="")," · Cobro sin fecha","")&amp;IF(AND(ISNUMBER($V434),ISNUMBER($N434),$V434&gt;N($N434)+0.01)," · Cobrado &gt; venta neta","")&amp;IF(AND(ISNUMBER($V434),$V434&gt;0,$U434="")," · Monto cobrado sin fecha","")="","OK",MID(IF($B434=""," · Falta fecha","")&amp;IF($D434=""," · Falta cliente","")&amp;IF($E434=""," · Falta canal","")&amp;IF($F434=""," · Falta SKU","")&amp;IF(AND($F434&lt;&gt;"",COUNTIF(tblProductos[SKU],$F434)=0)," · SKU no existe","")&amp;IF(OR($I434="",NOT(ISNUMBER($I434)),$I434&lt;=0)," · Cantidad inválida","")&amp;IF($M434="PRECIO PENDIENTE"," · Falta precio de venta","")&amp;IF($P434="COSTO PENDIENTE"," · Falta costo del producto","")&amp;IF(AND(ISNUMBER($Q434),$Q434&lt;0)," · UTILIDAD NEGATIVA","")&amp;IF(AND($F434&lt;&gt;"",ISNUMBER(INDEX(tblInventario[Stock actual],MATCH($F434,tblInventario[SKU],0))),INDEX(tblInventario[Stock actual],MATCH($F434,tblInventario[SKU],0))&lt;0)," · Stock negativo del SKU","")&amp;IF(AND($T434="Cobrado",$U434="")," · Cobro sin fecha","")&amp;IF(AND(ISNUMBER($V434),ISNUMBER($N434),$V434&gt;N($N434)+0.01)," · Cobrado &gt; venta neta","")&amp;IF(AND(ISNUMBER($V434),$V434&gt;0,$U434="")," · Monto cobrado sin fecha",""),4,900)))</f>
        <v/>
      </c>
    </row>
    <row r="435">
      <c r="A435" s="51">
        <f>IF(COUNTA($B435,$C435,$D435,$E435,$F435,$I435)=0,"","V-"&amp;TEXT(ROW()-6,"0000"))</f>
        <v/>
      </c>
      <c r="B435" s="41" t="n"/>
      <c r="C435" s="33" t="n"/>
      <c r="D435" s="33" t="n"/>
      <c r="E435" s="33" t="n"/>
      <c r="F435" s="33" t="n"/>
      <c r="G435" s="51">
        <f>IF($F435="","",IFERROR(IF(INDEX(tblProductos[Nombre del producto],MATCH($F435,tblProductos[SKU],0))="","",INDEX(tblProductos[Nombre del producto],MATCH($F435,tblProductos[SKU],0))),""))</f>
        <v/>
      </c>
      <c r="H435" s="51">
        <f>IF($F435="","",IFERROR(IF(INDEX(tblProductos[Categoría],MATCH($F435,tblProductos[SKU],0))="","",INDEX(tblProductos[Categoría],MATCH($F435,tblProductos[SKU],0))),""))</f>
        <v/>
      </c>
      <c r="I435" s="34" t="n"/>
      <c r="J435" s="39">
        <f>IF(OR($B435="",$F435="",$I435=""),"",IF($T435="Anulado",0,$I435))</f>
        <v/>
      </c>
      <c r="K435" s="54">
        <f>IF($F435="","",IFERROR(IF(INDEX(tblProductos[Precio de venta actual],MATCH($F435,tblProductos[SKU],0))="","",INDEX(tblProductos[Precio de venta actual],MATCH($F435,tblProductos[SKU],0))),""))</f>
        <v/>
      </c>
      <c r="L435" s="36" t="n"/>
      <c r="M435" s="37">
        <f>IF($J435="","",IF(NOT(ISNUMBER($K435)),"PRECIO PENDIENTE",$J435*$K435))</f>
        <v/>
      </c>
      <c r="N435" s="37">
        <f>IF($J435="","",IF(NOT(ISNUMBER($M435)),"PRECIO PENDIENTE",$M435-IF(ISNUMBER($L435),$L435,0)))</f>
        <v/>
      </c>
      <c r="O435" s="54">
        <f>IF($F435="","",IFERROR(INDEX(tblInventario[Costo unitario aplicado],MATCH($F435,tblInventario[SKU],0)),""))</f>
        <v/>
      </c>
      <c r="P435" s="37">
        <f>IF($J435="","",IF(NOT(ISNUMBER($O435)),"COSTO PENDIENTE",$J435*$O435))</f>
        <v/>
      </c>
      <c r="Q435" s="37">
        <f>IF($J435="","",IF(OR(NOT(ISNUMBER($N435)),NOT(ISNUMBER($P435))),"PENDIENTE",$N435-$P435))</f>
        <v/>
      </c>
      <c r="R435" s="38">
        <f>IF($J435="","",IF(OR(NOT(ISNUMBER($Q435)),NOT(ISNUMBER($N435)),$N435&lt;=0),"PENDIENTE",$Q435/$N435))</f>
        <v/>
      </c>
      <c r="S435" s="33" t="n"/>
      <c r="T435" s="33" t="n"/>
      <c r="U435" s="41" t="n"/>
      <c r="V435" s="36" t="n"/>
      <c r="W435" s="37">
        <f>IF(NOT(ISNUMBER($N435)),"",$N435-IF(ISNUMBER($V435),$V435,0))</f>
        <v/>
      </c>
      <c r="X435" s="33" t="n"/>
      <c r="Y435" s="51">
        <f>IF(COUNTA($B435,$C435,$D435,$E435,$F435,$I435)=0,"",IF(IF($B435=""," · Falta fecha","")&amp;IF($D435=""," · Falta cliente","")&amp;IF($E435=""," · Falta canal","")&amp;IF($F435=""," · Falta SKU","")&amp;IF(AND($F435&lt;&gt;"",COUNTIF(tblProductos[SKU],$F435)=0)," · SKU no existe","")&amp;IF(OR($I435="",NOT(ISNUMBER($I435)),$I435&lt;=0)," · Cantidad inválida","")&amp;IF($M435="PRECIO PENDIENTE"," · Falta precio de venta","")&amp;IF($P435="COSTO PENDIENTE"," · Falta costo del producto","")&amp;IF(AND(ISNUMBER($Q435),$Q435&lt;0)," · UTILIDAD NEGATIVA","")&amp;IF(AND($F435&lt;&gt;"",ISNUMBER(INDEX(tblInventario[Stock actual],MATCH($F435,tblInventario[SKU],0))),INDEX(tblInventario[Stock actual],MATCH($F435,tblInventario[SKU],0))&lt;0)," · Stock negativo del SKU","")&amp;IF(AND($T435="Cobrado",$U435="")," · Cobro sin fecha","")&amp;IF(AND(ISNUMBER($V435),ISNUMBER($N435),$V435&gt;N($N435)+0.01)," · Cobrado &gt; venta neta","")&amp;IF(AND(ISNUMBER($V435),$V435&gt;0,$U435="")," · Monto cobrado sin fecha","")="","OK",MID(IF($B435=""," · Falta fecha","")&amp;IF($D435=""," · Falta cliente","")&amp;IF($E435=""," · Falta canal","")&amp;IF($F435=""," · Falta SKU","")&amp;IF(AND($F435&lt;&gt;"",COUNTIF(tblProductos[SKU],$F435)=0)," · SKU no existe","")&amp;IF(OR($I435="",NOT(ISNUMBER($I435)),$I435&lt;=0)," · Cantidad inválida","")&amp;IF($M435="PRECIO PENDIENTE"," · Falta precio de venta","")&amp;IF($P435="COSTO PENDIENTE"," · Falta costo del producto","")&amp;IF(AND(ISNUMBER($Q435),$Q435&lt;0)," · UTILIDAD NEGATIVA","")&amp;IF(AND($F435&lt;&gt;"",ISNUMBER(INDEX(tblInventario[Stock actual],MATCH($F435,tblInventario[SKU],0))),INDEX(tblInventario[Stock actual],MATCH($F435,tblInventario[SKU],0))&lt;0)," · Stock negativo del SKU","")&amp;IF(AND($T435="Cobrado",$U435="")," · Cobro sin fecha","")&amp;IF(AND(ISNUMBER($V435),ISNUMBER($N435),$V435&gt;N($N435)+0.01)," · Cobrado &gt; venta neta","")&amp;IF(AND(ISNUMBER($V435),$V435&gt;0,$U435="")," · Monto cobrado sin fecha",""),4,900)))</f>
        <v/>
      </c>
    </row>
    <row r="436">
      <c r="A436" s="51">
        <f>IF(COUNTA($B436,$C436,$D436,$E436,$F436,$I436)=0,"","V-"&amp;TEXT(ROW()-6,"0000"))</f>
        <v/>
      </c>
      <c r="B436" s="41" t="n"/>
      <c r="C436" s="33" t="n"/>
      <c r="D436" s="33" t="n"/>
      <c r="E436" s="33" t="n"/>
      <c r="F436" s="33" t="n"/>
      <c r="G436" s="51">
        <f>IF($F436="","",IFERROR(IF(INDEX(tblProductos[Nombre del producto],MATCH($F436,tblProductos[SKU],0))="","",INDEX(tblProductos[Nombre del producto],MATCH($F436,tblProductos[SKU],0))),""))</f>
        <v/>
      </c>
      <c r="H436" s="51">
        <f>IF($F436="","",IFERROR(IF(INDEX(tblProductos[Categoría],MATCH($F436,tblProductos[SKU],0))="","",INDEX(tblProductos[Categoría],MATCH($F436,tblProductos[SKU],0))),""))</f>
        <v/>
      </c>
      <c r="I436" s="34" t="n"/>
      <c r="J436" s="39">
        <f>IF(OR($B436="",$F436="",$I436=""),"",IF($T436="Anulado",0,$I436))</f>
        <v/>
      </c>
      <c r="K436" s="54">
        <f>IF($F436="","",IFERROR(IF(INDEX(tblProductos[Precio de venta actual],MATCH($F436,tblProductos[SKU],0))="","",INDEX(tblProductos[Precio de venta actual],MATCH($F436,tblProductos[SKU],0))),""))</f>
        <v/>
      </c>
      <c r="L436" s="36" t="n"/>
      <c r="M436" s="37">
        <f>IF($J436="","",IF(NOT(ISNUMBER($K436)),"PRECIO PENDIENTE",$J436*$K436))</f>
        <v/>
      </c>
      <c r="N436" s="37">
        <f>IF($J436="","",IF(NOT(ISNUMBER($M436)),"PRECIO PENDIENTE",$M436-IF(ISNUMBER($L436),$L436,0)))</f>
        <v/>
      </c>
      <c r="O436" s="54">
        <f>IF($F436="","",IFERROR(INDEX(tblInventario[Costo unitario aplicado],MATCH($F436,tblInventario[SKU],0)),""))</f>
        <v/>
      </c>
      <c r="P436" s="37">
        <f>IF($J436="","",IF(NOT(ISNUMBER($O436)),"COSTO PENDIENTE",$J436*$O436))</f>
        <v/>
      </c>
      <c r="Q436" s="37">
        <f>IF($J436="","",IF(OR(NOT(ISNUMBER($N436)),NOT(ISNUMBER($P436))),"PENDIENTE",$N436-$P436))</f>
        <v/>
      </c>
      <c r="R436" s="38">
        <f>IF($J436="","",IF(OR(NOT(ISNUMBER($Q436)),NOT(ISNUMBER($N436)),$N436&lt;=0),"PENDIENTE",$Q436/$N436))</f>
        <v/>
      </c>
      <c r="S436" s="33" t="n"/>
      <c r="T436" s="33" t="n"/>
      <c r="U436" s="41" t="n"/>
      <c r="V436" s="36" t="n"/>
      <c r="W436" s="37">
        <f>IF(NOT(ISNUMBER($N436)),"",$N436-IF(ISNUMBER($V436),$V436,0))</f>
        <v/>
      </c>
      <c r="X436" s="33" t="n"/>
      <c r="Y436" s="51">
        <f>IF(COUNTA($B436,$C436,$D436,$E436,$F436,$I436)=0,"",IF(IF($B436=""," · Falta fecha","")&amp;IF($D436=""," · Falta cliente","")&amp;IF($E436=""," · Falta canal","")&amp;IF($F436=""," · Falta SKU","")&amp;IF(AND($F436&lt;&gt;"",COUNTIF(tblProductos[SKU],$F436)=0)," · SKU no existe","")&amp;IF(OR($I436="",NOT(ISNUMBER($I436)),$I436&lt;=0)," · Cantidad inválida","")&amp;IF($M436="PRECIO PENDIENTE"," · Falta precio de venta","")&amp;IF($P436="COSTO PENDIENTE"," · Falta costo del producto","")&amp;IF(AND(ISNUMBER($Q436),$Q436&lt;0)," · UTILIDAD NEGATIVA","")&amp;IF(AND($F436&lt;&gt;"",ISNUMBER(INDEX(tblInventario[Stock actual],MATCH($F436,tblInventario[SKU],0))),INDEX(tblInventario[Stock actual],MATCH($F436,tblInventario[SKU],0))&lt;0)," · Stock negativo del SKU","")&amp;IF(AND($T436="Cobrado",$U436="")," · Cobro sin fecha","")&amp;IF(AND(ISNUMBER($V436),ISNUMBER($N436),$V436&gt;N($N436)+0.01)," · Cobrado &gt; venta neta","")&amp;IF(AND(ISNUMBER($V436),$V436&gt;0,$U436="")," · Monto cobrado sin fecha","")="","OK",MID(IF($B436=""," · Falta fecha","")&amp;IF($D436=""," · Falta cliente","")&amp;IF($E436=""," · Falta canal","")&amp;IF($F436=""," · Falta SKU","")&amp;IF(AND($F436&lt;&gt;"",COUNTIF(tblProductos[SKU],$F436)=0)," · SKU no existe","")&amp;IF(OR($I436="",NOT(ISNUMBER($I436)),$I436&lt;=0)," · Cantidad inválida","")&amp;IF($M436="PRECIO PENDIENTE"," · Falta precio de venta","")&amp;IF($P436="COSTO PENDIENTE"," · Falta costo del producto","")&amp;IF(AND(ISNUMBER($Q436),$Q436&lt;0)," · UTILIDAD NEGATIVA","")&amp;IF(AND($F436&lt;&gt;"",ISNUMBER(INDEX(tblInventario[Stock actual],MATCH($F436,tblInventario[SKU],0))),INDEX(tblInventario[Stock actual],MATCH($F436,tblInventario[SKU],0))&lt;0)," · Stock negativo del SKU","")&amp;IF(AND($T436="Cobrado",$U436="")," · Cobro sin fecha","")&amp;IF(AND(ISNUMBER($V436),ISNUMBER($N436),$V436&gt;N($N436)+0.01)," · Cobrado &gt; venta neta","")&amp;IF(AND(ISNUMBER($V436),$V436&gt;0,$U436="")," · Monto cobrado sin fecha",""),4,900)))</f>
        <v/>
      </c>
    </row>
    <row r="437">
      <c r="A437" s="51">
        <f>IF(COUNTA($B437,$C437,$D437,$E437,$F437,$I437)=0,"","V-"&amp;TEXT(ROW()-6,"0000"))</f>
        <v/>
      </c>
      <c r="B437" s="41" t="n"/>
      <c r="C437" s="33" t="n"/>
      <c r="D437" s="33" t="n"/>
      <c r="E437" s="33" t="n"/>
      <c r="F437" s="33" t="n"/>
      <c r="G437" s="51">
        <f>IF($F437="","",IFERROR(IF(INDEX(tblProductos[Nombre del producto],MATCH($F437,tblProductos[SKU],0))="","",INDEX(tblProductos[Nombre del producto],MATCH($F437,tblProductos[SKU],0))),""))</f>
        <v/>
      </c>
      <c r="H437" s="51">
        <f>IF($F437="","",IFERROR(IF(INDEX(tblProductos[Categoría],MATCH($F437,tblProductos[SKU],0))="","",INDEX(tblProductos[Categoría],MATCH($F437,tblProductos[SKU],0))),""))</f>
        <v/>
      </c>
      <c r="I437" s="34" t="n"/>
      <c r="J437" s="39">
        <f>IF(OR($B437="",$F437="",$I437=""),"",IF($T437="Anulado",0,$I437))</f>
        <v/>
      </c>
      <c r="K437" s="54">
        <f>IF($F437="","",IFERROR(IF(INDEX(tblProductos[Precio de venta actual],MATCH($F437,tblProductos[SKU],0))="","",INDEX(tblProductos[Precio de venta actual],MATCH($F437,tblProductos[SKU],0))),""))</f>
        <v/>
      </c>
      <c r="L437" s="36" t="n"/>
      <c r="M437" s="37">
        <f>IF($J437="","",IF(NOT(ISNUMBER($K437)),"PRECIO PENDIENTE",$J437*$K437))</f>
        <v/>
      </c>
      <c r="N437" s="37">
        <f>IF($J437="","",IF(NOT(ISNUMBER($M437)),"PRECIO PENDIENTE",$M437-IF(ISNUMBER($L437),$L437,0)))</f>
        <v/>
      </c>
      <c r="O437" s="54">
        <f>IF($F437="","",IFERROR(INDEX(tblInventario[Costo unitario aplicado],MATCH($F437,tblInventario[SKU],0)),""))</f>
        <v/>
      </c>
      <c r="P437" s="37">
        <f>IF($J437="","",IF(NOT(ISNUMBER($O437)),"COSTO PENDIENTE",$J437*$O437))</f>
        <v/>
      </c>
      <c r="Q437" s="37">
        <f>IF($J437="","",IF(OR(NOT(ISNUMBER($N437)),NOT(ISNUMBER($P437))),"PENDIENTE",$N437-$P437))</f>
        <v/>
      </c>
      <c r="R437" s="38">
        <f>IF($J437="","",IF(OR(NOT(ISNUMBER($Q437)),NOT(ISNUMBER($N437)),$N437&lt;=0),"PENDIENTE",$Q437/$N437))</f>
        <v/>
      </c>
      <c r="S437" s="33" t="n"/>
      <c r="T437" s="33" t="n"/>
      <c r="U437" s="41" t="n"/>
      <c r="V437" s="36" t="n"/>
      <c r="W437" s="37">
        <f>IF(NOT(ISNUMBER($N437)),"",$N437-IF(ISNUMBER($V437),$V437,0))</f>
        <v/>
      </c>
      <c r="X437" s="33" t="n"/>
      <c r="Y437" s="51">
        <f>IF(COUNTA($B437,$C437,$D437,$E437,$F437,$I437)=0,"",IF(IF($B437=""," · Falta fecha","")&amp;IF($D437=""," · Falta cliente","")&amp;IF($E437=""," · Falta canal","")&amp;IF($F437=""," · Falta SKU","")&amp;IF(AND($F437&lt;&gt;"",COUNTIF(tblProductos[SKU],$F437)=0)," · SKU no existe","")&amp;IF(OR($I437="",NOT(ISNUMBER($I437)),$I437&lt;=0)," · Cantidad inválida","")&amp;IF($M437="PRECIO PENDIENTE"," · Falta precio de venta","")&amp;IF($P437="COSTO PENDIENTE"," · Falta costo del producto","")&amp;IF(AND(ISNUMBER($Q437),$Q437&lt;0)," · UTILIDAD NEGATIVA","")&amp;IF(AND($F437&lt;&gt;"",ISNUMBER(INDEX(tblInventario[Stock actual],MATCH($F437,tblInventario[SKU],0))),INDEX(tblInventario[Stock actual],MATCH($F437,tblInventario[SKU],0))&lt;0)," · Stock negativo del SKU","")&amp;IF(AND($T437="Cobrado",$U437="")," · Cobro sin fecha","")&amp;IF(AND(ISNUMBER($V437),ISNUMBER($N437),$V437&gt;N($N437)+0.01)," · Cobrado &gt; venta neta","")&amp;IF(AND(ISNUMBER($V437),$V437&gt;0,$U437="")," · Monto cobrado sin fecha","")="","OK",MID(IF($B437=""," · Falta fecha","")&amp;IF($D437=""," · Falta cliente","")&amp;IF($E437=""," · Falta canal","")&amp;IF($F437=""," · Falta SKU","")&amp;IF(AND($F437&lt;&gt;"",COUNTIF(tblProductos[SKU],$F437)=0)," · SKU no existe","")&amp;IF(OR($I437="",NOT(ISNUMBER($I437)),$I437&lt;=0)," · Cantidad inválida","")&amp;IF($M437="PRECIO PENDIENTE"," · Falta precio de venta","")&amp;IF($P437="COSTO PENDIENTE"," · Falta costo del producto","")&amp;IF(AND(ISNUMBER($Q437),$Q437&lt;0)," · UTILIDAD NEGATIVA","")&amp;IF(AND($F437&lt;&gt;"",ISNUMBER(INDEX(tblInventario[Stock actual],MATCH($F437,tblInventario[SKU],0))),INDEX(tblInventario[Stock actual],MATCH($F437,tblInventario[SKU],0))&lt;0)," · Stock negativo del SKU","")&amp;IF(AND($T437="Cobrado",$U437="")," · Cobro sin fecha","")&amp;IF(AND(ISNUMBER($V437),ISNUMBER($N437),$V437&gt;N($N437)+0.01)," · Cobrado &gt; venta neta","")&amp;IF(AND(ISNUMBER($V437),$V437&gt;0,$U437="")," · Monto cobrado sin fecha",""),4,900)))</f>
        <v/>
      </c>
    </row>
    <row r="438">
      <c r="A438" s="51">
        <f>IF(COUNTA($B438,$C438,$D438,$E438,$F438,$I438)=0,"","V-"&amp;TEXT(ROW()-6,"0000"))</f>
        <v/>
      </c>
      <c r="B438" s="41" t="n"/>
      <c r="C438" s="33" t="n"/>
      <c r="D438" s="33" t="n"/>
      <c r="E438" s="33" t="n"/>
      <c r="F438" s="33" t="n"/>
      <c r="G438" s="51">
        <f>IF($F438="","",IFERROR(IF(INDEX(tblProductos[Nombre del producto],MATCH($F438,tblProductos[SKU],0))="","",INDEX(tblProductos[Nombre del producto],MATCH($F438,tblProductos[SKU],0))),""))</f>
        <v/>
      </c>
      <c r="H438" s="51">
        <f>IF($F438="","",IFERROR(IF(INDEX(tblProductos[Categoría],MATCH($F438,tblProductos[SKU],0))="","",INDEX(tblProductos[Categoría],MATCH($F438,tblProductos[SKU],0))),""))</f>
        <v/>
      </c>
      <c r="I438" s="34" t="n"/>
      <c r="J438" s="39">
        <f>IF(OR($B438="",$F438="",$I438=""),"",IF($T438="Anulado",0,$I438))</f>
        <v/>
      </c>
      <c r="K438" s="54">
        <f>IF($F438="","",IFERROR(IF(INDEX(tblProductos[Precio de venta actual],MATCH($F438,tblProductos[SKU],0))="","",INDEX(tblProductos[Precio de venta actual],MATCH($F438,tblProductos[SKU],0))),""))</f>
        <v/>
      </c>
      <c r="L438" s="36" t="n"/>
      <c r="M438" s="37">
        <f>IF($J438="","",IF(NOT(ISNUMBER($K438)),"PRECIO PENDIENTE",$J438*$K438))</f>
        <v/>
      </c>
      <c r="N438" s="37">
        <f>IF($J438="","",IF(NOT(ISNUMBER($M438)),"PRECIO PENDIENTE",$M438-IF(ISNUMBER($L438),$L438,0)))</f>
        <v/>
      </c>
      <c r="O438" s="54">
        <f>IF($F438="","",IFERROR(INDEX(tblInventario[Costo unitario aplicado],MATCH($F438,tblInventario[SKU],0)),""))</f>
        <v/>
      </c>
      <c r="P438" s="37">
        <f>IF($J438="","",IF(NOT(ISNUMBER($O438)),"COSTO PENDIENTE",$J438*$O438))</f>
        <v/>
      </c>
      <c r="Q438" s="37">
        <f>IF($J438="","",IF(OR(NOT(ISNUMBER($N438)),NOT(ISNUMBER($P438))),"PENDIENTE",$N438-$P438))</f>
        <v/>
      </c>
      <c r="R438" s="38">
        <f>IF($J438="","",IF(OR(NOT(ISNUMBER($Q438)),NOT(ISNUMBER($N438)),$N438&lt;=0),"PENDIENTE",$Q438/$N438))</f>
        <v/>
      </c>
      <c r="S438" s="33" t="n"/>
      <c r="T438" s="33" t="n"/>
      <c r="U438" s="41" t="n"/>
      <c r="V438" s="36" t="n"/>
      <c r="W438" s="37">
        <f>IF(NOT(ISNUMBER($N438)),"",$N438-IF(ISNUMBER($V438),$V438,0))</f>
        <v/>
      </c>
      <c r="X438" s="33" t="n"/>
      <c r="Y438" s="51">
        <f>IF(COUNTA($B438,$C438,$D438,$E438,$F438,$I438)=0,"",IF(IF($B438=""," · Falta fecha","")&amp;IF($D438=""," · Falta cliente","")&amp;IF($E438=""," · Falta canal","")&amp;IF($F438=""," · Falta SKU","")&amp;IF(AND($F438&lt;&gt;"",COUNTIF(tblProductos[SKU],$F438)=0)," · SKU no existe","")&amp;IF(OR($I438="",NOT(ISNUMBER($I438)),$I438&lt;=0)," · Cantidad inválida","")&amp;IF($M438="PRECIO PENDIENTE"," · Falta precio de venta","")&amp;IF($P438="COSTO PENDIENTE"," · Falta costo del producto","")&amp;IF(AND(ISNUMBER($Q438),$Q438&lt;0)," · UTILIDAD NEGATIVA","")&amp;IF(AND($F438&lt;&gt;"",ISNUMBER(INDEX(tblInventario[Stock actual],MATCH($F438,tblInventario[SKU],0))),INDEX(tblInventario[Stock actual],MATCH($F438,tblInventario[SKU],0))&lt;0)," · Stock negativo del SKU","")&amp;IF(AND($T438="Cobrado",$U438="")," · Cobro sin fecha","")&amp;IF(AND(ISNUMBER($V438),ISNUMBER($N438),$V438&gt;N($N438)+0.01)," · Cobrado &gt; venta neta","")&amp;IF(AND(ISNUMBER($V438),$V438&gt;0,$U438="")," · Monto cobrado sin fecha","")="","OK",MID(IF($B438=""," · Falta fecha","")&amp;IF($D438=""," · Falta cliente","")&amp;IF($E438=""," · Falta canal","")&amp;IF($F438=""," · Falta SKU","")&amp;IF(AND($F438&lt;&gt;"",COUNTIF(tblProductos[SKU],$F438)=0)," · SKU no existe","")&amp;IF(OR($I438="",NOT(ISNUMBER($I438)),$I438&lt;=0)," · Cantidad inválida","")&amp;IF($M438="PRECIO PENDIENTE"," · Falta precio de venta","")&amp;IF($P438="COSTO PENDIENTE"," · Falta costo del producto","")&amp;IF(AND(ISNUMBER($Q438),$Q438&lt;0)," · UTILIDAD NEGATIVA","")&amp;IF(AND($F438&lt;&gt;"",ISNUMBER(INDEX(tblInventario[Stock actual],MATCH($F438,tblInventario[SKU],0))),INDEX(tblInventario[Stock actual],MATCH($F438,tblInventario[SKU],0))&lt;0)," · Stock negativo del SKU","")&amp;IF(AND($T438="Cobrado",$U438="")," · Cobro sin fecha","")&amp;IF(AND(ISNUMBER($V438),ISNUMBER($N438),$V438&gt;N($N438)+0.01)," · Cobrado &gt; venta neta","")&amp;IF(AND(ISNUMBER($V438),$V438&gt;0,$U438="")," · Monto cobrado sin fecha",""),4,900)))</f>
        <v/>
      </c>
    </row>
    <row r="439">
      <c r="A439" s="51">
        <f>IF(COUNTA($B439,$C439,$D439,$E439,$F439,$I439)=0,"","V-"&amp;TEXT(ROW()-6,"0000"))</f>
        <v/>
      </c>
      <c r="B439" s="41" t="n"/>
      <c r="C439" s="33" t="n"/>
      <c r="D439" s="33" t="n"/>
      <c r="E439" s="33" t="n"/>
      <c r="F439" s="33" t="n"/>
      <c r="G439" s="51">
        <f>IF($F439="","",IFERROR(IF(INDEX(tblProductos[Nombre del producto],MATCH($F439,tblProductos[SKU],0))="","",INDEX(tblProductos[Nombre del producto],MATCH($F439,tblProductos[SKU],0))),""))</f>
        <v/>
      </c>
      <c r="H439" s="51">
        <f>IF($F439="","",IFERROR(IF(INDEX(tblProductos[Categoría],MATCH($F439,tblProductos[SKU],0))="","",INDEX(tblProductos[Categoría],MATCH($F439,tblProductos[SKU],0))),""))</f>
        <v/>
      </c>
      <c r="I439" s="34" t="n"/>
      <c r="J439" s="39">
        <f>IF(OR($B439="",$F439="",$I439=""),"",IF($T439="Anulado",0,$I439))</f>
        <v/>
      </c>
      <c r="K439" s="54">
        <f>IF($F439="","",IFERROR(IF(INDEX(tblProductos[Precio de venta actual],MATCH($F439,tblProductos[SKU],0))="","",INDEX(tblProductos[Precio de venta actual],MATCH($F439,tblProductos[SKU],0))),""))</f>
        <v/>
      </c>
      <c r="L439" s="36" t="n"/>
      <c r="M439" s="37">
        <f>IF($J439="","",IF(NOT(ISNUMBER($K439)),"PRECIO PENDIENTE",$J439*$K439))</f>
        <v/>
      </c>
      <c r="N439" s="37">
        <f>IF($J439="","",IF(NOT(ISNUMBER($M439)),"PRECIO PENDIENTE",$M439-IF(ISNUMBER($L439),$L439,0)))</f>
        <v/>
      </c>
      <c r="O439" s="54">
        <f>IF($F439="","",IFERROR(INDEX(tblInventario[Costo unitario aplicado],MATCH($F439,tblInventario[SKU],0)),""))</f>
        <v/>
      </c>
      <c r="P439" s="37">
        <f>IF($J439="","",IF(NOT(ISNUMBER($O439)),"COSTO PENDIENTE",$J439*$O439))</f>
        <v/>
      </c>
      <c r="Q439" s="37">
        <f>IF($J439="","",IF(OR(NOT(ISNUMBER($N439)),NOT(ISNUMBER($P439))),"PENDIENTE",$N439-$P439))</f>
        <v/>
      </c>
      <c r="R439" s="38">
        <f>IF($J439="","",IF(OR(NOT(ISNUMBER($Q439)),NOT(ISNUMBER($N439)),$N439&lt;=0),"PENDIENTE",$Q439/$N439))</f>
        <v/>
      </c>
      <c r="S439" s="33" t="n"/>
      <c r="T439" s="33" t="n"/>
      <c r="U439" s="41" t="n"/>
      <c r="V439" s="36" t="n"/>
      <c r="W439" s="37">
        <f>IF(NOT(ISNUMBER($N439)),"",$N439-IF(ISNUMBER($V439),$V439,0))</f>
        <v/>
      </c>
      <c r="X439" s="33" t="n"/>
      <c r="Y439" s="51">
        <f>IF(COUNTA($B439,$C439,$D439,$E439,$F439,$I439)=0,"",IF(IF($B439=""," · Falta fecha","")&amp;IF($D439=""," · Falta cliente","")&amp;IF($E439=""," · Falta canal","")&amp;IF($F439=""," · Falta SKU","")&amp;IF(AND($F439&lt;&gt;"",COUNTIF(tblProductos[SKU],$F439)=0)," · SKU no existe","")&amp;IF(OR($I439="",NOT(ISNUMBER($I439)),$I439&lt;=0)," · Cantidad inválida","")&amp;IF($M439="PRECIO PENDIENTE"," · Falta precio de venta","")&amp;IF($P439="COSTO PENDIENTE"," · Falta costo del producto","")&amp;IF(AND(ISNUMBER($Q439),$Q439&lt;0)," · UTILIDAD NEGATIVA","")&amp;IF(AND($F439&lt;&gt;"",ISNUMBER(INDEX(tblInventario[Stock actual],MATCH($F439,tblInventario[SKU],0))),INDEX(tblInventario[Stock actual],MATCH($F439,tblInventario[SKU],0))&lt;0)," · Stock negativo del SKU","")&amp;IF(AND($T439="Cobrado",$U439="")," · Cobro sin fecha","")&amp;IF(AND(ISNUMBER($V439),ISNUMBER($N439),$V439&gt;N($N439)+0.01)," · Cobrado &gt; venta neta","")&amp;IF(AND(ISNUMBER($V439),$V439&gt;0,$U439="")," · Monto cobrado sin fecha","")="","OK",MID(IF($B439=""," · Falta fecha","")&amp;IF($D439=""," · Falta cliente","")&amp;IF($E439=""," · Falta canal","")&amp;IF($F439=""," · Falta SKU","")&amp;IF(AND($F439&lt;&gt;"",COUNTIF(tblProductos[SKU],$F439)=0)," · SKU no existe","")&amp;IF(OR($I439="",NOT(ISNUMBER($I439)),$I439&lt;=0)," · Cantidad inválida","")&amp;IF($M439="PRECIO PENDIENTE"," · Falta precio de venta","")&amp;IF($P439="COSTO PENDIENTE"," · Falta costo del producto","")&amp;IF(AND(ISNUMBER($Q439),$Q439&lt;0)," · UTILIDAD NEGATIVA","")&amp;IF(AND($F439&lt;&gt;"",ISNUMBER(INDEX(tblInventario[Stock actual],MATCH($F439,tblInventario[SKU],0))),INDEX(tblInventario[Stock actual],MATCH($F439,tblInventario[SKU],0))&lt;0)," · Stock negativo del SKU","")&amp;IF(AND($T439="Cobrado",$U439="")," · Cobro sin fecha","")&amp;IF(AND(ISNUMBER($V439),ISNUMBER($N439),$V439&gt;N($N439)+0.01)," · Cobrado &gt; venta neta","")&amp;IF(AND(ISNUMBER($V439),$V439&gt;0,$U439="")," · Monto cobrado sin fecha",""),4,900)))</f>
        <v/>
      </c>
    </row>
    <row r="440">
      <c r="A440" s="51">
        <f>IF(COUNTA($B440,$C440,$D440,$E440,$F440,$I440)=0,"","V-"&amp;TEXT(ROW()-6,"0000"))</f>
        <v/>
      </c>
      <c r="B440" s="41" t="n"/>
      <c r="C440" s="33" t="n"/>
      <c r="D440" s="33" t="n"/>
      <c r="E440" s="33" t="n"/>
      <c r="F440" s="33" t="n"/>
      <c r="G440" s="51">
        <f>IF($F440="","",IFERROR(IF(INDEX(tblProductos[Nombre del producto],MATCH($F440,tblProductos[SKU],0))="","",INDEX(tblProductos[Nombre del producto],MATCH($F440,tblProductos[SKU],0))),""))</f>
        <v/>
      </c>
      <c r="H440" s="51">
        <f>IF($F440="","",IFERROR(IF(INDEX(tblProductos[Categoría],MATCH($F440,tblProductos[SKU],0))="","",INDEX(tblProductos[Categoría],MATCH($F440,tblProductos[SKU],0))),""))</f>
        <v/>
      </c>
      <c r="I440" s="34" t="n"/>
      <c r="J440" s="39">
        <f>IF(OR($B440="",$F440="",$I440=""),"",IF($T440="Anulado",0,$I440))</f>
        <v/>
      </c>
      <c r="K440" s="54">
        <f>IF($F440="","",IFERROR(IF(INDEX(tblProductos[Precio de venta actual],MATCH($F440,tblProductos[SKU],0))="","",INDEX(tblProductos[Precio de venta actual],MATCH($F440,tblProductos[SKU],0))),""))</f>
        <v/>
      </c>
      <c r="L440" s="36" t="n"/>
      <c r="M440" s="37">
        <f>IF($J440="","",IF(NOT(ISNUMBER($K440)),"PRECIO PENDIENTE",$J440*$K440))</f>
        <v/>
      </c>
      <c r="N440" s="37">
        <f>IF($J440="","",IF(NOT(ISNUMBER($M440)),"PRECIO PENDIENTE",$M440-IF(ISNUMBER($L440),$L440,0)))</f>
        <v/>
      </c>
      <c r="O440" s="54">
        <f>IF($F440="","",IFERROR(INDEX(tblInventario[Costo unitario aplicado],MATCH($F440,tblInventario[SKU],0)),""))</f>
        <v/>
      </c>
      <c r="P440" s="37">
        <f>IF($J440="","",IF(NOT(ISNUMBER($O440)),"COSTO PENDIENTE",$J440*$O440))</f>
        <v/>
      </c>
      <c r="Q440" s="37">
        <f>IF($J440="","",IF(OR(NOT(ISNUMBER($N440)),NOT(ISNUMBER($P440))),"PENDIENTE",$N440-$P440))</f>
        <v/>
      </c>
      <c r="R440" s="38">
        <f>IF($J440="","",IF(OR(NOT(ISNUMBER($Q440)),NOT(ISNUMBER($N440)),$N440&lt;=0),"PENDIENTE",$Q440/$N440))</f>
        <v/>
      </c>
      <c r="S440" s="33" t="n"/>
      <c r="T440" s="33" t="n"/>
      <c r="U440" s="41" t="n"/>
      <c r="V440" s="36" t="n"/>
      <c r="W440" s="37">
        <f>IF(NOT(ISNUMBER($N440)),"",$N440-IF(ISNUMBER($V440),$V440,0))</f>
        <v/>
      </c>
      <c r="X440" s="33" t="n"/>
      <c r="Y440" s="51">
        <f>IF(COUNTA($B440,$C440,$D440,$E440,$F440,$I440)=0,"",IF(IF($B440=""," · Falta fecha","")&amp;IF($D440=""," · Falta cliente","")&amp;IF($E440=""," · Falta canal","")&amp;IF($F440=""," · Falta SKU","")&amp;IF(AND($F440&lt;&gt;"",COUNTIF(tblProductos[SKU],$F440)=0)," · SKU no existe","")&amp;IF(OR($I440="",NOT(ISNUMBER($I440)),$I440&lt;=0)," · Cantidad inválida","")&amp;IF($M440="PRECIO PENDIENTE"," · Falta precio de venta","")&amp;IF($P440="COSTO PENDIENTE"," · Falta costo del producto","")&amp;IF(AND(ISNUMBER($Q440),$Q440&lt;0)," · UTILIDAD NEGATIVA","")&amp;IF(AND($F440&lt;&gt;"",ISNUMBER(INDEX(tblInventario[Stock actual],MATCH($F440,tblInventario[SKU],0))),INDEX(tblInventario[Stock actual],MATCH($F440,tblInventario[SKU],0))&lt;0)," · Stock negativo del SKU","")&amp;IF(AND($T440="Cobrado",$U440="")," · Cobro sin fecha","")&amp;IF(AND(ISNUMBER($V440),ISNUMBER($N440),$V440&gt;N($N440)+0.01)," · Cobrado &gt; venta neta","")&amp;IF(AND(ISNUMBER($V440),$V440&gt;0,$U440="")," · Monto cobrado sin fecha","")="","OK",MID(IF($B440=""," · Falta fecha","")&amp;IF($D440=""," · Falta cliente","")&amp;IF($E440=""," · Falta canal","")&amp;IF($F440=""," · Falta SKU","")&amp;IF(AND($F440&lt;&gt;"",COUNTIF(tblProductos[SKU],$F440)=0)," · SKU no existe","")&amp;IF(OR($I440="",NOT(ISNUMBER($I440)),$I440&lt;=0)," · Cantidad inválida","")&amp;IF($M440="PRECIO PENDIENTE"," · Falta precio de venta","")&amp;IF($P440="COSTO PENDIENTE"," · Falta costo del producto","")&amp;IF(AND(ISNUMBER($Q440),$Q440&lt;0)," · UTILIDAD NEGATIVA","")&amp;IF(AND($F440&lt;&gt;"",ISNUMBER(INDEX(tblInventario[Stock actual],MATCH($F440,tblInventario[SKU],0))),INDEX(tblInventario[Stock actual],MATCH($F440,tblInventario[SKU],0))&lt;0)," · Stock negativo del SKU","")&amp;IF(AND($T440="Cobrado",$U440="")," · Cobro sin fecha","")&amp;IF(AND(ISNUMBER($V440),ISNUMBER($N440),$V440&gt;N($N440)+0.01)," · Cobrado &gt; venta neta","")&amp;IF(AND(ISNUMBER($V440),$V440&gt;0,$U440="")," · Monto cobrado sin fecha",""),4,900)))</f>
        <v/>
      </c>
    </row>
    <row r="441">
      <c r="A441" s="51">
        <f>IF(COUNTA($B441,$C441,$D441,$E441,$F441,$I441)=0,"","V-"&amp;TEXT(ROW()-6,"0000"))</f>
        <v/>
      </c>
      <c r="B441" s="41" t="n"/>
      <c r="C441" s="33" t="n"/>
      <c r="D441" s="33" t="n"/>
      <c r="E441" s="33" t="n"/>
      <c r="F441" s="33" t="n"/>
      <c r="G441" s="51">
        <f>IF($F441="","",IFERROR(IF(INDEX(tblProductos[Nombre del producto],MATCH($F441,tblProductos[SKU],0))="","",INDEX(tblProductos[Nombre del producto],MATCH($F441,tblProductos[SKU],0))),""))</f>
        <v/>
      </c>
      <c r="H441" s="51">
        <f>IF($F441="","",IFERROR(IF(INDEX(tblProductos[Categoría],MATCH($F441,tblProductos[SKU],0))="","",INDEX(tblProductos[Categoría],MATCH($F441,tblProductos[SKU],0))),""))</f>
        <v/>
      </c>
      <c r="I441" s="34" t="n"/>
      <c r="J441" s="39">
        <f>IF(OR($B441="",$F441="",$I441=""),"",IF($T441="Anulado",0,$I441))</f>
        <v/>
      </c>
      <c r="K441" s="54">
        <f>IF($F441="","",IFERROR(IF(INDEX(tblProductos[Precio de venta actual],MATCH($F441,tblProductos[SKU],0))="","",INDEX(tblProductos[Precio de venta actual],MATCH($F441,tblProductos[SKU],0))),""))</f>
        <v/>
      </c>
      <c r="L441" s="36" t="n"/>
      <c r="M441" s="37">
        <f>IF($J441="","",IF(NOT(ISNUMBER($K441)),"PRECIO PENDIENTE",$J441*$K441))</f>
        <v/>
      </c>
      <c r="N441" s="37">
        <f>IF($J441="","",IF(NOT(ISNUMBER($M441)),"PRECIO PENDIENTE",$M441-IF(ISNUMBER($L441),$L441,0)))</f>
        <v/>
      </c>
      <c r="O441" s="54">
        <f>IF($F441="","",IFERROR(INDEX(tblInventario[Costo unitario aplicado],MATCH($F441,tblInventario[SKU],0)),""))</f>
        <v/>
      </c>
      <c r="P441" s="37">
        <f>IF($J441="","",IF(NOT(ISNUMBER($O441)),"COSTO PENDIENTE",$J441*$O441))</f>
        <v/>
      </c>
      <c r="Q441" s="37">
        <f>IF($J441="","",IF(OR(NOT(ISNUMBER($N441)),NOT(ISNUMBER($P441))),"PENDIENTE",$N441-$P441))</f>
        <v/>
      </c>
      <c r="R441" s="38">
        <f>IF($J441="","",IF(OR(NOT(ISNUMBER($Q441)),NOT(ISNUMBER($N441)),$N441&lt;=0),"PENDIENTE",$Q441/$N441))</f>
        <v/>
      </c>
      <c r="S441" s="33" t="n"/>
      <c r="T441" s="33" t="n"/>
      <c r="U441" s="41" t="n"/>
      <c r="V441" s="36" t="n"/>
      <c r="W441" s="37">
        <f>IF(NOT(ISNUMBER($N441)),"",$N441-IF(ISNUMBER($V441),$V441,0))</f>
        <v/>
      </c>
      <c r="X441" s="33" t="n"/>
      <c r="Y441" s="51">
        <f>IF(COUNTA($B441,$C441,$D441,$E441,$F441,$I441)=0,"",IF(IF($B441=""," · Falta fecha","")&amp;IF($D441=""," · Falta cliente","")&amp;IF($E441=""," · Falta canal","")&amp;IF($F441=""," · Falta SKU","")&amp;IF(AND($F441&lt;&gt;"",COUNTIF(tblProductos[SKU],$F441)=0)," · SKU no existe","")&amp;IF(OR($I441="",NOT(ISNUMBER($I441)),$I441&lt;=0)," · Cantidad inválida","")&amp;IF($M441="PRECIO PENDIENTE"," · Falta precio de venta","")&amp;IF($P441="COSTO PENDIENTE"," · Falta costo del producto","")&amp;IF(AND(ISNUMBER($Q441),$Q441&lt;0)," · UTILIDAD NEGATIVA","")&amp;IF(AND($F441&lt;&gt;"",ISNUMBER(INDEX(tblInventario[Stock actual],MATCH($F441,tblInventario[SKU],0))),INDEX(tblInventario[Stock actual],MATCH($F441,tblInventario[SKU],0))&lt;0)," · Stock negativo del SKU","")&amp;IF(AND($T441="Cobrado",$U441="")," · Cobro sin fecha","")&amp;IF(AND(ISNUMBER($V441),ISNUMBER($N441),$V441&gt;N($N441)+0.01)," · Cobrado &gt; venta neta","")&amp;IF(AND(ISNUMBER($V441),$V441&gt;0,$U441="")," · Monto cobrado sin fecha","")="","OK",MID(IF($B441=""," · Falta fecha","")&amp;IF($D441=""," · Falta cliente","")&amp;IF($E441=""," · Falta canal","")&amp;IF($F441=""," · Falta SKU","")&amp;IF(AND($F441&lt;&gt;"",COUNTIF(tblProductos[SKU],$F441)=0)," · SKU no existe","")&amp;IF(OR($I441="",NOT(ISNUMBER($I441)),$I441&lt;=0)," · Cantidad inválida","")&amp;IF($M441="PRECIO PENDIENTE"," · Falta precio de venta","")&amp;IF($P441="COSTO PENDIENTE"," · Falta costo del producto","")&amp;IF(AND(ISNUMBER($Q441),$Q441&lt;0)," · UTILIDAD NEGATIVA","")&amp;IF(AND($F441&lt;&gt;"",ISNUMBER(INDEX(tblInventario[Stock actual],MATCH($F441,tblInventario[SKU],0))),INDEX(tblInventario[Stock actual],MATCH($F441,tblInventario[SKU],0))&lt;0)," · Stock negativo del SKU","")&amp;IF(AND($T441="Cobrado",$U441="")," · Cobro sin fecha","")&amp;IF(AND(ISNUMBER($V441),ISNUMBER($N441),$V441&gt;N($N441)+0.01)," · Cobrado &gt; venta neta","")&amp;IF(AND(ISNUMBER($V441),$V441&gt;0,$U441="")," · Monto cobrado sin fecha",""),4,900)))</f>
        <v/>
      </c>
    </row>
    <row r="442">
      <c r="A442" s="51">
        <f>IF(COUNTA($B442,$C442,$D442,$E442,$F442,$I442)=0,"","V-"&amp;TEXT(ROW()-6,"0000"))</f>
        <v/>
      </c>
      <c r="B442" s="41" t="n"/>
      <c r="C442" s="33" t="n"/>
      <c r="D442" s="33" t="n"/>
      <c r="E442" s="33" t="n"/>
      <c r="F442" s="33" t="n"/>
      <c r="G442" s="51">
        <f>IF($F442="","",IFERROR(IF(INDEX(tblProductos[Nombre del producto],MATCH($F442,tblProductos[SKU],0))="","",INDEX(tblProductos[Nombre del producto],MATCH($F442,tblProductos[SKU],0))),""))</f>
        <v/>
      </c>
      <c r="H442" s="51">
        <f>IF($F442="","",IFERROR(IF(INDEX(tblProductos[Categoría],MATCH($F442,tblProductos[SKU],0))="","",INDEX(tblProductos[Categoría],MATCH($F442,tblProductos[SKU],0))),""))</f>
        <v/>
      </c>
      <c r="I442" s="34" t="n"/>
      <c r="J442" s="39">
        <f>IF(OR($B442="",$F442="",$I442=""),"",IF($T442="Anulado",0,$I442))</f>
        <v/>
      </c>
      <c r="K442" s="54">
        <f>IF($F442="","",IFERROR(IF(INDEX(tblProductos[Precio de venta actual],MATCH($F442,tblProductos[SKU],0))="","",INDEX(tblProductos[Precio de venta actual],MATCH($F442,tblProductos[SKU],0))),""))</f>
        <v/>
      </c>
      <c r="L442" s="36" t="n"/>
      <c r="M442" s="37">
        <f>IF($J442="","",IF(NOT(ISNUMBER($K442)),"PRECIO PENDIENTE",$J442*$K442))</f>
        <v/>
      </c>
      <c r="N442" s="37">
        <f>IF($J442="","",IF(NOT(ISNUMBER($M442)),"PRECIO PENDIENTE",$M442-IF(ISNUMBER($L442),$L442,0)))</f>
        <v/>
      </c>
      <c r="O442" s="54">
        <f>IF($F442="","",IFERROR(INDEX(tblInventario[Costo unitario aplicado],MATCH($F442,tblInventario[SKU],0)),""))</f>
        <v/>
      </c>
      <c r="P442" s="37">
        <f>IF($J442="","",IF(NOT(ISNUMBER($O442)),"COSTO PENDIENTE",$J442*$O442))</f>
        <v/>
      </c>
      <c r="Q442" s="37">
        <f>IF($J442="","",IF(OR(NOT(ISNUMBER($N442)),NOT(ISNUMBER($P442))),"PENDIENTE",$N442-$P442))</f>
        <v/>
      </c>
      <c r="R442" s="38">
        <f>IF($J442="","",IF(OR(NOT(ISNUMBER($Q442)),NOT(ISNUMBER($N442)),$N442&lt;=0),"PENDIENTE",$Q442/$N442))</f>
        <v/>
      </c>
      <c r="S442" s="33" t="n"/>
      <c r="T442" s="33" t="n"/>
      <c r="U442" s="41" t="n"/>
      <c r="V442" s="36" t="n"/>
      <c r="W442" s="37">
        <f>IF(NOT(ISNUMBER($N442)),"",$N442-IF(ISNUMBER($V442),$V442,0))</f>
        <v/>
      </c>
      <c r="X442" s="33" t="n"/>
      <c r="Y442" s="51">
        <f>IF(COUNTA($B442,$C442,$D442,$E442,$F442,$I442)=0,"",IF(IF($B442=""," · Falta fecha","")&amp;IF($D442=""," · Falta cliente","")&amp;IF($E442=""," · Falta canal","")&amp;IF($F442=""," · Falta SKU","")&amp;IF(AND($F442&lt;&gt;"",COUNTIF(tblProductos[SKU],$F442)=0)," · SKU no existe","")&amp;IF(OR($I442="",NOT(ISNUMBER($I442)),$I442&lt;=0)," · Cantidad inválida","")&amp;IF($M442="PRECIO PENDIENTE"," · Falta precio de venta","")&amp;IF($P442="COSTO PENDIENTE"," · Falta costo del producto","")&amp;IF(AND(ISNUMBER($Q442),$Q442&lt;0)," · UTILIDAD NEGATIVA","")&amp;IF(AND($F442&lt;&gt;"",ISNUMBER(INDEX(tblInventario[Stock actual],MATCH($F442,tblInventario[SKU],0))),INDEX(tblInventario[Stock actual],MATCH($F442,tblInventario[SKU],0))&lt;0)," · Stock negativo del SKU","")&amp;IF(AND($T442="Cobrado",$U442="")," · Cobro sin fecha","")&amp;IF(AND(ISNUMBER($V442),ISNUMBER($N442),$V442&gt;N($N442)+0.01)," · Cobrado &gt; venta neta","")&amp;IF(AND(ISNUMBER($V442),$V442&gt;0,$U442="")," · Monto cobrado sin fecha","")="","OK",MID(IF($B442=""," · Falta fecha","")&amp;IF($D442=""," · Falta cliente","")&amp;IF($E442=""," · Falta canal","")&amp;IF($F442=""," · Falta SKU","")&amp;IF(AND($F442&lt;&gt;"",COUNTIF(tblProductos[SKU],$F442)=0)," · SKU no existe","")&amp;IF(OR($I442="",NOT(ISNUMBER($I442)),$I442&lt;=0)," · Cantidad inválida","")&amp;IF($M442="PRECIO PENDIENTE"," · Falta precio de venta","")&amp;IF($P442="COSTO PENDIENTE"," · Falta costo del producto","")&amp;IF(AND(ISNUMBER($Q442),$Q442&lt;0)," · UTILIDAD NEGATIVA","")&amp;IF(AND($F442&lt;&gt;"",ISNUMBER(INDEX(tblInventario[Stock actual],MATCH($F442,tblInventario[SKU],0))),INDEX(tblInventario[Stock actual],MATCH($F442,tblInventario[SKU],0))&lt;0)," · Stock negativo del SKU","")&amp;IF(AND($T442="Cobrado",$U442="")," · Cobro sin fecha","")&amp;IF(AND(ISNUMBER($V442),ISNUMBER($N442),$V442&gt;N($N442)+0.01)," · Cobrado &gt; venta neta","")&amp;IF(AND(ISNUMBER($V442),$V442&gt;0,$U442="")," · Monto cobrado sin fecha",""),4,900)))</f>
        <v/>
      </c>
    </row>
    <row r="443">
      <c r="A443" s="51">
        <f>IF(COUNTA($B443,$C443,$D443,$E443,$F443,$I443)=0,"","V-"&amp;TEXT(ROW()-6,"0000"))</f>
        <v/>
      </c>
      <c r="B443" s="41" t="n"/>
      <c r="C443" s="33" t="n"/>
      <c r="D443" s="33" t="n"/>
      <c r="E443" s="33" t="n"/>
      <c r="F443" s="33" t="n"/>
      <c r="G443" s="51">
        <f>IF($F443="","",IFERROR(IF(INDEX(tblProductos[Nombre del producto],MATCH($F443,tblProductos[SKU],0))="","",INDEX(tblProductos[Nombre del producto],MATCH($F443,tblProductos[SKU],0))),""))</f>
        <v/>
      </c>
      <c r="H443" s="51">
        <f>IF($F443="","",IFERROR(IF(INDEX(tblProductos[Categoría],MATCH($F443,tblProductos[SKU],0))="","",INDEX(tblProductos[Categoría],MATCH($F443,tblProductos[SKU],0))),""))</f>
        <v/>
      </c>
      <c r="I443" s="34" t="n"/>
      <c r="J443" s="39">
        <f>IF(OR($B443="",$F443="",$I443=""),"",IF($T443="Anulado",0,$I443))</f>
        <v/>
      </c>
      <c r="K443" s="54">
        <f>IF($F443="","",IFERROR(IF(INDEX(tblProductos[Precio de venta actual],MATCH($F443,tblProductos[SKU],0))="","",INDEX(tblProductos[Precio de venta actual],MATCH($F443,tblProductos[SKU],0))),""))</f>
        <v/>
      </c>
      <c r="L443" s="36" t="n"/>
      <c r="M443" s="37">
        <f>IF($J443="","",IF(NOT(ISNUMBER($K443)),"PRECIO PENDIENTE",$J443*$K443))</f>
        <v/>
      </c>
      <c r="N443" s="37">
        <f>IF($J443="","",IF(NOT(ISNUMBER($M443)),"PRECIO PENDIENTE",$M443-IF(ISNUMBER($L443),$L443,0)))</f>
        <v/>
      </c>
      <c r="O443" s="54">
        <f>IF($F443="","",IFERROR(INDEX(tblInventario[Costo unitario aplicado],MATCH($F443,tblInventario[SKU],0)),""))</f>
        <v/>
      </c>
      <c r="P443" s="37">
        <f>IF($J443="","",IF(NOT(ISNUMBER($O443)),"COSTO PENDIENTE",$J443*$O443))</f>
        <v/>
      </c>
      <c r="Q443" s="37">
        <f>IF($J443="","",IF(OR(NOT(ISNUMBER($N443)),NOT(ISNUMBER($P443))),"PENDIENTE",$N443-$P443))</f>
        <v/>
      </c>
      <c r="R443" s="38">
        <f>IF($J443="","",IF(OR(NOT(ISNUMBER($Q443)),NOT(ISNUMBER($N443)),$N443&lt;=0),"PENDIENTE",$Q443/$N443))</f>
        <v/>
      </c>
      <c r="S443" s="33" t="n"/>
      <c r="T443" s="33" t="n"/>
      <c r="U443" s="41" t="n"/>
      <c r="V443" s="36" t="n"/>
      <c r="W443" s="37">
        <f>IF(NOT(ISNUMBER($N443)),"",$N443-IF(ISNUMBER($V443),$V443,0))</f>
        <v/>
      </c>
      <c r="X443" s="33" t="n"/>
      <c r="Y443" s="51">
        <f>IF(COUNTA($B443,$C443,$D443,$E443,$F443,$I443)=0,"",IF(IF($B443=""," · Falta fecha","")&amp;IF($D443=""," · Falta cliente","")&amp;IF($E443=""," · Falta canal","")&amp;IF($F443=""," · Falta SKU","")&amp;IF(AND($F443&lt;&gt;"",COUNTIF(tblProductos[SKU],$F443)=0)," · SKU no existe","")&amp;IF(OR($I443="",NOT(ISNUMBER($I443)),$I443&lt;=0)," · Cantidad inválida","")&amp;IF($M443="PRECIO PENDIENTE"," · Falta precio de venta","")&amp;IF($P443="COSTO PENDIENTE"," · Falta costo del producto","")&amp;IF(AND(ISNUMBER($Q443),$Q443&lt;0)," · UTILIDAD NEGATIVA","")&amp;IF(AND($F443&lt;&gt;"",ISNUMBER(INDEX(tblInventario[Stock actual],MATCH($F443,tblInventario[SKU],0))),INDEX(tblInventario[Stock actual],MATCH($F443,tblInventario[SKU],0))&lt;0)," · Stock negativo del SKU","")&amp;IF(AND($T443="Cobrado",$U443="")," · Cobro sin fecha","")&amp;IF(AND(ISNUMBER($V443),ISNUMBER($N443),$V443&gt;N($N443)+0.01)," · Cobrado &gt; venta neta","")&amp;IF(AND(ISNUMBER($V443),$V443&gt;0,$U443="")," · Monto cobrado sin fecha","")="","OK",MID(IF($B443=""," · Falta fecha","")&amp;IF($D443=""," · Falta cliente","")&amp;IF($E443=""," · Falta canal","")&amp;IF($F443=""," · Falta SKU","")&amp;IF(AND($F443&lt;&gt;"",COUNTIF(tblProductos[SKU],$F443)=0)," · SKU no existe","")&amp;IF(OR($I443="",NOT(ISNUMBER($I443)),$I443&lt;=0)," · Cantidad inválida","")&amp;IF($M443="PRECIO PENDIENTE"," · Falta precio de venta","")&amp;IF($P443="COSTO PENDIENTE"," · Falta costo del producto","")&amp;IF(AND(ISNUMBER($Q443),$Q443&lt;0)," · UTILIDAD NEGATIVA","")&amp;IF(AND($F443&lt;&gt;"",ISNUMBER(INDEX(tblInventario[Stock actual],MATCH($F443,tblInventario[SKU],0))),INDEX(tblInventario[Stock actual],MATCH($F443,tblInventario[SKU],0))&lt;0)," · Stock negativo del SKU","")&amp;IF(AND($T443="Cobrado",$U443="")," · Cobro sin fecha","")&amp;IF(AND(ISNUMBER($V443),ISNUMBER($N443),$V443&gt;N($N443)+0.01)," · Cobrado &gt; venta neta","")&amp;IF(AND(ISNUMBER($V443),$V443&gt;0,$U443="")," · Monto cobrado sin fecha",""),4,900)))</f>
        <v/>
      </c>
    </row>
    <row r="444">
      <c r="A444" s="51">
        <f>IF(COUNTA($B444,$C444,$D444,$E444,$F444,$I444)=0,"","V-"&amp;TEXT(ROW()-6,"0000"))</f>
        <v/>
      </c>
      <c r="B444" s="41" t="n"/>
      <c r="C444" s="33" t="n"/>
      <c r="D444" s="33" t="n"/>
      <c r="E444" s="33" t="n"/>
      <c r="F444" s="33" t="n"/>
      <c r="G444" s="51">
        <f>IF($F444="","",IFERROR(IF(INDEX(tblProductos[Nombre del producto],MATCH($F444,tblProductos[SKU],0))="","",INDEX(tblProductos[Nombre del producto],MATCH($F444,tblProductos[SKU],0))),""))</f>
        <v/>
      </c>
      <c r="H444" s="51">
        <f>IF($F444="","",IFERROR(IF(INDEX(tblProductos[Categoría],MATCH($F444,tblProductos[SKU],0))="","",INDEX(tblProductos[Categoría],MATCH($F444,tblProductos[SKU],0))),""))</f>
        <v/>
      </c>
      <c r="I444" s="34" t="n"/>
      <c r="J444" s="39">
        <f>IF(OR($B444="",$F444="",$I444=""),"",IF($T444="Anulado",0,$I444))</f>
        <v/>
      </c>
      <c r="K444" s="54">
        <f>IF($F444="","",IFERROR(IF(INDEX(tblProductos[Precio de venta actual],MATCH($F444,tblProductos[SKU],0))="","",INDEX(tblProductos[Precio de venta actual],MATCH($F444,tblProductos[SKU],0))),""))</f>
        <v/>
      </c>
      <c r="L444" s="36" t="n"/>
      <c r="M444" s="37">
        <f>IF($J444="","",IF(NOT(ISNUMBER($K444)),"PRECIO PENDIENTE",$J444*$K444))</f>
        <v/>
      </c>
      <c r="N444" s="37">
        <f>IF($J444="","",IF(NOT(ISNUMBER($M444)),"PRECIO PENDIENTE",$M444-IF(ISNUMBER($L444),$L444,0)))</f>
        <v/>
      </c>
      <c r="O444" s="54">
        <f>IF($F444="","",IFERROR(INDEX(tblInventario[Costo unitario aplicado],MATCH($F444,tblInventario[SKU],0)),""))</f>
        <v/>
      </c>
      <c r="P444" s="37">
        <f>IF($J444="","",IF(NOT(ISNUMBER($O444)),"COSTO PENDIENTE",$J444*$O444))</f>
        <v/>
      </c>
      <c r="Q444" s="37">
        <f>IF($J444="","",IF(OR(NOT(ISNUMBER($N444)),NOT(ISNUMBER($P444))),"PENDIENTE",$N444-$P444))</f>
        <v/>
      </c>
      <c r="R444" s="38">
        <f>IF($J444="","",IF(OR(NOT(ISNUMBER($Q444)),NOT(ISNUMBER($N444)),$N444&lt;=0),"PENDIENTE",$Q444/$N444))</f>
        <v/>
      </c>
      <c r="S444" s="33" t="n"/>
      <c r="T444" s="33" t="n"/>
      <c r="U444" s="41" t="n"/>
      <c r="V444" s="36" t="n"/>
      <c r="W444" s="37">
        <f>IF(NOT(ISNUMBER($N444)),"",$N444-IF(ISNUMBER($V444),$V444,0))</f>
        <v/>
      </c>
      <c r="X444" s="33" t="n"/>
      <c r="Y444" s="51">
        <f>IF(COUNTA($B444,$C444,$D444,$E444,$F444,$I444)=0,"",IF(IF($B444=""," · Falta fecha","")&amp;IF($D444=""," · Falta cliente","")&amp;IF($E444=""," · Falta canal","")&amp;IF($F444=""," · Falta SKU","")&amp;IF(AND($F444&lt;&gt;"",COUNTIF(tblProductos[SKU],$F444)=0)," · SKU no existe","")&amp;IF(OR($I444="",NOT(ISNUMBER($I444)),$I444&lt;=0)," · Cantidad inválida","")&amp;IF($M444="PRECIO PENDIENTE"," · Falta precio de venta","")&amp;IF($P444="COSTO PENDIENTE"," · Falta costo del producto","")&amp;IF(AND(ISNUMBER($Q444),$Q444&lt;0)," · UTILIDAD NEGATIVA","")&amp;IF(AND($F444&lt;&gt;"",ISNUMBER(INDEX(tblInventario[Stock actual],MATCH($F444,tblInventario[SKU],0))),INDEX(tblInventario[Stock actual],MATCH($F444,tblInventario[SKU],0))&lt;0)," · Stock negativo del SKU","")&amp;IF(AND($T444="Cobrado",$U444="")," · Cobro sin fecha","")&amp;IF(AND(ISNUMBER($V444),ISNUMBER($N444),$V444&gt;N($N444)+0.01)," · Cobrado &gt; venta neta","")&amp;IF(AND(ISNUMBER($V444),$V444&gt;0,$U444="")," · Monto cobrado sin fecha","")="","OK",MID(IF($B444=""," · Falta fecha","")&amp;IF($D444=""," · Falta cliente","")&amp;IF($E444=""," · Falta canal","")&amp;IF($F444=""," · Falta SKU","")&amp;IF(AND($F444&lt;&gt;"",COUNTIF(tblProductos[SKU],$F444)=0)," · SKU no existe","")&amp;IF(OR($I444="",NOT(ISNUMBER($I444)),$I444&lt;=0)," · Cantidad inválida","")&amp;IF($M444="PRECIO PENDIENTE"," · Falta precio de venta","")&amp;IF($P444="COSTO PENDIENTE"," · Falta costo del producto","")&amp;IF(AND(ISNUMBER($Q444),$Q444&lt;0)," · UTILIDAD NEGATIVA","")&amp;IF(AND($F444&lt;&gt;"",ISNUMBER(INDEX(tblInventario[Stock actual],MATCH($F444,tblInventario[SKU],0))),INDEX(tblInventario[Stock actual],MATCH($F444,tblInventario[SKU],0))&lt;0)," · Stock negativo del SKU","")&amp;IF(AND($T444="Cobrado",$U444="")," · Cobro sin fecha","")&amp;IF(AND(ISNUMBER($V444),ISNUMBER($N444),$V444&gt;N($N444)+0.01)," · Cobrado &gt; venta neta","")&amp;IF(AND(ISNUMBER($V444),$V444&gt;0,$U444="")," · Monto cobrado sin fecha",""),4,900)))</f>
        <v/>
      </c>
    </row>
    <row r="445">
      <c r="A445" s="51">
        <f>IF(COUNTA($B445,$C445,$D445,$E445,$F445,$I445)=0,"","V-"&amp;TEXT(ROW()-6,"0000"))</f>
        <v/>
      </c>
      <c r="B445" s="41" t="n"/>
      <c r="C445" s="33" t="n"/>
      <c r="D445" s="33" t="n"/>
      <c r="E445" s="33" t="n"/>
      <c r="F445" s="33" t="n"/>
      <c r="G445" s="51">
        <f>IF($F445="","",IFERROR(IF(INDEX(tblProductos[Nombre del producto],MATCH($F445,tblProductos[SKU],0))="","",INDEX(tblProductos[Nombre del producto],MATCH($F445,tblProductos[SKU],0))),""))</f>
        <v/>
      </c>
      <c r="H445" s="51">
        <f>IF($F445="","",IFERROR(IF(INDEX(tblProductos[Categoría],MATCH($F445,tblProductos[SKU],0))="","",INDEX(tblProductos[Categoría],MATCH($F445,tblProductos[SKU],0))),""))</f>
        <v/>
      </c>
      <c r="I445" s="34" t="n"/>
      <c r="J445" s="39">
        <f>IF(OR($B445="",$F445="",$I445=""),"",IF($T445="Anulado",0,$I445))</f>
        <v/>
      </c>
      <c r="K445" s="54">
        <f>IF($F445="","",IFERROR(IF(INDEX(tblProductos[Precio de venta actual],MATCH($F445,tblProductos[SKU],0))="","",INDEX(tblProductos[Precio de venta actual],MATCH($F445,tblProductos[SKU],0))),""))</f>
        <v/>
      </c>
      <c r="L445" s="36" t="n"/>
      <c r="M445" s="37">
        <f>IF($J445="","",IF(NOT(ISNUMBER($K445)),"PRECIO PENDIENTE",$J445*$K445))</f>
        <v/>
      </c>
      <c r="N445" s="37">
        <f>IF($J445="","",IF(NOT(ISNUMBER($M445)),"PRECIO PENDIENTE",$M445-IF(ISNUMBER($L445),$L445,0)))</f>
        <v/>
      </c>
      <c r="O445" s="54">
        <f>IF($F445="","",IFERROR(INDEX(tblInventario[Costo unitario aplicado],MATCH($F445,tblInventario[SKU],0)),""))</f>
        <v/>
      </c>
      <c r="P445" s="37">
        <f>IF($J445="","",IF(NOT(ISNUMBER($O445)),"COSTO PENDIENTE",$J445*$O445))</f>
        <v/>
      </c>
      <c r="Q445" s="37">
        <f>IF($J445="","",IF(OR(NOT(ISNUMBER($N445)),NOT(ISNUMBER($P445))),"PENDIENTE",$N445-$P445))</f>
        <v/>
      </c>
      <c r="R445" s="38">
        <f>IF($J445="","",IF(OR(NOT(ISNUMBER($Q445)),NOT(ISNUMBER($N445)),$N445&lt;=0),"PENDIENTE",$Q445/$N445))</f>
        <v/>
      </c>
      <c r="S445" s="33" t="n"/>
      <c r="T445" s="33" t="n"/>
      <c r="U445" s="41" t="n"/>
      <c r="V445" s="36" t="n"/>
      <c r="W445" s="37">
        <f>IF(NOT(ISNUMBER($N445)),"",$N445-IF(ISNUMBER($V445),$V445,0))</f>
        <v/>
      </c>
      <c r="X445" s="33" t="n"/>
      <c r="Y445" s="51">
        <f>IF(COUNTA($B445,$C445,$D445,$E445,$F445,$I445)=0,"",IF(IF($B445=""," · Falta fecha","")&amp;IF($D445=""," · Falta cliente","")&amp;IF($E445=""," · Falta canal","")&amp;IF($F445=""," · Falta SKU","")&amp;IF(AND($F445&lt;&gt;"",COUNTIF(tblProductos[SKU],$F445)=0)," · SKU no existe","")&amp;IF(OR($I445="",NOT(ISNUMBER($I445)),$I445&lt;=0)," · Cantidad inválida","")&amp;IF($M445="PRECIO PENDIENTE"," · Falta precio de venta","")&amp;IF($P445="COSTO PENDIENTE"," · Falta costo del producto","")&amp;IF(AND(ISNUMBER($Q445),$Q445&lt;0)," · UTILIDAD NEGATIVA","")&amp;IF(AND($F445&lt;&gt;"",ISNUMBER(INDEX(tblInventario[Stock actual],MATCH($F445,tblInventario[SKU],0))),INDEX(tblInventario[Stock actual],MATCH($F445,tblInventario[SKU],0))&lt;0)," · Stock negativo del SKU","")&amp;IF(AND($T445="Cobrado",$U445="")," · Cobro sin fecha","")&amp;IF(AND(ISNUMBER($V445),ISNUMBER($N445),$V445&gt;N($N445)+0.01)," · Cobrado &gt; venta neta","")&amp;IF(AND(ISNUMBER($V445),$V445&gt;0,$U445="")," · Monto cobrado sin fecha","")="","OK",MID(IF($B445=""," · Falta fecha","")&amp;IF($D445=""," · Falta cliente","")&amp;IF($E445=""," · Falta canal","")&amp;IF($F445=""," · Falta SKU","")&amp;IF(AND($F445&lt;&gt;"",COUNTIF(tblProductos[SKU],$F445)=0)," · SKU no existe","")&amp;IF(OR($I445="",NOT(ISNUMBER($I445)),$I445&lt;=0)," · Cantidad inválida","")&amp;IF($M445="PRECIO PENDIENTE"," · Falta precio de venta","")&amp;IF($P445="COSTO PENDIENTE"," · Falta costo del producto","")&amp;IF(AND(ISNUMBER($Q445),$Q445&lt;0)," · UTILIDAD NEGATIVA","")&amp;IF(AND($F445&lt;&gt;"",ISNUMBER(INDEX(tblInventario[Stock actual],MATCH($F445,tblInventario[SKU],0))),INDEX(tblInventario[Stock actual],MATCH($F445,tblInventario[SKU],0))&lt;0)," · Stock negativo del SKU","")&amp;IF(AND($T445="Cobrado",$U445="")," · Cobro sin fecha","")&amp;IF(AND(ISNUMBER($V445),ISNUMBER($N445),$V445&gt;N($N445)+0.01)," · Cobrado &gt; venta neta","")&amp;IF(AND(ISNUMBER($V445),$V445&gt;0,$U445="")," · Monto cobrado sin fecha",""),4,900)))</f>
        <v/>
      </c>
    </row>
    <row r="446">
      <c r="A446" s="51">
        <f>IF(COUNTA($B446,$C446,$D446,$E446,$F446,$I446)=0,"","V-"&amp;TEXT(ROW()-6,"0000"))</f>
        <v/>
      </c>
      <c r="B446" s="41" t="n"/>
      <c r="C446" s="33" t="n"/>
      <c r="D446" s="33" t="n"/>
      <c r="E446" s="33" t="n"/>
      <c r="F446" s="33" t="n"/>
      <c r="G446" s="51">
        <f>IF($F446="","",IFERROR(IF(INDEX(tblProductos[Nombre del producto],MATCH($F446,tblProductos[SKU],0))="","",INDEX(tblProductos[Nombre del producto],MATCH($F446,tblProductos[SKU],0))),""))</f>
        <v/>
      </c>
      <c r="H446" s="51">
        <f>IF($F446="","",IFERROR(IF(INDEX(tblProductos[Categoría],MATCH($F446,tblProductos[SKU],0))="","",INDEX(tblProductos[Categoría],MATCH($F446,tblProductos[SKU],0))),""))</f>
        <v/>
      </c>
      <c r="I446" s="34" t="n"/>
      <c r="J446" s="39">
        <f>IF(OR($B446="",$F446="",$I446=""),"",IF($T446="Anulado",0,$I446))</f>
        <v/>
      </c>
      <c r="K446" s="54">
        <f>IF($F446="","",IFERROR(IF(INDEX(tblProductos[Precio de venta actual],MATCH($F446,tblProductos[SKU],0))="","",INDEX(tblProductos[Precio de venta actual],MATCH($F446,tblProductos[SKU],0))),""))</f>
        <v/>
      </c>
      <c r="L446" s="36" t="n"/>
      <c r="M446" s="37">
        <f>IF($J446="","",IF(NOT(ISNUMBER($K446)),"PRECIO PENDIENTE",$J446*$K446))</f>
        <v/>
      </c>
      <c r="N446" s="37">
        <f>IF($J446="","",IF(NOT(ISNUMBER($M446)),"PRECIO PENDIENTE",$M446-IF(ISNUMBER($L446),$L446,0)))</f>
        <v/>
      </c>
      <c r="O446" s="54">
        <f>IF($F446="","",IFERROR(INDEX(tblInventario[Costo unitario aplicado],MATCH($F446,tblInventario[SKU],0)),""))</f>
        <v/>
      </c>
      <c r="P446" s="37">
        <f>IF($J446="","",IF(NOT(ISNUMBER($O446)),"COSTO PENDIENTE",$J446*$O446))</f>
        <v/>
      </c>
      <c r="Q446" s="37">
        <f>IF($J446="","",IF(OR(NOT(ISNUMBER($N446)),NOT(ISNUMBER($P446))),"PENDIENTE",$N446-$P446))</f>
        <v/>
      </c>
      <c r="R446" s="38">
        <f>IF($J446="","",IF(OR(NOT(ISNUMBER($Q446)),NOT(ISNUMBER($N446)),$N446&lt;=0),"PENDIENTE",$Q446/$N446))</f>
        <v/>
      </c>
      <c r="S446" s="33" t="n"/>
      <c r="T446" s="33" t="n"/>
      <c r="U446" s="41" t="n"/>
      <c r="V446" s="36" t="n"/>
      <c r="W446" s="37">
        <f>IF(NOT(ISNUMBER($N446)),"",$N446-IF(ISNUMBER($V446),$V446,0))</f>
        <v/>
      </c>
      <c r="X446" s="33" t="n"/>
      <c r="Y446" s="51">
        <f>IF(COUNTA($B446,$C446,$D446,$E446,$F446,$I446)=0,"",IF(IF($B446=""," · Falta fecha","")&amp;IF($D446=""," · Falta cliente","")&amp;IF($E446=""," · Falta canal","")&amp;IF($F446=""," · Falta SKU","")&amp;IF(AND($F446&lt;&gt;"",COUNTIF(tblProductos[SKU],$F446)=0)," · SKU no existe","")&amp;IF(OR($I446="",NOT(ISNUMBER($I446)),$I446&lt;=0)," · Cantidad inválida","")&amp;IF($M446="PRECIO PENDIENTE"," · Falta precio de venta","")&amp;IF($P446="COSTO PENDIENTE"," · Falta costo del producto","")&amp;IF(AND(ISNUMBER($Q446),$Q446&lt;0)," · UTILIDAD NEGATIVA","")&amp;IF(AND($F446&lt;&gt;"",ISNUMBER(INDEX(tblInventario[Stock actual],MATCH($F446,tblInventario[SKU],0))),INDEX(tblInventario[Stock actual],MATCH($F446,tblInventario[SKU],0))&lt;0)," · Stock negativo del SKU","")&amp;IF(AND($T446="Cobrado",$U446="")," · Cobro sin fecha","")&amp;IF(AND(ISNUMBER($V446),ISNUMBER($N446),$V446&gt;N($N446)+0.01)," · Cobrado &gt; venta neta","")&amp;IF(AND(ISNUMBER($V446),$V446&gt;0,$U446="")," · Monto cobrado sin fecha","")="","OK",MID(IF($B446=""," · Falta fecha","")&amp;IF($D446=""," · Falta cliente","")&amp;IF($E446=""," · Falta canal","")&amp;IF($F446=""," · Falta SKU","")&amp;IF(AND($F446&lt;&gt;"",COUNTIF(tblProductos[SKU],$F446)=0)," · SKU no existe","")&amp;IF(OR($I446="",NOT(ISNUMBER($I446)),$I446&lt;=0)," · Cantidad inválida","")&amp;IF($M446="PRECIO PENDIENTE"," · Falta precio de venta","")&amp;IF($P446="COSTO PENDIENTE"," · Falta costo del producto","")&amp;IF(AND(ISNUMBER($Q446),$Q446&lt;0)," · UTILIDAD NEGATIVA","")&amp;IF(AND($F446&lt;&gt;"",ISNUMBER(INDEX(tblInventario[Stock actual],MATCH($F446,tblInventario[SKU],0))),INDEX(tblInventario[Stock actual],MATCH($F446,tblInventario[SKU],0))&lt;0)," · Stock negativo del SKU","")&amp;IF(AND($T446="Cobrado",$U446="")," · Cobro sin fecha","")&amp;IF(AND(ISNUMBER($V446),ISNUMBER($N446),$V446&gt;N($N446)+0.01)," · Cobrado &gt; venta neta","")&amp;IF(AND(ISNUMBER($V446),$V446&gt;0,$U446="")," · Monto cobrado sin fecha",""),4,900)))</f>
        <v/>
      </c>
    </row>
    <row r="447">
      <c r="A447" s="51">
        <f>IF(COUNTA($B447,$C447,$D447,$E447,$F447,$I447)=0,"","V-"&amp;TEXT(ROW()-6,"0000"))</f>
        <v/>
      </c>
      <c r="B447" s="41" t="n"/>
      <c r="C447" s="33" t="n"/>
      <c r="D447" s="33" t="n"/>
      <c r="E447" s="33" t="n"/>
      <c r="F447" s="33" t="n"/>
      <c r="G447" s="51">
        <f>IF($F447="","",IFERROR(IF(INDEX(tblProductos[Nombre del producto],MATCH($F447,tblProductos[SKU],0))="","",INDEX(tblProductos[Nombre del producto],MATCH($F447,tblProductos[SKU],0))),""))</f>
        <v/>
      </c>
      <c r="H447" s="51">
        <f>IF($F447="","",IFERROR(IF(INDEX(tblProductos[Categoría],MATCH($F447,tblProductos[SKU],0))="","",INDEX(tblProductos[Categoría],MATCH($F447,tblProductos[SKU],0))),""))</f>
        <v/>
      </c>
      <c r="I447" s="34" t="n"/>
      <c r="J447" s="39">
        <f>IF(OR($B447="",$F447="",$I447=""),"",IF($T447="Anulado",0,$I447))</f>
        <v/>
      </c>
      <c r="K447" s="54">
        <f>IF($F447="","",IFERROR(IF(INDEX(tblProductos[Precio de venta actual],MATCH($F447,tblProductos[SKU],0))="","",INDEX(tblProductos[Precio de venta actual],MATCH($F447,tblProductos[SKU],0))),""))</f>
        <v/>
      </c>
      <c r="L447" s="36" t="n"/>
      <c r="M447" s="37">
        <f>IF($J447="","",IF(NOT(ISNUMBER($K447)),"PRECIO PENDIENTE",$J447*$K447))</f>
        <v/>
      </c>
      <c r="N447" s="37">
        <f>IF($J447="","",IF(NOT(ISNUMBER($M447)),"PRECIO PENDIENTE",$M447-IF(ISNUMBER($L447),$L447,0)))</f>
        <v/>
      </c>
      <c r="O447" s="54">
        <f>IF($F447="","",IFERROR(INDEX(tblInventario[Costo unitario aplicado],MATCH($F447,tblInventario[SKU],0)),""))</f>
        <v/>
      </c>
      <c r="P447" s="37">
        <f>IF($J447="","",IF(NOT(ISNUMBER($O447)),"COSTO PENDIENTE",$J447*$O447))</f>
        <v/>
      </c>
      <c r="Q447" s="37">
        <f>IF($J447="","",IF(OR(NOT(ISNUMBER($N447)),NOT(ISNUMBER($P447))),"PENDIENTE",$N447-$P447))</f>
        <v/>
      </c>
      <c r="R447" s="38">
        <f>IF($J447="","",IF(OR(NOT(ISNUMBER($Q447)),NOT(ISNUMBER($N447)),$N447&lt;=0),"PENDIENTE",$Q447/$N447))</f>
        <v/>
      </c>
      <c r="S447" s="33" t="n"/>
      <c r="T447" s="33" t="n"/>
      <c r="U447" s="41" t="n"/>
      <c r="V447" s="36" t="n"/>
      <c r="W447" s="37">
        <f>IF(NOT(ISNUMBER($N447)),"",$N447-IF(ISNUMBER($V447),$V447,0))</f>
        <v/>
      </c>
      <c r="X447" s="33" t="n"/>
      <c r="Y447" s="51">
        <f>IF(COUNTA($B447,$C447,$D447,$E447,$F447,$I447)=0,"",IF(IF($B447=""," · Falta fecha","")&amp;IF($D447=""," · Falta cliente","")&amp;IF($E447=""," · Falta canal","")&amp;IF($F447=""," · Falta SKU","")&amp;IF(AND($F447&lt;&gt;"",COUNTIF(tblProductos[SKU],$F447)=0)," · SKU no existe","")&amp;IF(OR($I447="",NOT(ISNUMBER($I447)),$I447&lt;=0)," · Cantidad inválida","")&amp;IF($M447="PRECIO PENDIENTE"," · Falta precio de venta","")&amp;IF($P447="COSTO PENDIENTE"," · Falta costo del producto","")&amp;IF(AND(ISNUMBER($Q447),$Q447&lt;0)," · UTILIDAD NEGATIVA","")&amp;IF(AND($F447&lt;&gt;"",ISNUMBER(INDEX(tblInventario[Stock actual],MATCH($F447,tblInventario[SKU],0))),INDEX(tblInventario[Stock actual],MATCH($F447,tblInventario[SKU],0))&lt;0)," · Stock negativo del SKU","")&amp;IF(AND($T447="Cobrado",$U447="")," · Cobro sin fecha","")&amp;IF(AND(ISNUMBER($V447),ISNUMBER($N447),$V447&gt;N($N447)+0.01)," · Cobrado &gt; venta neta","")&amp;IF(AND(ISNUMBER($V447),$V447&gt;0,$U447="")," · Monto cobrado sin fecha","")="","OK",MID(IF($B447=""," · Falta fecha","")&amp;IF($D447=""," · Falta cliente","")&amp;IF($E447=""," · Falta canal","")&amp;IF($F447=""," · Falta SKU","")&amp;IF(AND($F447&lt;&gt;"",COUNTIF(tblProductos[SKU],$F447)=0)," · SKU no existe","")&amp;IF(OR($I447="",NOT(ISNUMBER($I447)),$I447&lt;=0)," · Cantidad inválida","")&amp;IF($M447="PRECIO PENDIENTE"," · Falta precio de venta","")&amp;IF($P447="COSTO PENDIENTE"," · Falta costo del producto","")&amp;IF(AND(ISNUMBER($Q447),$Q447&lt;0)," · UTILIDAD NEGATIVA","")&amp;IF(AND($F447&lt;&gt;"",ISNUMBER(INDEX(tblInventario[Stock actual],MATCH($F447,tblInventario[SKU],0))),INDEX(tblInventario[Stock actual],MATCH($F447,tblInventario[SKU],0))&lt;0)," · Stock negativo del SKU","")&amp;IF(AND($T447="Cobrado",$U447="")," · Cobro sin fecha","")&amp;IF(AND(ISNUMBER($V447),ISNUMBER($N447),$V447&gt;N($N447)+0.01)," · Cobrado &gt; venta neta","")&amp;IF(AND(ISNUMBER($V447),$V447&gt;0,$U447="")," · Monto cobrado sin fecha",""),4,900)))</f>
        <v/>
      </c>
    </row>
    <row r="448">
      <c r="A448" s="51">
        <f>IF(COUNTA($B448,$C448,$D448,$E448,$F448,$I448)=0,"","V-"&amp;TEXT(ROW()-6,"0000"))</f>
        <v/>
      </c>
      <c r="B448" s="41" t="n"/>
      <c r="C448" s="33" t="n"/>
      <c r="D448" s="33" t="n"/>
      <c r="E448" s="33" t="n"/>
      <c r="F448" s="33" t="n"/>
      <c r="G448" s="51">
        <f>IF($F448="","",IFERROR(IF(INDEX(tblProductos[Nombre del producto],MATCH($F448,tblProductos[SKU],0))="","",INDEX(tblProductos[Nombre del producto],MATCH($F448,tblProductos[SKU],0))),""))</f>
        <v/>
      </c>
      <c r="H448" s="51">
        <f>IF($F448="","",IFERROR(IF(INDEX(tblProductos[Categoría],MATCH($F448,tblProductos[SKU],0))="","",INDEX(tblProductos[Categoría],MATCH($F448,tblProductos[SKU],0))),""))</f>
        <v/>
      </c>
      <c r="I448" s="34" t="n"/>
      <c r="J448" s="39">
        <f>IF(OR($B448="",$F448="",$I448=""),"",IF($T448="Anulado",0,$I448))</f>
        <v/>
      </c>
      <c r="K448" s="54">
        <f>IF($F448="","",IFERROR(IF(INDEX(tblProductos[Precio de venta actual],MATCH($F448,tblProductos[SKU],0))="","",INDEX(tblProductos[Precio de venta actual],MATCH($F448,tblProductos[SKU],0))),""))</f>
        <v/>
      </c>
      <c r="L448" s="36" t="n"/>
      <c r="M448" s="37">
        <f>IF($J448="","",IF(NOT(ISNUMBER($K448)),"PRECIO PENDIENTE",$J448*$K448))</f>
        <v/>
      </c>
      <c r="N448" s="37">
        <f>IF($J448="","",IF(NOT(ISNUMBER($M448)),"PRECIO PENDIENTE",$M448-IF(ISNUMBER($L448),$L448,0)))</f>
        <v/>
      </c>
      <c r="O448" s="54">
        <f>IF($F448="","",IFERROR(INDEX(tblInventario[Costo unitario aplicado],MATCH($F448,tblInventario[SKU],0)),""))</f>
        <v/>
      </c>
      <c r="P448" s="37">
        <f>IF($J448="","",IF(NOT(ISNUMBER($O448)),"COSTO PENDIENTE",$J448*$O448))</f>
        <v/>
      </c>
      <c r="Q448" s="37">
        <f>IF($J448="","",IF(OR(NOT(ISNUMBER($N448)),NOT(ISNUMBER($P448))),"PENDIENTE",$N448-$P448))</f>
        <v/>
      </c>
      <c r="R448" s="38">
        <f>IF($J448="","",IF(OR(NOT(ISNUMBER($Q448)),NOT(ISNUMBER($N448)),$N448&lt;=0),"PENDIENTE",$Q448/$N448))</f>
        <v/>
      </c>
      <c r="S448" s="33" t="n"/>
      <c r="T448" s="33" t="n"/>
      <c r="U448" s="41" t="n"/>
      <c r="V448" s="36" t="n"/>
      <c r="W448" s="37">
        <f>IF(NOT(ISNUMBER($N448)),"",$N448-IF(ISNUMBER($V448),$V448,0))</f>
        <v/>
      </c>
      <c r="X448" s="33" t="n"/>
      <c r="Y448" s="51">
        <f>IF(COUNTA($B448,$C448,$D448,$E448,$F448,$I448)=0,"",IF(IF($B448=""," · Falta fecha","")&amp;IF($D448=""," · Falta cliente","")&amp;IF($E448=""," · Falta canal","")&amp;IF($F448=""," · Falta SKU","")&amp;IF(AND($F448&lt;&gt;"",COUNTIF(tblProductos[SKU],$F448)=0)," · SKU no existe","")&amp;IF(OR($I448="",NOT(ISNUMBER($I448)),$I448&lt;=0)," · Cantidad inválida","")&amp;IF($M448="PRECIO PENDIENTE"," · Falta precio de venta","")&amp;IF($P448="COSTO PENDIENTE"," · Falta costo del producto","")&amp;IF(AND(ISNUMBER($Q448),$Q448&lt;0)," · UTILIDAD NEGATIVA","")&amp;IF(AND($F448&lt;&gt;"",ISNUMBER(INDEX(tblInventario[Stock actual],MATCH($F448,tblInventario[SKU],0))),INDEX(tblInventario[Stock actual],MATCH($F448,tblInventario[SKU],0))&lt;0)," · Stock negativo del SKU","")&amp;IF(AND($T448="Cobrado",$U448="")," · Cobro sin fecha","")&amp;IF(AND(ISNUMBER($V448),ISNUMBER($N448),$V448&gt;N($N448)+0.01)," · Cobrado &gt; venta neta","")&amp;IF(AND(ISNUMBER($V448),$V448&gt;0,$U448="")," · Monto cobrado sin fecha","")="","OK",MID(IF($B448=""," · Falta fecha","")&amp;IF($D448=""," · Falta cliente","")&amp;IF($E448=""," · Falta canal","")&amp;IF($F448=""," · Falta SKU","")&amp;IF(AND($F448&lt;&gt;"",COUNTIF(tblProductos[SKU],$F448)=0)," · SKU no existe","")&amp;IF(OR($I448="",NOT(ISNUMBER($I448)),$I448&lt;=0)," · Cantidad inválida","")&amp;IF($M448="PRECIO PENDIENTE"," · Falta precio de venta","")&amp;IF($P448="COSTO PENDIENTE"," · Falta costo del producto","")&amp;IF(AND(ISNUMBER($Q448),$Q448&lt;0)," · UTILIDAD NEGATIVA","")&amp;IF(AND($F448&lt;&gt;"",ISNUMBER(INDEX(tblInventario[Stock actual],MATCH($F448,tblInventario[SKU],0))),INDEX(tblInventario[Stock actual],MATCH($F448,tblInventario[SKU],0))&lt;0)," · Stock negativo del SKU","")&amp;IF(AND($T448="Cobrado",$U448="")," · Cobro sin fecha","")&amp;IF(AND(ISNUMBER($V448),ISNUMBER($N448),$V448&gt;N($N448)+0.01)," · Cobrado &gt; venta neta","")&amp;IF(AND(ISNUMBER($V448),$V448&gt;0,$U448="")," · Monto cobrado sin fecha",""),4,900)))</f>
        <v/>
      </c>
    </row>
    <row r="449">
      <c r="A449" s="51">
        <f>IF(COUNTA($B449,$C449,$D449,$E449,$F449,$I449)=0,"","V-"&amp;TEXT(ROW()-6,"0000"))</f>
        <v/>
      </c>
      <c r="B449" s="41" t="n"/>
      <c r="C449" s="33" t="n"/>
      <c r="D449" s="33" t="n"/>
      <c r="E449" s="33" t="n"/>
      <c r="F449" s="33" t="n"/>
      <c r="G449" s="51">
        <f>IF($F449="","",IFERROR(IF(INDEX(tblProductos[Nombre del producto],MATCH($F449,tblProductos[SKU],0))="","",INDEX(tblProductos[Nombre del producto],MATCH($F449,tblProductos[SKU],0))),""))</f>
        <v/>
      </c>
      <c r="H449" s="51">
        <f>IF($F449="","",IFERROR(IF(INDEX(tblProductos[Categoría],MATCH($F449,tblProductos[SKU],0))="","",INDEX(tblProductos[Categoría],MATCH($F449,tblProductos[SKU],0))),""))</f>
        <v/>
      </c>
      <c r="I449" s="34" t="n"/>
      <c r="J449" s="39">
        <f>IF(OR($B449="",$F449="",$I449=""),"",IF($T449="Anulado",0,$I449))</f>
        <v/>
      </c>
      <c r="K449" s="54">
        <f>IF($F449="","",IFERROR(IF(INDEX(tblProductos[Precio de venta actual],MATCH($F449,tblProductos[SKU],0))="","",INDEX(tblProductos[Precio de venta actual],MATCH($F449,tblProductos[SKU],0))),""))</f>
        <v/>
      </c>
      <c r="L449" s="36" t="n"/>
      <c r="M449" s="37">
        <f>IF($J449="","",IF(NOT(ISNUMBER($K449)),"PRECIO PENDIENTE",$J449*$K449))</f>
        <v/>
      </c>
      <c r="N449" s="37">
        <f>IF($J449="","",IF(NOT(ISNUMBER($M449)),"PRECIO PENDIENTE",$M449-IF(ISNUMBER($L449),$L449,0)))</f>
        <v/>
      </c>
      <c r="O449" s="54">
        <f>IF($F449="","",IFERROR(INDEX(tblInventario[Costo unitario aplicado],MATCH($F449,tblInventario[SKU],0)),""))</f>
        <v/>
      </c>
      <c r="P449" s="37">
        <f>IF($J449="","",IF(NOT(ISNUMBER($O449)),"COSTO PENDIENTE",$J449*$O449))</f>
        <v/>
      </c>
      <c r="Q449" s="37">
        <f>IF($J449="","",IF(OR(NOT(ISNUMBER($N449)),NOT(ISNUMBER($P449))),"PENDIENTE",$N449-$P449))</f>
        <v/>
      </c>
      <c r="R449" s="38">
        <f>IF($J449="","",IF(OR(NOT(ISNUMBER($Q449)),NOT(ISNUMBER($N449)),$N449&lt;=0),"PENDIENTE",$Q449/$N449))</f>
        <v/>
      </c>
      <c r="S449" s="33" t="n"/>
      <c r="T449" s="33" t="n"/>
      <c r="U449" s="41" t="n"/>
      <c r="V449" s="36" t="n"/>
      <c r="W449" s="37">
        <f>IF(NOT(ISNUMBER($N449)),"",$N449-IF(ISNUMBER($V449),$V449,0))</f>
        <v/>
      </c>
      <c r="X449" s="33" t="n"/>
      <c r="Y449" s="51">
        <f>IF(COUNTA($B449,$C449,$D449,$E449,$F449,$I449)=0,"",IF(IF($B449=""," · Falta fecha","")&amp;IF($D449=""," · Falta cliente","")&amp;IF($E449=""," · Falta canal","")&amp;IF($F449=""," · Falta SKU","")&amp;IF(AND($F449&lt;&gt;"",COUNTIF(tblProductos[SKU],$F449)=0)," · SKU no existe","")&amp;IF(OR($I449="",NOT(ISNUMBER($I449)),$I449&lt;=0)," · Cantidad inválida","")&amp;IF($M449="PRECIO PENDIENTE"," · Falta precio de venta","")&amp;IF($P449="COSTO PENDIENTE"," · Falta costo del producto","")&amp;IF(AND(ISNUMBER($Q449),$Q449&lt;0)," · UTILIDAD NEGATIVA","")&amp;IF(AND($F449&lt;&gt;"",ISNUMBER(INDEX(tblInventario[Stock actual],MATCH($F449,tblInventario[SKU],0))),INDEX(tblInventario[Stock actual],MATCH($F449,tblInventario[SKU],0))&lt;0)," · Stock negativo del SKU","")&amp;IF(AND($T449="Cobrado",$U449="")," · Cobro sin fecha","")&amp;IF(AND(ISNUMBER($V449),ISNUMBER($N449),$V449&gt;N($N449)+0.01)," · Cobrado &gt; venta neta","")&amp;IF(AND(ISNUMBER($V449),$V449&gt;0,$U449="")," · Monto cobrado sin fecha","")="","OK",MID(IF($B449=""," · Falta fecha","")&amp;IF($D449=""," · Falta cliente","")&amp;IF($E449=""," · Falta canal","")&amp;IF($F449=""," · Falta SKU","")&amp;IF(AND($F449&lt;&gt;"",COUNTIF(tblProductos[SKU],$F449)=0)," · SKU no existe","")&amp;IF(OR($I449="",NOT(ISNUMBER($I449)),$I449&lt;=0)," · Cantidad inválida","")&amp;IF($M449="PRECIO PENDIENTE"," · Falta precio de venta","")&amp;IF($P449="COSTO PENDIENTE"," · Falta costo del producto","")&amp;IF(AND(ISNUMBER($Q449),$Q449&lt;0)," · UTILIDAD NEGATIVA","")&amp;IF(AND($F449&lt;&gt;"",ISNUMBER(INDEX(tblInventario[Stock actual],MATCH($F449,tblInventario[SKU],0))),INDEX(tblInventario[Stock actual],MATCH($F449,tblInventario[SKU],0))&lt;0)," · Stock negativo del SKU","")&amp;IF(AND($T449="Cobrado",$U449="")," · Cobro sin fecha","")&amp;IF(AND(ISNUMBER($V449),ISNUMBER($N449),$V449&gt;N($N449)+0.01)," · Cobrado &gt; venta neta","")&amp;IF(AND(ISNUMBER($V449),$V449&gt;0,$U449="")," · Monto cobrado sin fecha",""),4,900)))</f>
        <v/>
      </c>
    </row>
    <row r="450">
      <c r="A450" s="51">
        <f>IF(COUNTA($B450,$C450,$D450,$E450,$F450,$I450)=0,"","V-"&amp;TEXT(ROW()-6,"0000"))</f>
        <v/>
      </c>
      <c r="B450" s="41" t="n"/>
      <c r="C450" s="33" t="n"/>
      <c r="D450" s="33" t="n"/>
      <c r="E450" s="33" t="n"/>
      <c r="F450" s="33" t="n"/>
      <c r="G450" s="51">
        <f>IF($F450="","",IFERROR(IF(INDEX(tblProductos[Nombre del producto],MATCH($F450,tblProductos[SKU],0))="","",INDEX(tblProductos[Nombre del producto],MATCH($F450,tblProductos[SKU],0))),""))</f>
        <v/>
      </c>
      <c r="H450" s="51">
        <f>IF($F450="","",IFERROR(IF(INDEX(tblProductos[Categoría],MATCH($F450,tblProductos[SKU],0))="","",INDEX(tblProductos[Categoría],MATCH($F450,tblProductos[SKU],0))),""))</f>
        <v/>
      </c>
      <c r="I450" s="34" t="n"/>
      <c r="J450" s="39">
        <f>IF(OR($B450="",$F450="",$I450=""),"",IF($T450="Anulado",0,$I450))</f>
        <v/>
      </c>
      <c r="K450" s="54">
        <f>IF($F450="","",IFERROR(IF(INDEX(tblProductos[Precio de venta actual],MATCH($F450,tblProductos[SKU],0))="","",INDEX(tblProductos[Precio de venta actual],MATCH($F450,tblProductos[SKU],0))),""))</f>
        <v/>
      </c>
      <c r="L450" s="36" t="n"/>
      <c r="M450" s="37">
        <f>IF($J450="","",IF(NOT(ISNUMBER($K450)),"PRECIO PENDIENTE",$J450*$K450))</f>
        <v/>
      </c>
      <c r="N450" s="37">
        <f>IF($J450="","",IF(NOT(ISNUMBER($M450)),"PRECIO PENDIENTE",$M450-IF(ISNUMBER($L450),$L450,0)))</f>
        <v/>
      </c>
      <c r="O450" s="54">
        <f>IF($F450="","",IFERROR(INDEX(tblInventario[Costo unitario aplicado],MATCH($F450,tblInventario[SKU],0)),""))</f>
        <v/>
      </c>
      <c r="P450" s="37">
        <f>IF($J450="","",IF(NOT(ISNUMBER($O450)),"COSTO PENDIENTE",$J450*$O450))</f>
        <v/>
      </c>
      <c r="Q450" s="37">
        <f>IF($J450="","",IF(OR(NOT(ISNUMBER($N450)),NOT(ISNUMBER($P450))),"PENDIENTE",$N450-$P450))</f>
        <v/>
      </c>
      <c r="R450" s="38">
        <f>IF($J450="","",IF(OR(NOT(ISNUMBER($Q450)),NOT(ISNUMBER($N450)),$N450&lt;=0),"PENDIENTE",$Q450/$N450))</f>
        <v/>
      </c>
      <c r="S450" s="33" t="n"/>
      <c r="T450" s="33" t="n"/>
      <c r="U450" s="41" t="n"/>
      <c r="V450" s="36" t="n"/>
      <c r="W450" s="37">
        <f>IF(NOT(ISNUMBER($N450)),"",$N450-IF(ISNUMBER($V450),$V450,0))</f>
        <v/>
      </c>
      <c r="X450" s="33" t="n"/>
      <c r="Y450" s="51">
        <f>IF(COUNTA($B450,$C450,$D450,$E450,$F450,$I450)=0,"",IF(IF($B450=""," · Falta fecha","")&amp;IF($D450=""," · Falta cliente","")&amp;IF($E450=""," · Falta canal","")&amp;IF($F450=""," · Falta SKU","")&amp;IF(AND($F450&lt;&gt;"",COUNTIF(tblProductos[SKU],$F450)=0)," · SKU no existe","")&amp;IF(OR($I450="",NOT(ISNUMBER($I450)),$I450&lt;=0)," · Cantidad inválida","")&amp;IF($M450="PRECIO PENDIENTE"," · Falta precio de venta","")&amp;IF($P450="COSTO PENDIENTE"," · Falta costo del producto","")&amp;IF(AND(ISNUMBER($Q450),$Q450&lt;0)," · UTILIDAD NEGATIVA","")&amp;IF(AND($F450&lt;&gt;"",ISNUMBER(INDEX(tblInventario[Stock actual],MATCH($F450,tblInventario[SKU],0))),INDEX(tblInventario[Stock actual],MATCH($F450,tblInventario[SKU],0))&lt;0)," · Stock negativo del SKU","")&amp;IF(AND($T450="Cobrado",$U450="")," · Cobro sin fecha","")&amp;IF(AND(ISNUMBER($V450),ISNUMBER($N450),$V450&gt;N($N450)+0.01)," · Cobrado &gt; venta neta","")&amp;IF(AND(ISNUMBER($V450),$V450&gt;0,$U450="")," · Monto cobrado sin fecha","")="","OK",MID(IF($B450=""," · Falta fecha","")&amp;IF($D450=""," · Falta cliente","")&amp;IF($E450=""," · Falta canal","")&amp;IF($F450=""," · Falta SKU","")&amp;IF(AND($F450&lt;&gt;"",COUNTIF(tblProductos[SKU],$F450)=0)," · SKU no existe","")&amp;IF(OR($I450="",NOT(ISNUMBER($I450)),$I450&lt;=0)," · Cantidad inválida","")&amp;IF($M450="PRECIO PENDIENTE"," · Falta precio de venta","")&amp;IF($P450="COSTO PENDIENTE"," · Falta costo del producto","")&amp;IF(AND(ISNUMBER($Q450),$Q450&lt;0)," · UTILIDAD NEGATIVA","")&amp;IF(AND($F450&lt;&gt;"",ISNUMBER(INDEX(tblInventario[Stock actual],MATCH($F450,tblInventario[SKU],0))),INDEX(tblInventario[Stock actual],MATCH($F450,tblInventario[SKU],0))&lt;0)," · Stock negativo del SKU","")&amp;IF(AND($T450="Cobrado",$U450="")," · Cobro sin fecha","")&amp;IF(AND(ISNUMBER($V450),ISNUMBER($N450),$V450&gt;N($N450)+0.01)," · Cobrado &gt; venta neta","")&amp;IF(AND(ISNUMBER($V450),$V450&gt;0,$U450="")," · Monto cobrado sin fecha",""),4,900)))</f>
        <v/>
      </c>
    </row>
    <row r="451">
      <c r="A451" s="51">
        <f>IF(COUNTA($B451,$C451,$D451,$E451,$F451,$I451)=0,"","V-"&amp;TEXT(ROW()-6,"0000"))</f>
        <v/>
      </c>
      <c r="B451" s="41" t="n"/>
      <c r="C451" s="33" t="n"/>
      <c r="D451" s="33" t="n"/>
      <c r="E451" s="33" t="n"/>
      <c r="F451" s="33" t="n"/>
      <c r="G451" s="51">
        <f>IF($F451="","",IFERROR(IF(INDEX(tblProductos[Nombre del producto],MATCH($F451,tblProductos[SKU],0))="","",INDEX(tblProductos[Nombre del producto],MATCH($F451,tblProductos[SKU],0))),""))</f>
        <v/>
      </c>
      <c r="H451" s="51">
        <f>IF($F451="","",IFERROR(IF(INDEX(tblProductos[Categoría],MATCH($F451,tblProductos[SKU],0))="","",INDEX(tblProductos[Categoría],MATCH($F451,tblProductos[SKU],0))),""))</f>
        <v/>
      </c>
      <c r="I451" s="34" t="n"/>
      <c r="J451" s="39">
        <f>IF(OR($B451="",$F451="",$I451=""),"",IF($T451="Anulado",0,$I451))</f>
        <v/>
      </c>
      <c r="K451" s="54">
        <f>IF($F451="","",IFERROR(IF(INDEX(tblProductos[Precio de venta actual],MATCH($F451,tblProductos[SKU],0))="","",INDEX(tblProductos[Precio de venta actual],MATCH($F451,tblProductos[SKU],0))),""))</f>
        <v/>
      </c>
      <c r="L451" s="36" t="n"/>
      <c r="M451" s="37">
        <f>IF($J451="","",IF(NOT(ISNUMBER($K451)),"PRECIO PENDIENTE",$J451*$K451))</f>
        <v/>
      </c>
      <c r="N451" s="37">
        <f>IF($J451="","",IF(NOT(ISNUMBER($M451)),"PRECIO PENDIENTE",$M451-IF(ISNUMBER($L451),$L451,0)))</f>
        <v/>
      </c>
      <c r="O451" s="54">
        <f>IF($F451="","",IFERROR(INDEX(tblInventario[Costo unitario aplicado],MATCH($F451,tblInventario[SKU],0)),""))</f>
        <v/>
      </c>
      <c r="P451" s="37">
        <f>IF($J451="","",IF(NOT(ISNUMBER($O451)),"COSTO PENDIENTE",$J451*$O451))</f>
        <v/>
      </c>
      <c r="Q451" s="37">
        <f>IF($J451="","",IF(OR(NOT(ISNUMBER($N451)),NOT(ISNUMBER($P451))),"PENDIENTE",$N451-$P451))</f>
        <v/>
      </c>
      <c r="R451" s="38">
        <f>IF($J451="","",IF(OR(NOT(ISNUMBER($Q451)),NOT(ISNUMBER($N451)),$N451&lt;=0),"PENDIENTE",$Q451/$N451))</f>
        <v/>
      </c>
      <c r="S451" s="33" t="n"/>
      <c r="T451" s="33" t="n"/>
      <c r="U451" s="41" t="n"/>
      <c r="V451" s="36" t="n"/>
      <c r="W451" s="37">
        <f>IF(NOT(ISNUMBER($N451)),"",$N451-IF(ISNUMBER($V451),$V451,0))</f>
        <v/>
      </c>
      <c r="X451" s="33" t="n"/>
      <c r="Y451" s="51">
        <f>IF(COUNTA($B451,$C451,$D451,$E451,$F451,$I451)=0,"",IF(IF($B451=""," · Falta fecha","")&amp;IF($D451=""," · Falta cliente","")&amp;IF($E451=""," · Falta canal","")&amp;IF($F451=""," · Falta SKU","")&amp;IF(AND($F451&lt;&gt;"",COUNTIF(tblProductos[SKU],$F451)=0)," · SKU no existe","")&amp;IF(OR($I451="",NOT(ISNUMBER($I451)),$I451&lt;=0)," · Cantidad inválida","")&amp;IF($M451="PRECIO PENDIENTE"," · Falta precio de venta","")&amp;IF($P451="COSTO PENDIENTE"," · Falta costo del producto","")&amp;IF(AND(ISNUMBER($Q451),$Q451&lt;0)," · UTILIDAD NEGATIVA","")&amp;IF(AND($F451&lt;&gt;"",ISNUMBER(INDEX(tblInventario[Stock actual],MATCH($F451,tblInventario[SKU],0))),INDEX(tblInventario[Stock actual],MATCH($F451,tblInventario[SKU],0))&lt;0)," · Stock negativo del SKU","")&amp;IF(AND($T451="Cobrado",$U451="")," · Cobro sin fecha","")&amp;IF(AND(ISNUMBER($V451),ISNUMBER($N451),$V451&gt;N($N451)+0.01)," · Cobrado &gt; venta neta","")&amp;IF(AND(ISNUMBER($V451),$V451&gt;0,$U451="")," · Monto cobrado sin fecha","")="","OK",MID(IF($B451=""," · Falta fecha","")&amp;IF($D451=""," · Falta cliente","")&amp;IF($E451=""," · Falta canal","")&amp;IF($F451=""," · Falta SKU","")&amp;IF(AND($F451&lt;&gt;"",COUNTIF(tblProductos[SKU],$F451)=0)," · SKU no existe","")&amp;IF(OR($I451="",NOT(ISNUMBER($I451)),$I451&lt;=0)," · Cantidad inválida","")&amp;IF($M451="PRECIO PENDIENTE"," · Falta precio de venta","")&amp;IF($P451="COSTO PENDIENTE"," · Falta costo del producto","")&amp;IF(AND(ISNUMBER($Q451),$Q451&lt;0)," · UTILIDAD NEGATIVA","")&amp;IF(AND($F451&lt;&gt;"",ISNUMBER(INDEX(tblInventario[Stock actual],MATCH($F451,tblInventario[SKU],0))),INDEX(tblInventario[Stock actual],MATCH($F451,tblInventario[SKU],0))&lt;0)," · Stock negativo del SKU","")&amp;IF(AND($T451="Cobrado",$U451="")," · Cobro sin fecha","")&amp;IF(AND(ISNUMBER($V451),ISNUMBER($N451),$V451&gt;N($N451)+0.01)," · Cobrado &gt; venta neta","")&amp;IF(AND(ISNUMBER($V451),$V451&gt;0,$U451="")," · Monto cobrado sin fecha",""),4,900)))</f>
        <v/>
      </c>
    </row>
    <row r="452">
      <c r="A452" s="51">
        <f>IF(COUNTA($B452,$C452,$D452,$E452,$F452,$I452)=0,"","V-"&amp;TEXT(ROW()-6,"0000"))</f>
        <v/>
      </c>
      <c r="B452" s="41" t="n"/>
      <c r="C452" s="33" t="n"/>
      <c r="D452" s="33" t="n"/>
      <c r="E452" s="33" t="n"/>
      <c r="F452" s="33" t="n"/>
      <c r="G452" s="51">
        <f>IF($F452="","",IFERROR(IF(INDEX(tblProductos[Nombre del producto],MATCH($F452,tblProductos[SKU],0))="","",INDEX(tblProductos[Nombre del producto],MATCH($F452,tblProductos[SKU],0))),""))</f>
        <v/>
      </c>
      <c r="H452" s="51">
        <f>IF($F452="","",IFERROR(IF(INDEX(tblProductos[Categoría],MATCH($F452,tblProductos[SKU],0))="","",INDEX(tblProductos[Categoría],MATCH($F452,tblProductos[SKU],0))),""))</f>
        <v/>
      </c>
      <c r="I452" s="34" t="n"/>
      <c r="J452" s="39">
        <f>IF(OR($B452="",$F452="",$I452=""),"",IF($T452="Anulado",0,$I452))</f>
        <v/>
      </c>
      <c r="K452" s="54">
        <f>IF($F452="","",IFERROR(IF(INDEX(tblProductos[Precio de venta actual],MATCH($F452,tblProductos[SKU],0))="","",INDEX(tblProductos[Precio de venta actual],MATCH($F452,tblProductos[SKU],0))),""))</f>
        <v/>
      </c>
      <c r="L452" s="36" t="n"/>
      <c r="M452" s="37">
        <f>IF($J452="","",IF(NOT(ISNUMBER($K452)),"PRECIO PENDIENTE",$J452*$K452))</f>
        <v/>
      </c>
      <c r="N452" s="37">
        <f>IF($J452="","",IF(NOT(ISNUMBER($M452)),"PRECIO PENDIENTE",$M452-IF(ISNUMBER($L452),$L452,0)))</f>
        <v/>
      </c>
      <c r="O452" s="54">
        <f>IF($F452="","",IFERROR(INDEX(tblInventario[Costo unitario aplicado],MATCH($F452,tblInventario[SKU],0)),""))</f>
        <v/>
      </c>
      <c r="P452" s="37">
        <f>IF($J452="","",IF(NOT(ISNUMBER($O452)),"COSTO PENDIENTE",$J452*$O452))</f>
        <v/>
      </c>
      <c r="Q452" s="37">
        <f>IF($J452="","",IF(OR(NOT(ISNUMBER($N452)),NOT(ISNUMBER($P452))),"PENDIENTE",$N452-$P452))</f>
        <v/>
      </c>
      <c r="R452" s="38">
        <f>IF($J452="","",IF(OR(NOT(ISNUMBER($Q452)),NOT(ISNUMBER($N452)),$N452&lt;=0),"PENDIENTE",$Q452/$N452))</f>
        <v/>
      </c>
      <c r="S452" s="33" t="n"/>
      <c r="T452" s="33" t="n"/>
      <c r="U452" s="41" t="n"/>
      <c r="V452" s="36" t="n"/>
      <c r="W452" s="37">
        <f>IF(NOT(ISNUMBER($N452)),"",$N452-IF(ISNUMBER($V452),$V452,0))</f>
        <v/>
      </c>
      <c r="X452" s="33" t="n"/>
      <c r="Y452" s="51">
        <f>IF(COUNTA($B452,$C452,$D452,$E452,$F452,$I452)=0,"",IF(IF($B452=""," · Falta fecha","")&amp;IF($D452=""," · Falta cliente","")&amp;IF($E452=""," · Falta canal","")&amp;IF($F452=""," · Falta SKU","")&amp;IF(AND($F452&lt;&gt;"",COUNTIF(tblProductos[SKU],$F452)=0)," · SKU no existe","")&amp;IF(OR($I452="",NOT(ISNUMBER($I452)),$I452&lt;=0)," · Cantidad inválida","")&amp;IF($M452="PRECIO PENDIENTE"," · Falta precio de venta","")&amp;IF($P452="COSTO PENDIENTE"," · Falta costo del producto","")&amp;IF(AND(ISNUMBER($Q452),$Q452&lt;0)," · UTILIDAD NEGATIVA","")&amp;IF(AND($F452&lt;&gt;"",ISNUMBER(INDEX(tblInventario[Stock actual],MATCH($F452,tblInventario[SKU],0))),INDEX(tblInventario[Stock actual],MATCH($F452,tblInventario[SKU],0))&lt;0)," · Stock negativo del SKU","")&amp;IF(AND($T452="Cobrado",$U452="")," · Cobro sin fecha","")&amp;IF(AND(ISNUMBER($V452),ISNUMBER($N452),$V452&gt;N($N452)+0.01)," · Cobrado &gt; venta neta","")&amp;IF(AND(ISNUMBER($V452),$V452&gt;0,$U452="")," · Monto cobrado sin fecha","")="","OK",MID(IF($B452=""," · Falta fecha","")&amp;IF($D452=""," · Falta cliente","")&amp;IF($E452=""," · Falta canal","")&amp;IF($F452=""," · Falta SKU","")&amp;IF(AND($F452&lt;&gt;"",COUNTIF(tblProductos[SKU],$F452)=0)," · SKU no existe","")&amp;IF(OR($I452="",NOT(ISNUMBER($I452)),$I452&lt;=0)," · Cantidad inválida","")&amp;IF($M452="PRECIO PENDIENTE"," · Falta precio de venta","")&amp;IF($P452="COSTO PENDIENTE"," · Falta costo del producto","")&amp;IF(AND(ISNUMBER($Q452),$Q452&lt;0)," · UTILIDAD NEGATIVA","")&amp;IF(AND($F452&lt;&gt;"",ISNUMBER(INDEX(tblInventario[Stock actual],MATCH($F452,tblInventario[SKU],0))),INDEX(tblInventario[Stock actual],MATCH($F452,tblInventario[SKU],0))&lt;0)," · Stock negativo del SKU","")&amp;IF(AND($T452="Cobrado",$U452="")," · Cobro sin fecha","")&amp;IF(AND(ISNUMBER($V452),ISNUMBER($N452),$V452&gt;N($N452)+0.01)," · Cobrado &gt; venta neta","")&amp;IF(AND(ISNUMBER($V452),$V452&gt;0,$U452="")," · Monto cobrado sin fecha",""),4,900)))</f>
        <v/>
      </c>
    </row>
    <row r="453">
      <c r="A453" s="51">
        <f>IF(COUNTA($B453,$C453,$D453,$E453,$F453,$I453)=0,"","V-"&amp;TEXT(ROW()-6,"0000"))</f>
        <v/>
      </c>
      <c r="B453" s="41" t="n"/>
      <c r="C453" s="33" t="n"/>
      <c r="D453" s="33" t="n"/>
      <c r="E453" s="33" t="n"/>
      <c r="F453" s="33" t="n"/>
      <c r="G453" s="51">
        <f>IF($F453="","",IFERROR(IF(INDEX(tblProductos[Nombre del producto],MATCH($F453,tblProductos[SKU],0))="","",INDEX(tblProductos[Nombre del producto],MATCH($F453,tblProductos[SKU],0))),""))</f>
        <v/>
      </c>
      <c r="H453" s="51">
        <f>IF($F453="","",IFERROR(IF(INDEX(tblProductos[Categoría],MATCH($F453,tblProductos[SKU],0))="","",INDEX(tblProductos[Categoría],MATCH($F453,tblProductos[SKU],0))),""))</f>
        <v/>
      </c>
      <c r="I453" s="34" t="n"/>
      <c r="J453" s="39">
        <f>IF(OR($B453="",$F453="",$I453=""),"",IF($T453="Anulado",0,$I453))</f>
        <v/>
      </c>
      <c r="K453" s="54">
        <f>IF($F453="","",IFERROR(IF(INDEX(tblProductos[Precio de venta actual],MATCH($F453,tblProductos[SKU],0))="","",INDEX(tblProductos[Precio de venta actual],MATCH($F453,tblProductos[SKU],0))),""))</f>
        <v/>
      </c>
      <c r="L453" s="36" t="n"/>
      <c r="M453" s="37">
        <f>IF($J453="","",IF(NOT(ISNUMBER($K453)),"PRECIO PENDIENTE",$J453*$K453))</f>
        <v/>
      </c>
      <c r="N453" s="37">
        <f>IF($J453="","",IF(NOT(ISNUMBER($M453)),"PRECIO PENDIENTE",$M453-IF(ISNUMBER($L453),$L453,0)))</f>
        <v/>
      </c>
      <c r="O453" s="54">
        <f>IF($F453="","",IFERROR(INDEX(tblInventario[Costo unitario aplicado],MATCH($F453,tblInventario[SKU],0)),""))</f>
        <v/>
      </c>
      <c r="P453" s="37">
        <f>IF($J453="","",IF(NOT(ISNUMBER($O453)),"COSTO PENDIENTE",$J453*$O453))</f>
        <v/>
      </c>
      <c r="Q453" s="37">
        <f>IF($J453="","",IF(OR(NOT(ISNUMBER($N453)),NOT(ISNUMBER($P453))),"PENDIENTE",$N453-$P453))</f>
        <v/>
      </c>
      <c r="R453" s="38">
        <f>IF($J453="","",IF(OR(NOT(ISNUMBER($Q453)),NOT(ISNUMBER($N453)),$N453&lt;=0),"PENDIENTE",$Q453/$N453))</f>
        <v/>
      </c>
      <c r="S453" s="33" t="n"/>
      <c r="T453" s="33" t="n"/>
      <c r="U453" s="41" t="n"/>
      <c r="V453" s="36" t="n"/>
      <c r="W453" s="37">
        <f>IF(NOT(ISNUMBER($N453)),"",$N453-IF(ISNUMBER($V453),$V453,0))</f>
        <v/>
      </c>
      <c r="X453" s="33" t="n"/>
      <c r="Y453" s="51">
        <f>IF(COUNTA($B453,$C453,$D453,$E453,$F453,$I453)=0,"",IF(IF($B453=""," · Falta fecha","")&amp;IF($D453=""," · Falta cliente","")&amp;IF($E453=""," · Falta canal","")&amp;IF($F453=""," · Falta SKU","")&amp;IF(AND($F453&lt;&gt;"",COUNTIF(tblProductos[SKU],$F453)=0)," · SKU no existe","")&amp;IF(OR($I453="",NOT(ISNUMBER($I453)),$I453&lt;=0)," · Cantidad inválida","")&amp;IF($M453="PRECIO PENDIENTE"," · Falta precio de venta","")&amp;IF($P453="COSTO PENDIENTE"," · Falta costo del producto","")&amp;IF(AND(ISNUMBER($Q453),$Q453&lt;0)," · UTILIDAD NEGATIVA","")&amp;IF(AND($F453&lt;&gt;"",ISNUMBER(INDEX(tblInventario[Stock actual],MATCH($F453,tblInventario[SKU],0))),INDEX(tblInventario[Stock actual],MATCH($F453,tblInventario[SKU],0))&lt;0)," · Stock negativo del SKU","")&amp;IF(AND($T453="Cobrado",$U453="")," · Cobro sin fecha","")&amp;IF(AND(ISNUMBER($V453),ISNUMBER($N453),$V453&gt;N($N453)+0.01)," · Cobrado &gt; venta neta","")&amp;IF(AND(ISNUMBER($V453),$V453&gt;0,$U453="")," · Monto cobrado sin fecha","")="","OK",MID(IF($B453=""," · Falta fecha","")&amp;IF($D453=""," · Falta cliente","")&amp;IF($E453=""," · Falta canal","")&amp;IF($F453=""," · Falta SKU","")&amp;IF(AND($F453&lt;&gt;"",COUNTIF(tblProductos[SKU],$F453)=0)," · SKU no existe","")&amp;IF(OR($I453="",NOT(ISNUMBER($I453)),$I453&lt;=0)," · Cantidad inválida","")&amp;IF($M453="PRECIO PENDIENTE"," · Falta precio de venta","")&amp;IF($P453="COSTO PENDIENTE"," · Falta costo del producto","")&amp;IF(AND(ISNUMBER($Q453),$Q453&lt;0)," · UTILIDAD NEGATIVA","")&amp;IF(AND($F453&lt;&gt;"",ISNUMBER(INDEX(tblInventario[Stock actual],MATCH($F453,tblInventario[SKU],0))),INDEX(tblInventario[Stock actual],MATCH($F453,tblInventario[SKU],0))&lt;0)," · Stock negativo del SKU","")&amp;IF(AND($T453="Cobrado",$U453="")," · Cobro sin fecha","")&amp;IF(AND(ISNUMBER($V453),ISNUMBER($N453),$V453&gt;N($N453)+0.01)," · Cobrado &gt; venta neta","")&amp;IF(AND(ISNUMBER($V453),$V453&gt;0,$U453="")," · Monto cobrado sin fecha",""),4,900)))</f>
        <v/>
      </c>
    </row>
    <row r="454">
      <c r="A454" s="51">
        <f>IF(COUNTA($B454,$C454,$D454,$E454,$F454,$I454)=0,"","V-"&amp;TEXT(ROW()-6,"0000"))</f>
        <v/>
      </c>
      <c r="B454" s="41" t="n"/>
      <c r="C454" s="33" t="n"/>
      <c r="D454" s="33" t="n"/>
      <c r="E454" s="33" t="n"/>
      <c r="F454" s="33" t="n"/>
      <c r="G454" s="51">
        <f>IF($F454="","",IFERROR(IF(INDEX(tblProductos[Nombre del producto],MATCH($F454,tblProductos[SKU],0))="","",INDEX(tblProductos[Nombre del producto],MATCH($F454,tblProductos[SKU],0))),""))</f>
        <v/>
      </c>
      <c r="H454" s="51">
        <f>IF($F454="","",IFERROR(IF(INDEX(tblProductos[Categoría],MATCH($F454,tblProductos[SKU],0))="","",INDEX(tblProductos[Categoría],MATCH($F454,tblProductos[SKU],0))),""))</f>
        <v/>
      </c>
      <c r="I454" s="34" t="n"/>
      <c r="J454" s="39">
        <f>IF(OR($B454="",$F454="",$I454=""),"",IF($T454="Anulado",0,$I454))</f>
        <v/>
      </c>
      <c r="K454" s="54">
        <f>IF($F454="","",IFERROR(IF(INDEX(tblProductos[Precio de venta actual],MATCH($F454,tblProductos[SKU],0))="","",INDEX(tblProductos[Precio de venta actual],MATCH($F454,tblProductos[SKU],0))),""))</f>
        <v/>
      </c>
      <c r="L454" s="36" t="n"/>
      <c r="M454" s="37">
        <f>IF($J454="","",IF(NOT(ISNUMBER($K454)),"PRECIO PENDIENTE",$J454*$K454))</f>
        <v/>
      </c>
      <c r="N454" s="37">
        <f>IF($J454="","",IF(NOT(ISNUMBER($M454)),"PRECIO PENDIENTE",$M454-IF(ISNUMBER($L454),$L454,0)))</f>
        <v/>
      </c>
      <c r="O454" s="54">
        <f>IF($F454="","",IFERROR(INDEX(tblInventario[Costo unitario aplicado],MATCH($F454,tblInventario[SKU],0)),""))</f>
        <v/>
      </c>
      <c r="P454" s="37">
        <f>IF($J454="","",IF(NOT(ISNUMBER($O454)),"COSTO PENDIENTE",$J454*$O454))</f>
        <v/>
      </c>
      <c r="Q454" s="37">
        <f>IF($J454="","",IF(OR(NOT(ISNUMBER($N454)),NOT(ISNUMBER($P454))),"PENDIENTE",$N454-$P454))</f>
        <v/>
      </c>
      <c r="R454" s="38">
        <f>IF($J454="","",IF(OR(NOT(ISNUMBER($Q454)),NOT(ISNUMBER($N454)),$N454&lt;=0),"PENDIENTE",$Q454/$N454))</f>
        <v/>
      </c>
      <c r="S454" s="33" t="n"/>
      <c r="T454" s="33" t="n"/>
      <c r="U454" s="41" t="n"/>
      <c r="V454" s="36" t="n"/>
      <c r="W454" s="37">
        <f>IF(NOT(ISNUMBER($N454)),"",$N454-IF(ISNUMBER($V454),$V454,0))</f>
        <v/>
      </c>
      <c r="X454" s="33" t="n"/>
      <c r="Y454" s="51">
        <f>IF(COUNTA($B454,$C454,$D454,$E454,$F454,$I454)=0,"",IF(IF($B454=""," · Falta fecha","")&amp;IF($D454=""," · Falta cliente","")&amp;IF($E454=""," · Falta canal","")&amp;IF($F454=""," · Falta SKU","")&amp;IF(AND($F454&lt;&gt;"",COUNTIF(tblProductos[SKU],$F454)=0)," · SKU no existe","")&amp;IF(OR($I454="",NOT(ISNUMBER($I454)),$I454&lt;=0)," · Cantidad inválida","")&amp;IF($M454="PRECIO PENDIENTE"," · Falta precio de venta","")&amp;IF($P454="COSTO PENDIENTE"," · Falta costo del producto","")&amp;IF(AND(ISNUMBER($Q454),$Q454&lt;0)," · UTILIDAD NEGATIVA","")&amp;IF(AND($F454&lt;&gt;"",ISNUMBER(INDEX(tblInventario[Stock actual],MATCH($F454,tblInventario[SKU],0))),INDEX(tblInventario[Stock actual],MATCH($F454,tblInventario[SKU],0))&lt;0)," · Stock negativo del SKU","")&amp;IF(AND($T454="Cobrado",$U454="")," · Cobro sin fecha","")&amp;IF(AND(ISNUMBER($V454),ISNUMBER($N454),$V454&gt;N($N454)+0.01)," · Cobrado &gt; venta neta","")&amp;IF(AND(ISNUMBER($V454),$V454&gt;0,$U454="")," · Monto cobrado sin fecha","")="","OK",MID(IF($B454=""," · Falta fecha","")&amp;IF($D454=""," · Falta cliente","")&amp;IF($E454=""," · Falta canal","")&amp;IF($F454=""," · Falta SKU","")&amp;IF(AND($F454&lt;&gt;"",COUNTIF(tblProductos[SKU],$F454)=0)," · SKU no existe","")&amp;IF(OR($I454="",NOT(ISNUMBER($I454)),$I454&lt;=0)," · Cantidad inválida","")&amp;IF($M454="PRECIO PENDIENTE"," · Falta precio de venta","")&amp;IF($P454="COSTO PENDIENTE"," · Falta costo del producto","")&amp;IF(AND(ISNUMBER($Q454),$Q454&lt;0)," · UTILIDAD NEGATIVA","")&amp;IF(AND($F454&lt;&gt;"",ISNUMBER(INDEX(tblInventario[Stock actual],MATCH($F454,tblInventario[SKU],0))),INDEX(tblInventario[Stock actual],MATCH($F454,tblInventario[SKU],0))&lt;0)," · Stock negativo del SKU","")&amp;IF(AND($T454="Cobrado",$U454="")," · Cobro sin fecha","")&amp;IF(AND(ISNUMBER($V454),ISNUMBER($N454),$V454&gt;N($N454)+0.01)," · Cobrado &gt; venta neta","")&amp;IF(AND(ISNUMBER($V454),$V454&gt;0,$U454="")," · Monto cobrado sin fecha",""),4,900)))</f>
        <v/>
      </c>
    </row>
    <row r="455">
      <c r="A455" s="51">
        <f>IF(COUNTA($B455,$C455,$D455,$E455,$F455,$I455)=0,"","V-"&amp;TEXT(ROW()-6,"0000"))</f>
        <v/>
      </c>
      <c r="B455" s="41" t="n"/>
      <c r="C455" s="33" t="n"/>
      <c r="D455" s="33" t="n"/>
      <c r="E455" s="33" t="n"/>
      <c r="F455" s="33" t="n"/>
      <c r="G455" s="51">
        <f>IF($F455="","",IFERROR(IF(INDEX(tblProductos[Nombre del producto],MATCH($F455,tblProductos[SKU],0))="","",INDEX(tblProductos[Nombre del producto],MATCH($F455,tblProductos[SKU],0))),""))</f>
        <v/>
      </c>
      <c r="H455" s="51">
        <f>IF($F455="","",IFERROR(IF(INDEX(tblProductos[Categoría],MATCH($F455,tblProductos[SKU],0))="","",INDEX(tblProductos[Categoría],MATCH($F455,tblProductos[SKU],0))),""))</f>
        <v/>
      </c>
      <c r="I455" s="34" t="n"/>
      <c r="J455" s="39">
        <f>IF(OR($B455="",$F455="",$I455=""),"",IF($T455="Anulado",0,$I455))</f>
        <v/>
      </c>
      <c r="K455" s="54">
        <f>IF($F455="","",IFERROR(IF(INDEX(tblProductos[Precio de venta actual],MATCH($F455,tblProductos[SKU],0))="","",INDEX(tblProductos[Precio de venta actual],MATCH($F455,tblProductos[SKU],0))),""))</f>
        <v/>
      </c>
      <c r="L455" s="36" t="n"/>
      <c r="M455" s="37">
        <f>IF($J455="","",IF(NOT(ISNUMBER($K455)),"PRECIO PENDIENTE",$J455*$K455))</f>
        <v/>
      </c>
      <c r="N455" s="37">
        <f>IF($J455="","",IF(NOT(ISNUMBER($M455)),"PRECIO PENDIENTE",$M455-IF(ISNUMBER($L455),$L455,0)))</f>
        <v/>
      </c>
      <c r="O455" s="54">
        <f>IF($F455="","",IFERROR(INDEX(tblInventario[Costo unitario aplicado],MATCH($F455,tblInventario[SKU],0)),""))</f>
        <v/>
      </c>
      <c r="P455" s="37">
        <f>IF($J455="","",IF(NOT(ISNUMBER($O455)),"COSTO PENDIENTE",$J455*$O455))</f>
        <v/>
      </c>
      <c r="Q455" s="37">
        <f>IF($J455="","",IF(OR(NOT(ISNUMBER($N455)),NOT(ISNUMBER($P455))),"PENDIENTE",$N455-$P455))</f>
        <v/>
      </c>
      <c r="R455" s="38">
        <f>IF($J455="","",IF(OR(NOT(ISNUMBER($Q455)),NOT(ISNUMBER($N455)),$N455&lt;=0),"PENDIENTE",$Q455/$N455))</f>
        <v/>
      </c>
      <c r="S455" s="33" t="n"/>
      <c r="T455" s="33" t="n"/>
      <c r="U455" s="41" t="n"/>
      <c r="V455" s="36" t="n"/>
      <c r="W455" s="37">
        <f>IF(NOT(ISNUMBER($N455)),"",$N455-IF(ISNUMBER($V455),$V455,0))</f>
        <v/>
      </c>
      <c r="X455" s="33" t="n"/>
      <c r="Y455" s="51">
        <f>IF(COUNTA($B455,$C455,$D455,$E455,$F455,$I455)=0,"",IF(IF($B455=""," · Falta fecha","")&amp;IF($D455=""," · Falta cliente","")&amp;IF($E455=""," · Falta canal","")&amp;IF($F455=""," · Falta SKU","")&amp;IF(AND($F455&lt;&gt;"",COUNTIF(tblProductos[SKU],$F455)=0)," · SKU no existe","")&amp;IF(OR($I455="",NOT(ISNUMBER($I455)),$I455&lt;=0)," · Cantidad inválida","")&amp;IF($M455="PRECIO PENDIENTE"," · Falta precio de venta","")&amp;IF($P455="COSTO PENDIENTE"," · Falta costo del producto","")&amp;IF(AND(ISNUMBER($Q455),$Q455&lt;0)," · UTILIDAD NEGATIVA","")&amp;IF(AND($F455&lt;&gt;"",ISNUMBER(INDEX(tblInventario[Stock actual],MATCH($F455,tblInventario[SKU],0))),INDEX(tblInventario[Stock actual],MATCH($F455,tblInventario[SKU],0))&lt;0)," · Stock negativo del SKU","")&amp;IF(AND($T455="Cobrado",$U455="")," · Cobro sin fecha","")&amp;IF(AND(ISNUMBER($V455),ISNUMBER($N455),$V455&gt;N($N455)+0.01)," · Cobrado &gt; venta neta","")&amp;IF(AND(ISNUMBER($V455),$V455&gt;0,$U455="")," · Monto cobrado sin fecha","")="","OK",MID(IF($B455=""," · Falta fecha","")&amp;IF($D455=""," · Falta cliente","")&amp;IF($E455=""," · Falta canal","")&amp;IF($F455=""," · Falta SKU","")&amp;IF(AND($F455&lt;&gt;"",COUNTIF(tblProductos[SKU],$F455)=0)," · SKU no existe","")&amp;IF(OR($I455="",NOT(ISNUMBER($I455)),$I455&lt;=0)," · Cantidad inválida","")&amp;IF($M455="PRECIO PENDIENTE"," · Falta precio de venta","")&amp;IF($P455="COSTO PENDIENTE"," · Falta costo del producto","")&amp;IF(AND(ISNUMBER($Q455),$Q455&lt;0)," · UTILIDAD NEGATIVA","")&amp;IF(AND($F455&lt;&gt;"",ISNUMBER(INDEX(tblInventario[Stock actual],MATCH($F455,tblInventario[SKU],0))),INDEX(tblInventario[Stock actual],MATCH($F455,tblInventario[SKU],0))&lt;0)," · Stock negativo del SKU","")&amp;IF(AND($T455="Cobrado",$U455="")," · Cobro sin fecha","")&amp;IF(AND(ISNUMBER($V455),ISNUMBER($N455),$V455&gt;N($N455)+0.01)," · Cobrado &gt; venta neta","")&amp;IF(AND(ISNUMBER($V455),$V455&gt;0,$U455="")," · Monto cobrado sin fecha",""),4,900)))</f>
        <v/>
      </c>
    </row>
    <row r="456">
      <c r="A456" s="51">
        <f>IF(COUNTA($B456,$C456,$D456,$E456,$F456,$I456)=0,"","V-"&amp;TEXT(ROW()-6,"0000"))</f>
        <v/>
      </c>
      <c r="B456" s="41" t="n"/>
      <c r="C456" s="33" t="n"/>
      <c r="D456" s="33" t="n"/>
      <c r="E456" s="33" t="n"/>
      <c r="F456" s="33" t="n"/>
      <c r="G456" s="51">
        <f>IF($F456="","",IFERROR(IF(INDEX(tblProductos[Nombre del producto],MATCH($F456,tblProductos[SKU],0))="","",INDEX(tblProductos[Nombre del producto],MATCH($F456,tblProductos[SKU],0))),""))</f>
        <v/>
      </c>
      <c r="H456" s="51">
        <f>IF($F456="","",IFERROR(IF(INDEX(tblProductos[Categoría],MATCH($F456,tblProductos[SKU],0))="","",INDEX(tblProductos[Categoría],MATCH($F456,tblProductos[SKU],0))),""))</f>
        <v/>
      </c>
      <c r="I456" s="34" t="n"/>
      <c r="J456" s="39">
        <f>IF(OR($B456="",$F456="",$I456=""),"",IF($T456="Anulado",0,$I456))</f>
        <v/>
      </c>
      <c r="K456" s="54">
        <f>IF($F456="","",IFERROR(IF(INDEX(tblProductos[Precio de venta actual],MATCH($F456,tblProductos[SKU],0))="","",INDEX(tblProductos[Precio de venta actual],MATCH($F456,tblProductos[SKU],0))),""))</f>
        <v/>
      </c>
      <c r="L456" s="36" t="n"/>
      <c r="M456" s="37">
        <f>IF($J456="","",IF(NOT(ISNUMBER($K456)),"PRECIO PENDIENTE",$J456*$K456))</f>
        <v/>
      </c>
      <c r="N456" s="37">
        <f>IF($J456="","",IF(NOT(ISNUMBER($M456)),"PRECIO PENDIENTE",$M456-IF(ISNUMBER($L456),$L456,0)))</f>
        <v/>
      </c>
      <c r="O456" s="54">
        <f>IF($F456="","",IFERROR(INDEX(tblInventario[Costo unitario aplicado],MATCH($F456,tblInventario[SKU],0)),""))</f>
        <v/>
      </c>
      <c r="P456" s="37">
        <f>IF($J456="","",IF(NOT(ISNUMBER($O456)),"COSTO PENDIENTE",$J456*$O456))</f>
        <v/>
      </c>
      <c r="Q456" s="37">
        <f>IF($J456="","",IF(OR(NOT(ISNUMBER($N456)),NOT(ISNUMBER($P456))),"PENDIENTE",$N456-$P456))</f>
        <v/>
      </c>
      <c r="R456" s="38">
        <f>IF($J456="","",IF(OR(NOT(ISNUMBER($Q456)),NOT(ISNUMBER($N456)),$N456&lt;=0),"PENDIENTE",$Q456/$N456))</f>
        <v/>
      </c>
      <c r="S456" s="33" t="n"/>
      <c r="T456" s="33" t="n"/>
      <c r="U456" s="41" t="n"/>
      <c r="V456" s="36" t="n"/>
      <c r="W456" s="37">
        <f>IF(NOT(ISNUMBER($N456)),"",$N456-IF(ISNUMBER($V456),$V456,0))</f>
        <v/>
      </c>
      <c r="X456" s="33" t="n"/>
      <c r="Y456" s="51">
        <f>IF(COUNTA($B456,$C456,$D456,$E456,$F456,$I456)=0,"",IF(IF($B456=""," · Falta fecha","")&amp;IF($D456=""," · Falta cliente","")&amp;IF($E456=""," · Falta canal","")&amp;IF($F456=""," · Falta SKU","")&amp;IF(AND($F456&lt;&gt;"",COUNTIF(tblProductos[SKU],$F456)=0)," · SKU no existe","")&amp;IF(OR($I456="",NOT(ISNUMBER($I456)),$I456&lt;=0)," · Cantidad inválida","")&amp;IF($M456="PRECIO PENDIENTE"," · Falta precio de venta","")&amp;IF($P456="COSTO PENDIENTE"," · Falta costo del producto","")&amp;IF(AND(ISNUMBER($Q456),$Q456&lt;0)," · UTILIDAD NEGATIVA","")&amp;IF(AND($F456&lt;&gt;"",ISNUMBER(INDEX(tblInventario[Stock actual],MATCH($F456,tblInventario[SKU],0))),INDEX(tblInventario[Stock actual],MATCH($F456,tblInventario[SKU],0))&lt;0)," · Stock negativo del SKU","")&amp;IF(AND($T456="Cobrado",$U456="")," · Cobro sin fecha","")&amp;IF(AND(ISNUMBER($V456),ISNUMBER($N456),$V456&gt;N($N456)+0.01)," · Cobrado &gt; venta neta","")&amp;IF(AND(ISNUMBER($V456),$V456&gt;0,$U456="")," · Monto cobrado sin fecha","")="","OK",MID(IF($B456=""," · Falta fecha","")&amp;IF($D456=""," · Falta cliente","")&amp;IF($E456=""," · Falta canal","")&amp;IF($F456=""," · Falta SKU","")&amp;IF(AND($F456&lt;&gt;"",COUNTIF(tblProductos[SKU],$F456)=0)," · SKU no existe","")&amp;IF(OR($I456="",NOT(ISNUMBER($I456)),$I456&lt;=0)," · Cantidad inválida","")&amp;IF($M456="PRECIO PENDIENTE"," · Falta precio de venta","")&amp;IF($P456="COSTO PENDIENTE"," · Falta costo del producto","")&amp;IF(AND(ISNUMBER($Q456),$Q456&lt;0)," · UTILIDAD NEGATIVA","")&amp;IF(AND($F456&lt;&gt;"",ISNUMBER(INDEX(tblInventario[Stock actual],MATCH($F456,tblInventario[SKU],0))),INDEX(tblInventario[Stock actual],MATCH($F456,tblInventario[SKU],0))&lt;0)," · Stock negativo del SKU","")&amp;IF(AND($T456="Cobrado",$U456="")," · Cobro sin fecha","")&amp;IF(AND(ISNUMBER($V456),ISNUMBER($N456),$V456&gt;N($N456)+0.01)," · Cobrado &gt; venta neta","")&amp;IF(AND(ISNUMBER($V456),$V456&gt;0,$U456="")," · Monto cobrado sin fecha",""),4,900)))</f>
        <v/>
      </c>
    </row>
    <row r="457">
      <c r="A457" s="51">
        <f>IF(COUNTA($B457,$C457,$D457,$E457,$F457,$I457)=0,"","V-"&amp;TEXT(ROW()-6,"0000"))</f>
        <v/>
      </c>
      <c r="B457" s="41" t="n"/>
      <c r="C457" s="33" t="n"/>
      <c r="D457" s="33" t="n"/>
      <c r="E457" s="33" t="n"/>
      <c r="F457" s="33" t="n"/>
      <c r="G457" s="51">
        <f>IF($F457="","",IFERROR(IF(INDEX(tblProductos[Nombre del producto],MATCH($F457,tblProductos[SKU],0))="","",INDEX(tblProductos[Nombre del producto],MATCH($F457,tblProductos[SKU],0))),""))</f>
        <v/>
      </c>
      <c r="H457" s="51">
        <f>IF($F457="","",IFERROR(IF(INDEX(tblProductos[Categoría],MATCH($F457,tblProductos[SKU],0))="","",INDEX(tblProductos[Categoría],MATCH($F457,tblProductos[SKU],0))),""))</f>
        <v/>
      </c>
      <c r="I457" s="34" t="n"/>
      <c r="J457" s="39">
        <f>IF(OR($B457="",$F457="",$I457=""),"",IF($T457="Anulado",0,$I457))</f>
        <v/>
      </c>
      <c r="K457" s="54">
        <f>IF($F457="","",IFERROR(IF(INDEX(tblProductos[Precio de venta actual],MATCH($F457,tblProductos[SKU],0))="","",INDEX(tblProductos[Precio de venta actual],MATCH($F457,tblProductos[SKU],0))),""))</f>
        <v/>
      </c>
      <c r="L457" s="36" t="n"/>
      <c r="M457" s="37">
        <f>IF($J457="","",IF(NOT(ISNUMBER($K457)),"PRECIO PENDIENTE",$J457*$K457))</f>
        <v/>
      </c>
      <c r="N457" s="37">
        <f>IF($J457="","",IF(NOT(ISNUMBER($M457)),"PRECIO PENDIENTE",$M457-IF(ISNUMBER($L457),$L457,0)))</f>
        <v/>
      </c>
      <c r="O457" s="54">
        <f>IF($F457="","",IFERROR(INDEX(tblInventario[Costo unitario aplicado],MATCH($F457,tblInventario[SKU],0)),""))</f>
        <v/>
      </c>
      <c r="P457" s="37">
        <f>IF($J457="","",IF(NOT(ISNUMBER($O457)),"COSTO PENDIENTE",$J457*$O457))</f>
        <v/>
      </c>
      <c r="Q457" s="37">
        <f>IF($J457="","",IF(OR(NOT(ISNUMBER($N457)),NOT(ISNUMBER($P457))),"PENDIENTE",$N457-$P457))</f>
        <v/>
      </c>
      <c r="R457" s="38">
        <f>IF($J457="","",IF(OR(NOT(ISNUMBER($Q457)),NOT(ISNUMBER($N457)),$N457&lt;=0),"PENDIENTE",$Q457/$N457))</f>
        <v/>
      </c>
      <c r="S457" s="33" t="n"/>
      <c r="T457" s="33" t="n"/>
      <c r="U457" s="41" t="n"/>
      <c r="V457" s="36" t="n"/>
      <c r="W457" s="37">
        <f>IF(NOT(ISNUMBER($N457)),"",$N457-IF(ISNUMBER($V457),$V457,0))</f>
        <v/>
      </c>
      <c r="X457" s="33" t="n"/>
      <c r="Y457" s="51">
        <f>IF(COUNTA($B457,$C457,$D457,$E457,$F457,$I457)=0,"",IF(IF($B457=""," · Falta fecha","")&amp;IF($D457=""," · Falta cliente","")&amp;IF($E457=""," · Falta canal","")&amp;IF($F457=""," · Falta SKU","")&amp;IF(AND($F457&lt;&gt;"",COUNTIF(tblProductos[SKU],$F457)=0)," · SKU no existe","")&amp;IF(OR($I457="",NOT(ISNUMBER($I457)),$I457&lt;=0)," · Cantidad inválida","")&amp;IF($M457="PRECIO PENDIENTE"," · Falta precio de venta","")&amp;IF($P457="COSTO PENDIENTE"," · Falta costo del producto","")&amp;IF(AND(ISNUMBER($Q457),$Q457&lt;0)," · UTILIDAD NEGATIVA","")&amp;IF(AND($F457&lt;&gt;"",ISNUMBER(INDEX(tblInventario[Stock actual],MATCH($F457,tblInventario[SKU],0))),INDEX(tblInventario[Stock actual],MATCH($F457,tblInventario[SKU],0))&lt;0)," · Stock negativo del SKU","")&amp;IF(AND($T457="Cobrado",$U457="")," · Cobro sin fecha","")&amp;IF(AND(ISNUMBER($V457),ISNUMBER($N457),$V457&gt;N($N457)+0.01)," · Cobrado &gt; venta neta","")&amp;IF(AND(ISNUMBER($V457),$V457&gt;0,$U457="")," · Monto cobrado sin fecha","")="","OK",MID(IF($B457=""," · Falta fecha","")&amp;IF($D457=""," · Falta cliente","")&amp;IF($E457=""," · Falta canal","")&amp;IF($F457=""," · Falta SKU","")&amp;IF(AND($F457&lt;&gt;"",COUNTIF(tblProductos[SKU],$F457)=0)," · SKU no existe","")&amp;IF(OR($I457="",NOT(ISNUMBER($I457)),$I457&lt;=0)," · Cantidad inválida","")&amp;IF($M457="PRECIO PENDIENTE"," · Falta precio de venta","")&amp;IF($P457="COSTO PENDIENTE"," · Falta costo del producto","")&amp;IF(AND(ISNUMBER($Q457),$Q457&lt;0)," · UTILIDAD NEGATIVA","")&amp;IF(AND($F457&lt;&gt;"",ISNUMBER(INDEX(tblInventario[Stock actual],MATCH($F457,tblInventario[SKU],0))),INDEX(tblInventario[Stock actual],MATCH($F457,tblInventario[SKU],0))&lt;0)," · Stock negativo del SKU","")&amp;IF(AND($T457="Cobrado",$U457="")," · Cobro sin fecha","")&amp;IF(AND(ISNUMBER($V457),ISNUMBER($N457),$V457&gt;N($N457)+0.01)," · Cobrado &gt; venta neta","")&amp;IF(AND(ISNUMBER($V457),$V457&gt;0,$U457="")," · Monto cobrado sin fecha",""),4,900)))</f>
        <v/>
      </c>
    </row>
    <row r="458">
      <c r="A458" s="51">
        <f>IF(COUNTA($B458,$C458,$D458,$E458,$F458,$I458)=0,"","V-"&amp;TEXT(ROW()-6,"0000"))</f>
        <v/>
      </c>
      <c r="B458" s="41" t="n"/>
      <c r="C458" s="33" t="n"/>
      <c r="D458" s="33" t="n"/>
      <c r="E458" s="33" t="n"/>
      <c r="F458" s="33" t="n"/>
      <c r="G458" s="51">
        <f>IF($F458="","",IFERROR(IF(INDEX(tblProductos[Nombre del producto],MATCH($F458,tblProductos[SKU],0))="","",INDEX(tblProductos[Nombre del producto],MATCH($F458,tblProductos[SKU],0))),""))</f>
        <v/>
      </c>
      <c r="H458" s="51">
        <f>IF($F458="","",IFERROR(IF(INDEX(tblProductos[Categoría],MATCH($F458,tblProductos[SKU],0))="","",INDEX(tblProductos[Categoría],MATCH($F458,tblProductos[SKU],0))),""))</f>
        <v/>
      </c>
      <c r="I458" s="34" t="n"/>
      <c r="J458" s="39">
        <f>IF(OR($B458="",$F458="",$I458=""),"",IF($T458="Anulado",0,$I458))</f>
        <v/>
      </c>
      <c r="K458" s="54">
        <f>IF($F458="","",IFERROR(IF(INDEX(tblProductos[Precio de venta actual],MATCH($F458,tblProductos[SKU],0))="","",INDEX(tblProductos[Precio de venta actual],MATCH($F458,tblProductos[SKU],0))),""))</f>
        <v/>
      </c>
      <c r="L458" s="36" t="n"/>
      <c r="M458" s="37">
        <f>IF($J458="","",IF(NOT(ISNUMBER($K458)),"PRECIO PENDIENTE",$J458*$K458))</f>
        <v/>
      </c>
      <c r="N458" s="37">
        <f>IF($J458="","",IF(NOT(ISNUMBER($M458)),"PRECIO PENDIENTE",$M458-IF(ISNUMBER($L458),$L458,0)))</f>
        <v/>
      </c>
      <c r="O458" s="54">
        <f>IF($F458="","",IFERROR(INDEX(tblInventario[Costo unitario aplicado],MATCH($F458,tblInventario[SKU],0)),""))</f>
        <v/>
      </c>
      <c r="P458" s="37">
        <f>IF($J458="","",IF(NOT(ISNUMBER($O458)),"COSTO PENDIENTE",$J458*$O458))</f>
        <v/>
      </c>
      <c r="Q458" s="37">
        <f>IF($J458="","",IF(OR(NOT(ISNUMBER($N458)),NOT(ISNUMBER($P458))),"PENDIENTE",$N458-$P458))</f>
        <v/>
      </c>
      <c r="R458" s="38">
        <f>IF($J458="","",IF(OR(NOT(ISNUMBER($Q458)),NOT(ISNUMBER($N458)),$N458&lt;=0),"PENDIENTE",$Q458/$N458))</f>
        <v/>
      </c>
      <c r="S458" s="33" t="n"/>
      <c r="T458" s="33" t="n"/>
      <c r="U458" s="41" t="n"/>
      <c r="V458" s="36" t="n"/>
      <c r="W458" s="37">
        <f>IF(NOT(ISNUMBER($N458)),"",$N458-IF(ISNUMBER($V458),$V458,0))</f>
        <v/>
      </c>
      <c r="X458" s="33" t="n"/>
      <c r="Y458" s="51">
        <f>IF(COUNTA($B458,$C458,$D458,$E458,$F458,$I458)=0,"",IF(IF($B458=""," · Falta fecha","")&amp;IF($D458=""," · Falta cliente","")&amp;IF($E458=""," · Falta canal","")&amp;IF($F458=""," · Falta SKU","")&amp;IF(AND($F458&lt;&gt;"",COUNTIF(tblProductos[SKU],$F458)=0)," · SKU no existe","")&amp;IF(OR($I458="",NOT(ISNUMBER($I458)),$I458&lt;=0)," · Cantidad inválida","")&amp;IF($M458="PRECIO PENDIENTE"," · Falta precio de venta","")&amp;IF($P458="COSTO PENDIENTE"," · Falta costo del producto","")&amp;IF(AND(ISNUMBER($Q458),$Q458&lt;0)," · UTILIDAD NEGATIVA","")&amp;IF(AND($F458&lt;&gt;"",ISNUMBER(INDEX(tblInventario[Stock actual],MATCH($F458,tblInventario[SKU],0))),INDEX(tblInventario[Stock actual],MATCH($F458,tblInventario[SKU],0))&lt;0)," · Stock negativo del SKU","")&amp;IF(AND($T458="Cobrado",$U458="")," · Cobro sin fecha","")&amp;IF(AND(ISNUMBER($V458),ISNUMBER($N458),$V458&gt;N($N458)+0.01)," · Cobrado &gt; venta neta","")&amp;IF(AND(ISNUMBER($V458),$V458&gt;0,$U458="")," · Monto cobrado sin fecha","")="","OK",MID(IF($B458=""," · Falta fecha","")&amp;IF($D458=""," · Falta cliente","")&amp;IF($E458=""," · Falta canal","")&amp;IF($F458=""," · Falta SKU","")&amp;IF(AND($F458&lt;&gt;"",COUNTIF(tblProductos[SKU],$F458)=0)," · SKU no existe","")&amp;IF(OR($I458="",NOT(ISNUMBER($I458)),$I458&lt;=0)," · Cantidad inválida","")&amp;IF($M458="PRECIO PENDIENTE"," · Falta precio de venta","")&amp;IF($P458="COSTO PENDIENTE"," · Falta costo del producto","")&amp;IF(AND(ISNUMBER($Q458),$Q458&lt;0)," · UTILIDAD NEGATIVA","")&amp;IF(AND($F458&lt;&gt;"",ISNUMBER(INDEX(tblInventario[Stock actual],MATCH($F458,tblInventario[SKU],0))),INDEX(tblInventario[Stock actual],MATCH($F458,tblInventario[SKU],0))&lt;0)," · Stock negativo del SKU","")&amp;IF(AND($T458="Cobrado",$U458="")," · Cobro sin fecha","")&amp;IF(AND(ISNUMBER($V458),ISNUMBER($N458),$V458&gt;N($N458)+0.01)," · Cobrado &gt; venta neta","")&amp;IF(AND(ISNUMBER($V458),$V458&gt;0,$U458="")," · Monto cobrado sin fecha",""),4,900)))</f>
        <v/>
      </c>
    </row>
    <row r="459">
      <c r="A459" s="51">
        <f>IF(COUNTA($B459,$C459,$D459,$E459,$F459,$I459)=0,"","V-"&amp;TEXT(ROW()-6,"0000"))</f>
        <v/>
      </c>
      <c r="B459" s="41" t="n"/>
      <c r="C459" s="33" t="n"/>
      <c r="D459" s="33" t="n"/>
      <c r="E459" s="33" t="n"/>
      <c r="F459" s="33" t="n"/>
      <c r="G459" s="51">
        <f>IF($F459="","",IFERROR(IF(INDEX(tblProductos[Nombre del producto],MATCH($F459,tblProductos[SKU],0))="","",INDEX(tblProductos[Nombre del producto],MATCH($F459,tblProductos[SKU],0))),""))</f>
        <v/>
      </c>
      <c r="H459" s="51">
        <f>IF($F459="","",IFERROR(IF(INDEX(tblProductos[Categoría],MATCH($F459,tblProductos[SKU],0))="","",INDEX(tblProductos[Categoría],MATCH($F459,tblProductos[SKU],0))),""))</f>
        <v/>
      </c>
      <c r="I459" s="34" t="n"/>
      <c r="J459" s="39">
        <f>IF(OR($B459="",$F459="",$I459=""),"",IF($T459="Anulado",0,$I459))</f>
        <v/>
      </c>
      <c r="K459" s="54">
        <f>IF($F459="","",IFERROR(IF(INDEX(tblProductos[Precio de venta actual],MATCH($F459,tblProductos[SKU],0))="","",INDEX(tblProductos[Precio de venta actual],MATCH($F459,tblProductos[SKU],0))),""))</f>
        <v/>
      </c>
      <c r="L459" s="36" t="n"/>
      <c r="M459" s="37">
        <f>IF($J459="","",IF(NOT(ISNUMBER($K459)),"PRECIO PENDIENTE",$J459*$K459))</f>
        <v/>
      </c>
      <c r="N459" s="37">
        <f>IF($J459="","",IF(NOT(ISNUMBER($M459)),"PRECIO PENDIENTE",$M459-IF(ISNUMBER($L459),$L459,0)))</f>
        <v/>
      </c>
      <c r="O459" s="54">
        <f>IF($F459="","",IFERROR(INDEX(tblInventario[Costo unitario aplicado],MATCH($F459,tblInventario[SKU],0)),""))</f>
        <v/>
      </c>
      <c r="P459" s="37">
        <f>IF($J459="","",IF(NOT(ISNUMBER($O459)),"COSTO PENDIENTE",$J459*$O459))</f>
        <v/>
      </c>
      <c r="Q459" s="37">
        <f>IF($J459="","",IF(OR(NOT(ISNUMBER($N459)),NOT(ISNUMBER($P459))),"PENDIENTE",$N459-$P459))</f>
        <v/>
      </c>
      <c r="R459" s="38">
        <f>IF($J459="","",IF(OR(NOT(ISNUMBER($Q459)),NOT(ISNUMBER($N459)),$N459&lt;=0),"PENDIENTE",$Q459/$N459))</f>
        <v/>
      </c>
      <c r="S459" s="33" t="n"/>
      <c r="T459" s="33" t="n"/>
      <c r="U459" s="41" t="n"/>
      <c r="V459" s="36" t="n"/>
      <c r="W459" s="37">
        <f>IF(NOT(ISNUMBER($N459)),"",$N459-IF(ISNUMBER($V459),$V459,0))</f>
        <v/>
      </c>
      <c r="X459" s="33" t="n"/>
      <c r="Y459" s="51">
        <f>IF(COUNTA($B459,$C459,$D459,$E459,$F459,$I459)=0,"",IF(IF($B459=""," · Falta fecha","")&amp;IF($D459=""," · Falta cliente","")&amp;IF($E459=""," · Falta canal","")&amp;IF($F459=""," · Falta SKU","")&amp;IF(AND($F459&lt;&gt;"",COUNTIF(tblProductos[SKU],$F459)=0)," · SKU no existe","")&amp;IF(OR($I459="",NOT(ISNUMBER($I459)),$I459&lt;=0)," · Cantidad inválida","")&amp;IF($M459="PRECIO PENDIENTE"," · Falta precio de venta","")&amp;IF($P459="COSTO PENDIENTE"," · Falta costo del producto","")&amp;IF(AND(ISNUMBER($Q459),$Q459&lt;0)," · UTILIDAD NEGATIVA","")&amp;IF(AND($F459&lt;&gt;"",ISNUMBER(INDEX(tblInventario[Stock actual],MATCH($F459,tblInventario[SKU],0))),INDEX(tblInventario[Stock actual],MATCH($F459,tblInventario[SKU],0))&lt;0)," · Stock negativo del SKU","")&amp;IF(AND($T459="Cobrado",$U459="")," · Cobro sin fecha","")&amp;IF(AND(ISNUMBER($V459),ISNUMBER($N459),$V459&gt;N($N459)+0.01)," · Cobrado &gt; venta neta","")&amp;IF(AND(ISNUMBER($V459),$V459&gt;0,$U459="")," · Monto cobrado sin fecha","")="","OK",MID(IF($B459=""," · Falta fecha","")&amp;IF($D459=""," · Falta cliente","")&amp;IF($E459=""," · Falta canal","")&amp;IF($F459=""," · Falta SKU","")&amp;IF(AND($F459&lt;&gt;"",COUNTIF(tblProductos[SKU],$F459)=0)," · SKU no existe","")&amp;IF(OR($I459="",NOT(ISNUMBER($I459)),$I459&lt;=0)," · Cantidad inválida","")&amp;IF($M459="PRECIO PENDIENTE"," · Falta precio de venta","")&amp;IF($P459="COSTO PENDIENTE"," · Falta costo del producto","")&amp;IF(AND(ISNUMBER($Q459),$Q459&lt;0)," · UTILIDAD NEGATIVA","")&amp;IF(AND($F459&lt;&gt;"",ISNUMBER(INDEX(tblInventario[Stock actual],MATCH($F459,tblInventario[SKU],0))),INDEX(tblInventario[Stock actual],MATCH($F459,tblInventario[SKU],0))&lt;0)," · Stock negativo del SKU","")&amp;IF(AND($T459="Cobrado",$U459="")," · Cobro sin fecha","")&amp;IF(AND(ISNUMBER($V459),ISNUMBER($N459),$V459&gt;N($N459)+0.01)," · Cobrado &gt; venta neta","")&amp;IF(AND(ISNUMBER($V459),$V459&gt;0,$U459="")," · Monto cobrado sin fecha",""),4,900)))</f>
        <v/>
      </c>
    </row>
    <row r="460">
      <c r="A460" s="51">
        <f>IF(COUNTA($B460,$C460,$D460,$E460,$F460,$I460)=0,"","V-"&amp;TEXT(ROW()-6,"0000"))</f>
        <v/>
      </c>
      <c r="B460" s="41" t="n"/>
      <c r="C460" s="33" t="n"/>
      <c r="D460" s="33" t="n"/>
      <c r="E460" s="33" t="n"/>
      <c r="F460" s="33" t="n"/>
      <c r="G460" s="51">
        <f>IF($F460="","",IFERROR(IF(INDEX(tblProductos[Nombre del producto],MATCH($F460,tblProductos[SKU],0))="","",INDEX(tblProductos[Nombre del producto],MATCH($F460,tblProductos[SKU],0))),""))</f>
        <v/>
      </c>
      <c r="H460" s="51">
        <f>IF($F460="","",IFERROR(IF(INDEX(tblProductos[Categoría],MATCH($F460,tblProductos[SKU],0))="","",INDEX(tblProductos[Categoría],MATCH($F460,tblProductos[SKU],0))),""))</f>
        <v/>
      </c>
      <c r="I460" s="34" t="n"/>
      <c r="J460" s="39">
        <f>IF(OR($B460="",$F460="",$I460=""),"",IF($T460="Anulado",0,$I460))</f>
        <v/>
      </c>
      <c r="K460" s="54">
        <f>IF($F460="","",IFERROR(IF(INDEX(tblProductos[Precio de venta actual],MATCH($F460,tblProductos[SKU],0))="","",INDEX(tblProductos[Precio de venta actual],MATCH($F460,tblProductos[SKU],0))),""))</f>
        <v/>
      </c>
      <c r="L460" s="36" t="n"/>
      <c r="M460" s="37">
        <f>IF($J460="","",IF(NOT(ISNUMBER($K460)),"PRECIO PENDIENTE",$J460*$K460))</f>
        <v/>
      </c>
      <c r="N460" s="37">
        <f>IF($J460="","",IF(NOT(ISNUMBER($M460)),"PRECIO PENDIENTE",$M460-IF(ISNUMBER($L460),$L460,0)))</f>
        <v/>
      </c>
      <c r="O460" s="54">
        <f>IF($F460="","",IFERROR(INDEX(tblInventario[Costo unitario aplicado],MATCH($F460,tblInventario[SKU],0)),""))</f>
        <v/>
      </c>
      <c r="P460" s="37">
        <f>IF($J460="","",IF(NOT(ISNUMBER($O460)),"COSTO PENDIENTE",$J460*$O460))</f>
        <v/>
      </c>
      <c r="Q460" s="37">
        <f>IF($J460="","",IF(OR(NOT(ISNUMBER($N460)),NOT(ISNUMBER($P460))),"PENDIENTE",$N460-$P460))</f>
        <v/>
      </c>
      <c r="R460" s="38">
        <f>IF($J460="","",IF(OR(NOT(ISNUMBER($Q460)),NOT(ISNUMBER($N460)),$N460&lt;=0),"PENDIENTE",$Q460/$N460))</f>
        <v/>
      </c>
      <c r="S460" s="33" t="n"/>
      <c r="T460" s="33" t="n"/>
      <c r="U460" s="41" t="n"/>
      <c r="V460" s="36" t="n"/>
      <c r="W460" s="37">
        <f>IF(NOT(ISNUMBER($N460)),"",$N460-IF(ISNUMBER($V460),$V460,0))</f>
        <v/>
      </c>
      <c r="X460" s="33" t="n"/>
      <c r="Y460" s="51">
        <f>IF(COUNTA($B460,$C460,$D460,$E460,$F460,$I460)=0,"",IF(IF($B460=""," · Falta fecha","")&amp;IF($D460=""," · Falta cliente","")&amp;IF($E460=""," · Falta canal","")&amp;IF($F460=""," · Falta SKU","")&amp;IF(AND($F460&lt;&gt;"",COUNTIF(tblProductos[SKU],$F460)=0)," · SKU no existe","")&amp;IF(OR($I460="",NOT(ISNUMBER($I460)),$I460&lt;=0)," · Cantidad inválida","")&amp;IF($M460="PRECIO PENDIENTE"," · Falta precio de venta","")&amp;IF($P460="COSTO PENDIENTE"," · Falta costo del producto","")&amp;IF(AND(ISNUMBER($Q460),$Q460&lt;0)," · UTILIDAD NEGATIVA","")&amp;IF(AND($F460&lt;&gt;"",ISNUMBER(INDEX(tblInventario[Stock actual],MATCH($F460,tblInventario[SKU],0))),INDEX(tblInventario[Stock actual],MATCH($F460,tblInventario[SKU],0))&lt;0)," · Stock negativo del SKU","")&amp;IF(AND($T460="Cobrado",$U460="")," · Cobro sin fecha","")&amp;IF(AND(ISNUMBER($V460),ISNUMBER($N460),$V460&gt;N($N460)+0.01)," · Cobrado &gt; venta neta","")&amp;IF(AND(ISNUMBER($V460),$V460&gt;0,$U460="")," · Monto cobrado sin fecha","")="","OK",MID(IF($B460=""," · Falta fecha","")&amp;IF($D460=""," · Falta cliente","")&amp;IF($E460=""," · Falta canal","")&amp;IF($F460=""," · Falta SKU","")&amp;IF(AND($F460&lt;&gt;"",COUNTIF(tblProductos[SKU],$F460)=0)," · SKU no existe","")&amp;IF(OR($I460="",NOT(ISNUMBER($I460)),$I460&lt;=0)," · Cantidad inválida","")&amp;IF($M460="PRECIO PENDIENTE"," · Falta precio de venta","")&amp;IF($P460="COSTO PENDIENTE"," · Falta costo del producto","")&amp;IF(AND(ISNUMBER($Q460),$Q460&lt;0)," · UTILIDAD NEGATIVA","")&amp;IF(AND($F460&lt;&gt;"",ISNUMBER(INDEX(tblInventario[Stock actual],MATCH($F460,tblInventario[SKU],0))),INDEX(tblInventario[Stock actual],MATCH($F460,tblInventario[SKU],0))&lt;0)," · Stock negativo del SKU","")&amp;IF(AND($T460="Cobrado",$U460="")," · Cobro sin fecha","")&amp;IF(AND(ISNUMBER($V460),ISNUMBER($N460),$V460&gt;N($N460)+0.01)," · Cobrado &gt; venta neta","")&amp;IF(AND(ISNUMBER($V460),$V460&gt;0,$U460="")," · Monto cobrado sin fecha",""),4,900)))</f>
        <v/>
      </c>
    </row>
    <row r="461">
      <c r="A461" s="51">
        <f>IF(COUNTA($B461,$C461,$D461,$E461,$F461,$I461)=0,"","V-"&amp;TEXT(ROW()-6,"0000"))</f>
        <v/>
      </c>
      <c r="B461" s="41" t="n"/>
      <c r="C461" s="33" t="n"/>
      <c r="D461" s="33" t="n"/>
      <c r="E461" s="33" t="n"/>
      <c r="F461" s="33" t="n"/>
      <c r="G461" s="51">
        <f>IF($F461="","",IFERROR(IF(INDEX(tblProductos[Nombre del producto],MATCH($F461,tblProductos[SKU],0))="","",INDEX(tblProductos[Nombre del producto],MATCH($F461,tblProductos[SKU],0))),""))</f>
        <v/>
      </c>
      <c r="H461" s="51">
        <f>IF($F461="","",IFERROR(IF(INDEX(tblProductos[Categoría],MATCH($F461,tblProductos[SKU],0))="","",INDEX(tblProductos[Categoría],MATCH($F461,tblProductos[SKU],0))),""))</f>
        <v/>
      </c>
      <c r="I461" s="34" t="n"/>
      <c r="J461" s="39">
        <f>IF(OR($B461="",$F461="",$I461=""),"",IF($T461="Anulado",0,$I461))</f>
        <v/>
      </c>
      <c r="K461" s="54">
        <f>IF($F461="","",IFERROR(IF(INDEX(tblProductos[Precio de venta actual],MATCH($F461,tblProductos[SKU],0))="","",INDEX(tblProductos[Precio de venta actual],MATCH($F461,tblProductos[SKU],0))),""))</f>
        <v/>
      </c>
      <c r="L461" s="36" t="n"/>
      <c r="M461" s="37">
        <f>IF($J461="","",IF(NOT(ISNUMBER($K461)),"PRECIO PENDIENTE",$J461*$K461))</f>
        <v/>
      </c>
      <c r="N461" s="37">
        <f>IF($J461="","",IF(NOT(ISNUMBER($M461)),"PRECIO PENDIENTE",$M461-IF(ISNUMBER($L461),$L461,0)))</f>
        <v/>
      </c>
      <c r="O461" s="54">
        <f>IF($F461="","",IFERROR(INDEX(tblInventario[Costo unitario aplicado],MATCH($F461,tblInventario[SKU],0)),""))</f>
        <v/>
      </c>
      <c r="P461" s="37">
        <f>IF($J461="","",IF(NOT(ISNUMBER($O461)),"COSTO PENDIENTE",$J461*$O461))</f>
        <v/>
      </c>
      <c r="Q461" s="37">
        <f>IF($J461="","",IF(OR(NOT(ISNUMBER($N461)),NOT(ISNUMBER($P461))),"PENDIENTE",$N461-$P461))</f>
        <v/>
      </c>
      <c r="R461" s="38">
        <f>IF($J461="","",IF(OR(NOT(ISNUMBER($Q461)),NOT(ISNUMBER($N461)),$N461&lt;=0),"PENDIENTE",$Q461/$N461))</f>
        <v/>
      </c>
      <c r="S461" s="33" t="n"/>
      <c r="T461" s="33" t="n"/>
      <c r="U461" s="41" t="n"/>
      <c r="V461" s="36" t="n"/>
      <c r="W461" s="37">
        <f>IF(NOT(ISNUMBER($N461)),"",$N461-IF(ISNUMBER($V461),$V461,0))</f>
        <v/>
      </c>
      <c r="X461" s="33" t="n"/>
      <c r="Y461" s="51">
        <f>IF(COUNTA($B461,$C461,$D461,$E461,$F461,$I461)=0,"",IF(IF($B461=""," · Falta fecha","")&amp;IF($D461=""," · Falta cliente","")&amp;IF($E461=""," · Falta canal","")&amp;IF($F461=""," · Falta SKU","")&amp;IF(AND($F461&lt;&gt;"",COUNTIF(tblProductos[SKU],$F461)=0)," · SKU no existe","")&amp;IF(OR($I461="",NOT(ISNUMBER($I461)),$I461&lt;=0)," · Cantidad inválida","")&amp;IF($M461="PRECIO PENDIENTE"," · Falta precio de venta","")&amp;IF($P461="COSTO PENDIENTE"," · Falta costo del producto","")&amp;IF(AND(ISNUMBER($Q461),$Q461&lt;0)," · UTILIDAD NEGATIVA","")&amp;IF(AND($F461&lt;&gt;"",ISNUMBER(INDEX(tblInventario[Stock actual],MATCH($F461,tblInventario[SKU],0))),INDEX(tblInventario[Stock actual],MATCH($F461,tblInventario[SKU],0))&lt;0)," · Stock negativo del SKU","")&amp;IF(AND($T461="Cobrado",$U461="")," · Cobro sin fecha","")&amp;IF(AND(ISNUMBER($V461),ISNUMBER($N461),$V461&gt;N($N461)+0.01)," · Cobrado &gt; venta neta","")&amp;IF(AND(ISNUMBER($V461),$V461&gt;0,$U461="")," · Monto cobrado sin fecha","")="","OK",MID(IF($B461=""," · Falta fecha","")&amp;IF($D461=""," · Falta cliente","")&amp;IF($E461=""," · Falta canal","")&amp;IF($F461=""," · Falta SKU","")&amp;IF(AND($F461&lt;&gt;"",COUNTIF(tblProductos[SKU],$F461)=0)," · SKU no existe","")&amp;IF(OR($I461="",NOT(ISNUMBER($I461)),$I461&lt;=0)," · Cantidad inválida","")&amp;IF($M461="PRECIO PENDIENTE"," · Falta precio de venta","")&amp;IF($P461="COSTO PENDIENTE"," · Falta costo del producto","")&amp;IF(AND(ISNUMBER($Q461),$Q461&lt;0)," · UTILIDAD NEGATIVA","")&amp;IF(AND($F461&lt;&gt;"",ISNUMBER(INDEX(tblInventario[Stock actual],MATCH($F461,tblInventario[SKU],0))),INDEX(tblInventario[Stock actual],MATCH($F461,tblInventario[SKU],0))&lt;0)," · Stock negativo del SKU","")&amp;IF(AND($T461="Cobrado",$U461="")," · Cobro sin fecha","")&amp;IF(AND(ISNUMBER($V461),ISNUMBER($N461),$V461&gt;N($N461)+0.01)," · Cobrado &gt; venta neta","")&amp;IF(AND(ISNUMBER($V461),$V461&gt;0,$U461="")," · Monto cobrado sin fecha",""),4,900)))</f>
        <v/>
      </c>
    </row>
    <row r="462">
      <c r="A462" s="51">
        <f>IF(COUNTA($B462,$C462,$D462,$E462,$F462,$I462)=0,"","V-"&amp;TEXT(ROW()-6,"0000"))</f>
        <v/>
      </c>
      <c r="B462" s="41" t="n"/>
      <c r="C462" s="33" t="n"/>
      <c r="D462" s="33" t="n"/>
      <c r="E462" s="33" t="n"/>
      <c r="F462" s="33" t="n"/>
      <c r="G462" s="51">
        <f>IF($F462="","",IFERROR(IF(INDEX(tblProductos[Nombre del producto],MATCH($F462,tblProductos[SKU],0))="","",INDEX(tblProductos[Nombre del producto],MATCH($F462,tblProductos[SKU],0))),""))</f>
        <v/>
      </c>
      <c r="H462" s="51">
        <f>IF($F462="","",IFERROR(IF(INDEX(tblProductos[Categoría],MATCH($F462,tblProductos[SKU],0))="","",INDEX(tblProductos[Categoría],MATCH($F462,tblProductos[SKU],0))),""))</f>
        <v/>
      </c>
      <c r="I462" s="34" t="n"/>
      <c r="J462" s="39">
        <f>IF(OR($B462="",$F462="",$I462=""),"",IF($T462="Anulado",0,$I462))</f>
        <v/>
      </c>
      <c r="K462" s="54">
        <f>IF($F462="","",IFERROR(IF(INDEX(tblProductos[Precio de venta actual],MATCH($F462,tblProductos[SKU],0))="","",INDEX(tblProductos[Precio de venta actual],MATCH($F462,tblProductos[SKU],0))),""))</f>
        <v/>
      </c>
      <c r="L462" s="36" t="n"/>
      <c r="M462" s="37">
        <f>IF($J462="","",IF(NOT(ISNUMBER($K462)),"PRECIO PENDIENTE",$J462*$K462))</f>
        <v/>
      </c>
      <c r="N462" s="37">
        <f>IF($J462="","",IF(NOT(ISNUMBER($M462)),"PRECIO PENDIENTE",$M462-IF(ISNUMBER($L462),$L462,0)))</f>
        <v/>
      </c>
      <c r="O462" s="54">
        <f>IF($F462="","",IFERROR(INDEX(tblInventario[Costo unitario aplicado],MATCH($F462,tblInventario[SKU],0)),""))</f>
        <v/>
      </c>
      <c r="P462" s="37">
        <f>IF($J462="","",IF(NOT(ISNUMBER($O462)),"COSTO PENDIENTE",$J462*$O462))</f>
        <v/>
      </c>
      <c r="Q462" s="37">
        <f>IF($J462="","",IF(OR(NOT(ISNUMBER($N462)),NOT(ISNUMBER($P462))),"PENDIENTE",$N462-$P462))</f>
        <v/>
      </c>
      <c r="R462" s="38">
        <f>IF($J462="","",IF(OR(NOT(ISNUMBER($Q462)),NOT(ISNUMBER($N462)),$N462&lt;=0),"PENDIENTE",$Q462/$N462))</f>
        <v/>
      </c>
      <c r="S462" s="33" t="n"/>
      <c r="T462" s="33" t="n"/>
      <c r="U462" s="41" t="n"/>
      <c r="V462" s="36" t="n"/>
      <c r="W462" s="37">
        <f>IF(NOT(ISNUMBER($N462)),"",$N462-IF(ISNUMBER($V462),$V462,0))</f>
        <v/>
      </c>
      <c r="X462" s="33" t="n"/>
      <c r="Y462" s="51">
        <f>IF(COUNTA($B462,$C462,$D462,$E462,$F462,$I462)=0,"",IF(IF($B462=""," · Falta fecha","")&amp;IF($D462=""," · Falta cliente","")&amp;IF($E462=""," · Falta canal","")&amp;IF($F462=""," · Falta SKU","")&amp;IF(AND($F462&lt;&gt;"",COUNTIF(tblProductos[SKU],$F462)=0)," · SKU no existe","")&amp;IF(OR($I462="",NOT(ISNUMBER($I462)),$I462&lt;=0)," · Cantidad inválida","")&amp;IF($M462="PRECIO PENDIENTE"," · Falta precio de venta","")&amp;IF($P462="COSTO PENDIENTE"," · Falta costo del producto","")&amp;IF(AND(ISNUMBER($Q462),$Q462&lt;0)," · UTILIDAD NEGATIVA","")&amp;IF(AND($F462&lt;&gt;"",ISNUMBER(INDEX(tblInventario[Stock actual],MATCH($F462,tblInventario[SKU],0))),INDEX(tblInventario[Stock actual],MATCH($F462,tblInventario[SKU],0))&lt;0)," · Stock negativo del SKU","")&amp;IF(AND($T462="Cobrado",$U462="")," · Cobro sin fecha","")&amp;IF(AND(ISNUMBER($V462),ISNUMBER($N462),$V462&gt;N($N462)+0.01)," · Cobrado &gt; venta neta","")&amp;IF(AND(ISNUMBER($V462),$V462&gt;0,$U462="")," · Monto cobrado sin fecha","")="","OK",MID(IF($B462=""," · Falta fecha","")&amp;IF($D462=""," · Falta cliente","")&amp;IF($E462=""," · Falta canal","")&amp;IF($F462=""," · Falta SKU","")&amp;IF(AND($F462&lt;&gt;"",COUNTIF(tblProductos[SKU],$F462)=0)," · SKU no existe","")&amp;IF(OR($I462="",NOT(ISNUMBER($I462)),$I462&lt;=0)," · Cantidad inválida","")&amp;IF($M462="PRECIO PENDIENTE"," · Falta precio de venta","")&amp;IF($P462="COSTO PENDIENTE"," · Falta costo del producto","")&amp;IF(AND(ISNUMBER($Q462),$Q462&lt;0)," · UTILIDAD NEGATIVA","")&amp;IF(AND($F462&lt;&gt;"",ISNUMBER(INDEX(tblInventario[Stock actual],MATCH($F462,tblInventario[SKU],0))),INDEX(tblInventario[Stock actual],MATCH($F462,tblInventario[SKU],0))&lt;0)," · Stock negativo del SKU","")&amp;IF(AND($T462="Cobrado",$U462="")," · Cobro sin fecha","")&amp;IF(AND(ISNUMBER($V462),ISNUMBER($N462),$V462&gt;N($N462)+0.01)," · Cobrado &gt; venta neta","")&amp;IF(AND(ISNUMBER($V462),$V462&gt;0,$U462="")," · Monto cobrado sin fecha",""),4,900)))</f>
        <v/>
      </c>
    </row>
    <row r="463">
      <c r="A463" s="51">
        <f>IF(COUNTA($B463,$C463,$D463,$E463,$F463,$I463)=0,"","V-"&amp;TEXT(ROW()-6,"0000"))</f>
        <v/>
      </c>
      <c r="B463" s="41" t="n"/>
      <c r="C463" s="33" t="n"/>
      <c r="D463" s="33" t="n"/>
      <c r="E463" s="33" t="n"/>
      <c r="F463" s="33" t="n"/>
      <c r="G463" s="51">
        <f>IF($F463="","",IFERROR(IF(INDEX(tblProductos[Nombre del producto],MATCH($F463,tblProductos[SKU],0))="","",INDEX(tblProductos[Nombre del producto],MATCH($F463,tblProductos[SKU],0))),""))</f>
        <v/>
      </c>
      <c r="H463" s="51">
        <f>IF($F463="","",IFERROR(IF(INDEX(tblProductos[Categoría],MATCH($F463,tblProductos[SKU],0))="","",INDEX(tblProductos[Categoría],MATCH($F463,tblProductos[SKU],0))),""))</f>
        <v/>
      </c>
      <c r="I463" s="34" t="n"/>
      <c r="J463" s="39">
        <f>IF(OR($B463="",$F463="",$I463=""),"",IF($T463="Anulado",0,$I463))</f>
        <v/>
      </c>
      <c r="K463" s="54">
        <f>IF($F463="","",IFERROR(IF(INDEX(tblProductos[Precio de venta actual],MATCH($F463,tblProductos[SKU],0))="","",INDEX(tblProductos[Precio de venta actual],MATCH($F463,tblProductos[SKU],0))),""))</f>
        <v/>
      </c>
      <c r="L463" s="36" t="n"/>
      <c r="M463" s="37">
        <f>IF($J463="","",IF(NOT(ISNUMBER($K463)),"PRECIO PENDIENTE",$J463*$K463))</f>
        <v/>
      </c>
      <c r="N463" s="37">
        <f>IF($J463="","",IF(NOT(ISNUMBER($M463)),"PRECIO PENDIENTE",$M463-IF(ISNUMBER($L463),$L463,0)))</f>
        <v/>
      </c>
      <c r="O463" s="54">
        <f>IF($F463="","",IFERROR(INDEX(tblInventario[Costo unitario aplicado],MATCH($F463,tblInventario[SKU],0)),""))</f>
        <v/>
      </c>
      <c r="P463" s="37">
        <f>IF($J463="","",IF(NOT(ISNUMBER($O463)),"COSTO PENDIENTE",$J463*$O463))</f>
        <v/>
      </c>
      <c r="Q463" s="37">
        <f>IF($J463="","",IF(OR(NOT(ISNUMBER($N463)),NOT(ISNUMBER($P463))),"PENDIENTE",$N463-$P463))</f>
        <v/>
      </c>
      <c r="R463" s="38">
        <f>IF($J463="","",IF(OR(NOT(ISNUMBER($Q463)),NOT(ISNUMBER($N463)),$N463&lt;=0),"PENDIENTE",$Q463/$N463))</f>
        <v/>
      </c>
      <c r="S463" s="33" t="n"/>
      <c r="T463" s="33" t="n"/>
      <c r="U463" s="41" t="n"/>
      <c r="V463" s="36" t="n"/>
      <c r="W463" s="37">
        <f>IF(NOT(ISNUMBER($N463)),"",$N463-IF(ISNUMBER($V463),$V463,0))</f>
        <v/>
      </c>
      <c r="X463" s="33" t="n"/>
      <c r="Y463" s="51">
        <f>IF(COUNTA($B463,$C463,$D463,$E463,$F463,$I463)=0,"",IF(IF($B463=""," · Falta fecha","")&amp;IF($D463=""," · Falta cliente","")&amp;IF($E463=""," · Falta canal","")&amp;IF($F463=""," · Falta SKU","")&amp;IF(AND($F463&lt;&gt;"",COUNTIF(tblProductos[SKU],$F463)=0)," · SKU no existe","")&amp;IF(OR($I463="",NOT(ISNUMBER($I463)),$I463&lt;=0)," · Cantidad inválida","")&amp;IF($M463="PRECIO PENDIENTE"," · Falta precio de venta","")&amp;IF($P463="COSTO PENDIENTE"," · Falta costo del producto","")&amp;IF(AND(ISNUMBER($Q463),$Q463&lt;0)," · UTILIDAD NEGATIVA","")&amp;IF(AND($F463&lt;&gt;"",ISNUMBER(INDEX(tblInventario[Stock actual],MATCH($F463,tblInventario[SKU],0))),INDEX(tblInventario[Stock actual],MATCH($F463,tblInventario[SKU],0))&lt;0)," · Stock negativo del SKU","")&amp;IF(AND($T463="Cobrado",$U463="")," · Cobro sin fecha","")&amp;IF(AND(ISNUMBER($V463),ISNUMBER($N463),$V463&gt;N($N463)+0.01)," · Cobrado &gt; venta neta","")&amp;IF(AND(ISNUMBER($V463),$V463&gt;0,$U463="")," · Monto cobrado sin fecha","")="","OK",MID(IF($B463=""," · Falta fecha","")&amp;IF($D463=""," · Falta cliente","")&amp;IF($E463=""," · Falta canal","")&amp;IF($F463=""," · Falta SKU","")&amp;IF(AND($F463&lt;&gt;"",COUNTIF(tblProductos[SKU],$F463)=0)," · SKU no existe","")&amp;IF(OR($I463="",NOT(ISNUMBER($I463)),$I463&lt;=0)," · Cantidad inválida","")&amp;IF($M463="PRECIO PENDIENTE"," · Falta precio de venta","")&amp;IF($P463="COSTO PENDIENTE"," · Falta costo del producto","")&amp;IF(AND(ISNUMBER($Q463),$Q463&lt;0)," · UTILIDAD NEGATIVA","")&amp;IF(AND($F463&lt;&gt;"",ISNUMBER(INDEX(tblInventario[Stock actual],MATCH($F463,tblInventario[SKU],0))),INDEX(tblInventario[Stock actual],MATCH($F463,tblInventario[SKU],0))&lt;0)," · Stock negativo del SKU","")&amp;IF(AND($T463="Cobrado",$U463="")," · Cobro sin fecha","")&amp;IF(AND(ISNUMBER($V463),ISNUMBER($N463),$V463&gt;N($N463)+0.01)," · Cobrado &gt; venta neta","")&amp;IF(AND(ISNUMBER($V463),$V463&gt;0,$U463="")," · Monto cobrado sin fecha",""),4,900)))</f>
        <v/>
      </c>
    </row>
    <row r="464">
      <c r="A464" s="51">
        <f>IF(COUNTA($B464,$C464,$D464,$E464,$F464,$I464)=0,"","V-"&amp;TEXT(ROW()-6,"0000"))</f>
        <v/>
      </c>
      <c r="B464" s="41" t="n"/>
      <c r="C464" s="33" t="n"/>
      <c r="D464" s="33" t="n"/>
      <c r="E464" s="33" t="n"/>
      <c r="F464" s="33" t="n"/>
      <c r="G464" s="51">
        <f>IF($F464="","",IFERROR(IF(INDEX(tblProductos[Nombre del producto],MATCH($F464,tblProductos[SKU],0))="","",INDEX(tblProductos[Nombre del producto],MATCH($F464,tblProductos[SKU],0))),""))</f>
        <v/>
      </c>
      <c r="H464" s="51">
        <f>IF($F464="","",IFERROR(IF(INDEX(tblProductos[Categoría],MATCH($F464,tblProductos[SKU],0))="","",INDEX(tblProductos[Categoría],MATCH($F464,tblProductos[SKU],0))),""))</f>
        <v/>
      </c>
      <c r="I464" s="34" t="n"/>
      <c r="J464" s="39">
        <f>IF(OR($B464="",$F464="",$I464=""),"",IF($T464="Anulado",0,$I464))</f>
        <v/>
      </c>
      <c r="K464" s="54">
        <f>IF($F464="","",IFERROR(IF(INDEX(tblProductos[Precio de venta actual],MATCH($F464,tblProductos[SKU],0))="","",INDEX(tblProductos[Precio de venta actual],MATCH($F464,tblProductos[SKU],0))),""))</f>
        <v/>
      </c>
      <c r="L464" s="36" t="n"/>
      <c r="M464" s="37">
        <f>IF($J464="","",IF(NOT(ISNUMBER($K464)),"PRECIO PENDIENTE",$J464*$K464))</f>
        <v/>
      </c>
      <c r="N464" s="37">
        <f>IF($J464="","",IF(NOT(ISNUMBER($M464)),"PRECIO PENDIENTE",$M464-IF(ISNUMBER($L464),$L464,0)))</f>
        <v/>
      </c>
      <c r="O464" s="54">
        <f>IF($F464="","",IFERROR(INDEX(tblInventario[Costo unitario aplicado],MATCH($F464,tblInventario[SKU],0)),""))</f>
        <v/>
      </c>
      <c r="P464" s="37">
        <f>IF($J464="","",IF(NOT(ISNUMBER($O464)),"COSTO PENDIENTE",$J464*$O464))</f>
        <v/>
      </c>
      <c r="Q464" s="37">
        <f>IF($J464="","",IF(OR(NOT(ISNUMBER($N464)),NOT(ISNUMBER($P464))),"PENDIENTE",$N464-$P464))</f>
        <v/>
      </c>
      <c r="R464" s="38">
        <f>IF($J464="","",IF(OR(NOT(ISNUMBER($Q464)),NOT(ISNUMBER($N464)),$N464&lt;=0),"PENDIENTE",$Q464/$N464))</f>
        <v/>
      </c>
      <c r="S464" s="33" t="n"/>
      <c r="T464" s="33" t="n"/>
      <c r="U464" s="41" t="n"/>
      <c r="V464" s="36" t="n"/>
      <c r="W464" s="37">
        <f>IF(NOT(ISNUMBER($N464)),"",$N464-IF(ISNUMBER($V464),$V464,0))</f>
        <v/>
      </c>
      <c r="X464" s="33" t="n"/>
      <c r="Y464" s="51">
        <f>IF(COUNTA($B464,$C464,$D464,$E464,$F464,$I464)=0,"",IF(IF($B464=""," · Falta fecha","")&amp;IF($D464=""," · Falta cliente","")&amp;IF($E464=""," · Falta canal","")&amp;IF($F464=""," · Falta SKU","")&amp;IF(AND($F464&lt;&gt;"",COUNTIF(tblProductos[SKU],$F464)=0)," · SKU no existe","")&amp;IF(OR($I464="",NOT(ISNUMBER($I464)),$I464&lt;=0)," · Cantidad inválida","")&amp;IF($M464="PRECIO PENDIENTE"," · Falta precio de venta","")&amp;IF($P464="COSTO PENDIENTE"," · Falta costo del producto","")&amp;IF(AND(ISNUMBER($Q464),$Q464&lt;0)," · UTILIDAD NEGATIVA","")&amp;IF(AND($F464&lt;&gt;"",ISNUMBER(INDEX(tblInventario[Stock actual],MATCH($F464,tblInventario[SKU],0))),INDEX(tblInventario[Stock actual],MATCH($F464,tblInventario[SKU],0))&lt;0)," · Stock negativo del SKU","")&amp;IF(AND($T464="Cobrado",$U464="")," · Cobro sin fecha","")&amp;IF(AND(ISNUMBER($V464),ISNUMBER($N464),$V464&gt;N($N464)+0.01)," · Cobrado &gt; venta neta","")&amp;IF(AND(ISNUMBER($V464),$V464&gt;0,$U464="")," · Monto cobrado sin fecha","")="","OK",MID(IF($B464=""," · Falta fecha","")&amp;IF($D464=""," · Falta cliente","")&amp;IF($E464=""," · Falta canal","")&amp;IF($F464=""," · Falta SKU","")&amp;IF(AND($F464&lt;&gt;"",COUNTIF(tblProductos[SKU],$F464)=0)," · SKU no existe","")&amp;IF(OR($I464="",NOT(ISNUMBER($I464)),$I464&lt;=0)," · Cantidad inválida","")&amp;IF($M464="PRECIO PENDIENTE"," · Falta precio de venta","")&amp;IF($P464="COSTO PENDIENTE"," · Falta costo del producto","")&amp;IF(AND(ISNUMBER($Q464),$Q464&lt;0)," · UTILIDAD NEGATIVA","")&amp;IF(AND($F464&lt;&gt;"",ISNUMBER(INDEX(tblInventario[Stock actual],MATCH($F464,tblInventario[SKU],0))),INDEX(tblInventario[Stock actual],MATCH($F464,tblInventario[SKU],0))&lt;0)," · Stock negativo del SKU","")&amp;IF(AND($T464="Cobrado",$U464="")," · Cobro sin fecha","")&amp;IF(AND(ISNUMBER($V464),ISNUMBER($N464),$V464&gt;N($N464)+0.01)," · Cobrado &gt; venta neta","")&amp;IF(AND(ISNUMBER($V464),$V464&gt;0,$U464="")," · Monto cobrado sin fecha",""),4,900)))</f>
        <v/>
      </c>
    </row>
    <row r="465">
      <c r="A465" s="51">
        <f>IF(COUNTA($B465,$C465,$D465,$E465,$F465,$I465)=0,"","V-"&amp;TEXT(ROW()-6,"0000"))</f>
        <v/>
      </c>
      <c r="B465" s="41" t="n"/>
      <c r="C465" s="33" t="n"/>
      <c r="D465" s="33" t="n"/>
      <c r="E465" s="33" t="n"/>
      <c r="F465" s="33" t="n"/>
      <c r="G465" s="51">
        <f>IF($F465="","",IFERROR(IF(INDEX(tblProductos[Nombre del producto],MATCH($F465,tblProductos[SKU],0))="","",INDEX(tblProductos[Nombre del producto],MATCH($F465,tblProductos[SKU],0))),""))</f>
        <v/>
      </c>
      <c r="H465" s="51">
        <f>IF($F465="","",IFERROR(IF(INDEX(tblProductos[Categoría],MATCH($F465,tblProductos[SKU],0))="","",INDEX(tblProductos[Categoría],MATCH($F465,tblProductos[SKU],0))),""))</f>
        <v/>
      </c>
      <c r="I465" s="34" t="n"/>
      <c r="J465" s="39">
        <f>IF(OR($B465="",$F465="",$I465=""),"",IF($T465="Anulado",0,$I465))</f>
        <v/>
      </c>
      <c r="K465" s="54">
        <f>IF($F465="","",IFERROR(IF(INDEX(tblProductos[Precio de venta actual],MATCH($F465,tblProductos[SKU],0))="","",INDEX(tblProductos[Precio de venta actual],MATCH($F465,tblProductos[SKU],0))),""))</f>
        <v/>
      </c>
      <c r="L465" s="36" t="n"/>
      <c r="M465" s="37">
        <f>IF($J465="","",IF(NOT(ISNUMBER($K465)),"PRECIO PENDIENTE",$J465*$K465))</f>
        <v/>
      </c>
      <c r="N465" s="37">
        <f>IF($J465="","",IF(NOT(ISNUMBER($M465)),"PRECIO PENDIENTE",$M465-IF(ISNUMBER($L465),$L465,0)))</f>
        <v/>
      </c>
      <c r="O465" s="54">
        <f>IF($F465="","",IFERROR(INDEX(tblInventario[Costo unitario aplicado],MATCH($F465,tblInventario[SKU],0)),""))</f>
        <v/>
      </c>
      <c r="P465" s="37">
        <f>IF($J465="","",IF(NOT(ISNUMBER($O465)),"COSTO PENDIENTE",$J465*$O465))</f>
        <v/>
      </c>
      <c r="Q465" s="37">
        <f>IF($J465="","",IF(OR(NOT(ISNUMBER($N465)),NOT(ISNUMBER($P465))),"PENDIENTE",$N465-$P465))</f>
        <v/>
      </c>
      <c r="R465" s="38">
        <f>IF($J465="","",IF(OR(NOT(ISNUMBER($Q465)),NOT(ISNUMBER($N465)),$N465&lt;=0),"PENDIENTE",$Q465/$N465))</f>
        <v/>
      </c>
      <c r="S465" s="33" t="n"/>
      <c r="T465" s="33" t="n"/>
      <c r="U465" s="41" t="n"/>
      <c r="V465" s="36" t="n"/>
      <c r="W465" s="37">
        <f>IF(NOT(ISNUMBER($N465)),"",$N465-IF(ISNUMBER($V465),$V465,0))</f>
        <v/>
      </c>
      <c r="X465" s="33" t="n"/>
      <c r="Y465" s="51">
        <f>IF(COUNTA($B465,$C465,$D465,$E465,$F465,$I465)=0,"",IF(IF($B465=""," · Falta fecha","")&amp;IF($D465=""," · Falta cliente","")&amp;IF($E465=""," · Falta canal","")&amp;IF($F465=""," · Falta SKU","")&amp;IF(AND($F465&lt;&gt;"",COUNTIF(tblProductos[SKU],$F465)=0)," · SKU no existe","")&amp;IF(OR($I465="",NOT(ISNUMBER($I465)),$I465&lt;=0)," · Cantidad inválida","")&amp;IF($M465="PRECIO PENDIENTE"," · Falta precio de venta","")&amp;IF($P465="COSTO PENDIENTE"," · Falta costo del producto","")&amp;IF(AND(ISNUMBER($Q465),$Q465&lt;0)," · UTILIDAD NEGATIVA","")&amp;IF(AND($F465&lt;&gt;"",ISNUMBER(INDEX(tblInventario[Stock actual],MATCH($F465,tblInventario[SKU],0))),INDEX(tblInventario[Stock actual],MATCH($F465,tblInventario[SKU],0))&lt;0)," · Stock negativo del SKU","")&amp;IF(AND($T465="Cobrado",$U465="")," · Cobro sin fecha","")&amp;IF(AND(ISNUMBER($V465),ISNUMBER($N465),$V465&gt;N($N465)+0.01)," · Cobrado &gt; venta neta","")&amp;IF(AND(ISNUMBER($V465),$V465&gt;0,$U465="")," · Monto cobrado sin fecha","")="","OK",MID(IF($B465=""," · Falta fecha","")&amp;IF($D465=""," · Falta cliente","")&amp;IF($E465=""," · Falta canal","")&amp;IF($F465=""," · Falta SKU","")&amp;IF(AND($F465&lt;&gt;"",COUNTIF(tblProductos[SKU],$F465)=0)," · SKU no existe","")&amp;IF(OR($I465="",NOT(ISNUMBER($I465)),$I465&lt;=0)," · Cantidad inválida","")&amp;IF($M465="PRECIO PENDIENTE"," · Falta precio de venta","")&amp;IF($P465="COSTO PENDIENTE"," · Falta costo del producto","")&amp;IF(AND(ISNUMBER($Q465),$Q465&lt;0)," · UTILIDAD NEGATIVA","")&amp;IF(AND($F465&lt;&gt;"",ISNUMBER(INDEX(tblInventario[Stock actual],MATCH($F465,tblInventario[SKU],0))),INDEX(tblInventario[Stock actual],MATCH($F465,tblInventario[SKU],0))&lt;0)," · Stock negativo del SKU","")&amp;IF(AND($T465="Cobrado",$U465="")," · Cobro sin fecha","")&amp;IF(AND(ISNUMBER($V465),ISNUMBER($N465),$V465&gt;N($N465)+0.01)," · Cobrado &gt; venta neta","")&amp;IF(AND(ISNUMBER($V465),$V465&gt;0,$U465="")," · Monto cobrado sin fecha",""),4,900)))</f>
        <v/>
      </c>
    </row>
    <row r="466">
      <c r="A466" s="51">
        <f>IF(COUNTA($B466,$C466,$D466,$E466,$F466,$I466)=0,"","V-"&amp;TEXT(ROW()-6,"0000"))</f>
        <v/>
      </c>
      <c r="B466" s="41" t="n"/>
      <c r="C466" s="33" t="n"/>
      <c r="D466" s="33" t="n"/>
      <c r="E466" s="33" t="n"/>
      <c r="F466" s="33" t="n"/>
      <c r="G466" s="51">
        <f>IF($F466="","",IFERROR(IF(INDEX(tblProductos[Nombre del producto],MATCH($F466,tblProductos[SKU],0))="","",INDEX(tblProductos[Nombre del producto],MATCH($F466,tblProductos[SKU],0))),""))</f>
        <v/>
      </c>
      <c r="H466" s="51">
        <f>IF($F466="","",IFERROR(IF(INDEX(tblProductos[Categoría],MATCH($F466,tblProductos[SKU],0))="","",INDEX(tblProductos[Categoría],MATCH($F466,tblProductos[SKU],0))),""))</f>
        <v/>
      </c>
      <c r="I466" s="34" t="n"/>
      <c r="J466" s="39">
        <f>IF(OR($B466="",$F466="",$I466=""),"",IF($T466="Anulado",0,$I466))</f>
        <v/>
      </c>
      <c r="K466" s="54">
        <f>IF($F466="","",IFERROR(IF(INDEX(tblProductos[Precio de venta actual],MATCH($F466,tblProductos[SKU],0))="","",INDEX(tblProductos[Precio de venta actual],MATCH($F466,tblProductos[SKU],0))),""))</f>
        <v/>
      </c>
      <c r="L466" s="36" t="n"/>
      <c r="M466" s="37">
        <f>IF($J466="","",IF(NOT(ISNUMBER($K466)),"PRECIO PENDIENTE",$J466*$K466))</f>
        <v/>
      </c>
      <c r="N466" s="37">
        <f>IF($J466="","",IF(NOT(ISNUMBER($M466)),"PRECIO PENDIENTE",$M466-IF(ISNUMBER($L466),$L466,0)))</f>
        <v/>
      </c>
      <c r="O466" s="54">
        <f>IF($F466="","",IFERROR(INDEX(tblInventario[Costo unitario aplicado],MATCH($F466,tblInventario[SKU],0)),""))</f>
        <v/>
      </c>
      <c r="P466" s="37">
        <f>IF($J466="","",IF(NOT(ISNUMBER($O466)),"COSTO PENDIENTE",$J466*$O466))</f>
        <v/>
      </c>
      <c r="Q466" s="37">
        <f>IF($J466="","",IF(OR(NOT(ISNUMBER($N466)),NOT(ISNUMBER($P466))),"PENDIENTE",$N466-$P466))</f>
        <v/>
      </c>
      <c r="R466" s="38">
        <f>IF($J466="","",IF(OR(NOT(ISNUMBER($Q466)),NOT(ISNUMBER($N466)),$N466&lt;=0),"PENDIENTE",$Q466/$N466))</f>
        <v/>
      </c>
      <c r="S466" s="33" t="n"/>
      <c r="T466" s="33" t="n"/>
      <c r="U466" s="41" t="n"/>
      <c r="V466" s="36" t="n"/>
      <c r="W466" s="37">
        <f>IF(NOT(ISNUMBER($N466)),"",$N466-IF(ISNUMBER($V466),$V466,0))</f>
        <v/>
      </c>
      <c r="X466" s="33" t="n"/>
      <c r="Y466" s="51">
        <f>IF(COUNTA($B466,$C466,$D466,$E466,$F466,$I466)=0,"",IF(IF($B466=""," · Falta fecha","")&amp;IF($D466=""," · Falta cliente","")&amp;IF($E466=""," · Falta canal","")&amp;IF($F466=""," · Falta SKU","")&amp;IF(AND($F466&lt;&gt;"",COUNTIF(tblProductos[SKU],$F466)=0)," · SKU no existe","")&amp;IF(OR($I466="",NOT(ISNUMBER($I466)),$I466&lt;=0)," · Cantidad inválida","")&amp;IF($M466="PRECIO PENDIENTE"," · Falta precio de venta","")&amp;IF($P466="COSTO PENDIENTE"," · Falta costo del producto","")&amp;IF(AND(ISNUMBER($Q466),$Q466&lt;0)," · UTILIDAD NEGATIVA","")&amp;IF(AND($F466&lt;&gt;"",ISNUMBER(INDEX(tblInventario[Stock actual],MATCH($F466,tblInventario[SKU],0))),INDEX(tblInventario[Stock actual],MATCH($F466,tblInventario[SKU],0))&lt;0)," · Stock negativo del SKU","")&amp;IF(AND($T466="Cobrado",$U466="")," · Cobro sin fecha","")&amp;IF(AND(ISNUMBER($V466),ISNUMBER($N466),$V466&gt;N($N466)+0.01)," · Cobrado &gt; venta neta","")&amp;IF(AND(ISNUMBER($V466),$V466&gt;0,$U466="")," · Monto cobrado sin fecha","")="","OK",MID(IF($B466=""," · Falta fecha","")&amp;IF($D466=""," · Falta cliente","")&amp;IF($E466=""," · Falta canal","")&amp;IF($F466=""," · Falta SKU","")&amp;IF(AND($F466&lt;&gt;"",COUNTIF(tblProductos[SKU],$F466)=0)," · SKU no existe","")&amp;IF(OR($I466="",NOT(ISNUMBER($I466)),$I466&lt;=0)," · Cantidad inválida","")&amp;IF($M466="PRECIO PENDIENTE"," · Falta precio de venta","")&amp;IF($P466="COSTO PENDIENTE"," · Falta costo del producto","")&amp;IF(AND(ISNUMBER($Q466),$Q466&lt;0)," · UTILIDAD NEGATIVA","")&amp;IF(AND($F466&lt;&gt;"",ISNUMBER(INDEX(tblInventario[Stock actual],MATCH($F466,tblInventario[SKU],0))),INDEX(tblInventario[Stock actual],MATCH($F466,tblInventario[SKU],0))&lt;0)," · Stock negativo del SKU","")&amp;IF(AND($T466="Cobrado",$U466="")," · Cobro sin fecha","")&amp;IF(AND(ISNUMBER($V466),ISNUMBER($N466),$V466&gt;N($N466)+0.01)," · Cobrado &gt; venta neta","")&amp;IF(AND(ISNUMBER($V466),$V466&gt;0,$U466="")," · Monto cobrado sin fecha",""),4,900)))</f>
        <v/>
      </c>
    </row>
    <row r="467">
      <c r="A467" s="51">
        <f>IF(COUNTA($B467,$C467,$D467,$E467,$F467,$I467)=0,"","V-"&amp;TEXT(ROW()-6,"0000"))</f>
        <v/>
      </c>
      <c r="B467" s="41" t="n"/>
      <c r="C467" s="33" t="n"/>
      <c r="D467" s="33" t="n"/>
      <c r="E467" s="33" t="n"/>
      <c r="F467" s="33" t="n"/>
      <c r="G467" s="51">
        <f>IF($F467="","",IFERROR(IF(INDEX(tblProductos[Nombre del producto],MATCH($F467,tblProductos[SKU],0))="","",INDEX(tblProductos[Nombre del producto],MATCH($F467,tblProductos[SKU],0))),""))</f>
        <v/>
      </c>
      <c r="H467" s="51">
        <f>IF($F467="","",IFERROR(IF(INDEX(tblProductos[Categoría],MATCH($F467,tblProductos[SKU],0))="","",INDEX(tblProductos[Categoría],MATCH($F467,tblProductos[SKU],0))),""))</f>
        <v/>
      </c>
      <c r="I467" s="34" t="n"/>
      <c r="J467" s="39">
        <f>IF(OR($B467="",$F467="",$I467=""),"",IF($T467="Anulado",0,$I467))</f>
        <v/>
      </c>
      <c r="K467" s="54">
        <f>IF($F467="","",IFERROR(IF(INDEX(tblProductos[Precio de venta actual],MATCH($F467,tblProductos[SKU],0))="","",INDEX(tblProductos[Precio de venta actual],MATCH($F467,tblProductos[SKU],0))),""))</f>
        <v/>
      </c>
      <c r="L467" s="36" t="n"/>
      <c r="M467" s="37">
        <f>IF($J467="","",IF(NOT(ISNUMBER($K467)),"PRECIO PENDIENTE",$J467*$K467))</f>
        <v/>
      </c>
      <c r="N467" s="37">
        <f>IF($J467="","",IF(NOT(ISNUMBER($M467)),"PRECIO PENDIENTE",$M467-IF(ISNUMBER($L467),$L467,0)))</f>
        <v/>
      </c>
      <c r="O467" s="54">
        <f>IF($F467="","",IFERROR(INDEX(tblInventario[Costo unitario aplicado],MATCH($F467,tblInventario[SKU],0)),""))</f>
        <v/>
      </c>
      <c r="P467" s="37">
        <f>IF($J467="","",IF(NOT(ISNUMBER($O467)),"COSTO PENDIENTE",$J467*$O467))</f>
        <v/>
      </c>
      <c r="Q467" s="37">
        <f>IF($J467="","",IF(OR(NOT(ISNUMBER($N467)),NOT(ISNUMBER($P467))),"PENDIENTE",$N467-$P467))</f>
        <v/>
      </c>
      <c r="R467" s="38">
        <f>IF($J467="","",IF(OR(NOT(ISNUMBER($Q467)),NOT(ISNUMBER($N467)),$N467&lt;=0),"PENDIENTE",$Q467/$N467))</f>
        <v/>
      </c>
      <c r="S467" s="33" t="n"/>
      <c r="T467" s="33" t="n"/>
      <c r="U467" s="41" t="n"/>
      <c r="V467" s="36" t="n"/>
      <c r="W467" s="37">
        <f>IF(NOT(ISNUMBER($N467)),"",$N467-IF(ISNUMBER($V467),$V467,0))</f>
        <v/>
      </c>
      <c r="X467" s="33" t="n"/>
      <c r="Y467" s="51">
        <f>IF(COUNTA($B467,$C467,$D467,$E467,$F467,$I467)=0,"",IF(IF($B467=""," · Falta fecha","")&amp;IF($D467=""," · Falta cliente","")&amp;IF($E467=""," · Falta canal","")&amp;IF($F467=""," · Falta SKU","")&amp;IF(AND($F467&lt;&gt;"",COUNTIF(tblProductos[SKU],$F467)=0)," · SKU no existe","")&amp;IF(OR($I467="",NOT(ISNUMBER($I467)),$I467&lt;=0)," · Cantidad inválida","")&amp;IF($M467="PRECIO PENDIENTE"," · Falta precio de venta","")&amp;IF($P467="COSTO PENDIENTE"," · Falta costo del producto","")&amp;IF(AND(ISNUMBER($Q467),$Q467&lt;0)," · UTILIDAD NEGATIVA","")&amp;IF(AND($F467&lt;&gt;"",ISNUMBER(INDEX(tblInventario[Stock actual],MATCH($F467,tblInventario[SKU],0))),INDEX(tblInventario[Stock actual],MATCH($F467,tblInventario[SKU],0))&lt;0)," · Stock negativo del SKU","")&amp;IF(AND($T467="Cobrado",$U467="")," · Cobro sin fecha","")&amp;IF(AND(ISNUMBER($V467),ISNUMBER($N467),$V467&gt;N($N467)+0.01)," · Cobrado &gt; venta neta","")&amp;IF(AND(ISNUMBER($V467),$V467&gt;0,$U467="")," · Monto cobrado sin fecha","")="","OK",MID(IF($B467=""," · Falta fecha","")&amp;IF($D467=""," · Falta cliente","")&amp;IF($E467=""," · Falta canal","")&amp;IF($F467=""," · Falta SKU","")&amp;IF(AND($F467&lt;&gt;"",COUNTIF(tblProductos[SKU],$F467)=0)," · SKU no existe","")&amp;IF(OR($I467="",NOT(ISNUMBER($I467)),$I467&lt;=0)," · Cantidad inválida","")&amp;IF($M467="PRECIO PENDIENTE"," · Falta precio de venta","")&amp;IF($P467="COSTO PENDIENTE"," · Falta costo del producto","")&amp;IF(AND(ISNUMBER($Q467),$Q467&lt;0)," · UTILIDAD NEGATIVA","")&amp;IF(AND($F467&lt;&gt;"",ISNUMBER(INDEX(tblInventario[Stock actual],MATCH($F467,tblInventario[SKU],0))),INDEX(tblInventario[Stock actual],MATCH($F467,tblInventario[SKU],0))&lt;0)," · Stock negativo del SKU","")&amp;IF(AND($T467="Cobrado",$U467="")," · Cobro sin fecha","")&amp;IF(AND(ISNUMBER($V467),ISNUMBER($N467),$V467&gt;N($N467)+0.01)," · Cobrado &gt; venta neta","")&amp;IF(AND(ISNUMBER($V467),$V467&gt;0,$U467="")," · Monto cobrado sin fecha",""),4,900)))</f>
        <v/>
      </c>
    </row>
    <row r="468">
      <c r="A468" s="51">
        <f>IF(COUNTA($B468,$C468,$D468,$E468,$F468,$I468)=0,"","V-"&amp;TEXT(ROW()-6,"0000"))</f>
        <v/>
      </c>
      <c r="B468" s="41" t="n"/>
      <c r="C468" s="33" t="n"/>
      <c r="D468" s="33" t="n"/>
      <c r="E468" s="33" t="n"/>
      <c r="F468" s="33" t="n"/>
      <c r="G468" s="51">
        <f>IF($F468="","",IFERROR(IF(INDEX(tblProductos[Nombre del producto],MATCH($F468,tblProductos[SKU],0))="","",INDEX(tblProductos[Nombre del producto],MATCH($F468,tblProductos[SKU],0))),""))</f>
        <v/>
      </c>
      <c r="H468" s="51">
        <f>IF($F468="","",IFERROR(IF(INDEX(tblProductos[Categoría],MATCH($F468,tblProductos[SKU],0))="","",INDEX(tblProductos[Categoría],MATCH($F468,tblProductos[SKU],0))),""))</f>
        <v/>
      </c>
      <c r="I468" s="34" t="n"/>
      <c r="J468" s="39">
        <f>IF(OR($B468="",$F468="",$I468=""),"",IF($T468="Anulado",0,$I468))</f>
        <v/>
      </c>
      <c r="K468" s="54">
        <f>IF($F468="","",IFERROR(IF(INDEX(tblProductos[Precio de venta actual],MATCH($F468,tblProductos[SKU],0))="","",INDEX(tblProductos[Precio de venta actual],MATCH($F468,tblProductos[SKU],0))),""))</f>
        <v/>
      </c>
      <c r="L468" s="36" t="n"/>
      <c r="M468" s="37">
        <f>IF($J468="","",IF(NOT(ISNUMBER($K468)),"PRECIO PENDIENTE",$J468*$K468))</f>
        <v/>
      </c>
      <c r="N468" s="37">
        <f>IF($J468="","",IF(NOT(ISNUMBER($M468)),"PRECIO PENDIENTE",$M468-IF(ISNUMBER($L468),$L468,0)))</f>
        <v/>
      </c>
      <c r="O468" s="54">
        <f>IF($F468="","",IFERROR(INDEX(tblInventario[Costo unitario aplicado],MATCH($F468,tblInventario[SKU],0)),""))</f>
        <v/>
      </c>
      <c r="P468" s="37">
        <f>IF($J468="","",IF(NOT(ISNUMBER($O468)),"COSTO PENDIENTE",$J468*$O468))</f>
        <v/>
      </c>
      <c r="Q468" s="37">
        <f>IF($J468="","",IF(OR(NOT(ISNUMBER($N468)),NOT(ISNUMBER($P468))),"PENDIENTE",$N468-$P468))</f>
        <v/>
      </c>
      <c r="R468" s="38">
        <f>IF($J468="","",IF(OR(NOT(ISNUMBER($Q468)),NOT(ISNUMBER($N468)),$N468&lt;=0),"PENDIENTE",$Q468/$N468))</f>
        <v/>
      </c>
      <c r="S468" s="33" t="n"/>
      <c r="T468" s="33" t="n"/>
      <c r="U468" s="41" t="n"/>
      <c r="V468" s="36" t="n"/>
      <c r="W468" s="37">
        <f>IF(NOT(ISNUMBER($N468)),"",$N468-IF(ISNUMBER($V468),$V468,0))</f>
        <v/>
      </c>
      <c r="X468" s="33" t="n"/>
      <c r="Y468" s="51">
        <f>IF(COUNTA($B468,$C468,$D468,$E468,$F468,$I468)=0,"",IF(IF($B468=""," · Falta fecha","")&amp;IF($D468=""," · Falta cliente","")&amp;IF($E468=""," · Falta canal","")&amp;IF($F468=""," · Falta SKU","")&amp;IF(AND($F468&lt;&gt;"",COUNTIF(tblProductos[SKU],$F468)=0)," · SKU no existe","")&amp;IF(OR($I468="",NOT(ISNUMBER($I468)),$I468&lt;=0)," · Cantidad inválida","")&amp;IF($M468="PRECIO PENDIENTE"," · Falta precio de venta","")&amp;IF($P468="COSTO PENDIENTE"," · Falta costo del producto","")&amp;IF(AND(ISNUMBER($Q468),$Q468&lt;0)," · UTILIDAD NEGATIVA","")&amp;IF(AND($F468&lt;&gt;"",ISNUMBER(INDEX(tblInventario[Stock actual],MATCH($F468,tblInventario[SKU],0))),INDEX(tblInventario[Stock actual],MATCH($F468,tblInventario[SKU],0))&lt;0)," · Stock negativo del SKU","")&amp;IF(AND($T468="Cobrado",$U468="")," · Cobro sin fecha","")&amp;IF(AND(ISNUMBER($V468),ISNUMBER($N468),$V468&gt;N($N468)+0.01)," · Cobrado &gt; venta neta","")&amp;IF(AND(ISNUMBER($V468),$V468&gt;0,$U468="")," · Monto cobrado sin fecha","")="","OK",MID(IF($B468=""," · Falta fecha","")&amp;IF($D468=""," · Falta cliente","")&amp;IF($E468=""," · Falta canal","")&amp;IF($F468=""," · Falta SKU","")&amp;IF(AND($F468&lt;&gt;"",COUNTIF(tblProductos[SKU],$F468)=0)," · SKU no existe","")&amp;IF(OR($I468="",NOT(ISNUMBER($I468)),$I468&lt;=0)," · Cantidad inválida","")&amp;IF($M468="PRECIO PENDIENTE"," · Falta precio de venta","")&amp;IF($P468="COSTO PENDIENTE"," · Falta costo del producto","")&amp;IF(AND(ISNUMBER($Q468),$Q468&lt;0)," · UTILIDAD NEGATIVA","")&amp;IF(AND($F468&lt;&gt;"",ISNUMBER(INDEX(tblInventario[Stock actual],MATCH($F468,tblInventario[SKU],0))),INDEX(tblInventario[Stock actual],MATCH($F468,tblInventario[SKU],0))&lt;0)," · Stock negativo del SKU","")&amp;IF(AND($T468="Cobrado",$U468="")," · Cobro sin fecha","")&amp;IF(AND(ISNUMBER($V468),ISNUMBER($N468),$V468&gt;N($N468)+0.01)," · Cobrado &gt; venta neta","")&amp;IF(AND(ISNUMBER($V468),$V468&gt;0,$U468="")," · Monto cobrado sin fecha",""),4,900)))</f>
        <v/>
      </c>
    </row>
    <row r="469">
      <c r="A469" s="51">
        <f>IF(COUNTA($B469,$C469,$D469,$E469,$F469,$I469)=0,"","V-"&amp;TEXT(ROW()-6,"0000"))</f>
        <v/>
      </c>
      <c r="B469" s="41" t="n"/>
      <c r="C469" s="33" t="n"/>
      <c r="D469" s="33" t="n"/>
      <c r="E469" s="33" t="n"/>
      <c r="F469" s="33" t="n"/>
      <c r="G469" s="51">
        <f>IF($F469="","",IFERROR(IF(INDEX(tblProductos[Nombre del producto],MATCH($F469,tblProductos[SKU],0))="","",INDEX(tblProductos[Nombre del producto],MATCH($F469,tblProductos[SKU],0))),""))</f>
        <v/>
      </c>
      <c r="H469" s="51">
        <f>IF($F469="","",IFERROR(IF(INDEX(tblProductos[Categoría],MATCH($F469,tblProductos[SKU],0))="","",INDEX(tblProductos[Categoría],MATCH($F469,tblProductos[SKU],0))),""))</f>
        <v/>
      </c>
      <c r="I469" s="34" t="n"/>
      <c r="J469" s="39">
        <f>IF(OR($B469="",$F469="",$I469=""),"",IF($T469="Anulado",0,$I469))</f>
        <v/>
      </c>
      <c r="K469" s="54">
        <f>IF($F469="","",IFERROR(IF(INDEX(tblProductos[Precio de venta actual],MATCH($F469,tblProductos[SKU],0))="","",INDEX(tblProductos[Precio de venta actual],MATCH($F469,tblProductos[SKU],0))),""))</f>
        <v/>
      </c>
      <c r="L469" s="36" t="n"/>
      <c r="M469" s="37">
        <f>IF($J469="","",IF(NOT(ISNUMBER($K469)),"PRECIO PENDIENTE",$J469*$K469))</f>
        <v/>
      </c>
      <c r="N469" s="37">
        <f>IF($J469="","",IF(NOT(ISNUMBER($M469)),"PRECIO PENDIENTE",$M469-IF(ISNUMBER($L469),$L469,0)))</f>
        <v/>
      </c>
      <c r="O469" s="54">
        <f>IF($F469="","",IFERROR(INDEX(tblInventario[Costo unitario aplicado],MATCH($F469,tblInventario[SKU],0)),""))</f>
        <v/>
      </c>
      <c r="P469" s="37">
        <f>IF($J469="","",IF(NOT(ISNUMBER($O469)),"COSTO PENDIENTE",$J469*$O469))</f>
        <v/>
      </c>
      <c r="Q469" s="37">
        <f>IF($J469="","",IF(OR(NOT(ISNUMBER($N469)),NOT(ISNUMBER($P469))),"PENDIENTE",$N469-$P469))</f>
        <v/>
      </c>
      <c r="R469" s="38">
        <f>IF($J469="","",IF(OR(NOT(ISNUMBER($Q469)),NOT(ISNUMBER($N469)),$N469&lt;=0),"PENDIENTE",$Q469/$N469))</f>
        <v/>
      </c>
      <c r="S469" s="33" t="n"/>
      <c r="T469" s="33" t="n"/>
      <c r="U469" s="41" t="n"/>
      <c r="V469" s="36" t="n"/>
      <c r="W469" s="37">
        <f>IF(NOT(ISNUMBER($N469)),"",$N469-IF(ISNUMBER($V469),$V469,0))</f>
        <v/>
      </c>
      <c r="X469" s="33" t="n"/>
      <c r="Y469" s="51">
        <f>IF(COUNTA($B469,$C469,$D469,$E469,$F469,$I469)=0,"",IF(IF($B469=""," · Falta fecha","")&amp;IF($D469=""," · Falta cliente","")&amp;IF($E469=""," · Falta canal","")&amp;IF($F469=""," · Falta SKU","")&amp;IF(AND($F469&lt;&gt;"",COUNTIF(tblProductos[SKU],$F469)=0)," · SKU no existe","")&amp;IF(OR($I469="",NOT(ISNUMBER($I469)),$I469&lt;=0)," · Cantidad inválida","")&amp;IF($M469="PRECIO PENDIENTE"," · Falta precio de venta","")&amp;IF($P469="COSTO PENDIENTE"," · Falta costo del producto","")&amp;IF(AND(ISNUMBER($Q469),$Q469&lt;0)," · UTILIDAD NEGATIVA","")&amp;IF(AND($F469&lt;&gt;"",ISNUMBER(INDEX(tblInventario[Stock actual],MATCH($F469,tblInventario[SKU],0))),INDEX(tblInventario[Stock actual],MATCH($F469,tblInventario[SKU],0))&lt;0)," · Stock negativo del SKU","")&amp;IF(AND($T469="Cobrado",$U469="")," · Cobro sin fecha","")&amp;IF(AND(ISNUMBER($V469),ISNUMBER($N469),$V469&gt;N($N469)+0.01)," · Cobrado &gt; venta neta","")&amp;IF(AND(ISNUMBER($V469),$V469&gt;0,$U469="")," · Monto cobrado sin fecha","")="","OK",MID(IF($B469=""," · Falta fecha","")&amp;IF($D469=""," · Falta cliente","")&amp;IF($E469=""," · Falta canal","")&amp;IF($F469=""," · Falta SKU","")&amp;IF(AND($F469&lt;&gt;"",COUNTIF(tblProductos[SKU],$F469)=0)," · SKU no existe","")&amp;IF(OR($I469="",NOT(ISNUMBER($I469)),$I469&lt;=0)," · Cantidad inválida","")&amp;IF($M469="PRECIO PENDIENTE"," · Falta precio de venta","")&amp;IF($P469="COSTO PENDIENTE"," · Falta costo del producto","")&amp;IF(AND(ISNUMBER($Q469),$Q469&lt;0)," · UTILIDAD NEGATIVA","")&amp;IF(AND($F469&lt;&gt;"",ISNUMBER(INDEX(tblInventario[Stock actual],MATCH($F469,tblInventario[SKU],0))),INDEX(tblInventario[Stock actual],MATCH($F469,tblInventario[SKU],0))&lt;0)," · Stock negativo del SKU","")&amp;IF(AND($T469="Cobrado",$U469="")," · Cobro sin fecha","")&amp;IF(AND(ISNUMBER($V469),ISNUMBER($N469),$V469&gt;N($N469)+0.01)," · Cobrado &gt; venta neta","")&amp;IF(AND(ISNUMBER($V469),$V469&gt;0,$U469="")," · Monto cobrado sin fecha",""),4,900)))</f>
        <v/>
      </c>
    </row>
    <row r="470">
      <c r="A470" s="51">
        <f>IF(COUNTA($B470,$C470,$D470,$E470,$F470,$I470)=0,"","V-"&amp;TEXT(ROW()-6,"0000"))</f>
        <v/>
      </c>
      <c r="B470" s="41" t="n"/>
      <c r="C470" s="33" t="n"/>
      <c r="D470" s="33" t="n"/>
      <c r="E470" s="33" t="n"/>
      <c r="F470" s="33" t="n"/>
      <c r="G470" s="51">
        <f>IF($F470="","",IFERROR(IF(INDEX(tblProductos[Nombre del producto],MATCH($F470,tblProductos[SKU],0))="","",INDEX(tblProductos[Nombre del producto],MATCH($F470,tblProductos[SKU],0))),""))</f>
        <v/>
      </c>
      <c r="H470" s="51">
        <f>IF($F470="","",IFERROR(IF(INDEX(tblProductos[Categoría],MATCH($F470,tblProductos[SKU],0))="","",INDEX(tblProductos[Categoría],MATCH($F470,tblProductos[SKU],0))),""))</f>
        <v/>
      </c>
      <c r="I470" s="34" t="n"/>
      <c r="J470" s="39">
        <f>IF(OR($B470="",$F470="",$I470=""),"",IF($T470="Anulado",0,$I470))</f>
        <v/>
      </c>
      <c r="K470" s="54">
        <f>IF($F470="","",IFERROR(IF(INDEX(tblProductos[Precio de venta actual],MATCH($F470,tblProductos[SKU],0))="","",INDEX(tblProductos[Precio de venta actual],MATCH($F470,tblProductos[SKU],0))),""))</f>
        <v/>
      </c>
      <c r="L470" s="36" t="n"/>
      <c r="M470" s="37">
        <f>IF($J470="","",IF(NOT(ISNUMBER($K470)),"PRECIO PENDIENTE",$J470*$K470))</f>
        <v/>
      </c>
      <c r="N470" s="37">
        <f>IF($J470="","",IF(NOT(ISNUMBER($M470)),"PRECIO PENDIENTE",$M470-IF(ISNUMBER($L470),$L470,0)))</f>
        <v/>
      </c>
      <c r="O470" s="54">
        <f>IF($F470="","",IFERROR(INDEX(tblInventario[Costo unitario aplicado],MATCH($F470,tblInventario[SKU],0)),""))</f>
        <v/>
      </c>
      <c r="P470" s="37">
        <f>IF($J470="","",IF(NOT(ISNUMBER($O470)),"COSTO PENDIENTE",$J470*$O470))</f>
        <v/>
      </c>
      <c r="Q470" s="37">
        <f>IF($J470="","",IF(OR(NOT(ISNUMBER($N470)),NOT(ISNUMBER($P470))),"PENDIENTE",$N470-$P470))</f>
        <v/>
      </c>
      <c r="R470" s="38">
        <f>IF($J470="","",IF(OR(NOT(ISNUMBER($Q470)),NOT(ISNUMBER($N470)),$N470&lt;=0),"PENDIENTE",$Q470/$N470))</f>
        <v/>
      </c>
      <c r="S470" s="33" t="n"/>
      <c r="T470" s="33" t="n"/>
      <c r="U470" s="41" t="n"/>
      <c r="V470" s="36" t="n"/>
      <c r="W470" s="37">
        <f>IF(NOT(ISNUMBER($N470)),"",$N470-IF(ISNUMBER($V470),$V470,0))</f>
        <v/>
      </c>
      <c r="X470" s="33" t="n"/>
      <c r="Y470" s="51">
        <f>IF(COUNTA($B470,$C470,$D470,$E470,$F470,$I470)=0,"",IF(IF($B470=""," · Falta fecha","")&amp;IF($D470=""," · Falta cliente","")&amp;IF($E470=""," · Falta canal","")&amp;IF($F470=""," · Falta SKU","")&amp;IF(AND($F470&lt;&gt;"",COUNTIF(tblProductos[SKU],$F470)=0)," · SKU no existe","")&amp;IF(OR($I470="",NOT(ISNUMBER($I470)),$I470&lt;=0)," · Cantidad inválida","")&amp;IF($M470="PRECIO PENDIENTE"," · Falta precio de venta","")&amp;IF($P470="COSTO PENDIENTE"," · Falta costo del producto","")&amp;IF(AND(ISNUMBER($Q470),$Q470&lt;0)," · UTILIDAD NEGATIVA","")&amp;IF(AND($F470&lt;&gt;"",ISNUMBER(INDEX(tblInventario[Stock actual],MATCH($F470,tblInventario[SKU],0))),INDEX(tblInventario[Stock actual],MATCH($F470,tblInventario[SKU],0))&lt;0)," · Stock negativo del SKU","")&amp;IF(AND($T470="Cobrado",$U470="")," · Cobro sin fecha","")&amp;IF(AND(ISNUMBER($V470),ISNUMBER($N470),$V470&gt;N($N470)+0.01)," · Cobrado &gt; venta neta","")&amp;IF(AND(ISNUMBER($V470),$V470&gt;0,$U470="")," · Monto cobrado sin fecha","")="","OK",MID(IF($B470=""," · Falta fecha","")&amp;IF($D470=""," · Falta cliente","")&amp;IF($E470=""," · Falta canal","")&amp;IF($F470=""," · Falta SKU","")&amp;IF(AND($F470&lt;&gt;"",COUNTIF(tblProductos[SKU],$F470)=0)," · SKU no existe","")&amp;IF(OR($I470="",NOT(ISNUMBER($I470)),$I470&lt;=0)," · Cantidad inválida","")&amp;IF($M470="PRECIO PENDIENTE"," · Falta precio de venta","")&amp;IF($P470="COSTO PENDIENTE"," · Falta costo del producto","")&amp;IF(AND(ISNUMBER($Q470),$Q470&lt;0)," · UTILIDAD NEGATIVA","")&amp;IF(AND($F470&lt;&gt;"",ISNUMBER(INDEX(tblInventario[Stock actual],MATCH($F470,tblInventario[SKU],0))),INDEX(tblInventario[Stock actual],MATCH($F470,tblInventario[SKU],0))&lt;0)," · Stock negativo del SKU","")&amp;IF(AND($T470="Cobrado",$U470="")," · Cobro sin fecha","")&amp;IF(AND(ISNUMBER($V470),ISNUMBER($N470),$V470&gt;N($N470)+0.01)," · Cobrado &gt; venta neta","")&amp;IF(AND(ISNUMBER($V470),$V470&gt;0,$U470="")," · Monto cobrado sin fecha",""),4,900)))</f>
        <v/>
      </c>
    </row>
    <row r="471">
      <c r="A471" s="51">
        <f>IF(COUNTA($B471,$C471,$D471,$E471,$F471,$I471)=0,"","V-"&amp;TEXT(ROW()-6,"0000"))</f>
        <v/>
      </c>
      <c r="B471" s="41" t="n"/>
      <c r="C471" s="33" t="n"/>
      <c r="D471" s="33" t="n"/>
      <c r="E471" s="33" t="n"/>
      <c r="F471" s="33" t="n"/>
      <c r="G471" s="51">
        <f>IF($F471="","",IFERROR(IF(INDEX(tblProductos[Nombre del producto],MATCH($F471,tblProductos[SKU],0))="","",INDEX(tblProductos[Nombre del producto],MATCH($F471,tblProductos[SKU],0))),""))</f>
        <v/>
      </c>
      <c r="H471" s="51">
        <f>IF($F471="","",IFERROR(IF(INDEX(tblProductos[Categoría],MATCH($F471,tblProductos[SKU],0))="","",INDEX(tblProductos[Categoría],MATCH($F471,tblProductos[SKU],0))),""))</f>
        <v/>
      </c>
      <c r="I471" s="34" t="n"/>
      <c r="J471" s="39">
        <f>IF(OR($B471="",$F471="",$I471=""),"",IF($T471="Anulado",0,$I471))</f>
        <v/>
      </c>
      <c r="K471" s="54">
        <f>IF($F471="","",IFERROR(IF(INDEX(tblProductos[Precio de venta actual],MATCH($F471,tblProductos[SKU],0))="","",INDEX(tblProductos[Precio de venta actual],MATCH($F471,tblProductos[SKU],0))),""))</f>
        <v/>
      </c>
      <c r="L471" s="36" t="n"/>
      <c r="M471" s="37">
        <f>IF($J471="","",IF(NOT(ISNUMBER($K471)),"PRECIO PENDIENTE",$J471*$K471))</f>
        <v/>
      </c>
      <c r="N471" s="37">
        <f>IF($J471="","",IF(NOT(ISNUMBER($M471)),"PRECIO PENDIENTE",$M471-IF(ISNUMBER($L471),$L471,0)))</f>
        <v/>
      </c>
      <c r="O471" s="54">
        <f>IF($F471="","",IFERROR(INDEX(tblInventario[Costo unitario aplicado],MATCH($F471,tblInventario[SKU],0)),""))</f>
        <v/>
      </c>
      <c r="P471" s="37">
        <f>IF($J471="","",IF(NOT(ISNUMBER($O471)),"COSTO PENDIENTE",$J471*$O471))</f>
        <v/>
      </c>
      <c r="Q471" s="37">
        <f>IF($J471="","",IF(OR(NOT(ISNUMBER($N471)),NOT(ISNUMBER($P471))),"PENDIENTE",$N471-$P471))</f>
        <v/>
      </c>
      <c r="R471" s="38">
        <f>IF($J471="","",IF(OR(NOT(ISNUMBER($Q471)),NOT(ISNUMBER($N471)),$N471&lt;=0),"PENDIENTE",$Q471/$N471))</f>
        <v/>
      </c>
      <c r="S471" s="33" t="n"/>
      <c r="T471" s="33" t="n"/>
      <c r="U471" s="41" t="n"/>
      <c r="V471" s="36" t="n"/>
      <c r="W471" s="37">
        <f>IF(NOT(ISNUMBER($N471)),"",$N471-IF(ISNUMBER($V471),$V471,0))</f>
        <v/>
      </c>
      <c r="X471" s="33" t="n"/>
      <c r="Y471" s="51">
        <f>IF(COUNTA($B471,$C471,$D471,$E471,$F471,$I471)=0,"",IF(IF($B471=""," · Falta fecha","")&amp;IF($D471=""," · Falta cliente","")&amp;IF($E471=""," · Falta canal","")&amp;IF($F471=""," · Falta SKU","")&amp;IF(AND($F471&lt;&gt;"",COUNTIF(tblProductos[SKU],$F471)=0)," · SKU no existe","")&amp;IF(OR($I471="",NOT(ISNUMBER($I471)),$I471&lt;=0)," · Cantidad inválida","")&amp;IF($M471="PRECIO PENDIENTE"," · Falta precio de venta","")&amp;IF($P471="COSTO PENDIENTE"," · Falta costo del producto","")&amp;IF(AND(ISNUMBER($Q471),$Q471&lt;0)," · UTILIDAD NEGATIVA","")&amp;IF(AND($F471&lt;&gt;"",ISNUMBER(INDEX(tblInventario[Stock actual],MATCH($F471,tblInventario[SKU],0))),INDEX(tblInventario[Stock actual],MATCH($F471,tblInventario[SKU],0))&lt;0)," · Stock negativo del SKU","")&amp;IF(AND($T471="Cobrado",$U471="")," · Cobro sin fecha","")&amp;IF(AND(ISNUMBER($V471),ISNUMBER($N471),$V471&gt;N($N471)+0.01)," · Cobrado &gt; venta neta","")&amp;IF(AND(ISNUMBER($V471),$V471&gt;0,$U471="")," · Monto cobrado sin fecha","")="","OK",MID(IF($B471=""," · Falta fecha","")&amp;IF($D471=""," · Falta cliente","")&amp;IF($E471=""," · Falta canal","")&amp;IF($F471=""," · Falta SKU","")&amp;IF(AND($F471&lt;&gt;"",COUNTIF(tblProductos[SKU],$F471)=0)," · SKU no existe","")&amp;IF(OR($I471="",NOT(ISNUMBER($I471)),$I471&lt;=0)," · Cantidad inválida","")&amp;IF($M471="PRECIO PENDIENTE"," · Falta precio de venta","")&amp;IF($P471="COSTO PENDIENTE"," · Falta costo del producto","")&amp;IF(AND(ISNUMBER($Q471),$Q471&lt;0)," · UTILIDAD NEGATIVA","")&amp;IF(AND($F471&lt;&gt;"",ISNUMBER(INDEX(tblInventario[Stock actual],MATCH($F471,tblInventario[SKU],0))),INDEX(tblInventario[Stock actual],MATCH($F471,tblInventario[SKU],0))&lt;0)," · Stock negativo del SKU","")&amp;IF(AND($T471="Cobrado",$U471="")," · Cobro sin fecha","")&amp;IF(AND(ISNUMBER($V471),ISNUMBER($N471),$V471&gt;N($N471)+0.01)," · Cobrado &gt; venta neta","")&amp;IF(AND(ISNUMBER($V471),$V471&gt;0,$U471="")," · Monto cobrado sin fecha",""),4,900)))</f>
        <v/>
      </c>
    </row>
    <row r="472">
      <c r="A472" s="51">
        <f>IF(COUNTA($B472,$C472,$D472,$E472,$F472,$I472)=0,"","V-"&amp;TEXT(ROW()-6,"0000"))</f>
        <v/>
      </c>
      <c r="B472" s="41" t="n"/>
      <c r="C472" s="33" t="n"/>
      <c r="D472" s="33" t="n"/>
      <c r="E472" s="33" t="n"/>
      <c r="F472" s="33" t="n"/>
      <c r="G472" s="51">
        <f>IF($F472="","",IFERROR(IF(INDEX(tblProductos[Nombre del producto],MATCH($F472,tblProductos[SKU],0))="","",INDEX(tblProductos[Nombre del producto],MATCH($F472,tblProductos[SKU],0))),""))</f>
        <v/>
      </c>
      <c r="H472" s="51">
        <f>IF($F472="","",IFERROR(IF(INDEX(tblProductos[Categoría],MATCH($F472,tblProductos[SKU],0))="","",INDEX(tblProductos[Categoría],MATCH($F472,tblProductos[SKU],0))),""))</f>
        <v/>
      </c>
      <c r="I472" s="34" t="n"/>
      <c r="J472" s="39">
        <f>IF(OR($B472="",$F472="",$I472=""),"",IF($T472="Anulado",0,$I472))</f>
        <v/>
      </c>
      <c r="K472" s="54">
        <f>IF($F472="","",IFERROR(IF(INDEX(tblProductos[Precio de venta actual],MATCH($F472,tblProductos[SKU],0))="","",INDEX(tblProductos[Precio de venta actual],MATCH($F472,tblProductos[SKU],0))),""))</f>
        <v/>
      </c>
      <c r="L472" s="36" t="n"/>
      <c r="M472" s="37">
        <f>IF($J472="","",IF(NOT(ISNUMBER($K472)),"PRECIO PENDIENTE",$J472*$K472))</f>
        <v/>
      </c>
      <c r="N472" s="37">
        <f>IF($J472="","",IF(NOT(ISNUMBER($M472)),"PRECIO PENDIENTE",$M472-IF(ISNUMBER($L472),$L472,0)))</f>
        <v/>
      </c>
      <c r="O472" s="54">
        <f>IF($F472="","",IFERROR(INDEX(tblInventario[Costo unitario aplicado],MATCH($F472,tblInventario[SKU],0)),""))</f>
        <v/>
      </c>
      <c r="P472" s="37">
        <f>IF($J472="","",IF(NOT(ISNUMBER($O472)),"COSTO PENDIENTE",$J472*$O472))</f>
        <v/>
      </c>
      <c r="Q472" s="37">
        <f>IF($J472="","",IF(OR(NOT(ISNUMBER($N472)),NOT(ISNUMBER($P472))),"PENDIENTE",$N472-$P472))</f>
        <v/>
      </c>
      <c r="R472" s="38">
        <f>IF($J472="","",IF(OR(NOT(ISNUMBER($Q472)),NOT(ISNUMBER($N472)),$N472&lt;=0),"PENDIENTE",$Q472/$N472))</f>
        <v/>
      </c>
      <c r="S472" s="33" t="n"/>
      <c r="T472" s="33" t="n"/>
      <c r="U472" s="41" t="n"/>
      <c r="V472" s="36" t="n"/>
      <c r="W472" s="37">
        <f>IF(NOT(ISNUMBER($N472)),"",$N472-IF(ISNUMBER($V472),$V472,0))</f>
        <v/>
      </c>
      <c r="X472" s="33" t="n"/>
      <c r="Y472" s="51">
        <f>IF(COUNTA($B472,$C472,$D472,$E472,$F472,$I472)=0,"",IF(IF($B472=""," · Falta fecha","")&amp;IF($D472=""," · Falta cliente","")&amp;IF($E472=""," · Falta canal","")&amp;IF($F472=""," · Falta SKU","")&amp;IF(AND($F472&lt;&gt;"",COUNTIF(tblProductos[SKU],$F472)=0)," · SKU no existe","")&amp;IF(OR($I472="",NOT(ISNUMBER($I472)),$I472&lt;=0)," · Cantidad inválida","")&amp;IF($M472="PRECIO PENDIENTE"," · Falta precio de venta","")&amp;IF($P472="COSTO PENDIENTE"," · Falta costo del producto","")&amp;IF(AND(ISNUMBER($Q472),$Q472&lt;0)," · UTILIDAD NEGATIVA","")&amp;IF(AND($F472&lt;&gt;"",ISNUMBER(INDEX(tblInventario[Stock actual],MATCH($F472,tblInventario[SKU],0))),INDEX(tblInventario[Stock actual],MATCH($F472,tblInventario[SKU],0))&lt;0)," · Stock negativo del SKU","")&amp;IF(AND($T472="Cobrado",$U472="")," · Cobro sin fecha","")&amp;IF(AND(ISNUMBER($V472),ISNUMBER($N472),$V472&gt;N($N472)+0.01)," · Cobrado &gt; venta neta","")&amp;IF(AND(ISNUMBER($V472),$V472&gt;0,$U472="")," · Monto cobrado sin fecha","")="","OK",MID(IF($B472=""," · Falta fecha","")&amp;IF($D472=""," · Falta cliente","")&amp;IF($E472=""," · Falta canal","")&amp;IF($F472=""," · Falta SKU","")&amp;IF(AND($F472&lt;&gt;"",COUNTIF(tblProductos[SKU],$F472)=0)," · SKU no existe","")&amp;IF(OR($I472="",NOT(ISNUMBER($I472)),$I472&lt;=0)," · Cantidad inválida","")&amp;IF($M472="PRECIO PENDIENTE"," · Falta precio de venta","")&amp;IF($P472="COSTO PENDIENTE"," · Falta costo del producto","")&amp;IF(AND(ISNUMBER($Q472),$Q472&lt;0)," · UTILIDAD NEGATIVA","")&amp;IF(AND($F472&lt;&gt;"",ISNUMBER(INDEX(tblInventario[Stock actual],MATCH($F472,tblInventario[SKU],0))),INDEX(tblInventario[Stock actual],MATCH($F472,tblInventario[SKU],0))&lt;0)," · Stock negativo del SKU","")&amp;IF(AND($T472="Cobrado",$U472="")," · Cobro sin fecha","")&amp;IF(AND(ISNUMBER($V472),ISNUMBER($N472),$V472&gt;N($N472)+0.01)," · Cobrado &gt; venta neta","")&amp;IF(AND(ISNUMBER($V472),$V472&gt;0,$U472="")," · Monto cobrado sin fecha",""),4,900)))</f>
        <v/>
      </c>
    </row>
    <row r="473">
      <c r="A473" s="51">
        <f>IF(COUNTA($B473,$C473,$D473,$E473,$F473,$I473)=0,"","V-"&amp;TEXT(ROW()-6,"0000"))</f>
        <v/>
      </c>
      <c r="B473" s="41" t="n"/>
      <c r="C473" s="33" t="n"/>
      <c r="D473" s="33" t="n"/>
      <c r="E473" s="33" t="n"/>
      <c r="F473" s="33" t="n"/>
      <c r="G473" s="51">
        <f>IF($F473="","",IFERROR(IF(INDEX(tblProductos[Nombre del producto],MATCH($F473,tblProductos[SKU],0))="","",INDEX(tblProductos[Nombre del producto],MATCH($F473,tblProductos[SKU],0))),""))</f>
        <v/>
      </c>
      <c r="H473" s="51">
        <f>IF($F473="","",IFERROR(IF(INDEX(tblProductos[Categoría],MATCH($F473,tblProductos[SKU],0))="","",INDEX(tblProductos[Categoría],MATCH($F473,tblProductos[SKU],0))),""))</f>
        <v/>
      </c>
      <c r="I473" s="34" t="n"/>
      <c r="J473" s="39">
        <f>IF(OR($B473="",$F473="",$I473=""),"",IF($T473="Anulado",0,$I473))</f>
        <v/>
      </c>
      <c r="K473" s="54">
        <f>IF($F473="","",IFERROR(IF(INDEX(tblProductos[Precio de venta actual],MATCH($F473,tblProductos[SKU],0))="","",INDEX(tblProductos[Precio de venta actual],MATCH($F473,tblProductos[SKU],0))),""))</f>
        <v/>
      </c>
      <c r="L473" s="36" t="n"/>
      <c r="M473" s="37">
        <f>IF($J473="","",IF(NOT(ISNUMBER($K473)),"PRECIO PENDIENTE",$J473*$K473))</f>
        <v/>
      </c>
      <c r="N473" s="37">
        <f>IF($J473="","",IF(NOT(ISNUMBER($M473)),"PRECIO PENDIENTE",$M473-IF(ISNUMBER($L473),$L473,0)))</f>
        <v/>
      </c>
      <c r="O473" s="54">
        <f>IF($F473="","",IFERROR(INDEX(tblInventario[Costo unitario aplicado],MATCH($F473,tblInventario[SKU],0)),""))</f>
        <v/>
      </c>
      <c r="P473" s="37">
        <f>IF($J473="","",IF(NOT(ISNUMBER($O473)),"COSTO PENDIENTE",$J473*$O473))</f>
        <v/>
      </c>
      <c r="Q473" s="37">
        <f>IF($J473="","",IF(OR(NOT(ISNUMBER($N473)),NOT(ISNUMBER($P473))),"PENDIENTE",$N473-$P473))</f>
        <v/>
      </c>
      <c r="R473" s="38">
        <f>IF($J473="","",IF(OR(NOT(ISNUMBER($Q473)),NOT(ISNUMBER($N473)),$N473&lt;=0),"PENDIENTE",$Q473/$N473))</f>
        <v/>
      </c>
      <c r="S473" s="33" t="n"/>
      <c r="T473" s="33" t="n"/>
      <c r="U473" s="41" t="n"/>
      <c r="V473" s="36" t="n"/>
      <c r="W473" s="37">
        <f>IF(NOT(ISNUMBER($N473)),"",$N473-IF(ISNUMBER($V473),$V473,0))</f>
        <v/>
      </c>
      <c r="X473" s="33" t="n"/>
      <c r="Y473" s="51">
        <f>IF(COUNTA($B473,$C473,$D473,$E473,$F473,$I473)=0,"",IF(IF($B473=""," · Falta fecha","")&amp;IF($D473=""," · Falta cliente","")&amp;IF($E473=""," · Falta canal","")&amp;IF($F473=""," · Falta SKU","")&amp;IF(AND($F473&lt;&gt;"",COUNTIF(tblProductos[SKU],$F473)=0)," · SKU no existe","")&amp;IF(OR($I473="",NOT(ISNUMBER($I473)),$I473&lt;=0)," · Cantidad inválida","")&amp;IF($M473="PRECIO PENDIENTE"," · Falta precio de venta","")&amp;IF($P473="COSTO PENDIENTE"," · Falta costo del producto","")&amp;IF(AND(ISNUMBER($Q473),$Q473&lt;0)," · UTILIDAD NEGATIVA","")&amp;IF(AND($F473&lt;&gt;"",ISNUMBER(INDEX(tblInventario[Stock actual],MATCH($F473,tblInventario[SKU],0))),INDEX(tblInventario[Stock actual],MATCH($F473,tblInventario[SKU],0))&lt;0)," · Stock negativo del SKU","")&amp;IF(AND($T473="Cobrado",$U473="")," · Cobro sin fecha","")&amp;IF(AND(ISNUMBER($V473),ISNUMBER($N473),$V473&gt;N($N473)+0.01)," · Cobrado &gt; venta neta","")&amp;IF(AND(ISNUMBER($V473),$V473&gt;0,$U473="")," · Monto cobrado sin fecha","")="","OK",MID(IF($B473=""," · Falta fecha","")&amp;IF($D473=""," · Falta cliente","")&amp;IF($E473=""," · Falta canal","")&amp;IF($F473=""," · Falta SKU","")&amp;IF(AND($F473&lt;&gt;"",COUNTIF(tblProductos[SKU],$F473)=0)," · SKU no existe","")&amp;IF(OR($I473="",NOT(ISNUMBER($I473)),$I473&lt;=0)," · Cantidad inválida","")&amp;IF($M473="PRECIO PENDIENTE"," · Falta precio de venta","")&amp;IF($P473="COSTO PENDIENTE"," · Falta costo del producto","")&amp;IF(AND(ISNUMBER($Q473),$Q473&lt;0)," · UTILIDAD NEGATIVA","")&amp;IF(AND($F473&lt;&gt;"",ISNUMBER(INDEX(tblInventario[Stock actual],MATCH($F473,tblInventario[SKU],0))),INDEX(tblInventario[Stock actual],MATCH($F473,tblInventario[SKU],0))&lt;0)," · Stock negativo del SKU","")&amp;IF(AND($T473="Cobrado",$U473="")," · Cobro sin fecha","")&amp;IF(AND(ISNUMBER($V473),ISNUMBER($N473),$V473&gt;N($N473)+0.01)," · Cobrado &gt; venta neta","")&amp;IF(AND(ISNUMBER($V473),$V473&gt;0,$U473="")," · Monto cobrado sin fecha",""),4,900)))</f>
        <v/>
      </c>
    </row>
    <row r="474">
      <c r="A474" s="51">
        <f>IF(COUNTA($B474,$C474,$D474,$E474,$F474,$I474)=0,"","V-"&amp;TEXT(ROW()-6,"0000"))</f>
        <v/>
      </c>
      <c r="B474" s="41" t="n"/>
      <c r="C474" s="33" t="n"/>
      <c r="D474" s="33" t="n"/>
      <c r="E474" s="33" t="n"/>
      <c r="F474" s="33" t="n"/>
      <c r="G474" s="51">
        <f>IF($F474="","",IFERROR(IF(INDEX(tblProductos[Nombre del producto],MATCH($F474,tblProductos[SKU],0))="","",INDEX(tblProductos[Nombre del producto],MATCH($F474,tblProductos[SKU],0))),""))</f>
        <v/>
      </c>
      <c r="H474" s="51">
        <f>IF($F474="","",IFERROR(IF(INDEX(tblProductos[Categoría],MATCH($F474,tblProductos[SKU],0))="","",INDEX(tblProductos[Categoría],MATCH($F474,tblProductos[SKU],0))),""))</f>
        <v/>
      </c>
      <c r="I474" s="34" t="n"/>
      <c r="J474" s="39">
        <f>IF(OR($B474="",$F474="",$I474=""),"",IF($T474="Anulado",0,$I474))</f>
        <v/>
      </c>
      <c r="K474" s="54">
        <f>IF($F474="","",IFERROR(IF(INDEX(tblProductos[Precio de venta actual],MATCH($F474,tblProductos[SKU],0))="","",INDEX(tblProductos[Precio de venta actual],MATCH($F474,tblProductos[SKU],0))),""))</f>
        <v/>
      </c>
      <c r="L474" s="36" t="n"/>
      <c r="M474" s="37">
        <f>IF($J474="","",IF(NOT(ISNUMBER($K474)),"PRECIO PENDIENTE",$J474*$K474))</f>
        <v/>
      </c>
      <c r="N474" s="37">
        <f>IF($J474="","",IF(NOT(ISNUMBER($M474)),"PRECIO PENDIENTE",$M474-IF(ISNUMBER($L474),$L474,0)))</f>
        <v/>
      </c>
      <c r="O474" s="54">
        <f>IF($F474="","",IFERROR(INDEX(tblInventario[Costo unitario aplicado],MATCH($F474,tblInventario[SKU],0)),""))</f>
        <v/>
      </c>
      <c r="P474" s="37">
        <f>IF($J474="","",IF(NOT(ISNUMBER($O474)),"COSTO PENDIENTE",$J474*$O474))</f>
        <v/>
      </c>
      <c r="Q474" s="37">
        <f>IF($J474="","",IF(OR(NOT(ISNUMBER($N474)),NOT(ISNUMBER($P474))),"PENDIENTE",$N474-$P474))</f>
        <v/>
      </c>
      <c r="R474" s="38">
        <f>IF($J474="","",IF(OR(NOT(ISNUMBER($Q474)),NOT(ISNUMBER($N474)),$N474&lt;=0),"PENDIENTE",$Q474/$N474))</f>
        <v/>
      </c>
      <c r="S474" s="33" t="n"/>
      <c r="T474" s="33" t="n"/>
      <c r="U474" s="41" t="n"/>
      <c r="V474" s="36" t="n"/>
      <c r="W474" s="37">
        <f>IF(NOT(ISNUMBER($N474)),"",$N474-IF(ISNUMBER($V474),$V474,0))</f>
        <v/>
      </c>
      <c r="X474" s="33" t="n"/>
      <c r="Y474" s="51">
        <f>IF(COUNTA($B474,$C474,$D474,$E474,$F474,$I474)=0,"",IF(IF($B474=""," · Falta fecha","")&amp;IF($D474=""," · Falta cliente","")&amp;IF($E474=""," · Falta canal","")&amp;IF($F474=""," · Falta SKU","")&amp;IF(AND($F474&lt;&gt;"",COUNTIF(tblProductos[SKU],$F474)=0)," · SKU no existe","")&amp;IF(OR($I474="",NOT(ISNUMBER($I474)),$I474&lt;=0)," · Cantidad inválida","")&amp;IF($M474="PRECIO PENDIENTE"," · Falta precio de venta","")&amp;IF($P474="COSTO PENDIENTE"," · Falta costo del producto","")&amp;IF(AND(ISNUMBER($Q474),$Q474&lt;0)," · UTILIDAD NEGATIVA","")&amp;IF(AND($F474&lt;&gt;"",ISNUMBER(INDEX(tblInventario[Stock actual],MATCH($F474,tblInventario[SKU],0))),INDEX(tblInventario[Stock actual],MATCH($F474,tblInventario[SKU],0))&lt;0)," · Stock negativo del SKU","")&amp;IF(AND($T474="Cobrado",$U474="")," · Cobro sin fecha","")&amp;IF(AND(ISNUMBER($V474),ISNUMBER($N474),$V474&gt;N($N474)+0.01)," · Cobrado &gt; venta neta","")&amp;IF(AND(ISNUMBER($V474),$V474&gt;0,$U474="")," · Monto cobrado sin fecha","")="","OK",MID(IF($B474=""," · Falta fecha","")&amp;IF($D474=""," · Falta cliente","")&amp;IF($E474=""," · Falta canal","")&amp;IF($F474=""," · Falta SKU","")&amp;IF(AND($F474&lt;&gt;"",COUNTIF(tblProductos[SKU],$F474)=0)," · SKU no existe","")&amp;IF(OR($I474="",NOT(ISNUMBER($I474)),$I474&lt;=0)," · Cantidad inválida","")&amp;IF($M474="PRECIO PENDIENTE"," · Falta precio de venta","")&amp;IF($P474="COSTO PENDIENTE"," · Falta costo del producto","")&amp;IF(AND(ISNUMBER($Q474),$Q474&lt;0)," · UTILIDAD NEGATIVA","")&amp;IF(AND($F474&lt;&gt;"",ISNUMBER(INDEX(tblInventario[Stock actual],MATCH($F474,tblInventario[SKU],0))),INDEX(tblInventario[Stock actual],MATCH($F474,tblInventario[SKU],0))&lt;0)," · Stock negativo del SKU","")&amp;IF(AND($T474="Cobrado",$U474="")," · Cobro sin fecha","")&amp;IF(AND(ISNUMBER($V474),ISNUMBER($N474),$V474&gt;N($N474)+0.01)," · Cobrado &gt; venta neta","")&amp;IF(AND(ISNUMBER($V474),$V474&gt;0,$U474="")," · Monto cobrado sin fecha",""),4,900)))</f>
        <v/>
      </c>
    </row>
    <row r="475">
      <c r="A475" s="51">
        <f>IF(COUNTA($B475,$C475,$D475,$E475,$F475,$I475)=0,"","V-"&amp;TEXT(ROW()-6,"0000"))</f>
        <v/>
      </c>
      <c r="B475" s="41" t="n"/>
      <c r="C475" s="33" t="n"/>
      <c r="D475" s="33" t="n"/>
      <c r="E475" s="33" t="n"/>
      <c r="F475" s="33" t="n"/>
      <c r="G475" s="51">
        <f>IF($F475="","",IFERROR(IF(INDEX(tblProductos[Nombre del producto],MATCH($F475,tblProductos[SKU],0))="","",INDEX(tblProductos[Nombre del producto],MATCH($F475,tblProductos[SKU],0))),""))</f>
        <v/>
      </c>
      <c r="H475" s="51">
        <f>IF($F475="","",IFERROR(IF(INDEX(tblProductos[Categoría],MATCH($F475,tblProductos[SKU],0))="","",INDEX(tblProductos[Categoría],MATCH($F475,tblProductos[SKU],0))),""))</f>
        <v/>
      </c>
      <c r="I475" s="34" t="n"/>
      <c r="J475" s="39">
        <f>IF(OR($B475="",$F475="",$I475=""),"",IF($T475="Anulado",0,$I475))</f>
        <v/>
      </c>
      <c r="K475" s="54">
        <f>IF($F475="","",IFERROR(IF(INDEX(tblProductos[Precio de venta actual],MATCH($F475,tblProductos[SKU],0))="","",INDEX(tblProductos[Precio de venta actual],MATCH($F475,tblProductos[SKU],0))),""))</f>
        <v/>
      </c>
      <c r="L475" s="36" t="n"/>
      <c r="M475" s="37">
        <f>IF($J475="","",IF(NOT(ISNUMBER($K475)),"PRECIO PENDIENTE",$J475*$K475))</f>
        <v/>
      </c>
      <c r="N475" s="37">
        <f>IF($J475="","",IF(NOT(ISNUMBER($M475)),"PRECIO PENDIENTE",$M475-IF(ISNUMBER($L475),$L475,0)))</f>
        <v/>
      </c>
      <c r="O475" s="54">
        <f>IF($F475="","",IFERROR(INDEX(tblInventario[Costo unitario aplicado],MATCH($F475,tblInventario[SKU],0)),""))</f>
        <v/>
      </c>
      <c r="P475" s="37">
        <f>IF($J475="","",IF(NOT(ISNUMBER($O475)),"COSTO PENDIENTE",$J475*$O475))</f>
        <v/>
      </c>
      <c r="Q475" s="37">
        <f>IF($J475="","",IF(OR(NOT(ISNUMBER($N475)),NOT(ISNUMBER($P475))),"PENDIENTE",$N475-$P475))</f>
        <v/>
      </c>
      <c r="R475" s="38">
        <f>IF($J475="","",IF(OR(NOT(ISNUMBER($Q475)),NOT(ISNUMBER($N475)),$N475&lt;=0),"PENDIENTE",$Q475/$N475))</f>
        <v/>
      </c>
      <c r="S475" s="33" t="n"/>
      <c r="T475" s="33" t="n"/>
      <c r="U475" s="41" t="n"/>
      <c r="V475" s="36" t="n"/>
      <c r="W475" s="37">
        <f>IF(NOT(ISNUMBER($N475)),"",$N475-IF(ISNUMBER($V475),$V475,0))</f>
        <v/>
      </c>
      <c r="X475" s="33" t="n"/>
      <c r="Y475" s="51">
        <f>IF(COUNTA($B475,$C475,$D475,$E475,$F475,$I475)=0,"",IF(IF($B475=""," · Falta fecha","")&amp;IF($D475=""," · Falta cliente","")&amp;IF($E475=""," · Falta canal","")&amp;IF($F475=""," · Falta SKU","")&amp;IF(AND($F475&lt;&gt;"",COUNTIF(tblProductos[SKU],$F475)=0)," · SKU no existe","")&amp;IF(OR($I475="",NOT(ISNUMBER($I475)),$I475&lt;=0)," · Cantidad inválida","")&amp;IF($M475="PRECIO PENDIENTE"," · Falta precio de venta","")&amp;IF($P475="COSTO PENDIENTE"," · Falta costo del producto","")&amp;IF(AND(ISNUMBER($Q475),$Q475&lt;0)," · UTILIDAD NEGATIVA","")&amp;IF(AND($F475&lt;&gt;"",ISNUMBER(INDEX(tblInventario[Stock actual],MATCH($F475,tblInventario[SKU],0))),INDEX(tblInventario[Stock actual],MATCH($F475,tblInventario[SKU],0))&lt;0)," · Stock negativo del SKU","")&amp;IF(AND($T475="Cobrado",$U475="")," · Cobro sin fecha","")&amp;IF(AND(ISNUMBER($V475),ISNUMBER($N475),$V475&gt;N($N475)+0.01)," · Cobrado &gt; venta neta","")&amp;IF(AND(ISNUMBER($V475),$V475&gt;0,$U475="")," · Monto cobrado sin fecha","")="","OK",MID(IF($B475=""," · Falta fecha","")&amp;IF($D475=""," · Falta cliente","")&amp;IF($E475=""," · Falta canal","")&amp;IF($F475=""," · Falta SKU","")&amp;IF(AND($F475&lt;&gt;"",COUNTIF(tblProductos[SKU],$F475)=0)," · SKU no existe","")&amp;IF(OR($I475="",NOT(ISNUMBER($I475)),$I475&lt;=0)," · Cantidad inválida","")&amp;IF($M475="PRECIO PENDIENTE"," · Falta precio de venta","")&amp;IF($P475="COSTO PENDIENTE"," · Falta costo del producto","")&amp;IF(AND(ISNUMBER($Q475),$Q475&lt;0)," · UTILIDAD NEGATIVA","")&amp;IF(AND($F475&lt;&gt;"",ISNUMBER(INDEX(tblInventario[Stock actual],MATCH($F475,tblInventario[SKU],0))),INDEX(tblInventario[Stock actual],MATCH($F475,tblInventario[SKU],0))&lt;0)," · Stock negativo del SKU","")&amp;IF(AND($T475="Cobrado",$U475="")," · Cobro sin fecha","")&amp;IF(AND(ISNUMBER($V475),ISNUMBER($N475),$V475&gt;N($N475)+0.01)," · Cobrado &gt; venta neta","")&amp;IF(AND(ISNUMBER($V475),$V475&gt;0,$U475="")," · Monto cobrado sin fecha",""),4,900)))</f>
        <v/>
      </c>
    </row>
    <row r="476">
      <c r="A476" s="51">
        <f>IF(COUNTA($B476,$C476,$D476,$E476,$F476,$I476)=0,"","V-"&amp;TEXT(ROW()-6,"0000"))</f>
        <v/>
      </c>
      <c r="B476" s="41" t="n"/>
      <c r="C476" s="33" t="n"/>
      <c r="D476" s="33" t="n"/>
      <c r="E476" s="33" t="n"/>
      <c r="F476" s="33" t="n"/>
      <c r="G476" s="51">
        <f>IF($F476="","",IFERROR(IF(INDEX(tblProductos[Nombre del producto],MATCH($F476,tblProductos[SKU],0))="","",INDEX(tblProductos[Nombre del producto],MATCH($F476,tblProductos[SKU],0))),""))</f>
        <v/>
      </c>
      <c r="H476" s="51">
        <f>IF($F476="","",IFERROR(IF(INDEX(tblProductos[Categoría],MATCH($F476,tblProductos[SKU],0))="","",INDEX(tblProductos[Categoría],MATCH($F476,tblProductos[SKU],0))),""))</f>
        <v/>
      </c>
      <c r="I476" s="34" t="n"/>
      <c r="J476" s="39">
        <f>IF(OR($B476="",$F476="",$I476=""),"",IF($T476="Anulado",0,$I476))</f>
        <v/>
      </c>
      <c r="K476" s="54">
        <f>IF($F476="","",IFERROR(IF(INDEX(tblProductos[Precio de venta actual],MATCH($F476,tblProductos[SKU],0))="","",INDEX(tblProductos[Precio de venta actual],MATCH($F476,tblProductos[SKU],0))),""))</f>
        <v/>
      </c>
      <c r="L476" s="36" t="n"/>
      <c r="M476" s="37">
        <f>IF($J476="","",IF(NOT(ISNUMBER($K476)),"PRECIO PENDIENTE",$J476*$K476))</f>
        <v/>
      </c>
      <c r="N476" s="37">
        <f>IF($J476="","",IF(NOT(ISNUMBER($M476)),"PRECIO PENDIENTE",$M476-IF(ISNUMBER($L476),$L476,0)))</f>
        <v/>
      </c>
      <c r="O476" s="54">
        <f>IF($F476="","",IFERROR(INDEX(tblInventario[Costo unitario aplicado],MATCH($F476,tblInventario[SKU],0)),""))</f>
        <v/>
      </c>
      <c r="P476" s="37">
        <f>IF($J476="","",IF(NOT(ISNUMBER($O476)),"COSTO PENDIENTE",$J476*$O476))</f>
        <v/>
      </c>
      <c r="Q476" s="37">
        <f>IF($J476="","",IF(OR(NOT(ISNUMBER($N476)),NOT(ISNUMBER($P476))),"PENDIENTE",$N476-$P476))</f>
        <v/>
      </c>
      <c r="R476" s="38">
        <f>IF($J476="","",IF(OR(NOT(ISNUMBER($Q476)),NOT(ISNUMBER($N476)),$N476&lt;=0),"PENDIENTE",$Q476/$N476))</f>
        <v/>
      </c>
      <c r="S476" s="33" t="n"/>
      <c r="T476" s="33" t="n"/>
      <c r="U476" s="41" t="n"/>
      <c r="V476" s="36" t="n"/>
      <c r="W476" s="37">
        <f>IF(NOT(ISNUMBER($N476)),"",$N476-IF(ISNUMBER($V476),$V476,0))</f>
        <v/>
      </c>
      <c r="X476" s="33" t="n"/>
      <c r="Y476" s="51">
        <f>IF(COUNTA($B476,$C476,$D476,$E476,$F476,$I476)=0,"",IF(IF($B476=""," · Falta fecha","")&amp;IF($D476=""," · Falta cliente","")&amp;IF($E476=""," · Falta canal","")&amp;IF($F476=""," · Falta SKU","")&amp;IF(AND($F476&lt;&gt;"",COUNTIF(tblProductos[SKU],$F476)=0)," · SKU no existe","")&amp;IF(OR($I476="",NOT(ISNUMBER($I476)),$I476&lt;=0)," · Cantidad inválida","")&amp;IF($M476="PRECIO PENDIENTE"," · Falta precio de venta","")&amp;IF($P476="COSTO PENDIENTE"," · Falta costo del producto","")&amp;IF(AND(ISNUMBER($Q476),$Q476&lt;0)," · UTILIDAD NEGATIVA","")&amp;IF(AND($F476&lt;&gt;"",ISNUMBER(INDEX(tblInventario[Stock actual],MATCH($F476,tblInventario[SKU],0))),INDEX(tblInventario[Stock actual],MATCH($F476,tblInventario[SKU],0))&lt;0)," · Stock negativo del SKU","")&amp;IF(AND($T476="Cobrado",$U476="")," · Cobro sin fecha","")&amp;IF(AND(ISNUMBER($V476),ISNUMBER($N476),$V476&gt;N($N476)+0.01)," · Cobrado &gt; venta neta","")&amp;IF(AND(ISNUMBER($V476),$V476&gt;0,$U476="")," · Monto cobrado sin fecha","")="","OK",MID(IF($B476=""," · Falta fecha","")&amp;IF($D476=""," · Falta cliente","")&amp;IF($E476=""," · Falta canal","")&amp;IF($F476=""," · Falta SKU","")&amp;IF(AND($F476&lt;&gt;"",COUNTIF(tblProductos[SKU],$F476)=0)," · SKU no existe","")&amp;IF(OR($I476="",NOT(ISNUMBER($I476)),$I476&lt;=0)," · Cantidad inválida","")&amp;IF($M476="PRECIO PENDIENTE"," · Falta precio de venta","")&amp;IF($P476="COSTO PENDIENTE"," · Falta costo del producto","")&amp;IF(AND(ISNUMBER($Q476),$Q476&lt;0)," · UTILIDAD NEGATIVA","")&amp;IF(AND($F476&lt;&gt;"",ISNUMBER(INDEX(tblInventario[Stock actual],MATCH($F476,tblInventario[SKU],0))),INDEX(tblInventario[Stock actual],MATCH($F476,tblInventario[SKU],0))&lt;0)," · Stock negativo del SKU","")&amp;IF(AND($T476="Cobrado",$U476="")," · Cobro sin fecha","")&amp;IF(AND(ISNUMBER($V476),ISNUMBER($N476),$V476&gt;N($N476)+0.01)," · Cobrado &gt; venta neta","")&amp;IF(AND(ISNUMBER($V476),$V476&gt;0,$U476="")," · Monto cobrado sin fecha",""),4,900)))</f>
        <v/>
      </c>
    </row>
    <row r="477">
      <c r="A477" s="51">
        <f>IF(COUNTA($B477,$C477,$D477,$E477,$F477,$I477)=0,"","V-"&amp;TEXT(ROW()-6,"0000"))</f>
        <v/>
      </c>
      <c r="B477" s="41" t="n"/>
      <c r="C477" s="33" t="n"/>
      <c r="D477" s="33" t="n"/>
      <c r="E477" s="33" t="n"/>
      <c r="F477" s="33" t="n"/>
      <c r="G477" s="51">
        <f>IF($F477="","",IFERROR(IF(INDEX(tblProductos[Nombre del producto],MATCH($F477,tblProductos[SKU],0))="","",INDEX(tblProductos[Nombre del producto],MATCH($F477,tblProductos[SKU],0))),""))</f>
        <v/>
      </c>
      <c r="H477" s="51">
        <f>IF($F477="","",IFERROR(IF(INDEX(tblProductos[Categoría],MATCH($F477,tblProductos[SKU],0))="","",INDEX(tblProductos[Categoría],MATCH($F477,tblProductos[SKU],0))),""))</f>
        <v/>
      </c>
      <c r="I477" s="34" t="n"/>
      <c r="J477" s="39">
        <f>IF(OR($B477="",$F477="",$I477=""),"",IF($T477="Anulado",0,$I477))</f>
        <v/>
      </c>
      <c r="K477" s="54">
        <f>IF($F477="","",IFERROR(IF(INDEX(tblProductos[Precio de venta actual],MATCH($F477,tblProductos[SKU],0))="","",INDEX(tblProductos[Precio de venta actual],MATCH($F477,tblProductos[SKU],0))),""))</f>
        <v/>
      </c>
      <c r="L477" s="36" t="n"/>
      <c r="M477" s="37">
        <f>IF($J477="","",IF(NOT(ISNUMBER($K477)),"PRECIO PENDIENTE",$J477*$K477))</f>
        <v/>
      </c>
      <c r="N477" s="37">
        <f>IF($J477="","",IF(NOT(ISNUMBER($M477)),"PRECIO PENDIENTE",$M477-IF(ISNUMBER($L477),$L477,0)))</f>
        <v/>
      </c>
      <c r="O477" s="54">
        <f>IF($F477="","",IFERROR(INDEX(tblInventario[Costo unitario aplicado],MATCH($F477,tblInventario[SKU],0)),""))</f>
        <v/>
      </c>
      <c r="P477" s="37">
        <f>IF($J477="","",IF(NOT(ISNUMBER($O477)),"COSTO PENDIENTE",$J477*$O477))</f>
        <v/>
      </c>
      <c r="Q477" s="37">
        <f>IF($J477="","",IF(OR(NOT(ISNUMBER($N477)),NOT(ISNUMBER($P477))),"PENDIENTE",$N477-$P477))</f>
        <v/>
      </c>
      <c r="R477" s="38">
        <f>IF($J477="","",IF(OR(NOT(ISNUMBER($Q477)),NOT(ISNUMBER($N477)),$N477&lt;=0),"PENDIENTE",$Q477/$N477))</f>
        <v/>
      </c>
      <c r="S477" s="33" t="n"/>
      <c r="T477" s="33" t="n"/>
      <c r="U477" s="41" t="n"/>
      <c r="V477" s="36" t="n"/>
      <c r="W477" s="37">
        <f>IF(NOT(ISNUMBER($N477)),"",$N477-IF(ISNUMBER($V477),$V477,0))</f>
        <v/>
      </c>
      <c r="X477" s="33" t="n"/>
      <c r="Y477" s="51">
        <f>IF(COUNTA($B477,$C477,$D477,$E477,$F477,$I477)=0,"",IF(IF($B477=""," · Falta fecha","")&amp;IF($D477=""," · Falta cliente","")&amp;IF($E477=""," · Falta canal","")&amp;IF($F477=""," · Falta SKU","")&amp;IF(AND($F477&lt;&gt;"",COUNTIF(tblProductos[SKU],$F477)=0)," · SKU no existe","")&amp;IF(OR($I477="",NOT(ISNUMBER($I477)),$I477&lt;=0)," · Cantidad inválida","")&amp;IF($M477="PRECIO PENDIENTE"," · Falta precio de venta","")&amp;IF($P477="COSTO PENDIENTE"," · Falta costo del producto","")&amp;IF(AND(ISNUMBER($Q477),$Q477&lt;0)," · UTILIDAD NEGATIVA","")&amp;IF(AND($F477&lt;&gt;"",ISNUMBER(INDEX(tblInventario[Stock actual],MATCH($F477,tblInventario[SKU],0))),INDEX(tblInventario[Stock actual],MATCH($F477,tblInventario[SKU],0))&lt;0)," · Stock negativo del SKU","")&amp;IF(AND($T477="Cobrado",$U477="")," · Cobro sin fecha","")&amp;IF(AND(ISNUMBER($V477),ISNUMBER($N477),$V477&gt;N($N477)+0.01)," · Cobrado &gt; venta neta","")&amp;IF(AND(ISNUMBER($V477),$V477&gt;0,$U477="")," · Monto cobrado sin fecha","")="","OK",MID(IF($B477=""," · Falta fecha","")&amp;IF($D477=""," · Falta cliente","")&amp;IF($E477=""," · Falta canal","")&amp;IF($F477=""," · Falta SKU","")&amp;IF(AND($F477&lt;&gt;"",COUNTIF(tblProductos[SKU],$F477)=0)," · SKU no existe","")&amp;IF(OR($I477="",NOT(ISNUMBER($I477)),$I477&lt;=0)," · Cantidad inválida","")&amp;IF($M477="PRECIO PENDIENTE"," · Falta precio de venta","")&amp;IF($P477="COSTO PENDIENTE"," · Falta costo del producto","")&amp;IF(AND(ISNUMBER($Q477),$Q477&lt;0)," · UTILIDAD NEGATIVA","")&amp;IF(AND($F477&lt;&gt;"",ISNUMBER(INDEX(tblInventario[Stock actual],MATCH($F477,tblInventario[SKU],0))),INDEX(tblInventario[Stock actual],MATCH($F477,tblInventario[SKU],0))&lt;0)," · Stock negativo del SKU","")&amp;IF(AND($T477="Cobrado",$U477="")," · Cobro sin fecha","")&amp;IF(AND(ISNUMBER($V477),ISNUMBER($N477),$V477&gt;N($N477)+0.01)," · Cobrado &gt; venta neta","")&amp;IF(AND(ISNUMBER($V477),$V477&gt;0,$U477="")," · Monto cobrado sin fecha",""),4,900)))</f>
        <v/>
      </c>
    </row>
    <row r="478">
      <c r="A478" s="51">
        <f>IF(COUNTA($B478,$C478,$D478,$E478,$F478,$I478)=0,"","V-"&amp;TEXT(ROW()-6,"0000"))</f>
        <v/>
      </c>
      <c r="B478" s="41" t="n"/>
      <c r="C478" s="33" t="n"/>
      <c r="D478" s="33" t="n"/>
      <c r="E478" s="33" t="n"/>
      <c r="F478" s="33" t="n"/>
      <c r="G478" s="51">
        <f>IF($F478="","",IFERROR(IF(INDEX(tblProductos[Nombre del producto],MATCH($F478,tblProductos[SKU],0))="","",INDEX(tblProductos[Nombre del producto],MATCH($F478,tblProductos[SKU],0))),""))</f>
        <v/>
      </c>
      <c r="H478" s="51">
        <f>IF($F478="","",IFERROR(IF(INDEX(tblProductos[Categoría],MATCH($F478,tblProductos[SKU],0))="","",INDEX(tblProductos[Categoría],MATCH($F478,tblProductos[SKU],0))),""))</f>
        <v/>
      </c>
      <c r="I478" s="34" t="n"/>
      <c r="J478" s="39">
        <f>IF(OR($B478="",$F478="",$I478=""),"",IF($T478="Anulado",0,$I478))</f>
        <v/>
      </c>
      <c r="K478" s="54">
        <f>IF($F478="","",IFERROR(IF(INDEX(tblProductos[Precio de venta actual],MATCH($F478,tblProductos[SKU],0))="","",INDEX(tblProductos[Precio de venta actual],MATCH($F478,tblProductos[SKU],0))),""))</f>
        <v/>
      </c>
      <c r="L478" s="36" t="n"/>
      <c r="M478" s="37">
        <f>IF($J478="","",IF(NOT(ISNUMBER($K478)),"PRECIO PENDIENTE",$J478*$K478))</f>
        <v/>
      </c>
      <c r="N478" s="37">
        <f>IF($J478="","",IF(NOT(ISNUMBER($M478)),"PRECIO PENDIENTE",$M478-IF(ISNUMBER($L478),$L478,0)))</f>
        <v/>
      </c>
      <c r="O478" s="54">
        <f>IF($F478="","",IFERROR(INDEX(tblInventario[Costo unitario aplicado],MATCH($F478,tblInventario[SKU],0)),""))</f>
        <v/>
      </c>
      <c r="P478" s="37">
        <f>IF($J478="","",IF(NOT(ISNUMBER($O478)),"COSTO PENDIENTE",$J478*$O478))</f>
        <v/>
      </c>
      <c r="Q478" s="37">
        <f>IF($J478="","",IF(OR(NOT(ISNUMBER($N478)),NOT(ISNUMBER($P478))),"PENDIENTE",$N478-$P478))</f>
        <v/>
      </c>
      <c r="R478" s="38">
        <f>IF($J478="","",IF(OR(NOT(ISNUMBER($Q478)),NOT(ISNUMBER($N478)),$N478&lt;=0),"PENDIENTE",$Q478/$N478))</f>
        <v/>
      </c>
      <c r="S478" s="33" t="n"/>
      <c r="T478" s="33" t="n"/>
      <c r="U478" s="41" t="n"/>
      <c r="V478" s="36" t="n"/>
      <c r="W478" s="37">
        <f>IF(NOT(ISNUMBER($N478)),"",$N478-IF(ISNUMBER($V478),$V478,0))</f>
        <v/>
      </c>
      <c r="X478" s="33" t="n"/>
      <c r="Y478" s="51">
        <f>IF(COUNTA($B478,$C478,$D478,$E478,$F478,$I478)=0,"",IF(IF($B478=""," · Falta fecha","")&amp;IF($D478=""," · Falta cliente","")&amp;IF($E478=""," · Falta canal","")&amp;IF($F478=""," · Falta SKU","")&amp;IF(AND($F478&lt;&gt;"",COUNTIF(tblProductos[SKU],$F478)=0)," · SKU no existe","")&amp;IF(OR($I478="",NOT(ISNUMBER($I478)),$I478&lt;=0)," · Cantidad inválida","")&amp;IF($M478="PRECIO PENDIENTE"," · Falta precio de venta","")&amp;IF($P478="COSTO PENDIENTE"," · Falta costo del producto","")&amp;IF(AND(ISNUMBER($Q478),$Q478&lt;0)," · UTILIDAD NEGATIVA","")&amp;IF(AND($F478&lt;&gt;"",ISNUMBER(INDEX(tblInventario[Stock actual],MATCH($F478,tblInventario[SKU],0))),INDEX(tblInventario[Stock actual],MATCH($F478,tblInventario[SKU],0))&lt;0)," · Stock negativo del SKU","")&amp;IF(AND($T478="Cobrado",$U478="")," · Cobro sin fecha","")&amp;IF(AND(ISNUMBER($V478),ISNUMBER($N478),$V478&gt;N($N478)+0.01)," · Cobrado &gt; venta neta","")&amp;IF(AND(ISNUMBER($V478),$V478&gt;0,$U478="")," · Monto cobrado sin fecha","")="","OK",MID(IF($B478=""," · Falta fecha","")&amp;IF($D478=""," · Falta cliente","")&amp;IF($E478=""," · Falta canal","")&amp;IF($F478=""," · Falta SKU","")&amp;IF(AND($F478&lt;&gt;"",COUNTIF(tblProductos[SKU],$F478)=0)," · SKU no existe","")&amp;IF(OR($I478="",NOT(ISNUMBER($I478)),$I478&lt;=0)," · Cantidad inválida","")&amp;IF($M478="PRECIO PENDIENTE"," · Falta precio de venta","")&amp;IF($P478="COSTO PENDIENTE"," · Falta costo del producto","")&amp;IF(AND(ISNUMBER($Q478),$Q478&lt;0)," · UTILIDAD NEGATIVA","")&amp;IF(AND($F478&lt;&gt;"",ISNUMBER(INDEX(tblInventario[Stock actual],MATCH($F478,tblInventario[SKU],0))),INDEX(tblInventario[Stock actual],MATCH($F478,tblInventario[SKU],0))&lt;0)," · Stock negativo del SKU","")&amp;IF(AND($T478="Cobrado",$U478="")," · Cobro sin fecha","")&amp;IF(AND(ISNUMBER($V478),ISNUMBER($N478),$V478&gt;N($N478)+0.01)," · Cobrado &gt; venta neta","")&amp;IF(AND(ISNUMBER($V478),$V478&gt;0,$U478="")," · Monto cobrado sin fecha",""),4,900)))</f>
        <v/>
      </c>
    </row>
    <row r="479">
      <c r="A479" s="51">
        <f>IF(COUNTA($B479,$C479,$D479,$E479,$F479,$I479)=0,"","V-"&amp;TEXT(ROW()-6,"0000"))</f>
        <v/>
      </c>
      <c r="B479" s="41" t="n"/>
      <c r="C479" s="33" t="n"/>
      <c r="D479" s="33" t="n"/>
      <c r="E479" s="33" t="n"/>
      <c r="F479" s="33" t="n"/>
      <c r="G479" s="51">
        <f>IF($F479="","",IFERROR(IF(INDEX(tblProductos[Nombre del producto],MATCH($F479,tblProductos[SKU],0))="","",INDEX(tblProductos[Nombre del producto],MATCH($F479,tblProductos[SKU],0))),""))</f>
        <v/>
      </c>
      <c r="H479" s="51">
        <f>IF($F479="","",IFERROR(IF(INDEX(tblProductos[Categoría],MATCH($F479,tblProductos[SKU],0))="","",INDEX(tblProductos[Categoría],MATCH($F479,tblProductos[SKU],0))),""))</f>
        <v/>
      </c>
      <c r="I479" s="34" t="n"/>
      <c r="J479" s="39">
        <f>IF(OR($B479="",$F479="",$I479=""),"",IF($T479="Anulado",0,$I479))</f>
        <v/>
      </c>
      <c r="K479" s="54">
        <f>IF($F479="","",IFERROR(IF(INDEX(tblProductos[Precio de venta actual],MATCH($F479,tblProductos[SKU],0))="","",INDEX(tblProductos[Precio de venta actual],MATCH($F479,tblProductos[SKU],0))),""))</f>
        <v/>
      </c>
      <c r="L479" s="36" t="n"/>
      <c r="M479" s="37">
        <f>IF($J479="","",IF(NOT(ISNUMBER($K479)),"PRECIO PENDIENTE",$J479*$K479))</f>
        <v/>
      </c>
      <c r="N479" s="37">
        <f>IF($J479="","",IF(NOT(ISNUMBER($M479)),"PRECIO PENDIENTE",$M479-IF(ISNUMBER($L479),$L479,0)))</f>
        <v/>
      </c>
      <c r="O479" s="54">
        <f>IF($F479="","",IFERROR(INDEX(tblInventario[Costo unitario aplicado],MATCH($F479,tblInventario[SKU],0)),""))</f>
        <v/>
      </c>
      <c r="P479" s="37">
        <f>IF($J479="","",IF(NOT(ISNUMBER($O479)),"COSTO PENDIENTE",$J479*$O479))</f>
        <v/>
      </c>
      <c r="Q479" s="37">
        <f>IF($J479="","",IF(OR(NOT(ISNUMBER($N479)),NOT(ISNUMBER($P479))),"PENDIENTE",$N479-$P479))</f>
        <v/>
      </c>
      <c r="R479" s="38">
        <f>IF($J479="","",IF(OR(NOT(ISNUMBER($Q479)),NOT(ISNUMBER($N479)),$N479&lt;=0),"PENDIENTE",$Q479/$N479))</f>
        <v/>
      </c>
      <c r="S479" s="33" t="n"/>
      <c r="T479" s="33" t="n"/>
      <c r="U479" s="41" t="n"/>
      <c r="V479" s="36" t="n"/>
      <c r="W479" s="37">
        <f>IF(NOT(ISNUMBER($N479)),"",$N479-IF(ISNUMBER($V479),$V479,0))</f>
        <v/>
      </c>
      <c r="X479" s="33" t="n"/>
      <c r="Y479" s="51">
        <f>IF(COUNTA($B479,$C479,$D479,$E479,$F479,$I479)=0,"",IF(IF($B479=""," · Falta fecha","")&amp;IF($D479=""," · Falta cliente","")&amp;IF($E479=""," · Falta canal","")&amp;IF($F479=""," · Falta SKU","")&amp;IF(AND($F479&lt;&gt;"",COUNTIF(tblProductos[SKU],$F479)=0)," · SKU no existe","")&amp;IF(OR($I479="",NOT(ISNUMBER($I479)),$I479&lt;=0)," · Cantidad inválida","")&amp;IF($M479="PRECIO PENDIENTE"," · Falta precio de venta","")&amp;IF($P479="COSTO PENDIENTE"," · Falta costo del producto","")&amp;IF(AND(ISNUMBER($Q479),$Q479&lt;0)," · UTILIDAD NEGATIVA","")&amp;IF(AND($F479&lt;&gt;"",ISNUMBER(INDEX(tblInventario[Stock actual],MATCH($F479,tblInventario[SKU],0))),INDEX(tblInventario[Stock actual],MATCH($F479,tblInventario[SKU],0))&lt;0)," · Stock negativo del SKU","")&amp;IF(AND($T479="Cobrado",$U479="")," · Cobro sin fecha","")&amp;IF(AND(ISNUMBER($V479),ISNUMBER($N479),$V479&gt;N($N479)+0.01)," · Cobrado &gt; venta neta","")&amp;IF(AND(ISNUMBER($V479),$V479&gt;0,$U479="")," · Monto cobrado sin fecha","")="","OK",MID(IF($B479=""," · Falta fecha","")&amp;IF($D479=""," · Falta cliente","")&amp;IF($E479=""," · Falta canal","")&amp;IF($F479=""," · Falta SKU","")&amp;IF(AND($F479&lt;&gt;"",COUNTIF(tblProductos[SKU],$F479)=0)," · SKU no existe","")&amp;IF(OR($I479="",NOT(ISNUMBER($I479)),$I479&lt;=0)," · Cantidad inválida","")&amp;IF($M479="PRECIO PENDIENTE"," · Falta precio de venta","")&amp;IF($P479="COSTO PENDIENTE"," · Falta costo del producto","")&amp;IF(AND(ISNUMBER($Q479),$Q479&lt;0)," · UTILIDAD NEGATIVA","")&amp;IF(AND($F479&lt;&gt;"",ISNUMBER(INDEX(tblInventario[Stock actual],MATCH($F479,tblInventario[SKU],0))),INDEX(tblInventario[Stock actual],MATCH($F479,tblInventario[SKU],0))&lt;0)," · Stock negativo del SKU","")&amp;IF(AND($T479="Cobrado",$U479="")," · Cobro sin fecha","")&amp;IF(AND(ISNUMBER($V479),ISNUMBER($N479),$V479&gt;N($N479)+0.01)," · Cobrado &gt; venta neta","")&amp;IF(AND(ISNUMBER($V479),$V479&gt;0,$U479="")," · Monto cobrado sin fecha",""),4,900)))</f>
        <v/>
      </c>
    </row>
    <row r="480">
      <c r="A480" s="51">
        <f>IF(COUNTA($B480,$C480,$D480,$E480,$F480,$I480)=0,"","V-"&amp;TEXT(ROW()-6,"0000"))</f>
        <v/>
      </c>
      <c r="B480" s="41" t="n"/>
      <c r="C480" s="33" t="n"/>
      <c r="D480" s="33" t="n"/>
      <c r="E480" s="33" t="n"/>
      <c r="F480" s="33" t="n"/>
      <c r="G480" s="51">
        <f>IF($F480="","",IFERROR(IF(INDEX(tblProductos[Nombre del producto],MATCH($F480,tblProductos[SKU],0))="","",INDEX(tblProductos[Nombre del producto],MATCH($F480,tblProductos[SKU],0))),""))</f>
        <v/>
      </c>
      <c r="H480" s="51">
        <f>IF($F480="","",IFERROR(IF(INDEX(tblProductos[Categoría],MATCH($F480,tblProductos[SKU],0))="","",INDEX(tblProductos[Categoría],MATCH($F480,tblProductos[SKU],0))),""))</f>
        <v/>
      </c>
      <c r="I480" s="34" t="n"/>
      <c r="J480" s="39">
        <f>IF(OR($B480="",$F480="",$I480=""),"",IF($T480="Anulado",0,$I480))</f>
        <v/>
      </c>
      <c r="K480" s="54">
        <f>IF($F480="","",IFERROR(IF(INDEX(tblProductos[Precio de venta actual],MATCH($F480,tblProductos[SKU],0))="","",INDEX(tblProductos[Precio de venta actual],MATCH($F480,tblProductos[SKU],0))),""))</f>
        <v/>
      </c>
      <c r="L480" s="36" t="n"/>
      <c r="M480" s="37">
        <f>IF($J480="","",IF(NOT(ISNUMBER($K480)),"PRECIO PENDIENTE",$J480*$K480))</f>
        <v/>
      </c>
      <c r="N480" s="37">
        <f>IF($J480="","",IF(NOT(ISNUMBER($M480)),"PRECIO PENDIENTE",$M480-IF(ISNUMBER($L480),$L480,0)))</f>
        <v/>
      </c>
      <c r="O480" s="54">
        <f>IF($F480="","",IFERROR(INDEX(tblInventario[Costo unitario aplicado],MATCH($F480,tblInventario[SKU],0)),""))</f>
        <v/>
      </c>
      <c r="P480" s="37">
        <f>IF($J480="","",IF(NOT(ISNUMBER($O480)),"COSTO PENDIENTE",$J480*$O480))</f>
        <v/>
      </c>
      <c r="Q480" s="37">
        <f>IF($J480="","",IF(OR(NOT(ISNUMBER($N480)),NOT(ISNUMBER($P480))),"PENDIENTE",$N480-$P480))</f>
        <v/>
      </c>
      <c r="R480" s="38">
        <f>IF($J480="","",IF(OR(NOT(ISNUMBER($Q480)),NOT(ISNUMBER($N480)),$N480&lt;=0),"PENDIENTE",$Q480/$N480))</f>
        <v/>
      </c>
      <c r="S480" s="33" t="n"/>
      <c r="T480" s="33" t="n"/>
      <c r="U480" s="41" t="n"/>
      <c r="V480" s="36" t="n"/>
      <c r="W480" s="37">
        <f>IF(NOT(ISNUMBER($N480)),"",$N480-IF(ISNUMBER($V480),$V480,0))</f>
        <v/>
      </c>
      <c r="X480" s="33" t="n"/>
      <c r="Y480" s="51">
        <f>IF(COUNTA($B480,$C480,$D480,$E480,$F480,$I480)=0,"",IF(IF($B480=""," · Falta fecha","")&amp;IF($D480=""," · Falta cliente","")&amp;IF($E480=""," · Falta canal","")&amp;IF($F480=""," · Falta SKU","")&amp;IF(AND($F480&lt;&gt;"",COUNTIF(tblProductos[SKU],$F480)=0)," · SKU no existe","")&amp;IF(OR($I480="",NOT(ISNUMBER($I480)),$I480&lt;=0)," · Cantidad inválida","")&amp;IF($M480="PRECIO PENDIENTE"," · Falta precio de venta","")&amp;IF($P480="COSTO PENDIENTE"," · Falta costo del producto","")&amp;IF(AND(ISNUMBER($Q480),$Q480&lt;0)," · UTILIDAD NEGATIVA","")&amp;IF(AND($F480&lt;&gt;"",ISNUMBER(INDEX(tblInventario[Stock actual],MATCH($F480,tblInventario[SKU],0))),INDEX(tblInventario[Stock actual],MATCH($F480,tblInventario[SKU],0))&lt;0)," · Stock negativo del SKU","")&amp;IF(AND($T480="Cobrado",$U480="")," · Cobro sin fecha","")&amp;IF(AND(ISNUMBER($V480),ISNUMBER($N480),$V480&gt;N($N480)+0.01)," · Cobrado &gt; venta neta","")&amp;IF(AND(ISNUMBER($V480),$V480&gt;0,$U480="")," · Monto cobrado sin fecha","")="","OK",MID(IF($B480=""," · Falta fecha","")&amp;IF($D480=""," · Falta cliente","")&amp;IF($E480=""," · Falta canal","")&amp;IF($F480=""," · Falta SKU","")&amp;IF(AND($F480&lt;&gt;"",COUNTIF(tblProductos[SKU],$F480)=0)," · SKU no existe","")&amp;IF(OR($I480="",NOT(ISNUMBER($I480)),$I480&lt;=0)," · Cantidad inválida","")&amp;IF($M480="PRECIO PENDIENTE"," · Falta precio de venta","")&amp;IF($P480="COSTO PENDIENTE"," · Falta costo del producto","")&amp;IF(AND(ISNUMBER($Q480),$Q480&lt;0)," · UTILIDAD NEGATIVA","")&amp;IF(AND($F480&lt;&gt;"",ISNUMBER(INDEX(tblInventario[Stock actual],MATCH($F480,tblInventario[SKU],0))),INDEX(tblInventario[Stock actual],MATCH($F480,tblInventario[SKU],0))&lt;0)," · Stock negativo del SKU","")&amp;IF(AND($T480="Cobrado",$U480="")," · Cobro sin fecha","")&amp;IF(AND(ISNUMBER($V480),ISNUMBER($N480),$V480&gt;N($N480)+0.01)," · Cobrado &gt; venta neta","")&amp;IF(AND(ISNUMBER($V480),$V480&gt;0,$U480="")," · Monto cobrado sin fecha",""),4,900)))</f>
        <v/>
      </c>
    </row>
    <row r="481">
      <c r="A481" s="51">
        <f>IF(COUNTA($B481,$C481,$D481,$E481,$F481,$I481)=0,"","V-"&amp;TEXT(ROW()-6,"0000"))</f>
        <v/>
      </c>
      <c r="B481" s="41" t="n"/>
      <c r="C481" s="33" t="n"/>
      <c r="D481" s="33" t="n"/>
      <c r="E481" s="33" t="n"/>
      <c r="F481" s="33" t="n"/>
      <c r="G481" s="51">
        <f>IF($F481="","",IFERROR(IF(INDEX(tblProductos[Nombre del producto],MATCH($F481,tblProductos[SKU],0))="","",INDEX(tblProductos[Nombre del producto],MATCH($F481,tblProductos[SKU],0))),""))</f>
        <v/>
      </c>
      <c r="H481" s="51">
        <f>IF($F481="","",IFERROR(IF(INDEX(tblProductos[Categoría],MATCH($F481,tblProductos[SKU],0))="","",INDEX(tblProductos[Categoría],MATCH($F481,tblProductos[SKU],0))),""))</f>
        <v/>
      </c>
      <c r="I481" s="34" t="n"/>
      <c r="J481" s="39">
        <f>IF(OR($B481="",$F481="",$I481=""),"",IF($T481="Anulado",0,$I481))</f>
        <v/>
      </c>
      <c r="K481" s="54">
        <f>IF($F481="","",IFERROR(IF(INDEX(tblProductos[Precio de venta actual],MATCH($F481,tblProductos[SKU],0))="","",INDEX(tblProductos[Precio de venta actual],MATCH($F481,tblProductos[SKU],0))),""))</f>
        <v/>
      </c>
      <c r="L481" s="36" t="n"/>
      <c r="M481" s="37">
        <f>IF($J481="","",IF(NOT(ISNUMBER($K481)),"PRECIO PENDIENTE",$J481*$K481))</f>
        <v/>
      </c>
      <c r="N481" s="37">
        <f>IF($J481="","",IF(NOT(ISNUMBER($M481)),"PRECIO PENDIENTE",$M481-IF(ISNUMBER($L481),$L481,0)))</f>
        <v/>
      </c>
      <c r="O481" s="54">
        <f>IF($F481="","",IFERROR(INDEX(tblInventario[Costo unitario aplicado],MATCH($F481,tblInventario[SKU],0)),""))</f>
        <v/>
      </c>
      <c r="P481" s="37">
        <f>IF($J481="","",IF(NOT(ISNUMBER($O481)),"COSTO PENDIENTE",$J481*$O481))</f>
        <v/>
      </c>
      <c r="Q481" s="37">
        <f>IF($J481="","",IF(OR(NOT(ISNUMBER($N481)),NOT(ISNUMBER($P481))),"PENDIENTE",$N481-$P481))</f>
        <v/>
      </c>
      <c r="R481" s="38">
        <f>IF($J481="","",IF(OR(NOT(ISNUMBER($Q481)),NOT(ISNUMBER($N481)),$N481&lt;=0),"PENDIENTE",$Q481/$N481))</f>
        <v/>
      </c>
      <c r="S481" s="33" t="n"/>
      <c r="T481" s="33" t="n"/>
      <c r="U481" s="41" t="n"/>
      <c r="V481" s="36" t="n"/>
      <c r="W481" s="37">
        <f>IF(NOT(ISNUMBER($N481)),"",$N481-IF(ISNUMBER($V481),$V481,0))</f>
        <v/>
      </c>
      <c r="X481" s="33" t="n"/>
      <c r="Y481" s="51">
        <f>IF(COUNTA($B481,$C481,$D481,$E481,$F481,$I481)=0,"",IF(IF($B481=""," · Falta fecha","")&amp;IF($D481=""," · Falta cliente","")&amp;IF($E481=""," · Falta canal","")&amp;IF($F481=""," · Falta SKU","")&amp;IF(AND($F481&lt;&gt;"",COUNTIF(tblProductos[SKU],$F481)=0)," · SKU no existe","")&amp;IF(OR($I481="",NOT(ISNUMBER($I481)),$I481&lt;=0)," · Cantidad inválida","")&amp;IF($M481="PRECIO PENDIENTE"," · Falta precio de venta","")&amp;IF($P481="COSTO PENDIENTE"," · Falta costo del producto","")&amp;IF(AND(ISNUMBER($Q481),$Q481&lt;0)," · UTILIDAD NEGATIVA","")&amp;IF(AND($F481&lt;&gt;"",ISNUMBER(INDEX(tblInventario[Stock actual],MATCH($F481,tblInventario[SKU],0))),INDEX(tblInventario[Stock actual],MATCH($F481,tblInventario[SKU],0))&lt;0)," · Stock negativo del SKU","")&amp;IF(AND($T481="Cobrado",$U481="")," · Cobro sin fecha","")&amp;IF(AND(ISNUMBER($V481),ISNUMBER($N481),$V481&gt;N($N481)+0.01)," · Cobrado &gt; venta neta","")&amp;IF(AND(ISNUMBER($V481),$V481&gt;0,$U481="")," · Monto cobrado sin fecha","")="","OK",MID(IF($B481=""," · Falta fecha","")&amp;IF($D481=""," · Falta cliente","")&amp;IF($E481=""," · Falta canal","")&amp;IF($F481=""," · Falta SKU","")&amp;IF(AND($F481&lt;&gt;"",COUNTIF(tblProductos[SKU],$F481)=0)," · SKU no existe","")&amp;IF(OR($I481="",NOT(ISNUMBER($I481)),$I481&lt;=0)," · Cantidad inválida","")&amp;IF($M481="PRECIO PENDIENTE"," · Falta precio de venta","")&amp;IF($P481="COSTO PENDIENTE"," · Falta costo del producto","")&amp;IF(AND(ISNUMBER($Q481),$Q481&lt;0)," · UTILIDAD NEGATIVA","")&amp;IF(AND($F481&lt;&gt;"",ISNUMBER(INDEX(tblInventario[Stock actual],MATCH($F481,tblInventario[SKU],0))),INDEX(tblInventario[Stock actual],MATCH($F481,tblInventario[SKU],0))&lt;0)," · Stock negativo del SKU","")&amp;IF(AND($T481="Cobrado",$U481="")," · Cobro sin fecha","")&amp;IF(AND(ISNUMBER($V481),ISNUMBER($N481),$V481&gt;N($N481)+0.01)," · Cobrado &gt; venta neta","")&amp;IF(AND(ISNUMBER($V481),$V481&gt;0,$U481="")," · Monto cobrado sin fecha",""),4,900)))</f>
        <v/>
      </c>
    </row>
    <row r="482">
      <c r="A482" s="51">
        <f>IF(COUNTA($B482,$C482,$D482,$E482,$F482,$I482)=0,"","V-"&amp;TEXT(ROW()-6,"0000"))</f>
        <v/>
      </c>
      <c r="B482" s="41" t="n"/>
      <c r="C482" s="33" t="n"/>
      <c r="D482" s="33" t="n"/>
      <c r="E482" s="33" t="n"/>
      <c r="F482" s="33" t="n"/>
      <c r="G482" s="51">
        <f>IF($F482="","",IFERROR(IF(INDEX(tblProductos[Nombre del producto],MATCH($F482,tblProductos[SKU],0))="","",INDEX(tblProductos[Nombre del producto],MATCH($F482,tblProductos[SKU],0))),""))</f>
        <v/>
      </c>
      <c r="H482" s="51">
        <f>IF($F482="","",IFERROR(IF(INDEX(tblProductos[Categoría],MATCH($F482,tblProductos[SKU],0))="","",INDEX(tblProductos[Categoría],MATCH($F482,tblProductos[SKU],0))),""))</f>
        <v/>
      </c>
      <c r="I482" s="34" t="n"/>
      <c r="J482" s="39">
        <f>IF(OR($B482="",$F482="",$I482=""),"",IF($T482="Anulado",0,$I482))</f>
        <v/>
      </c>
      <c r="K482" s="54">
        <f>IF($F482="","",IFERROR(IF(INDEX(tblProductos[Precio de venta actual],MATCH($F482,tblProductos[SKU],0))="","",INDEX(tblProductos[Precio de venta actual],MATCH($F482,tblProductos[SKU],0))),""))</f>
        <v/>
      </c>
      <c r="L482" s="36" t="n"/>
      <c r="M482" s="37">
        <f>IF($J482="","",IF(NOT(ISNUMBER($K482)),"PRECIO PENDIENTE",$J482*$K482))</f>
        <v/>
      </c>
      <c r="N482" s="37">
        <f>IF($J482="","",IF(NOT(ISNUMBER($M482)),"PRECIO PENDIENTE",$M482-IF(ISNUMBER($L482),$L482,0)))</f>
        <v/>
      </c>
      <c r="O482" s="54">
        <f>IF($F482="","",IFERROR(INDEX(tblInventario[Costo unitario aplicado],MATCH($F482,tblInventario[SKU],0)),""))</f>
        <v/>
      </c>
      <c r="P482" s="37">
        <f>IF($J482="","",IF(NOT(ISNUMBER($O482)),"COSTO PENDIENTE",$J482*$O482))</f>
        <v/>
      </c>
      <c r="Q482" s="37">
        <f>IF($J482="","",IF(OR(NOT(ISNUMBER($N482)),NOT(ISNUMBER($P482))),"PENDIENTE",$N482-$P482))</f>
        <v/>
      </c>
      <c r="R482" s="38">
        <f>IF($J482="","",IF(OR(NOT(ISNUMBER($Q482)),NOT(ISNUMBER($N482)),$N482&lt;=0),"PENDIENTE",$Q482/$N482))</f>
        <v/>
      </c>
      <c r="S482" s="33" t="n"/>
      <c r="T482" s="33" t="n"/>
      <c r="U482" s="41" t="n"/>
      <c r="V482" s="36" t="n"/>
      <c r="W482" s="37">
        <f>IF(NOT(ISNUMBER($N482)),"",$N482-IF(ISNUMBER($V482),$V482,0))</f>
        <v/>
      </c>
      <c r="X482" s="33" t="n"/>
      <c r="Y482" s="51">
        <f>IF(COUNTA($B482,$C482,$D482,$E482,$F482,$I482)=0,"",IF(IF($B482=""," · Falta fecha","")&amp;IF($D482=""," · Falta cliente","")&amp;IF($E482=""," · Falta canal","")&amp;IF($F482=""," · Falta SKU","")&amp;IF(AND($F482&lt;&gt;"",COUNTIF(tblProductos[SKU],$F482)=0)," · SKU no existe","")&amp;IF(OR($I482="",NOT(ISNUMBER($I482)),$I482&lt;=0)," · Cantidad inválida","")&amp;IF($M482="PRECIO PENDIENTE"," · Falta precio de venta","")&amp;IF($P482="COSTO PENDIENTE"," · Falta costo del producto","")&amp;IF(AND(ISNUMBER($Q482),$Q482&lt;0)," · UTILIDAD NEGATIVA","")&amp;IF(AND($F482&lt;&gt;"",ISNUMBER(INDEX(tblInventario[Stock actual],MATCH($F482,tblInventario[SKU],0))),INDEX(tblInventario[Stock actual],MATCH($F482,tblInventario[SKU],0))&lt;0)," · Stock negativo del SKU","")&amp;IF(AND($T482="Cobrado",$U482="")," · Cobro sin fecha","")&amp;IF(AND(ISNUMBER($V482),ISNUMBER($N482),$V482&gt;N($N482)+0.01)," · Cobrado &gt; venta neta","")&amp;IF(AND(ISNUMBER($V482),$V482&gt;0,$U482="")," · Monto cobrado sin fecha","")="","OK",MID(IF($B482=""," · Falta fecha","")&amp;IF($D482=""," · Falta cliente","")&amp;IF($E482=""," · Falta canal","")&amp;IF($F482=""," · Falta SKU","")&amp;IF(AND($F482&lt;&gt;"",COUNTIF(tblProductos[SKU],$F482)=0)," · SKU no existe","")&amp;IF(OR($I482="",NOT(ISNUMBER($I482)),$I482&lt;=0)," · Cantidad inválida","")&amp;IF($M482="PRECIO PENDIENTE"," · Falta precio de venta","")&amp;IF($P482="COSTO PENDIENTE"," · Falta costo del producto","")&amp;IF(AND(ISNUMBER($Q482),$Q482&lt;0)," · UTILIDAD NEGATIVA","")&amp;IF(AND($F482&lt;&gt;"",ISNUMBER(INDEX(tblInventario[Stock actual],MATCH($F482,tblInventario[SKU],0))),INDEX(tblInventario[Stock actual],MATCH($F482,tblInventario[SKU],0))&lt;0)," · Stock negativo del SKU","")&amp;IF(AND($T482="Cobrado",$U482="")," · Cobro sin fecha","")&amp;IF(AND(ISNUMBER($V482),ISNUMBER($N482),$V482&gt;N($N482)+0.01)," · Cobrado &gt; venta neta","")&amp;IF(AND(ISNUMBER($V482),$V482&gt;0,$U482="")," · Monto cobrado sin fecha",""),4,900)))</f>
        <v/>
      </c>
    </row>
    <row r="483">
      <c r="A483" s="51">
        <f>IF(COUNTA($B483,$C483,$D483,$E483,$F483,$I483)=0,"","V-"&amp;TEXT(ROW()-6,"0000"))</f>
        <v/>
      </c>
      <c r="B483" s="41" t="n"/>
      <c r="C483" s="33" t="n"/>
      <c r="D483" s="33" t="n"/>
      <c r="E483" s="33" t="n"/>
      <c r="F483" s="33" t="n"/>
      <c r="G483" s="51">
        <f>IF($F483="","",IFERROR(IF(INDEX(tblProductos[Nombre del producto],MATCH($F483,tblProductos[SKU],0))="","",INDEX(tblProductos[Nombre del producto],MATCH($F483,tblProductos[SKU],0))),""))</f>
        <v/>
      </c>
      <c r="H483" s="51">
        <f>IF($F483="","",IFERROR(IF(INDEX(tblProductos[Categoría],MATCH($F483,tblProductos[SKU],0))="","",INDEX(tblProductos[Categoría],MATCH($F483,tblProductos[SKU],0))),""))</f>
        <v/>
      </c>
      <c r="I483" s="34" t="n"/>
      <c r="J483" s="39">
        <f>IF(OR($B483="",$F483="",$I483=""),"",IF($T483="Anulado",0,$I483))</f>
        <v/>
      </c>
      <c r="K483" s="54">
        <f>IF($F483="","",IFERROR(IF(INDEX(tblProductos[Precio de venta actual],MATCH($F483,tblProductos[SKU],0))="","",INDEX(tblProductos[Precio de venta actual],MATCH($F483,tblProductos[SKU],0))),""))</f>
        <v/>
      </c>
      <c r="L483" s="36" t="n"/>
      <c r="M483" s="37">
        <f>IF($J483="","",IF(NOT(ISNUMBER($K483)),"PRECIO PENDIENTE",$J483*$K483))</f>
        <v/>
      </c>
      <c r="N483" s="37">
        <f>IF($J483="","",IF(NOT(ISNUMBER($M483)),"PRECIO PENDIENTE",$M483-IF(ISNUMBER($L483),$L483,0)))</f>
        <v/>
      </c>
      <c r="O483" s="54">
        <f>IF($F483="","",IFERROR(INDEX(tblInventario[Costo unitario aplicado],MATCH($F483,tblInventario[SKU],0)),""))</f>
        <v/>
      </c>
      <c r="P483" s="37">
        <f>IF($J483="","",IF(NOT(ISNUMBER($O483)),"COSTO PENDIENTE",$J483*$O483))</f>
        <v/>
      </c>
      <c r="Q483" s="37">
        <f>IF($J483="","",IF(OR(NOT(ISNUMBER($N483)),NOT(ISNUMBER($P483))),"PENDIENTE",$N483-$P483))</f>
        <v/>
      </c>
      <c r="R483" s="38">
        <f>IF($J483="","",IF(OR(NOT(ISNUMBER($Q483)),NOT(ISNUMBER($N483)),$N483&lt;=0),"PENDIENTE",$Q483/$N483))</f>
        <v/>
      </c>
      <c r="S483" s="33" t="n"/>
      <c r="T483" s="33" t="n"/>
      <c r="U483" s="41" t="n"/>
      <c r="V483" s="36" t="n"/>
      <c r="W483" s="37">
        <f>IF(NOT(ISNUMBER($N483)),"",$N483-IF(ISNUMBER($V483),$V483,0))</f>
        <v/>
      </c>
      <c r="X483" s="33" t="n"/>
      <c r="Y483" s="51">
        <f>IF(COUNTA($B483,$C483,$D483,$E483,$F483,$I483)=0,"",IF(IF($B483=""," · Falta fecha","")&amp;IF($D483=""," · Falta cliente","")&amp;IF($E483=""," · Falta canal","")&amp;IF($F483=""," · Falta SKU","")&amp;IF(AND($F483&lt;&gt;"",COUNTIF(tblProductos[SKU],$F483)=0)," · SKU no existe","")&amp;IF(OR($I483="",NOT(ISNUMBER($I483)),$I483&lt;=0)," · Cantidad inválida","")&amp;IF($M483="PRECIO PENDIENTE"," · Falta precio de venta","")&amp;IF($P483="COSTO PENDIENTE"," · Falta costo del producto","")&amp;IF(AND(ISNUMBER($Q483),$Q483&lt;0)," · UTILIDAD NEGATIVA","")&amp;IF(AND($F483&lt;&gt;"",ISNUMBER(INDEX(tblInventario[Stock actual],MATCH($F483,tblInventario[SKU],0))),INDEX(tblInventario[Stock actual],MATCH($F483,tblInventario[SKU],0))&lt;0)," · Stock negativo del SKU","")&amp;IF(AND($T483="Cobrado",$U483="")," · Cobro sin fecha","")&amp;IF(AND(ISNUMBER($V483),ISNUMBER($N483),$V483&gt;N($N483)+0.01)," · Cobrado &gt; venta neta","")&amp;IF(AND(ISNUMBER($V483),$V483&gt;0,$U483="")," · Monto cobrado sin fecha","")="","OK",MID(IF($B483=""," · Falta fecha","")&amp;IF($D483=""," · Falta cliente","")&amp;IF($E483=""," · Falta canal","")&amp;IF($F483=""," · Falta SKU","")&amp;IF(AND($F483&lt;&gt;"",COUNTIF(tblProductos[SKU],$F483)=0)," · SKU no existe","")&amp;IF(OR($I483="",NOT(ISNUMBER($I483)),$I483&lt;=0)," · Cantidad inválida","")&amp;IF($M483="PRECIO PENDIENTE"," · Falta precio de venta","")&amp;IF($P483="COSTO PENDIENTE"," · Falta costo del producto","")&amp;IF(AND(ISNUMBER($Q483),$Q483&lt;0)," · UTILIDAD NEGATIVA","")&amp;IF(AND($F483&lt;&gt;"",ISNUMBER(INDEX(tblInventario[Stock actual],MATCH($F483,tblInventario[SKU],0))),INDEX(tblInventario[Stock actual],MATCH($F483,tblInventario[SKU],0))&lt;0)," · Stock negativo del SKU","")&amp;IF(AND($T483="Cobrado",$U483="")," · Cobro sin fecha","")&amp;IF(AND(ISNUMBER($V483),ISNUMBER($N483),$V483&gt;N($N483)+0.01)," · Cobrado &gt; venta neta","")&amp;IF(AND(ISNUMBER($V483),$V483&gt;0,$U483="")," · Monto cobrado sin fecha",""),4,900)))</f>
        <v/>
      </c>
    </row>
    <row r="484">
      <c r="A484" s="51">
        <f>IF(COUNTA($B484,$C484,$D484,$E484,$F484,$I484)=0,"","V-"&amp;TEXT(ROW()-6,"0000"))</f>
        <v/>
      </c>
      <c r="B484" s="41" t="n"/>
      <c r="C484" s="33" t="n"/>
      <c r="D484" s="33" t="n"/>
      <c r="E484" s="33" t="n"/>
      <c r="F484" s="33" t="n"/>
      <c r="G484" s="51">
        <f>IF($F484="","",IFERROR(IF(INDEX(tblProductos[Nombre del producto],MATCH($F484,tblProductos[SKU],0))="","",INDEX(tblProductos[Nombre del producto],MATCH($F484,tblProductos[SKU],0))),""))</f>
        <v/>
      </c>
      <c r="H484" s="51">
        <f>IF($F484="","",IFERROR(IF(INDEX(tblProductos[Categoría],MATCH($F484,tblProductos[SKU],0))="","",INDEX(tblProductos[Categoría],MATCH($F484,tblProductos[SKU],0))),""))</f>
        <v/>
      </c>
      <c r="I484" s="34" t="n"/>
      <c r="J484" s="39">
        <f>IF(OR($B484="",$F484="",$I484=""),"",IF($T484="Anulado",0,$I484))</f>
        <v/>
      </c>
      <c r="K484" s="54">
        <f>IF($F484="","",IFERROR(IF(INDEX(tblProductos[Precio de venta actual],MATCH($F484,tblProductos[SKU],0))="","",INDEX(tblProductos[Precio de venta actual],MATCH($F484,tblProductos[SKU],0))),""))</f>
        <v/>
      </c>
      <c r="L484" s="36" t="n"/>
      <c r="M484" s="37">
        <f>IF($J484="","",IF(NOT(ISNUMBER($K484)),"PRECIO PENDIENTE",$J484*$K484))</f>
        <v/>
      </c>
      <c r="N484" s="37">
        <f>IF($J484="","",IF(NOT(ISNUMBER($M484)),"PRECIO PENDIENTE",$M484-IF(ISNUMBER($L484),$L484,0)))</f>
        <v/>
      </c>
      <c r="O484" s="54">
        <f>IF($F484="","",IFERROR(INDEX(tblInventario[Costo unitario aplicado],MATCH($F484,tblInventario[SKU],0)),""))</f>
        <v/>
      </c>
      <c r="P484" s="37">
        <f>IF($J484="","",IF(NOT(ISNUMBER($O484)),"COSTO PENDIENTE",$J484*$O484))</f>
        <v/>
      </c>
      <c r="Q484" s="37">
        <f>IF($J484="","",IF(OR(NOT(ISNUMBER($N484)),NOT(ISNUMBER($P484))),"PENDIENTE",$N484-$P484))</f>
        <v/>
      </c>
      <c r="R484" s="38">
        <f>IF($J484="","",IF(OR(NOT(ISNUMBER($Q484)),NOT(ISNUMBER($N484)),$N484&lt;=0),"PENDIENTE",$Q484/$N484))</f>
        <v/>
      </c>
      <c r="S484" s="33" t="n"/>
      <c r="T484" s="33" t="n"/>
      <c r="U484" s="41" t="n"/>
      <c r="V484" s="36" t="n"/>
      <c r="W484" s="37">
        <f>IF(NOT(ISNUMBER($N484)),"",$N484-IF(ISNUMBER($V484),$V484,0))</f>
        <v/>
      </c>
      <c r="X484" s="33" t="n"/>
      <c r="Y484" s="51">
        <f>IF(COUNTA($B484,$C484,$D484,$E484,$F484,$I484)=0,"",IF(IF($B484=""," · Falta fecha","")&amp;IF($D484=""," · Falta cliente","")&amp;IF($E484=""," · Falta canal","")&amp;IF($F484=""," · Falta SKU","")&amp;IF(AND($F484&lt;&gt;"",COUNTIF(tblProductos[SKU],$F484)=0)," · SKU no existe","")&amp;IF(OR($I484="",NOT(ISNUMBER($I484)),$I484&lt;=0)," · Cantidad inválida","")&amp;IF($M484="PRECIO PENDIENTE"," · Falta precio de venta","")&amp;IF($P484="COSTO PENDIENTE"," · Falta costo del producto","")&amp;IF(AND(ISNUMBER($Q484),$Q484&lt;0)," · UTILIDAD NEGATIVA","")&amp;IF(AND($F484&lt;&gt;"",ISNUMBER(INDEX(tblInventario[Stock actual],MATCH($F484,tblInventario[SKU],0))),INDEX(tblInventario[Stock actual],MATCH($F484,tblInventario[SKU],0))&lt;0)," · Stock negativo del SKU","")&amp;IF(AND($T484="Cobrado",$U484="")," · Cobro sin fecha","")&amp;IF(AND(ISNUMBER($V484),ISNUMBER($N484),$V484&gt;N($N484)+0.01)," · Cobrado &gt; venta neta","")&amp;IF(AND(ISNUMBER($V484),$V484&gt;0,$U484="")," · Monto cobrado sin fecha","")="","OK",MID(IF($B484=""," · Falta fecha","")&amp;IF($D484=""," · Falta cliente","")&amp;IF($E484=""," · Falta canal","")&amp;IF($F484=""," · Falta SKU","")&amp;IF(AND($F484&lt;&gt;"",COUNTIF(tblProductos[SKU],$F484)=0)," · SKU no existe","")&amp;IF(OR($I484="",NOT(ISNUMBER($I484)),$I484&lt;=0)," · Cantidad inválida","")&amp;IF($M484="PRECIO PENDIENTE"," · Falta precio de venta","")&amp;IF($P484="COSTO PENDIENTE"," · Falta costo del producto","")&amp;IF(AND(ISNUMBER($Q484),$Q484&lt;0)," · UTILIDAD NEGATIVA","")&amp;IF(AND($F484&lt;&gt;"",ISNUMBER(INDEX(tblInventario[Stock actual],MATCH($F484,tblInventario[SKU],0))),INDEX(tblInventario[Stock actual],MATCH($F484,tblInventario[SKU],0))&lt;0)," · Stock negativo del SKU","")&amp;IF(AND($T484="Cobrado",$U484="")," · Cobro sin fecha","")&amp;IF(AND(ISNUMBER($V484),ISNUMBER($N484),$V484&gt;N($N484)+0.01)," · Cobrado &gt; venta neta","")&amp;IF(AND(ISNUMBER($V484),$V484&gt;0,$U484="")," · Monto cobrado sin fecha",""),4,900)))</f>
        <v/>
      </c>
    </row>
    <row r="485">
      <c r="A485" s="51">
        <f>IF(COUNTA($B485,$C485,$D485,$E485,$F485,$I485)=0,"","V-"&amp;TEXT(ROW()-6,"0000"))</f>
        <v/>
      </c>
      <c r="B485" s="41" t="n"/>
      <c r="C485" s="33" t="n"/>
      <c r="D485" s="33" t="n"/>
      <c r="E485" s="33" t="n"/>
      <c r="F485" s="33" t="n"/>
      <c r="G485" s="51">
        <f>IF($F485="","",IFERROR(IF(INDEX(tblProductos[Nombre del producto],MATCH($F485,tblProductos[SKU],0))="","",INDEX(tblProductos[Nombre del producto],MATCH($F485,tblProductos[SKU],0))),""))</f>
        <v/>
      </c>
      <c r="H485" s="51">
        <f>IF($F485="","",IFERROR(IF(INDEX(tblProductos[Categoría],MATCH($F485,tblProductos[SKU],0))="","",INDEX(tblProductos[Categoría],MATCH($F485,tblProductos[SKU],0))),""))</f>
        <v/>
      </c>
      <c r="I485" s="34" t="n"/>
      <c r="J485" s="39">
        <f>IF(OR($B485="",$F485="",$I485=""),"",IF($T485="Anulado",0,$I485))</f>
        <v/>
      </c>
      <c r="K485" s="54">
        <f>IF($F485="","",IFERROR(IF(INDEX(tblProductos[Precio de venta actual],MATCH($F485,tblProductos[SKU],0))="","",INDEX(tblProductos[Precio de venta actual],MATCH($F485,tblProductos[SKU],0))),""))</f>
        <v/>
      </c>
      <c r="L485" s="36" t="n"/>
      <c r="M485" s="37">
        <f>IF($J485="","",IF(NOT(ISNUMBER($K485)),"PRECIO PENDIENTE",$J485*$K485))</f>
        <v/>
      </c>
      <c r="N485" s="37">
        <f>IF($J485="","",IF(NOT(ISNUMBER($M485)),"PRECIO PENDIENTE",$M485-IF(ISNUMBER($L485),$L485,0)))</f>
        <v/>
      </c>
      <c r="O485" s="54">
        <f>IF($F485="","",IFERROR(INDEX(tblInventario[Costo unitario aplicado],MATCH($F485,tblInventario[SKU],0)),""))</f>
        <v/>
      </c>
      <c r="P485" s="37">
        <f>IF($J485="","",IF(NOT(ISNUMBER($O485)),"COSTO PENDIENTE",$J485*$O485))</f>
        <v/>
      </c>
      <c r="Q485" s="37">
        <f>IF($J485="","",IF(OR(NOT(ISNUMBER($N485)),NOT(ISNUMBER($P485))),"PENDIENTE",$N485-$P485))</f>
        <v/>
      </c>
      <c r="R485" s="38">
        <f>IF($J485="","",IF(OR(NOT(ISNUMBER($Q485)),NOT(ISNUMBER($N485)),$N485&lt;=0),"PENDIENTE",$Q485/$N485))</f>
        <v/>
      </c>
      <c r="S485" s="33" t="n"/>
      <c r="T485" s="33" t="n"/>
      <c r="U485" s="41" t="n"/>
      <c r="V485" s="36" t="n"/>
      <c r="W485" s="37">
        <f>IF(NOT(ISNUMBER($N485)),"",$N485-IF(ISNUMBER($V485),$V485,0))</f>
        <v/>
      </c>
      <c r="X485" s="33" t="n"/>
      <c r="Y485" s="51">
        <f>IF(COUNTA($B485,$C485,$D485,$E485,$F485,$I485)=0,"",IF(IF($B485=""," · Falta fecha","")&amp;IF($D485=""," · Falta cliente","")&amp;IF($E485=""," · Falta canal","")&amp;IF($F485=""," · Falta SKU","")&amp;IF(AND($F485&lt;&gt;"",COUNTIF(tblProductos[SKU],$F485)=0)," · SKU no existe","")&amp;IF(OR($I485="",NOT(ISNUMBER($I485)),$I485&lt;=0)," · Cantidad inválida","")&amp;IF($M485="PRECIO PENDIENTE"," · Falta precio de venta","")&amp;IF($P485="COSTO PENDIENTE"," · Falta costo del producto","")&amp;IF(AND(ISNUMBER($Q485),$Q485&lt;0)," · UTILIDAD NEGATIVA","")&amp;IF(AND($F485&lt;&gt;"",ISNUMBER(INDEX(tblInventario[Stock actual],MATCH($F485,tblInventario[SKU],0))),INDEX(tblInventario[Stock actual],MATCH($F485,tblInventario[SKU],0))&lt;0)," · Stock negativo del SKU","")&amp;IF(AND($T485="Cobrado",$U485="")," · Cobro sin fecha","")&amp;IF(AND(ISNUMBER($V485),ISNUMBER($N485),$V485&gt;N($N485)+0.01)," · Cobrado &gt; venta neta","")&amp;IF(AND(ISNUMBER($V485),$V485&gt;0,$U485="")," · Monto cobrado sin fecha","")="","OK",MID(IF($B485=""," · Falta fecha","")&amp;IF($D485=""," · Falta cliente","")&amp;IF($E485=""," · Falta canal","")&amp;IF($F485=""," · Falta SKU","")&amp;IF(AND($F485&lt;&gt;"",COUNTIF(tblProductos[SKU],$F485)=0)," · SKU no existe","")&amp;IF(OR($I485="",NOT(ISNUMBER($I485)),$I485&lt;=0)," · Cantidad inválida","")&amp;IF($M485="PRECIO PENDIENTE"," · Falta precio de venta","")&amp;IF($P485="COSTO PENDIENTE"," · Falta costo del producto","")&amp;IF(AND(ISNUMBER($Q485),$Q485&lt;0)," · UTILIDAD NEGATIVA","")&amp;IF(AND($F485&lt;&gt;"",ISNUMBER(INDEX(tblInventario[Stock actual],MATCH($F485,tblInventario[SKU],0))),INDEX(tblInventario[Stock actual],MATCH($F485,tblInventario[SKU],0))&lt;0)," · Stock negativo del SKU","")&amp;IF(AND($T485="Cobrado",$U485="")," · Cobro sin fecha","")&amp;IF(AND(ISNUMBER($V485),ISNUMBER($N485),$V485&gt;N($N485)+0.01)," · Cobrado &gt; venta neta","")&amp;IF(AND(ISNUMBER($V485),$V485&gt;0,$U485="")," · Monto cobrado sin fecha",""),4,900)))</f>
        <v/>
      </c>
    </row>
    <row r="486">
      <c r="A486" s="51">
        <f>IF(COUNTA($B486,$C486,$D486,$E486,$F486,$I486)=0,"","V-"&amp;TEXT(ROW()-6,"0000"))</f>
        <v/>
      </c>
      <c r="B486" s="41" t="n"/>
      <c r="C486" s="33" t="n"/>
      <c r="D486" s="33" t="n"/>
      <c r="E486" s="33" t="n"/>
      <c r="F486" s="33" t="n"/>
      <c r="G486" s="51">
        <f>IF($F486="","",IFERROR(IF(INDEX(tblProductos[Nombre del producto],MATCH($F486,tblProductos[SKU],0))="","",INDEX(tblProductos[Nombre del producto],MATCH($F486,tblProductos[SKU],0))),""))</f>
        <v/>
      </c>
      <c r="H486" s="51">
        <f>IF($F486="","",IFERROR(IF(INDEX(tblProductos[Categoría],MATCH($F486,tblProductos[SKU],0))="","",INDEX(tblProductos[Categoría],MATCH($F486,tblProductos[SKU],0))),""))</f>
        <v/>
      </c>
      <c r="I486" s="34" t="n"/>
      <c r="J486" s="39">
        <f>IF(OR($B486="",$F486="",$I486=""),"",IF($T486="Anulado",0,$I486))</f>
        <v/>
      </c>
      <c r="K486" s="54">
        <f>IF($F486="","",IFERROR(IF(INDEX(tblProductos[Precio de venta actual],MATCH($F486,tblProductos[SKU],0))="","",INDEX(tblProductos[Precio de venta actual],MATCH($F486,tblProductos[SKU],0))),""))</f>
        <v/>
      </c>
      <c r="L486" s="36" t="n"/>
      <c r="M486" s="37">
        <f>IF($J486="","",IF(NOT(ISNUMBER($K486)),"PRECIO PENDIENTE",$J486*$K486))</f>
        <v/>
      </c>
      <c r="N486" s="37">
        <f>IF($J486="","",IF(NOT(ISNUMBER($M486)),"PRECIO PENDIENTE",$M486-IF(ISNUMBER($L486),$L486,0)))</f>
        <v/>
      </c>
      <c r="O486" s="54">
        <f>IF($F486="","",IFERROR(INDEX(tblInventario[Costo unitario aplicado],MATCH($F486,tblInventario[SKU],0)),""))</f>
        <v/>
      </c>
      <c r="P486" s="37">
        <f>IF($J486="","",IF(NOT(ISNUMBER($O486)),"COSTO PENDIENTE",$J486*$O486))</f>
        <v/>
      </c>
      <c r="Q486" s="37">
        <f>IF($J486="","",IF(OR(NOT(ISNUMBER($N486)),NOT(ISNUMBER($P486))),"PENDIENTE",$N486-$P486))</f>
        <v/>
      </c>
      <c r="R486" s="38">
        <f>IF($J486="","",IF(OR(NOT(ISNUMBER($Q486)),NOT(ISNUMBER($N486)),$N486&lt;=0),"PENDIENTE",$Q486/$N486))</f>
        <v/>
      </c>
      <c r="S486" s="33" t="n"/>
      <c r="T486" s="33" t="n"/>
      <c r="U486" s="41" t="n"/>
      <c r="V486" s="36" t="n"/>
      <c r="W486" s="37">
        <f>IF(NOT(ISNUMBER($N486)),"",$N486-IF(ISNUMBER($V486),$V486,0))</f>
        <v/>
      </c>
      <c r="X486" s="33" t="n"/>
      <c r="Y486" s="51">
        <f>IF(COUNTA($B486,$C486,$D486,$E486,$F486,$I486)=0,"",IF(IF($B486=""," · Falta fecha","")&amp;IF($D486=""," · Falta cliente","")&amp;IF($E486=""," · Falta canal","")&amp;IF($F486=""," · Falta SKU","")&amp;IF(AND($F486&lt;&gt;"",COUNTIF(tblProductos[SKU],$F486)=0)," · SKU no existe","")&amp;IF(OR($I486="",NOT(ISNUMBER($I486)),$I486&lt;=0)," · Cantidad inválida","")&amp;IF($M486="PRECIO PENDIENTE"," · Falta precio de venta","")&amp;IF($P486="COSTO PENDIENTE"," · Falta costo del producto","")&amp;IF(AND(ISNUMBER($Q486),$Q486&lt;0)," · UTILIDAD NEGATIVA","")&amp;IF(AND($F486&lt;&gt;"",ISNUMBER(INDEX(tblInventario[Stock actual],MATCH($F486,tblInventario[SKU],0))),INDEX(tblInventario[Stock actual],MATCH($F486,tblInventario[SKU],0))&lt;0)," · Stock negativo del SKU","")&amp;IF(AND($T486="Cobrado",$U486="")," · Cobro sin fecha","")&amp;IF(AND(ISNUMBER($V486),ISNUMBER($N486),$V486&gt;N($N486)+0.01)," · Cobrado &gt; venta neta","")&amp;IF(AND(ISNUMBER($V486),$V486&gt;0,$U486="")," · Monto cobrado sin fecha","")="","OK",MID(IF($B486=""," · Falta fecha","")&amp;IF($D486=""," · Falta cliente","")&amp;IF($E486=""," · Falta canal","")&amp;IF($F486=""," · Falta SKU","")&amp;IF(AND($F486&lt;&gt;"",COUNTIF(tblProductos[SKU],$F486)=0)," · SKU no existe","")&amp;IF(OR($I486="",NOT(ISNUMBER($I486)),$I486&lt;=0)," · Cantidad inválida","")&amp;IF($M486="PRECIO PENDIENTE"," · Falta precio de venta","")&amp;IF($P486="COSTO PENDIENTE"," · Falta costo del producto","")&amp;IF(AND(ISNUMBER($Q486),$Q486&lt;0)," · UTILIDAD NEGATIVA","")&amp;IF(AND($F486&lt;&gt;"",ISNUMBER(INDEX(tblInventario[Stock actual],MATCH($F486,tblInventario[SKU],0))),INDEX(tblInventario[Stock actual],MATCH($F486,tblInventario[SKU],0))&lt;0)," · Stock negativo del SKU","")&amp;IF(AND($T486="Cobrado",$U486="")," · Cobro sin fecha","")&amp;IF(AND(ISNUMBER($V486),ISNUMBER($N486),$V486&gt;N($N486)+0.01)," · Cobrado &gt; venta neta","")&amp;IF(AND(ISNUMBER($V486),$V486&gt;0,$U486="")," · Monto cobrado sin fecha",""),4,900)))</f>
        <v/>
      </c>
    </row>
    <row r="487">
      <c r="A487" s="51">
        <f>IF(COUNTA($B487,$C487,$D487,$E487,$F487,$I487)=0,"","V-"&amp;TEXT(ROW()-6,"0000"))</f>
        <v/>
      </c>
      <c r="B487" s="41" t="n"/>
      <c r="C487" s="33" t="n"/>
      <c r="D487" s="33" t="n"/>
      <c r="E487" s="33" t="n"/>
      <c r="F487" s="33" t="n"/>
      <c r="G487" s="51">
        <f>IF($F487="","",IFERROR(IF(INDEX(tblProductos[Nombre del producto],MATCH($F487,tblProductos[SKU],0))="","",INDEX(tblProductos[Nombre del producto],MATCH($F487,tblProductos[SKU],0))),""))</f>
        <v/>
      </c>
      <c r="H487" s="51">
        <f>IF($F487="","",IFERROR(IF(INDEX(tblProductos[Categoría],MATCH($F487,tblProductos[SKU],0))="","",INDEX(tblProductos[Categoría],MATCH($F487,tblProductos[SKU],0))),""))</f>
        <v/>
      </c>
      <c r="I487" s="34" t="n"/>
      <c r="J487" s="39">
        <f>IF(OR($B487="",$F487="",$I487=""),"",IF($T487="Anulado",0,$I487))</f>
        <v/>
      </c>
      <c r="K487" s="54">
        <f>IF($F487="","",IFERROR(IF(INDEX(tblProductos[Precio de venta actual],MATCH($F487,tblProductos[SKU],0))="","",INDEX(tblProductos[Precio de venta actual],MATCH($F487,tblProductos[SKU],0))),""))</f>
        <v/>
      </c>
      <c r="L487" s="36" t="n"/>
      <c r="M487" s="37">
        <f>IF($J487="","",IF(NOT(ISNUMBER($K487)),"PRECIO PENDIENTE",$J487*$K487))</f>
        <v/>
      </c>
      <c r="N487" s="37">
        <f>IF($J487="","",IF(NOT(ISNUMBER($M487)),"PRECIO PENDIENTE",$M487-IF(ISNUMBER($L487),$L487,0)))</f>
        <v/>
      </c>
      <c r="O487" s="54">
        <f>IF($F487="","",IFERROR(INDEX(tblInventario[Costo unitario aplicado],MATCH($F487,tblInventario[SKU],0)),""))</f>
        <v/>
      </c>
      <c r="P487" s="37">
        <f>IF($J487="","",IF(NOT(ISNUMBER($O487)),"COSTO PENDIENTE",$J487*$O487))</f>
        <v/>
      </c>
      <c r="Q487" s="37">
        <f>IF($J487="","",IF(OR(NOT(ISNUMBER($N487)),NOT(ISNUMBER($P487))),"PENDIENTE",$N487-$P487))</f>
        <v/>
      </c>
      <c r="R487" s="38">
        <f>IF($J487="","",IF(OR(NOT(ISNUMBER($Q487)),NOT(ISNUMBER($N487)),$N487&lt;=0),"PENDIENTE",$Q487/$N487))</f>
        <v/>
      </c>
      <c r="S487" s="33" t="n"/>
      <c r="T487" s="33" t="n"/>
      <c r="U487" s="41" t="n"/>
      <c r="V487" s="36" t="n"/>
      <c r="W487" s="37">
        <f>IF(NOT(ISNUMBER($N487)),"",$N487-IF(ISNUMBER($V487),$V487,0))</f>
        <v/>
      </c>
      <c r="X487" s="33" t="n"/>
      <c r="Y487" s="51">
        <f>IF(COUNTA($B487,$C487,$D487,$E487,$F487,$I487)=0,"",IF(IF($B487=""," · Falta fecha","")&amp;IF($D487=""," · Falta cliente","")&amp;IF($E487=""," · Falta canal","")&amp;IF($F487=""," · Falta SKU","")&amp;IF(AND($F487&lt;&gt;"",COUNTIF(tblProductos[SKU],$F487)=0)," · SKU no existe","")&amp;IF(OR($I487="",NOT(ISNUMBER($I487)),$I487&lt;=0)," · Cantidad inválida","")&amp;IF($M487="PRECIO PENDIENTE"," · Falta precio de venta","")&amp;IF($P487="COSTO PENDIENTE"," · Falta costo del producto","")&amp;IF(AND(ISNUMBER($Q487),$Q487&lt;0)," · UTILIDAD NEGATIVA","")&amp;IF(AND($F487&lt;&gt;"",ISNUMBER(INDEX(tblInventario[Stock actual],MATCH($F487,tblInventario[SKU],0))),INDEX(tblInventario[Stock actual],MATCH($F487,tblInventario[SKU],0))&lt;0)," · Stock negativo del SKU","")&amp;IF(AND($T487="Cobrado",$U487="")," · Cobro sin fecha","")&amp;IF(AND(ISNUMBER($V487),ISNUMBER($N487),$V487&gt;N($N487)+0.01)," · Cobrado &gt; venta neta","")&amp;IF(AND(ISNUMBER($V487),$V487&gt;0,$U487="")," · Monto cobrado sin fecha","")="","OK",MID(IF($B487=""," · Falta fecha","")&amp;IF($D487=""," · Falta cliente","")&amp;IF($E487=""," · Falta canal","")&amp;IF($F487=""," · Falta SKU","")&amp;IF(AND($F487&lt;&gt;"",COUNTIF(tblProductos[SKU],$F487)=0)," · SKU no existe","")&amp;IF(OR($I487="",NOT(ISNUMBER($I487)),$I487&lt;=0)," · Cantidad inválida","")&amp;IF($M487="PRECIO PENDIENTE"," · Falta precio de venta","")&amp;IF($P487="COSTO PENDIENTE"," · Falta costo del producto","")&amp;IF(AND(ISNUMBER($Q487),$Q487&lt;0)," · UTILIDAD NEGATIVA","")&amp;IF(AND($F487&lt;&gt;"",ISNUMBER(INDEX(tblInventario[Stock actual],MATCH($F487,tblInventario[SKU],0))),INDEX(tblInventario[Stock actual],MATCH($F487,tblInventario[SKU],0))&lt;0)," · Stock negativo del SKU","")&amp;IF(AND($T487="Cobrado",$U487="")," · Cobro sin fecha","")&amp;IF(AND(ISNUMBER($V487),ISNUMBER($N487),$V487&gt;N($N487)+0.01)," · Cobrado &gt; venta neta","")&amp;IF(AND(ISNUMBER($V487),$V487&gt;0,$U487="")," · Monto cobrado sin fecha",""),4,900)))</f>
        <v/>
      </c>
    </row>
    <row r="488">
      <c r="A488" s="51">
        <f>IF(COUNTA($B488,$C488,$D488,$E488,$F488,$I488)=0,"","V-"&amp;TEXT(ROW()-6,"0000"))</f>
        <v/>
      </c>
      <c r="B488" s="41" t="n"/>
      <c r="C488" s="33" t="n"/>
      <c r="D488" s="33" t="n"/>
      <c r="E488" s="33" t="n"/>
      <c r="F488" s="33" t="n"/>
      <c r="G488" s="51">
        <f>IF($F488="","",IFERROR(IF(INDEX(tblProductos[Nombre del producto],MATCH($F488,tblProductos[SKU],0))="","",INDEX(tblProductos[Nombre del producto],MATCH($F488,tblProductos[SKU],0))),""))</f>
        <v/>
      </c>
      <c r="H488" s="51">
        <f>IF($F488="","",IFERROR(IF(INDEX(tblProductos[Categoría],MATCH($F488,tblProductos[SKU],0))="","",INDEX(tblProductos[Categoría],MATCH($F488,tblProductos[SKU],0))),""))</f>
        <v/>
      </c>
      <c r="I488" s="34" t="n"/>
      <c r="J488" s="39">
        <f>IF(OR($B488="",$F488="",$I488=""),"",IF($T488="Anulado",0,$I488))</f>
        <v/>
      </c>
      <c r="K488" s="54">
        <f>IF($F488="","",IFERROR(IF(INDEX(tblProductos[Precio de venta actual],MATCH($F488,tblProductos[SKU],0))="","",INDEX(tblProductos[Precio de venta actual],MATCH($F488,tblProductos[SKU],0))),""))</f>
        <v/>
      </c>
      <c r="L488" s="36" t="n"/>
      <c r="M488" s="37">
        <f>IF($J488="","",IF(NOT(ISNUMBER($K488)),"PRECIO PENDIENTE",$J488*$K488))</f>
        <v/>
      </c>
      <c r="N488" s="37">
        <f>IF($J488="","",IF(NOT(ISNUMBER($M488)),"PRECIO PENDIENTE",$M488-IF(ISNUMBER($L488),$L488,0)))</f>
        <v/>
      </c>
      <c r="O488" s="54">
        <f>IF($F488="","",IFERROR(INDEX(tblInventario[Costo unitario aplicado],MATCH($F488,tblInventario[SKU],0)),""))</f>
        <v/>
      </c>
      <c r="P488" s="37">
        <f>IF($J488="","",IF(NOT(ISNUMBER($O488)),"COSTO PENDIENTE",$J488*$O488))</f>
        <v/>
      </c>
      <c r="Q488" s="37">
        <f>IF($J488="","",IF(OR(NOT(ISNUMBER($N488)),NOT(ISNUMBER($P488))),"PENDIENTE",$N488-$P488))</f>
        <v/>
      </c>
      <c r="R488" s="38">
        <f>IF($J488="","",IF(OR(NOT(ISNUMBER($Q488)),NOT(ISNUMBER($N488)),$N488&lt;=0),"PENDIENTE",$Q488/$N488))</f>
        <v/>
      </c>
      <c r="S488" s="33" t="n"/>
      <c r="T488" s="33" t="n"/>
      <c r="U488" s="41" t="n"/>
      <c r="V488" s="36" t="n"/>
      <c r="W488" s="37">
        <f>IF(NOT(ISNUMBER($N488)),"",$N488-IF(ISNUMBER($V488),$V488,0))</f>
        <v/>
      </c>
      <c r="X488" s="33" t="n"/>
      <c r="Y488" s="51">
        <f>IF(COUNTA($B488,$C488,$D488,$E488,$F488,$I488)=0,"",IF(IF($B488=""," · Falta fecha","")&amp;IF($D488=""," · Falta cliente","")&amp;IF($E488=""," · Falta canal","")&amp;IF($F488=""," · Falta SKU","")&amp;IF(AND($F488&lt;&gt;"",COUNTIF(tblProductos[SKU],$F488)=0)," · SKU no existe","")&amp;IF(OR($I488="",NOT(ISNUMBER($I488)),$I488&lt;=0)," · Cantidad inválida","")&amp;IF($M488="PRECIO PENDIENTE"," · Falta precio de venta","")&amp;IF($P488="COSTO PENDIENTE"," · Falta costo del producto","")&amp;IF(AND(ISNUMBER($Q488),$Q488&lt;0)," · UTILIDAD NEGATIVA","")&amp;IF(AND($F488&lt;&gt;"",ISNUMBER(INDEX(tblInventario[Stock actual],MATCH($F488,tblInventario[SKU],0))),INDEX(tblInventario[Stock actual],MATCH($F488,tblInventario[SKU],0))&lt;0)," · Stock negativo del SKU","")&amp;IF(AND($T488="Cobrado",$U488="")," · Cobro sin fecha","")&amp;IF(AND(ISNUMBER($V488),ISNUMBER($N488),$V488&gt;N($N488)+0.01)," · Cobrado &gt; venta neta","")&amp;IF(AND(ISNUMBER($V488),$V488&gt;0,$U488="")," · Monto cobrado sin fecha","")="","OK",MID(IF($B488=""," · Falta fecha","")&amp;IF($D488=""," · Falta cliente","")&amp;IF($E488=""," · Falta canal","")&amp;IF($F488=""," · Falta SKU","")&amp;IF(AND($F488&lt;&gt;"",COUNTIF(tblProductos[SKU],$F488)=0)," · SKU no existe","")&amp;IF(OR($I488="",NOT(ISNUMBER($I488)),$I488&lt;=0)," · Cantidad inválida","")&amp;IF($M488="PRECIO PENDIENTE"," · Falta precio de venta","")&amp;IF($P488="COSTO PENDIENTE"," · Falta costo del producto","")&amp;IF(AND(ISNUMBER($Q488),$Q488&lt;0)," · UTILIDAD NEGATIVA","")&amp;IF(AND($F488&lt;&gt;"",ISNUMBER(INDEX(tblInventario[Stock actual],MATCH($F488,tblInventario[SKU],0))),INDEX(tblInventario[Stock actual],MATCH($F488,tblInventario[SKU],0))&lt;0)," · Stock negativo del SKU","")&amp;IF(AND($T488="Cobrado",$U488="")," · Cobro sin fecha","")&amp;IF(AND(ISNUMBER($V488),ISNUMBER($N488),$V488&gt;N($N488)+0.01)," · Cobrado &gt; venta neta","")&amp;IF(AND(ISNUMBER($V488),$V488&gt;0,$U488="")," · Monto cobrado sin fecha",""),4,900)))</f>
        <v/>
      </c>
    </row>
    <row r="489">
      <c r="A489" s="51">
        <f>IF(COUNTA($B489,$C489,$D489,$E489,$F489,$I489)=0,"","V-"&amp;TEXT(ROW()-6,"0000"))</f>
        <v/>
      </c>
      <c r="B489" s="41" t="n"/>
      <c r="C489" s="33" t="n"/>
      <c r="D489" s="33" t="n"/>
      <c r="E489" s="33" t="n"/>
      <c r="F489" s="33" t="n"/>
      <c r="G489" s="51">
        <f>IF($F489="","",IFERROR(IF(INDEX(tblProductos[Nombre del producto],MATCH($F489,tblProductos[SKU],0))="","",INDEX(tblProductos[Nombre del producto],MATCH($F489,tblProductos[SKU],0))),""))</f>
        <v/>
      </c>
      <c r="H489" s="51">
        <f>IF($F489="","",IFERROR(IF(INDEX(tblProductos[Categoría],MATCH($F489,tblProductos[SKU],0))="","",INDEX(tblProductos[Categoría],MATCH($F489,tblProductos[SKU],0))),""))</f>
        <v/>
      </c>
      <c r="I489" s="34" t="n"/>
      <c r="J489" s="39">
        <f>IF(OR($B489="",$F489="",$I489=""),"",IF($T489="Anulado",0,$I489))</f>
        <v/>
      </c>
      <c r="K489" s="54">
        <f>IF($F489="","",IFERROR(IF(INDEX(tblProductos[Precio de venta actual],MATCH($F489,tblProductos[SKU],0))="","",INDEX(tblProductos[Precio de venta actual],MATCH($F489,tblProductos[SKU],0))),""))</f>
        <v/>
      </c>
      <c r="L489" s="36" t="n"/>
      <c r="M489" s="37">
        <f>IF($J489="","",IF(NOT(ISNUMBER($K489)),"PRECIO PENDIENTE",$J489*$K489))</f>
        <v/>
      </c>
      <c r="N489" s="37">
        <f>IF($J489="","",IF(NOT(ISNUMBER($M489)),"PRECIO PENDIENTE",$M489-IF(ISNUMBER($L489),$L489,0)))</f>
        <v/>
      </c>
      <c r="O489" s="54">
        <f>IF($F489="","",IFERROR(INDEX(tblInventario[Costo unitario aplicado],MATCH($F489,tblInventario[SKU],0)),""))</f>
        <v/>
      </c>
      <c r="P489" s="37">
        <f>IF($J489="","",IF(NOT(ISNUMBER($O489)),"COSTO PENDIENTE",$J489*$O489))</f>
        <v/>
      </c>
      <c r="Q489" s="37">
        <f>IF($J489="","",IF(OR(NOT(ISNUMBER($N489)),NOT(ISNUMBER($P489))),"PENDIENTE",$N489-$P489))</f>
        <v/>
      </c>
      <c r="R489" s="38">
        <f>IF($J489="","",IF(OR(NOT(ISNUMBER($Q489)),NOT(ISNUMBER($N489)),$N489&lt;=0),"PENDIENTE",$Q489/$N489))</f>
        <v/>
      </c>
      <c r="S489" s="33" t="n"/>
      <c r="T489" s="33" t="n"/>
      <c r="U489" s="41" t="n"/>
      <c r="V489" s="36" t="n"/>
      <c r="W489" s="37">
        <f>IF(NOT(ISNUMBER($N489)),"",$N489-IF(ISNUMBER($V489),$V489,0))</f>
        <v/>
      </c>
      <c r="X489" s="33" t="n"/>
      <c r="Y489" s="51">
        <f>IF(COUNTA($B489,$C489,$D489,$E489,$F489,$I489)=0,"",IF(IF($B489=""," · Falta fecha","")&amp;IF($D489=""," · Falta cliente","")&amp;IF($E489=""," · Falta canal","")&amp;IF($F489=""," · Falta SKU","")&amp;IF(AND($F489&lt;&gt;"",COUNTIF(tblProductos[SKU],$F489)=0)," · SKU no existe","")&amp;IF(OR($I489="",NOT(ISNUMBER($I489)),$I489&lt;=0)," · Cantidad inválida","")&amp;IF($M489="PRECIO PENDIENTE"," · Falta precio de venta","")&amp;IF($P489="COSTO PENDIENTE"," · Falta costo del producto","")&amp;IF(AND(ISNUMBER($Q489),$Q489&lt;0)," · UTILIDAD NEGATIVA","")&amp;IF(AND($F489&lt;&gt;"",ISNUMBER(INDEX(tblInventario[Stock actual],MATCH($F489,tblInventario[SKU],0))),INDEX(tblInventario[Stock actual],MATCH($F489,tblInventario[SKU],0))&lt;0)," · Stock negativo del SKU","")&amp;IF(AND($T489="Cobrado",$U489="")," · Cobro sin fecha","")&amp;IF(AND(ISNUMBER($V489),ISNUMBER($N489),$V489&gt;N($N489)+0.01)," · Cobrado &gt; venta neta","")&amp;IF(AND(ISNUMBER($V489),$V489&gt;0,$U489="")," · Monto cobrado sin fecha","")="","OK",MID(IF($B489=""," · Falta fecha","")&amp;IF($D489=""," · Falta cliente","")&amp;IF($E489=""," · Falta canal","")&amp;IF($F489=""," · Falta SKU","")&amp;IF(AND($F489&lt;&gt;"",COUNTIF(tblProductos[SKU],$F489)=0)," · SKU no existe","")&amp;IF(OR($I489="",NOT(ISNUMBER($I489)),$I489&lt;=0)," · Cantidad inválida","")&amp;IF($M489="PRECIO PENDIENTE"," · Falta precio de venta","")&amp;IF($P489="COSTO PENDIENTE"," · Falta costo del producto","")&amp;IF(AND(ISNUMBER($Q489),$Q489&lt;0)," · UTILIDAD NEGATIVA","")&amp;IF(AND($F489&lt;&gt;"",ISNUMBER(INDEX(tblInventario[Stock actual],MATCH($F489,tblInventario[SKU],0))),INDEX(tblInventario[Stock actual],MATCH($F489,tblInventario[SKU],0))&lt;0)," · Stock negativo del SKU","")&amp;IF(AND($T489="Cobrado",$U489="")," · Cobro sin fecha","")&amp;IF(AND(ISNUMBER($V489),ISNUMBER($N489),$V489&gt;N($N489)+0.01)," · Cobrado &gt; venta neta","")&amp;IF(AND(ISNUMBER($V489),$V489&gt;0,$U489="")," · Monto cobrado sin fecha",""),4,900)))</f>
        <v/>
      </c>
    </row>
    <row r="490">
      <c r="A490" s="51">
        <f>IF(COUNTA($B490,$C490,$D490,$E490,$F490,$I490)=0,"","V-"&amp;TEXT(ROW()-6,"0000"))</f>
        <v/>
      </c>
      <c r="B490" s="41" t="n"/>
      <c r="C490" s="33" t="n"/>
      <c r="D490" s="33" t="n"/>
      <c r="E490" s="33" t="n"/>
      <c r="F490" s="33" t="n"/>
      <c r="G490" s="51">
        <f>IF($F490="","",IFERROR(IF(INDEX(tblProductos[Nombre del producto],MATCH($F490,tblProductos[SKU],0))="","",INDEX(tblProductos[Nombre del producto],MATCH($F490,tblProductos[SKU],0))),""))</f>
        <v/>
      </c>
      <c r="H490" s="51">
        <f>IF($F490="","",IFERROR(IF(INDEX(tblProductos[Categoría],MATCH($F490,tblProductos[SKU],0))="","",INDEX(tblProductos[Categoría],MATCH($F490,tblProductos[SKU],0))),""))</f>
        <v/>
      </c>
      <c r="I490" s="34" t="n"/>
      <c r="J490" s="39">
        <f>IF(OR($B490="",$F490="",$I490=""),"",IF($T490="Anulado",0,$I490))</f>
        <v/>
      </c>
      <c r="K490" s="54">
        <f>IF($F490="","",IFERROR(IF(INDEX(tblProductos[Precio de venta actual],MATCH($F490,tblProductos[SKU],0))="","",INDEX(tblProductos[Precio de venta actual],MATCH($F490,tblProductos[SKU],0))),""))</f>
        <v/>
      </c>
      <c r="L490" s="36" t="n"/>
      <c r="M490" s="37">
        <f>IF($J490="","",IF(NOT(ISNUMBER($K490)),"PRECIO PENDIENTE",$J490*$K490))</f>
        <v/>
      </c>
      <c r="N490" s="37">
        <f>IF($J490="","",IF(NOT(ISNUMBER($M490)),"PRECIO PENDIENTE",$M490-IF(ISNUMBER($L490),$L490,0)))</f>
        <v/>
      </c>
      <c r="O490" s="54">
        <f>IF($F490="","",IFERROR(INDEX(tblInventario[Costo unitario aplicado],MATCH($F490,tblInventario[SKU],0)),""))</f>
        <v/>
      </c>
      <c r="P490" s="37">
        <f>IF($J490="","",IF(NOT(ISNUMBER($O490)),"COSTO PENDIENTE",$J490*$O490))</f>
        <v/>
      </c>
      <c r="Q490" s="37">
        <f>IF($J490="","",IF(OR(NOT(ISNUMBER($N490)),NOT(ISNUMBER($P490))),"PENDIENTE",$N490-$P490))</f>
        <v/>
      </c>
      <c r="R490" s="38">
        <f>IF($J490="","",IF(OR(NOT(ISNUMBER($Q490)),NOT(ISNUMBER($N490)),$N490&lt;=0),"PENDIENTE",$Q490/$N490))</f>
        <v/>
      </c>
      <c r="S490" s="33" t="n"/>
      <c r="T490" s="33" t="n"/>
      <c r="U490" s="41" t="n"/>
      <c r="V490" s="36" t="n"/>
      <c r="W490" s="37">
        <f>IF(NOT(ISNUMBER($N490)),"",$N490-IF(ISNUMBER($V490),$V490,0))</f>
        <v/>
      </c>
      <c r="X490" s="33" t="n"/>
      <c r="Y490" s="51">
        <f>IF(COUNTA($B490,$C490,$D490,$E490,$F490,$I490)=0,"",IF(IF($B490=""," · Falta fecha","")&amp;IF($D490=""," · Falta cliente","")&amp;IF($E490=""," · Falta canal","")&amp;IF($F490=""," · Falta SKU","")&amp;IF(AND($F490&lt;&gt;"",COUNTIF(tblProductos[SKU],$F490)=0)," · SKU no existe","")&amp;IF(OR($I490="",NOT(ISNUMBER($I490)),$I490&lt;=0)," · Cantidad inválida","")&amp;IF($M490="PRECIO PENDIENTE"," · Falta precio de venta","")&amp;IF($P490="COSTO PENDIENTE"," · Falta costo del producto","")&amp;IF(AND(ISNUMBER($Q490),$Q490&lt;0)," · UTILIDAD NEGATIVA","")&amp;IF(AND($F490&lt;&gt;"",ISNUMBER(INDEX(tblInventario[Stock actual],MATCH($F490,tblInventario[SKU],0))),INDEX(tblInventario[Stock actual],MATCH($F490,tblInventario[SKU],0))&lt;0)," · Stock negativo del SKU","")&amp;IF(AND($T490="Cobrado",$U490="")," · Cobro sin fecha","")&amp;IF(AND(ISNUMBER($V490),ISNUMBER($N490),$V490&gt;N($N490)+0.01)," · Cobrado &gt; venta neta","")&amp;IF(AND(ISNUMBER($V490),$V490&gt;0,$U490="")," · Monto cobrado sin fecha","")="","OK",MID(IF($B490=""," · Falta fecha","")&amp;IF($D490=""," · Falta cliente","")&amp;IF($E490=""," · Falta canal","")&amp;IF($F490=""," · Falta SKU","")&amp;IF(AND($F490&lt;&gt;"",COUNTIF(tblProductos[SKU],$F490)=0)," · SKU no existe","")&amp;IF(OR($I490="",NOT(ISNUMBER($I490)),$I490&lt;=0)," · Cantidad inválida","")&amp;IF($M490="PRECIO PENDIENTE"," · Falta precio de venta","")&amp;IF($P490="COSTO PENDIENTE"," · Falta costo del producto","")&amp;IF(AND(ISNUMBER($Q490),$Q490&lt;0)," · UTILIDAD NEGATIVA","")&amp;IF(AND($F490&lt;&gt;"",ISNUMBER(INDEX(tblInventario[Stock actual],MATCH($F490,tblInventario[SKU],0))),INDEX(tblInventario[Stock actual],MATCH($F490,tblInventario[SKU],0))&lt;0)," · Stock negativo del SKU","")&amp;IF(AND($T490="Cobrado",$U490="")," · Cobro sin fecha","")&amp;IF(AND(ISNUMBER($V490),ISNUMBER($N490),$V490&gt;N($N490)+0.01)," · Cobrado &gt; venta neta","")&amp;IF(AND(ISNUMBER($V490),$V490&gt;0,$U490="")," · Monto cobrado sin fecha",""),4,900)))</f>
        <v/>
      </c>
    </row>
    <row r="491">
      <c r="A491" s="51">
        <f>IF(COUNTA($B491,$C491,$D491,$E491,$F491,$I491)=0,"","V-"&amp;TEXT(ROW()-6,"0000"))</f>
        <v/>
      </c>
      <c r="B491" s="41" t="n"/>
      <c r="C491" s="33" t="n"/>
      <c r="D491" s="33" t="n"/>
      <c r="E491" s="33" t="n"/>
      <c r="F491" s="33" t="n"/>
      <c r="G491" s="51">
        <f>IF($F491="","",IFERROR(IF(INDEX(tblProductos[Nombre del producto],MATCH($F491,tblProductos[SKU],0))="","",INDEX(tblProductos[Nombre del producto],MATCH($F491,tblProductos[SKU],0))),""))</f>
        <v/>
      </c>
      <c r="H491" s="51">
        <f>IF($F491="","",IFERROR(IF(INDEX(tblProductos[Categoría],MATCH($F491,tblProductos[SKU],0))="","",INDEX(tblProductos[Categoría],MATCH($F491,tblProductos[SKU],0))),""))</f>
        <v/>
      </c>
      <c r="I491" s="34" t="n"/>
      <c r="J491" s="39">
        <f>IF(OR($B491="",$F491="",$I491=""),"",IF($T491="Anulado",0,$I491))</f>
        <v/>
      </c>
      <c r="K491" s="54">
        <f>IF($F491="","",IFERROR(IF(INDEX(tblProductos[Precio de venta actual],MATCH($F491,tblProductos[SKU],0))="","",INDEX(tblProductos[Precio de venta actual],MATCH($F491,tblProductos[SKU],0))),""))</f>
        <v/>
      </c>
      <c r="L491" s="36" t="n"/>
      <c r="M491" s="37">
        <f>IF($J491="","",IF(NOT(ISNUMBER($K491)),"PRECIO PENDIENTE",$J491*$K491))</f>
        <v/>
      </c>
      <c r="N491" s="37">
        <f>IF($J491="","",IF(NOT(ISNUMBER($M491)),"PRECIO PENDIENTE",$M491-IF(ISNUMBER($L491),$L491,0)))</f>
        <v/>
      </c>
      <c r="O491" s="54">
        <f>IF($F491="","",IFERROR(INDEX(tblInventario[Costo unitario aplicado],MATCH($F491,tblInventario[SKU],0)),""))</f>
        <v/>
      </c>
      <c r="P491" s="37">
        <f>IF($J491="","",IF(NOT(ISNUMBER($O491)),"COSTO PENDIENTE",$J491*$O491))</f>
        <v/>
      </c>
      <c r="Q491" s="37">
        <f>IF($J491="","",IF(OR(NOT(ISNUMBER($N491)),NOT(ISNUMBER($P491))),"PENDIENTE",$N491-$P491))</f>
        <v/>
      </c>
      <c r="R491" s="38">
        <f>IF($J491="","",IF(OR(NOT(ISNUMBER($Q491)),NOT(ISNUMBER($N491)),$N491&lt;=0),"PENDIENTE",$Q491/$N491))</f>
        <v/>
      </c>
      <c r="S491" s="33" t="n"/>
      <c r="T491" s="33" t="n"/>
      <c r="U491" s="41" t="n"/>
      <c r="V491" s="36" t="n"/>
      <c r="W491" s="37">
        <f>IF(NOT(ISNUMBER($N491)),"",$N491-IF(ISNUMBER($V491),$V491,0))</f>
        <v/>
      </c>
      <c r="X491" s="33" t="n"/>
      <c r="Y491" s="51">
        <f>IF(COUNTA($B491,$C491,$D491,$E491,$F491,$I491)=0,"",IF(IF($B491=""," · Falta fecha","")&amp;IF($D491=""," · Falta cliente","")&amp;IF($E491=""," · Falta canal","")&amp;IF($F491=""," · Falta SKU","")&amp;IF(AND($F491&lt;&gt;"",COUNTIF(tblProductos[SKU],$F491)=0)," · SKU no existe","")&amp;IF(OR($I491="",NOT(ISNUMBER($I491)),$I491&lt;=0)," · Cantidad inválida","")&amp;IF($M491="PRECIO PENDIENTE"," · Falta precio de venta","")&amp;IF($P491="COSTO PENDIENTE"," · Falta costo del producto","")&amp;IF(AND(ISNUMBER($Q491),$Q491&lt;0)," · UTILIDAD NEGATIVA","")&amp;IF(AND($F491&lt;&gt;"",ISNUMBER(INDEX(tblInventario[Stock actual],MATCH($F491,tblInventario[SKU],0))),INDEX(tblInventario[Stock actual],MATCH($F491,tblInventario[SKU],0))&lt;0)," · Stock negativo del SKU","")&amp;IF(AND($T491="Cobrado",$U491="")," · Cobro sin fecha","")&amp;IF(AND(ISNUMBER($V491),ISNUMBER($N491),$V491&gt;N($N491)+0.01)," · Cobrado &gt; venta neta","")&amp;IF(AND(ISNUMBER($V491),$V491&gt;0,$U491="")," · Monto cobrado sin fecha","")="","OK",MID(IF($B491=""," · Falta fecha","")&amp;IF($D491=""," · Falta cliente","")&amp;IF($E491=""," · Falta canal","")&amp;IF($F491=""," · Falta SKU","")&amp;IF(AND($F491&lt;&gt;"",COUNTIF(tblProductos[SKU],$F491)=0)," · SKU no existe","")&amp;IF(OR($I491="",NOT(ISNUMBER($I491)),$I491&lt;=0)," · Cantidad inválida","")&amp;IF($M491="PRECIO PENDIENTE"," · Falta precio de venta","")&amp;IF($P491="COSTO PENDIENTE"," · Falta costo del producto","")&amp;IF(AND(ISNUMBER($Q491),$Q491&lt;0)," · UTILIDAD NEGATIVA","")&amp;IF(AND($F491&lt;&gt;"",ISNUMBER(INDEX(tblInventario[Stock actual],MATCH($F491,tblInventario[SKU],0))),INDEX(tblInventario[Stock actual],MATCH($F491,tblInventario[SKU],0))&lt;0)," · Stock negativo del SKU","")&amp;IF(AND($T491="Cobrado",$U491="")," · Cobro sin fecha","")&amp;IF(AND(ISNUMBER($V491),ISNUMBER($N491),$V491&gt;N($N491)+0.01)," · Cobrado &gt; venta neta","")&amp;IF(AND(ISNUMBER($V491),$V491&gt;0,$U491="")," · Monto cobrado sin fecha",""),4,900)))</f>
        <v/>
      </c>
    </row>
    <row r="492">
      <c r="A492" s="51">
        <f>IF(COUNTA($B492,$C492,$D492,$E492,$F492,$I492)=0,"","V-"&amp;TEXT(ROW()-6,"0000"))</f>
        <v/>
      </c>
      <c r="B492" s="41" t="n"/>
      <c r="C492" s="33" t="n"/>
      <c r="D492" s="33" t="n"/>
      <c r="E492" s="33" t="n"/>
      <c r="F492" s="33" t="n"/>
      <c r="G492" s="51">
        <f>IF($F492="","",IFERROR(IF(INDEX(tblProductos[Nombre del producto],MATCH($F492,tblProductos[SKU],0))="","",INDEX(tblProductos[Nombre del producto],MATCH($F492,tblProductos[SKU],0))),""))</f>
        <v/>
      </c>
      <c r="H492" s="51">
        <f>IF($F492="","",IFERROR(IF(INDEX(tblProductos[Categoría],MATCH($F492,tblProductos[SKU],0))="","",INDEX(tblProductos[Categoría],MATCH($F492,tblProductos[SKU],0))),""))</f>
        <v/>
      </c>
      <c r="I492" s="34" t="n"/>
      <c r="J492" s="39">
        <f>IF(OR($B492="",$F492="",$I492=""),"",IF($T492="Anulado",0,$I492))</f>
        <v/>
      </c>
      <c r="K492" s="54">
        <f>IF($F492="","",IFERROR(IF(INDEX(tblProductos[Precio de venta actual],MATCH($F492,tblProductos[SKU],0))="","",INDEX(tblProductos[Precio de venta actual],MATCH($F492,tblProductos[SKU],0))),""))</f>
        <v/>
      </c>
      <c r="L492" s="36" t="n"/>
      <c r="M492" s="37">
        <f>IF($J492="","",IF(NOT(ISNUMBER($K492)),"PRECIO PENDIENTE",$J492*$K492))</f>
        <v/>
      </c>
      <c r="N492" s="37">
        <f>IF($J492="","",IF(NOT(ISNUMBER($M492)),"PRECIO PENDIENTE",$M492-IF(ISNUMBER($L492),$L492,0)))</f>
        <v/>
      </c>
      <c r="O492" s="54">
        <f>IF($F492="","",IFERROR(INDEX(tblInventario[Costo unitario aplicado],MATCH($F492,tblInventario[SKU],0)),""))</f>
        <v/>
      </c>
      <c r="P492" s="37">
        <f>IF($J492="","",IF(NOT(ISNUMBER($O492)),"COSTO PENDIENTE",$J492*$O492))</f>
        <v/>
      </c>
      <c r="Q492" s="37">
        <f>IF($J492="","",IF(OR(NOT(ISNUMBER($N492)),NOT(ISNUMBER($P492))),"PENDIENTE",$N492-$P492))</f>
        <v/>
      </c>
      <c r="R492" s="38">
        <f>IF($J492="","",IF(OR(NOT(ISNUMBER($Q492)),NOT(ISNUMBER($N492)),$N492&lt;=0),"PENDIENTE",$Q492/$N492))</f>
        <v/>
      </c>
      <c r="S492" s="33" t="n"/>
      <c r="T492" s="33" t="n"/>
      <c r="U492" s="41" t="n"/>
      <c r="V492" s="36" t="n"/>
      <c r="W492" s="37">
        <f>IF(NOT(ISNUMBER($N492)),"",$N492-IF(ISNUMBER($V492),$V492,0))</f>
        <v/>
      </c>
      <c r="X492" s="33" t="n"/>
      <c r="Y492" s="51">
        <f>IF(COUNTA($B492,$C492,$D492,$E492,$F492,$I492)=0,"",IF(IF($B492=""," · Falta fecha","")&amp;IF($D492=""," · Falta cliente","")&amp;IF($E492=""," · Falta canal","")&amp;IF($F492=""," · Falta SKU","")&amp;IF(AND($F492&lt;&gt;"",COUNTIF(tblProductos[SKU],$F492)=0)," · SKU no existe","")&amp;IF(OR($I492="",NOT(ISNUMBER($I492)),$I492&lt;=0)," · Cantidad inválida","")&amp;IF($M492="PRECIO PENDIENTE"," · Falta precio de venta","")&amp;IF($P492="COSTO PENDIENTE"," · Falta costo del producto","")&amp;IF(AND(ISNUMBER($Q492),$Q492&lt;0)," · UTILIDAD NEGATIVA","")&amp;IF(AND($F492&lt;&gt;"",ISNUMBER(INDEX(tblInventario[Stock actual],MATCH($F492,tblInventario[SKU],0))),INDEX(tblInventario[Stock actual],MATCH($F492,tblInventario[SKU],0))&lt;0)," · Stock negativo del SKU","")&amp;IF(AND($T492="Cobrado",$U492="")," · Cobro sin fecha","")&amp;IF(AND(ISNUMBER($V492),ISNUMBER($N492),$V492&gt;N($N492)+0.01)," · Cobrado &gt; venta neta","")&amp;IF(AND(ISNUMBER($V492),$V492&gt;0,$U492="")," · Monto cobrado sin fecha","")="","OK",MID(IF($B492=""," · Falta fecha","")&amp;IF($D492=""," · Falta cliente","")&amp;IF($E492=""," · Falta canal","")&amp;IF($F492=""," · Falta SKU","")&amp;IF(AND($F492&lt;&gt;"",COUNTIF(tblProductos[SKU],$F492)=0)," · SKU no existe","")&amp;IF(OR($I492="",NOT(ISNUMBER($I492)),$I492&lt;=0)," · Cantidad inválida","")&amp;IF($M492="PRECIO PENDIENTE"," · Falta precio de venta","")&amp;IF($P492="COSTO PENDIENTE"," · Falta costo del producto","")&amp;IF(AND(ISNUMBER($Q492),$Q492&lt;0)," · UTILIDAD NEGATIVA","")&amp;IF(AND($F492&lt;&gt;"",ISNUMBER(INDEX(tblInventario[Stock actual],MATCH($F492,tblInventario[SKU],0))),INDEX(tblInventario[Stock actual],MATCH($F492,tblInventario[SKU],0))&lt;0)," · Stock negativo del SKU","")&amp;IF(AND($T492="Cobrado",$U492="")," · Cobro sin fecha","")&amp;IF(AND(ISNUMBER($V492),ISNUMBER($N492),$V492&gt;N($N492)+0.01)," · Cobrado &gt; venta neta","")&amp;IF(AND(ISNUMBER($V492),$V492&gt;0,$U492="")," · Monto cobrado sin fecha",""),4,900)))</f>
        <v/>
      </c>
    </row>
    <row r="493">
      <c r="A493" s="51">
        <f>IF(COUNTA($B493,$C493,$D493,$E493,$F493,$I493)=0,"","V-"&amp;TEXT(ROW()-6,"0000"))</f>
        <v/>
      </c>
      <c r="B493" s="41" t="n"/>
      <c r="C493" s="33" t="n"/>
      <c r="D493" s="33" t="n"/>
      <c r="E493" s="33" t="n"/>
      <c r="F493" s="33" t="n"/>
      <c r="G493" s="51">
        <f>IF($F493="","",IFERROR(IF(INDEX(tblProductos[Nombre del producto],MATCH($F493,tblProductos[SKU],0))="","",INDEX(tblProductos[Nombre del producto],MATCH($F493,tblProductos[SKU],0))),""))</f>
        <v/>
      </c>
      <c r="H493" s="51">
        <f>IF($F493="","",IFERROR(IF(INDEX(tblProductos[Categoría],MATCH($F493,tblProductos[SKU],0))="","",INDEX(tblProductos[Categoría],MATCH($F493,tblProductos[SKU],0))),""))</f>
        <v/>
      </c>
      <c r="I493" s="34" t="n"/>
      <c r="J493" s="39">
        <f>IF(OR($B493="",$F493="",$I493=""),"",IF($T493="Anulado",0,$I493))</f>
        <v/>
      </c>
      <c r="K493" s="54">
        <f>IF($F493="","",IFERROR(IF(INDEX(tblProductos[Precio de venta actual],MATCH($F493,tblProductos[SKU],0))="","",INDEX(tblProductos[Precio de venta actual],MATCH($F493,tblProductos[SKU],0))),""))</f>
        <v/>
      </c>
      <c r="L493" s="36" t="n"/>
      <c r="M493" s="37">
        <f>IF($J493="","",IF(NOT(ISNUMBER($K493)),"PRECIO PENDIENTE",$J493*$K493))</f>
        <v/>
      </c>
      <c r="N493" s="37">
        <f>IF($J493="","",IF(NOT(ISNUMBER($M493)),"PRECIO PENDIENTE",$M493-IF(ISNUMBER($L493),$L493,0)))</f>
        <v/>
      </c>
      <c r="O493" s="54">
        <f>IF($F493="","",IFERROR(INDEX(tblInventario[Costo unitario aplicado],MATCH($F493,tblInventario[SKU],0)),""))</f>
        <v/>
      </c>
      <c r="P493" s="37">
        <f>IF($J493="","",IF(NOT(ISNUMBER($O493)),"COSTO PENDIENTE",$J493*$O493))</f>
        <v/>
      </c>
      <c r="Q493" s="37">
        <f>IF($J493="","",IF(OR(NOT(ISNUMBER($N493)),NOT(ISNUMBER($P493))),"PENDIENTE",$N493-$P493))</f>
        <v/>
      </c>
      <c r="R493" s="38">
        <f>IF($J493="","",IF(OR(NOT(ISNUMBER($Q493)),NOT(ISNUMBER($N493)),$N493&lt;=0),"PENDIENTE",$Q493/$N493))</f>
        <v/>
      </c>
      <c r="S493" s="33" t="n"/>
      <c r="T493" s="33" t="n"/>
      <c r="U493" s="41" t="n"/>
      <c r="V493" s="36" t="n"/>
      <c r="W493" s="37">
        <f>IF(NOT(ISNUMBER($N493)),"",$N493-IF(ISNUMBER($V493),$V493,0))</f>
        <v/>
      </c>
      <c r="X493" s="33" t="n"/>
      <c r="Y493" s="51">
        <f>IF(COUNTA($B493,$C493,$D493,$E493,$F493,$I493)=0,"",IF(IF($B493=""," · Falta fecha","")&amp;IF($D493=""," · Falta cliente","")&amp;IF($E493=""," · Falta canal","")&amp;IF($F493=""," · Falta SKU","")&amp;IF(AND($F493&lt;&gt;"",COUNTIF(tblProductos[SKU],$F493)=0)," · SKU no existe","")&amp;IF(OR($I493="",NOT(ISNUMBER($I493)),$I493&lt;=0)," · Cantidad inválida","")&amp;IF($M493="PRECIO PENDIENTE"," · Falta precio de venta","")&amp;IF($P493="COSTO PENDIENTE"," · Falta costo del producto","")&amp;IF(AND(ISNUMBER($Q493),$Q493&lt;0)," · UTILIDAD NEGATIVA","")&amp;IF(AND($F493&lt;&gt;"",ISNUMBER(INDEX(tblInventario[Stock actual],MATCH($F493,tblInventario[SKU],0))),INDEX(tblInventario[Stock actual],MATCH($F493,tblInventario[SKU],0))&lt;0)," · Stock negativo del SKU","")&amp;IF(AND($T493="Cobrado",$U493="")," · Cobro sin fecha","")&amp;IF(AND(ISNUMBER($V493),ISNUMBER($N493),$V493&gt;N($N493)+0.01)," · Cobrado &gt; venta neta","")&amp;IF(AND(ISNUMBER($V493),$V493&gt;0,$U493="")," · Monto cobrado sin fecha","")="","OK",MID(IF($B493=""," · Falta fecha","")&amp;IF($D493=""," · Falta cliente","")&amp;IF($E493=""," · Falta canal","")&amp;IF($F493=""," · Falta SKU","")&amp;IF(AND($F493&lt;&gt;"",COUNTIF(tblProductos[SKU],$F493)=0)," · SKU no existe","")&amp;IF(OR($I493="",NOT(ISNUMBER($I493)),$I493&lt;=0)," · Cantidad inválida","")&amp;IF($M493="PRECIO PENDIENTE"," · Falta precio de venta","")&amp;IF($P493="COSTO PENDIENTE"," · Falta costo del producto","")&amp;IF(AND(ISNUMBER($Q493),$Q493&lt;0)," · UTILIDAD NEGATIVA","")&amp;IF(AND($F493&lt;&gt;"",ISNUMBER(INDEX(tblInventario[Stock actual],MATCH($F493,tblInventario[SKU],0))),INDEX(tblInventario[Stock actual],MATCH($F493,tblInventario[SKU],0))&lt;0)," · Stock negativo del SKU","")&amp;IF(AND($T493="Cobrado",$U493="")," · Cobro sin fecha","")&amp;IF(AND(ISNUMBER($V493),ISNUMBER($N493),$V493&gt;N($N493)+0.01)," · Cobrado &gt; venta neta","")&amp;IF(AND(ISNUMBER($V493),$V493&gt;0,$U493="")," · Monto cobrado sin fecha",""),4,900)))</f>
        <v/>
      </c>
    </row>
    <row r="494">
      <c r="A494" s="51">
        <f>IF(COUNTA($B494,$C494,$D494,$E494,$F494,$I494)=0,"","V-"&amp;TEXT(ROW()-6,"0000"))</f>
        <v/>
      </c>
      <c r="B494" s="41" t="n"/>
      <c r="C494" s="33" t="n"/>
      <c r="D494" s="33" t="n"/>
      <c r="E494" s="33" t="n"/>
      <c r="F494" s="33" t="n"/>
      <c r="G494" s="51">
        <f>IF($F494="","",IFERROR(IF(INDEX(tblProductos[Nombre del producto],MATCH($F494,tblProductos[SKU],0))="","",INDEX(tblProductos[Nombre del producto],MATCH($F494,tblProductos[SKU],0))),""))</f>
        <v/>
      </c>
      <c r="H494" s="51">
        <f>IF($F494="","",IFERROR(IF(INDEX(tblProductos[Categoría],MATCH($F494,tblProductos[SKU],0))="","",INDEX(tblProductos[Categoría],MATCH($F494,tblProductos[SKU],0))),""))</f>
        <v/>
      </c>
      <c r="I494" s="34" t="n"/>
      <c r="J494" s="39">
        <f>IF(OR($B494="",$F494="",$I494=""),"",IF($T494="Anulado",0,$I494))</f>
        <v/>
      </c>
      <c r="K494" s="54">
        <f>IF($F494="","",IFERROR(IF(INDEX(tblProductos[Precio de venta actual],MATCH($F494,tblProductos[SKU],0))="","",INDEX(tblProductos[Precio de venta actual],MATCH($F494,tblProductos[SKU],0))),""))</f>
        <v/>
      </c>
      <c r="L494" s="36" t="n"/>
      <c r="M494" s="37">
        <f>IF($J494="","",IF(NOT(ISNUMBER($K494)),"PRECIO PENDIENTE",$J494*$K494))</f>
        <v/>
      </c>
      <c r="N494" s="37">
        <f>IF($J494="","",IF(NOT(ISNUMBER($M494)),"PRECIO PENDIENTE",$M494-IF(ISNUMBER($L494),$L494,0)))</f>
        <v/>
      </c>
      <c r="O494" s="54">
        <f>IF($F494="","",IFERROR(INDEX(tblInventario[Costo unitario aplicado],MATCH($F494,tblInventario[SKU],0)),""))</f>
        <v/>
      </c>
      <c r="P494" s="37">
        <f>IF($J494="","",IF(NOT(ISNUMBER($O494)),"COSTO PENDIENTE",$J494*$O494))</f>
        <v/>
      </c>
      <c r="Q494" s="37">
        <f>IF($J494="","",IF(OR(NOT(ISNUMBER($N494)),NOT(ISNUMBER($P494))),"PENDIENTE",$N494-$P494))</f>
        <v/>
      </c>
      <c r="R494" s="38">
        <f>IF($J494="","",IF(OR(NOT(ISNUMBER($Q494)),NOT(ISNUMBER($N494)),$N494&lt;=0),"PENDIENTE",$Q494/$N494))</f>
        <v/>
      </c>
      <c r="S494" s="33" t="n"/>
      <c r="T494" s="33" t="n"/>
      <c r="U494" s="41" t="n"/>
      <c r="V494" s="36" t="n"/>
      <c r="W494" s="37">
        <f>IF(NOT(ISNUMBER($N494)),"",$N494-IF(ISNUMBER($V494),$V494,0))</f>
        <v/>
      </c>
      <c r="X494" s="33" t="n"/>
      <c r="Y494" s="51">
        <f>IF(COUNTA($B494,$C494,$D494,$E494,$F494,$I494)=0,"",IF(IF($B494=""," · Falta fecha","")&amp;IF($D494=""," · Falta cliente","")&amp;IF($E494=""," · Falta canal","")&amp;IF($F494=""," · Falta SKU","")&amp;IF(AND($F494&lt;&gt;"",COUNTIF(tblProductos[SKU],$F494)=0)," · SKU no existe","")&amp;IF(OR($I494="",NOT(ISNUMBER($I494)),$I494&lt;=0)," · Cantidad inválida","")&amp;IF($M494="PRECIO PENDIENTE"," · Falta precio de venta","")&amp;IF($P494="COSTO PENDIENTE"," · Falta costo del producto","")&amp;IF(AND(ISNUMBER($Q494),$Q494&lt;0)," · UTILIDAD NEGATIVA","")&amp;IF(AND($F494&lt;&gt;"",ISNUMBER(INDEX(tblInventario[Stock actual],MATCH($F494,tblInventario[SKU],0))),INDEX(tblInventario[Stock actual],MATCH($F494,tblInventario[SKU],0))&lt;0)," · Stock negativo del SKU","")&amp;IF(AND($T494="Cobrado",$U494="")," · Cobro sin fecha","")&amp;IF(AND(ISNUMBER($V494),ISNUMBER($N494),$V494&gt;N($N494)+0.01)," · Cobrado &gt; venta neta","")&amp;IF(AND(ISNUMBER($V494),$V494&gt;0,$U494="")," · Monto cobrado sin fecha","")="","OK",MID(IF($B494=""," · Falta fecha","")&amp;IF($D494=""," · Falta cliente","")&amp;IF($E494=""," · Falta canal","")&amp;IF($F494=""," · Falta SKU","")&amp;IF(AND($F494&lt;&gt;"",COUNTIF(tblProductos[SKU],$F494)=0)," · SKU no existe","")&amp;IF(OR($I494="",NOT(ISNUMBER($I494)),$I494&lt;=0)," · Cantidad inválida","")&amp;IF($M494="PRECIO PENDIENTE"," · Falta precio de venta","")&amp;IF($P494="COSTO PENDIENTE"," · Falta costo del producto","")&amp;IF(AND(ISNUMBER($Q494),$Q494&lt;0)," · UTILIDAD NEGATIVA","")&amp;IF(AND($F494&lt;&gt;"",ISNUMBER(INDEX(tblInventario[Stock actual],MATCH($F494,tblInventario[SKU],0))),INDEX(tblInventario[Stock actual],MATCH($F494,tblInventario[SKU],0))&lt;0)," · Stock negativo del SKU","")&amp;IF(AND($T494="Cobrado",$U494="")," · Cobro sin fecha","")&amp;IF(AND(ISNUMBER($V494),ISNUMBER($N494),$V494&gt;N($N494)+0.01)," · Cobrado &gt; venta neta","")&amp;IF(AND(ISNUMBER($V494),$V494&gt;0,$U494="")," · Monto cobrado sin fecha",""),4,900)))</f>
        <v/>
      </c>
    </row>
    <row r="495">
      <c r="A495" s="51">
        <f>IF(COUNTA($B495,$C495,$D495,$E495,$F495,$I495)=0,"","V-"&amp;TEXT(ROW()-6,"0000"))</f>
        <v/>
      </c>
      <c r="B495" s="41" t="n"/>
      <c r="C495" s="33" t="n"/>
      <c r="D495" s="33" t="n"/>
      <c r="E495" s="33" t="n"/>
      <c r="F495" s="33" t="n"/>
      <c r="G495" s="51">
        <f>IF($F495="","",IFERROR(IF(INDEX(tblProductos[Nombre del producto],MATCH($F495,tblProductos[SKU],0))="","",INDEX(tblProductos[Nombre del producto],MATCH($F495,tblProductos[SKU],0))),""))</f>
        <v/>
      </c>
      <c r="H495" s="51">
        <f>IF($F495="","",IFERROR(IF(INDEX(tblProductos[Categoría],MATCH($F495,tblProductos[SKU],0))="","",INDEX(tblProductos[Categoría],MATCH($F495,tblProductos[SKU],0))),""))</f>
        <v/>
      </c>
      <c r="I495" s="34" t="n"/>
      <c r="J495" s="39">
        <f>IF(OR($B495="",$F495="",$I495=""),"",IF($T495="Anulado",0,$I495))</f>
        <v/>
      </c>
      <c r="K495" s="54">
        <f>IF($F495="","",IFERROR(IF(INDEX(tblProductos[Precio de venta actual],MATCH($F495,tblProductos[SKU],0))="","",INDEX(tblProductos[Precio de venta actual],MATCH($F495,tblProductos[SKU],0))),""))</f>
        <v/>
      </c>
      <c r="L495" s="36" t="n"/>
      <c r="M495" s="37">
        <f>IF($J495="","",IF(NOT(ISNUMBER($K495)),"PRECIO PENDIENTE",$J495*$K495))</f>
        <v/>
      </c>
      <c r="N495" s="37">
        <f>IF($J495="","",IF(NOT(ISNUMBER($M495)),"PRECIO PENDIENTE",$M495-IF(ISNUMBER($L495),$L495,0)))</f>
        <v/>
      </c>
      <c r="O495" s="54">
        <f>IF($F495="","",IFERROR(INDEX(tblInventario[Costo unitario aplicado],MATCH($F495,tblInventario[SKU],0)),""))</f>
        <v/>
      </c>
      <c r="P495" s="37">
        <f>IF($J495="","",IF(NOT(ISNUMBER($O495)),"COSTO PENDIENTE",$J495*$O495))</f>
        <v/>
      </c>
      <c r="Q495" s="37">
        <f>IF($J495="","",IF(OR(NOT(ISNUMBER($N495)),NOT(ISNUMBER($P495))),"PENDIENTE",$N495-$P495))</f>
        <v/>
      </c>
      <c r="R495" s="38">
        <f>IF($J495="","",IF(OR(NOT(ISNUMBER($Q495)),NOT(ISNUMBER($N495)),$N495&lt;=0),"PENDIENTE",$Q495/$N495))</f>
        <v/>
      </c>
      <c r="S495" s="33" t="n"/>
      <c r="T495" s="33" t="n"/>
      <c r="U495" s="41" t="n"/>
      <c r="V495" s="36" t="n"/>
      <c r="W495" s="37">
        <f>IF(NOT(ISNUMBER($N495)),"",$N495-IF(ISNUMBER($V495),$V495,0))</f>
        <v/>
      </c>
      <c r="X495" s="33" t="n"/>
      <c r="Y495" s="51">
        <f>IF(COUNTA($B495,$C495,$D495,$E495,$F495,$I495)=0,"",IF(IF($B495=""," · Falta fecha","")&amp;IF($D495=""," · Falta cliente","")&amp;IF($E495=""," · Falta canal","")&amp;IF($F495=""," · Falta SKU","")&amp;IF(AND($F495&lt;&gt;"",COUNTIF(tblProductos[SKU],$F495)=0)," · SKU no existe","")&amp;IF(OR($I495="",NOT(ISNUMBER($I495)),$I495&lt;=0)," · Cantidad inválida","")&amp;IF($M495="PRECIO PENDIENTE"," · Falta precio de venta","")&amp;IF($P495="COSTO PENDIENTE"," · Falta costo del producto","")&amp;IF(AND(ISNUMBER($Q495),$Q495&lt;0)," · UTILIDAD NEGATIVA","")&amp;IF(AND($F495&lt;&gt;"",ISNUMBER(INDEX(tblInventario[Stock actual],MATCH($F495,tblInventario[SKU],0))),INDEX(tblInventario[Stock actual],MATCH($F495,tblInventario[SKU],0))&lt;0)," · Stock negativo del SKU","")&amp;IF(AND($T495="Cobrado",$U495="")," · Cobro sin fecha","")&amp;IF(AND(ISNUMBER($V495),ISNUMBER($N495),$V495&gt;N($N495)+0.01)," · Cobrado &gt; venta neta","")&amp;IF(AND(ISNUMBER($V495),$V495&gt;0,$U495="")," · Monto cobrado sin fecha","")="","OK",MID(IF($B495=""," · Falta fecha","")&amp;IF($D495=""," · Falta cliente","")&amp;IF($E495=""," · Falta canal","")&amp;IF($F495=""," · Falta SKU","")&amp;IF(AND($F495&lt;&gt;"",COUNTIF(tblProductos[SKU],$F495)=0)," · SKU no existe","")&amp;IF(OR($I495="",NOT(ISNUMBER($I495)),$I495&lt;=0)," · Cantidad inválida","")&amp;IF($M495="PRECIO PENDIENTE"," · Falta precio de venta","")&amp;IF($P495="COSTO PENDIENTE"," · Falta costo del producto","")&amp;IF(AND(ISNUMBER($Q495),$Q495&lt;0)," · UTILIDAD NEGATIVA","")&amp;IF(AND($F495&lt;&gt;"",ISNUMBER(INDEX(tblInventario[Stock actual],MATCH($F495,tblInventario[SKU],0))),INDEX(tblInventario[Stock actual],MATCH($F495,tblInventario[SKU],0))&lt;0)," · Stock negativo del SKU","")&amp;IF(AND($T495="Cobrado",$U495="")," · Cobro sin fecha","")&amp;IF(AND(ISNUMBER($V495),ISNUMBER($N495),$V495&gt;N($N495)+0.01)," · Cobrado &gt; venta neta","")&amp;IF(AND(ISNUMBER($V495),$V495&gt;0,$U495="")," · Monto cobrado sin fecha",""),4,900)))</f>
        <v/>
      </c>
    </row>
    <row r="496">
      <c r="A496" s="51">
        <f>IF(COUNTA($B496,$C496,$D496,$E496,$F496,$I496)=0,"","V-"&amp;TEXT(ROW()-6,"0000"))</f>
        <v/>
      </c>
      <c r="B496" s="41" t="n"/>
      <c r="C496" s="33" t="n"/>
      <c r="D496" s="33" t="n"/>
      <c r="E496" s="33" t="n"/>
      <c r="F496" s="33" t="n"/>
      <c r="G496" s="51">
        <f>IF($F496="","",IFERROR(IF(INDEX(tblProductos[Nombre del producto],MATCH($F496,tblProductos[SKU],0))="","",INDEX(tblProductos[Nombre del producto],MATCH($F496,tblProductos[SKU],0))),""))</f>
        <v/>
      </c>
      <c r="H496" s="51">
        <f>IF($F496="","",IFERROR(IF(INDEX(tblProductos[Categoría],MATCH($F496,tblProductos[SKU],0))="","",INDEX(tblProductos[Categoría],MATCH($F496,tblProductos[SKU],0))),""))</f>
        <v/>
      </c>
      <c r="I496" s="34" t="n"/>
      <c r="J496" s="39">
        <f>IF(OR($B496="",$F496="",$I496=""),"",IF($T496="Anulado",0,$I496))</f>
        <v/>
      </c>
      <c r="K496" s="54">
        <f>IF($F496="","",IFERROR(IF(INDEX(tblProductos[Precio de venta actual],MATCH($F496,tblProductos[SKU],0))="","",INDEX(tblProductos[Precio de venta actual],MATCH($F496,tblProductos[SKU],0))),""))</f>
        <v/>
      </c>
      <c r="L496" s="36" t="n"/>
      <c r="M496" s="37">
        <f>IF($J496="","",IF(NOT(ISNUMBER($K496)),"PRECIO PENDIENTE",$J496*$K496))</f>
        <v/>
      </c>
      <c r="N496" s="37">
        <f>IF($J496="","",IF(NOT(ISNUMBER($M496)),"PRECIO PENDIENTE",$M496-IF(ISNUMBER($L496),$L496,0)))</f>
        <v/>
      </c>
      <c r="O496" s="54">
        <f>IF($F496="","",IFERROR(INDEX(tblInventario[Costo unitario aplicado],MATCH($F496,tblInventario[SKU],0)),""))</f>
        <v/>
      </c>
      <c r="P496" s="37">
        <f>IF($J496="","",IF(NOT(ISNUMBER($O496)),"COSTO PENDIENTE",$J496*$O496))</f>
        <v/>
      </c>
      <c r="Q496" s="37">
        <f>IF($J496="","",IF(OR(NOT(ISNUMBER($N496)),NOT(ISNUMBER($P496))),"PENDIENTE",$N496-$P496))</f>
        <v/>
      </c>
      <c r="R496" s="38">
        <f>IF($J496="","",IF(OR(NOT(ISNUMBER($Q496)),NOT(ISNUMBER($N496)),$N496&lt;=0),"PENDIENTE",$Q496/$N496))</f>
        <v/>
      </c>
      <c r="S496" s="33" t="n"/>
      <c r="T496" s="33" t="n"/>
      <c r="U496" s="41" t="n"/>
      <c r="V496" s="36" t="n"/>
      <c r="W496" s="37">
        <f>IF(NOT(ISNUMBER($N496)),"",$N496-IF(ISNUMBER($V496),$V496,0))</f>
        <v/>
      </c>
      <c r="X496" s="33" t="n"/>
      <c r="Y496" s="51">
        <f>IF(COUNTA($B496,$C496,$D496,$E496,$F496,$I496)=0,"",IF(IF($B496=""," · Falta fecha","")&amp;IF($D496=""," · Falta cliente","")&amp;IF($E496=""," · Falta canal","")&amp;IF($F496=""," · Falta SKU","")&amp;IF(AND($F496&lt;&gt;"",COUNTIF(tblProductos[SKU],$F496)=0)," · SKU no existe","")&amp;IF(OR($I496="",NOT(ISNUMBER($I496)),$I496&lt;=0)," · Cantidad inválida","")&amp;IF($M496="PRECIO PENDIENTE"," · Falta precio de venta","")&amp;IF($P496="COSTO PENDIENTE"," · Falta costo del producto","")&amp;IF(AND(ISNUMBER($Q496),$Q496&lt;0)," · UTILIDAD NEGATIVA","")&amp;IF(AND($F496&lt;&gt;"",ISNUMBER(INDEX(tblInventario[Stock actual],MATCH($F496,tblInventario[SKU],0))),INDEX(tblInventario[Stock actual],MATCH($F496,tblInventario[SKU],0))&lt;0)," · Stock negativo del SKU","")&amp;IF(AND($T496="Cobrado",$U496="")," · Cobro sin fecha","")&amp;IF(AND(ISNUMBER($V496),ISNUMBER($N496),$V496&gt;N($N496)+0.01)," · Cobrado &gt; venta neta","")&amp;IF(AND(ISNUMBER($V496),$V496&gt;0,$U496="")," · Monto cobrado sin fecha","")="","OK",MID(IF($B496=""," · Falta fecha","")&amp;IF($D496=""," · Falta cliente","")&amp;IF($E496=""," · Falta canal","")&amp;IF($F496=""," · Falta SKU","")&amp;IF(AND($F496&lt;&gt;"",COUNTIF(tblProductos[SKU],$F496)=0)," · SKU no existe","")&amp;IF(OR($I496="",NOT(ISNUMBER($I496)),$I496&lt;=0)," · Cantidad inválida","")&amp;IF($M496="PRECIO PENDIENTE"," · Falta precio de venta","")&amp;IF($P496="COSTO PENDIENTE"," · Falta costo del producto","")&amp;IF(AND(ISNUMBER($Q496),$Q496&lt;0)," · UTILIDAD NEGATIVA","")&amp;IF(AND($F496&lt;&gt;"",ISNUMBER(INDEX(tblInventario[Stock actual],MATCH($F496,tblInventario[SKU],0))),INDEX(tblInventario[Stock actual],MATCH($F496,tblInventario[SKU],0))&lt;0)," · Stock negativo del SKU","")&amp;IF(AND($T496="Cobrado",$U496="")," · Cobro sin fecha","")&amp;IF(AND(ISNUMBER($V496),ISNUMBER($N496),$V496&gt;N($N496)+0.01)," · Cobrado &gt; venta neta","")&amp;IF(AND(ISNUMBER($V496),$V496&gt;0,$U496="")," · Monto cobrado sin fecha",""),4,900)))</f>
        <v/>
      </c>
    </row>
    <row r="497">
      <c r="A497" s="51">
        <f>IF(COUNTA($B497,$C497,$D497,$E497,$F497,$I497)=0,"","V-"&amp;TEXT(ROW()-6,"0000"))</f>
        <v/>
      </c>
      <c r="B497" s="41" t="n"/>
      <c r="C497" s="33" t="n"/>
      <c r="D497" s="33" t="n"/>
      <c r="E497" s="33" t="n"/>
      <c r="F497" s="33" t="n"/>
      <c r="G497" s="51">
        <f>IF($F497="","",IFERROR(IF(INDEX(tblProductos[Nombre del producto],MATCH($F497,tblProductos[SKU],0))="","",INDEX(tblProductos[Nombre del producto],MATCH($F497,tblProductos[SKU],0))),""))</f>
        <v/>
      </c>
      <c r="H497" s="51">
        <f>IF($F497="","",IFERROR(IF(INDEX(tblProductos[Categoría],MATCH($F497,tblProductos[SKU],0))="","",INDEX(tblProductos[Categoría],MATCH($F497,tblProductos[SKU],0))),""))</f>
        <v/>
      </c>
      <c r="I497" s="34" t="n"/>
      <c r="J497" s="39">
        <f>IF(OR($B497="",$F497="",$I497=""),"",IF($T497="Anulado",0,$I497))</f>
        <v/>
      </c>
      <c r="K497" s="54">
        <f>IF($F497="","",IFERROR(IF(INDEX(tblProductos[Precio de venta actual],MATCH($F497,tblProductos[SKU],0))="","",INDEX(tblProductos[Precio de venta actual],MATCH($F497,tblProductos[SKU],0))),""))</f>
        <v/>
      </c>
      <c r="L497" s="36" t="n"/>
      <c r="M497" s="37">
        <f>IF($J497="","",IF(NOT(ISNUMBER($K497)),"PRECIO PENDIENTE",$J497*$K497))</f>
        <v/>
      </c>
      <c r="N497" s="37">
        <f>IF($J497="","",IF(NOT(ISNUMBER($M497)),"PRECIO PENDIENTE",$M497-IF(ISNUMBER($L497),$L497,0)))</f>
        <v/>
      </c>
      <c r="O497" s="54">
        <f>IF($F497="","",IFERROR(INDEX(tblInventario[Costo unitario aplicado],MATCH($F497,tblInventario[SKU],0)),""))</f>
        <v/>
      </c>
      <c r="P497" s="37">
        <f>IF($J497="","",IF(NOT(ISNUMBER($O497)),"COSTO PENDIENTE",$J497*$O497))</f>
        <v/>
      </c>
      <c r="Q497" s="37">
        <f>IF($J497="","",IF(OR(NOT(ISNUMBER($N497)),NOT(ISNUMBER($P497))),"PENDIENTE",$N497-$P497))</f>
        <v/>
      </c>
      <c r="R497" s="38">
        <f>IF($J497="","",IF(OR(NOT(ISNUMBER($Q497)),NOT(ISNUMBER($N497)),$N497&lt;=0),"PENDIENTE",$Q497/$N497))</f>
        <v/>
      </c>
      <c r="S497" s="33" t="n"/>
      <c r="T497" s="33" t="n"/>
      <c r="U497" s="41" t="n"/>
      <c r="V497" s="36" t="n"/>
      <c r="W497" s="37">
        <f>IF(NOT(ISNUMBER($N497)),"",$N497-IF(ISNUMBER($V497),$V497,0))</f>
        <v/>
      </c>
      <c r="X497" s="33" t="n"/>
      <c r="Y497" s="51">
        <f>IF(COUNTA($B497,$C497,$D497,$E497,$F497,$I497)=0,"",IF(IF($B497=""," · Falta fecha","")&amp;IF($D497=""," · Falta cliente","")&amp;IF($E497=""," · Falta canal","")&amp;IF($F497=""," · Falta SKU","")&amp;IF(AND($F497&lt;&gt;"",COUNTIF(tblProductos[SKU],$F497)=0)," · SKU no existe","")&amp;IF(OR($I497="",NOT(ISNUMBER($I497)),$I497&lt;=0)," · Cantidad inválida","")&amp;IF($M497="PRECIO PENDIENTE"," · Falta precio de venta","")&amp;IF($P497="COSTO PENDIENTE"," · Falta costo del producto","")&amp;IF(AND(ISNUMBER($Q497),$Q497&lt;0)," · UTILIDAD NEGATIVA","")&amp;IF(AND($F497&lt;&gt;"",ISNUMBER(INDEX(tblInventario[Stock actual],MATCH($F497,tblInventario[SKU],0))),INDEX(tblInventario[Stock actual],MATCH($F497,tblInventario[SKU],0))&lt;0)," · Stock negativo del SKU","")&amp;IF(AND($T497="Cobrado",$U497="")," · Cobro sin fecha","")&amp;IF(AND(ISNUMBER($V497),ISNUMBER($N497),$V497&gt;N($N497)+0.01)," · Cobrado &gt; venta neta","")&amp;IF(AND(ISNUMBER($V497),$V497&gt;0,$U497="")," · Monto cobrado sin fecha","")="","OK",MID(IF($B497=""," · Falta fecha","")&amp;IF($D497=""," · Falta cliente","")&amp;IF($E497=""," · Falta canal","")&amp;IF($F497=""," · Falta SKU","")&amp;IF(AND($F497&lt;&gt;"",COUNTIF(tblProductos[SKU],$F497)=0)," · SKU no existe","")&amp;IF(OR($I497="",NOT(ISNUMBER($I497)),$I497&lt;=0)," · Cantidad inválida","")&amp;IF($M497="PRECIO PENDIENTE"," · Falta precio de venta","")&amp;IF($P497="COSTO PENDIENTE"," · Falta costo del producto","")&amp;IF(AND(ISNUMBER($Q497),$Q497&lt;0)," · UTILIDAD NEGATIVA","")&amp;IF(AND($F497&lt;&gt;"",ISNUMBER(INDEX(tblInventario[Stock actual],MATCH($F497,tblInventario[SKU],0))),INDEX(tblInventario[Stock actual],MATCH($F497,tblInventario[SKU],0))&lt;0)," · Stock negativo del SKU","")&amp;IF(AND($T497="Cobrado",$U497="")," · Cobro sin fecha","")&amp;IF(AND(ISNUMBER($V497),ISNUMBER($N497),$V497&gt;N($N497)+0.01)," · Cobrado &gt; venta neta","")&amp;IF(AND(ISNUMBER($V497),$V497&gt;0,$U497="")," · Monto cobrado sin fecha",""),4,900)))</f>
        <v/>
      </c>
    </row>
    <row r="498">
      <c r="A498" s="51">
        <f>IF(COUNTA($B498,$C498,$D498,$E498,$F498,$I498)=0,"","V-"&amp;TEXT(ROW()-6,"0000"))</f>
        <v/>
      </c>
      <c r="B498" s="41" t="n"/>
      <c r="C498" s="33" t="n"/>
      <c r="D498" s="33" t="n"/>
      <c r="E498" s="33" t="n"/>
      <c r="F498" s="33" t="n"/>
      <c r="G498" s="51">
        <f>IF($F498="","",IFERROR(IF(INDEX(tblProductos[Nombre del producto],MATCH($F498,tblProductos[SKU],0))="","",INDEX(tblProductos[Nombre del producto],MATCH($F498,tblProductos[SKU],0))),""))</f>
        <v/>
      </c>
      <c r="H498" s="51">
        <f>IF($F498="","",IFERROR(IF(INDEX(tblProductos[Categoría],MATCH($F498,tblProductos[SKU],0))="","",INDEX(tblProductos[Categoría],MATCH($F498,tblProductos[SKU],0))),""))</f>
        <v/>
      </c>
      <c r="I498" s="34" t="n"/>
      <c r="J498" s="39">
        <f>IF(OR($B498="",$F498="",$I498=""),"",IF($T498="Anulado",0,$I498))</f>
        <v/>
      </c>
      <c r="K498" s="54">
        <f>IF($F498="","",IFERROR(IF(INDEX(tblProductos[Precio de venta actual],MATCH($F498,tblProductos[SKU],0))="","",INDEX(tblProductos[Precio de venta actual],MATCH($F498,tblProductos[SKU],0))),""))</f>
        <v/>
      </c>
      <c r="L498" s="36" t="n"/>
      <c r="M498" s="37">
        <f>IF($J498="","",IF(NOT(ISNUMBER($K498)),"PRECIO PENDIENTE",$J498*$K498))</f>
        <v/>
      </c>
      <c r="N498" s="37">
        <f>IF($J498="","",IF(NOT(ISNUMBER($M498)),"PRECIO PENDIENTE",$M498-IF(ISNUMBER($L498),$L498,0)))</f>
        <v/>
      </c>
      <c r="O498" s="54">
        <f>IF($F498="","",IFERROR(INDEX(tblInventario[Costo unitario aplicado],MATCH($F498,tblInventario[SKU],0)),""))</f>
        <v/>
      </c>
      <c r="P498" s="37">
        <f>IF($J498="","",IF(NOT(ISNUMBER($O498)),"COSTO PENDIENTE",$J498*$O498))</f>
        <v/>
      </c>
      <c r="Q498" s="37">
        <f>IF($J498="","",IF(OR(NOT(ISNUMBER($N498)),NOT(ISNUMBER($P498))),"PENDIENTE",$N498-$P498))</f>
        <v/>
      </c>
      <c r="R498" s="38">
        <f>IF($J498="","",IF(OR(NOT(ISNUMBER($Q498)),NOT(ISNUMBER($N498)),$N498&lt;=0),"PENDIENTE",$Q498/$N498))</f>
        <v/>
      </c>
      <c r="S498" s="33" t="n"/>
      <c r="T498" s="33" t="n"/>
      <c r="U498" s="41" t="n"/>
      <c r="V498" s="36" t="n"/>
      <c r="W498" s="37">
        <f>IF(NOT(ISNUMBER($N498)),"",$N498-IF(ISNUMBER($V498),$V498,0))</f>
        <v/>
      </c>
      <c r="X498" s="33" t="n"/>
      <c r="Y498" s="51">
        <f>IF(COUNTA($B498,$C498,$D498,$E498,$F498,$I498)=0,"",IF(IF($B498=""," · Falta fecha","")&amp;IF($D498=""," · Falta cliente","")&amp;IF($E498=""," · Falta canal","")&amp;IF($F498=""," · Falta SKU","")&amp;IF(AND($F498&lt;&gt;"",COUNTIF(tblProductos[SKU],$F498)=0)," · SKU no existe","")&amp;IF(OR($I498="",NOT(ISNUMBER($I498)),$I498&lt;=0)," · Cantidad inválida","")&amp;IF($M498="PRECIO PENDIENTE"," · Falta precio de venta","")&amp;IF($P498="COSTO PENDIENTE"," · Falta costo del producto","")&amp;IF(AND(ISNUMBER($Q498),$Q498&lt;0)," · UTILIDAD NEGATIVA","")&amp;IF(AND($F498&lt;&gt;"",ISNUMBER(INDEX(tblInventario[Stock actual],MATCH($F498,tblInventario[SKU],0))),INDEX(tblInventario[Stock actual],MATCH($F498,tblInventario[SKU],0))&lt;0)," · Stock negativo del SKU","")&amp;IF(AND($T498="Cobrado",$U498="")," · Cobro sin fecha","")&amp;IF(AND(ISNUMBER($V498),ISNUMBER($N498),$V498&gt;N($N498)+0.01)," · Cobrado &gt; venta neta","")&amp;IF(AND(ISNUMBER($V498),$V498&gt;0,$U498="")," · Monto cobrado sin fecha","")="","OK",MID(IF($B498=""," · Falta fecha","")&amp;IF($D498=""," · Falta cliente","")&amp;IF($E498=""," · Falta canal","")&amp;IF($F498=""," · Falta SKU","")&amp;IF(AND($F498&lt;&gt;"",COUNTIF(tblProductos[SKU],$F498)=0)," · SKU no existe","")&amp;IF(OR($I498="",NOT(ISNUMBER($I498)),$I498&lt;=0)," · Cantidad inválida","")&amp;IF($M498="PRECIO PENDIENTE"," · Falta precio de venta","")&amp;IF($P498="COSTO PENDIENTE"," · Falta costo del producto","")&amp;IF(AND(ISNUMBER($Q498),$Q498&lt;0)," · UTILIDAD NEGATIVA","")&amp;IF(AND($F498&lt;&gt;"",ISNUMBER(INDEX(tblInventario[Stock actual],MATCH($F498,tblInventario[SKU],0))),INDEX(tblInventario[Stock actual],MATCH($F498,tblInventario[SKU],0))&lt;0)," · Stock negativo del SKU","")&amp;IF(AND($T498="Cobrado",$U498="")," · Cobro sin fecha","")&amp;IF(AND(ISNUMBER($V498),ISNUMBER($N498),$V498&gt;N($N498)+0.01)," · Cobrado &gt; venta neta","")&amp;IF(AND(ISNUMBER($V498),$V498&gt;0,$U498="")," · Monto cobrado sin fecha",""),4,900)))</f>
        <v/>
      </c>
    </row>
    <row r="499">
      <c r="A499" s="51">
        <f>IF(COUNTA($B499,$C499,$D499,$E499,$F499,$I499)=0,"","V-"&amp;TEXT(ROW()-6,"0000"))</f>
        <v/>
      </c>
      <c r="B499" s="41" t="n"/>
      <c r="C499" s="33" t="n"/>
      <c r="D499" s="33" t="n"/>
      <c r="E499" s="33" t="n"/>
      <c r="F499" s="33" t="n"/>
      <c r="G499" s="51">
        <f>IF($F499="","",IFERROR(IF(INDEX(tblProductos[Nombre del producto],MATCH($F499,tblProductos[SKU],0))="","",INDEX(tblProductos[Nombre del producto],MATCH($F499,tblProductos[SKU],0))),""))</f>
        <v/>
      </c>
      <c r="H499" s="51">
        <f>IF($F499="","",IFERROR(IF(INDEX(tblProductos[Categoría],MATCH($F499,tblProductos[SKU],0))="","",INDEX(tblProductos[Categoría],MATCH($F499,tblProductos[SKU],0))),""))</f>
        <v/>
      </c>
      <c r="I499" s="34" t="n"/>
      <c r="J499" s="39">
        <f>IF(OR($B499="",$F499="",$I499=""),"",IF($T499="Anulado",0,$I499))</f>
        <v/>
      </c>
      <c r="K499" s="54">
        <f>IF($F499="","",IFERROR(IF(INDEX(tblProductos[Precio de venta actual],MATCH($F499,tblProductos[SKU],0))="","",INDEX(tblProductos[Precio de venta actual],MATCH($F499,tblProductos[SKU],0))),""))</f>
        <v/>
      </c>
      <c r="L499" s="36" t="n"/>
      <c r="M499" s="37">
        <f>IF($J499="","",IF(NOT(ISNUMBER($K499)),"PRECIO PENDIENTE",$J499*$K499))</f>
        <v/>
      </c>
      <c r="N499" s="37">
        <f>IF($J499="","",IF(NOT(ISNUMBER($M499)),"PRECIO PENDIENTE",$M499-IF(ISNUMBER($L499),$L499,0)))</f>
        <v/>
      </c>
      <c r="O499" s="54">
        <f>IF($F499="","",IFERROR(INDEX(tblInventario[Costo unitario aplicado],MATCH($F499,tblInventario[SKU],0)),""))</f>
        <v/>
      </c>
      <c r="P499" s="37">
        <f>IF($J499="","",IF(NOT(ISNUMBER($O499)),"COSTO PENDIENTE",$J499*$O499))</f>
        <v/>
      </c>
      <c r="Q499" s="37">
        <f>IF($J499="","",IF(OR(NOT(ISNUMBER($N499)),NOT(ISNUMBER($P499))),"PENDIENTE",$N499-$P499))</f>
        <v/>
      </c>
      <c r="R499" s="38">
        <f>IF($J499="","",IF(OR(NOT(ISNUMBER($Q499)),NOT(ISNUMBER($N499)),$N499&lt;=0),"PENDIENTE",$Q499/$N499))</f>
        <v/>
      </c>
      <c r="S499" s="33" t="n"/>
      <c r="T499" s="33" t="n"/>
      <c r="U499" s="41" t="n"/>
      <c r="V499" s="36" t="n"/>
      <c r="W499" s="37">
        <f>IF(NOT(ISNUMBER($N499)),"",$N499-IF(ISNUMBER($V499),$V499,0))</f>
        <v/>
      </c>
      <c r="X499" s="33" t="n"/>
      <c r="Y499" s="51">
        <f>IF(COUNTA($B499,$C499,$D499,$E499,$F499,$I499)=0,"",IF(IF($B499=""," · Falta fecha","")&amp;IF($D499=""," · Falta cliente","")&amp;IF($E499=""," · Falta canal","")&amp;IF($F499=""," · Falta SKU","")&amp;IF(AND($F499&lt;&gt;"",COUNTIF(tblProductos[SKU],$F499)=0)," · SKU no existe","")&amp;IF(OR($I499="",NOT(ISNUMBER($I499)),$I499&lt;=0)," · Cantidad inválida","")&amp;IF($M499="PRECIO PENDIENTE"," · Falta precio de venta","")&amp;IF($P499="COSTO PENDIENTE"," · Falta costo del producto","")&amp;IF(AND(ISNUMBER($Q499),$Q499&lt;0)," · UTILIDAD NEGATIVA","")&amp;IF(AND($F499&lt;&gt;"",ISNUMBER(INDEX(tblInventario[Stock actual],MATCH($F499,tblInventario[SKU],0))),INDEX(tblInventario[Stock actual],MATCH($F499,tblInventario[SKU],0))&lt;0)," · Stock negativo del SKU","")&amp;IF(AND($T499="Cobrado",$U499="")," · Cobro sin fecha","")&amp;IF(AND(ISNUMBER($V499),ISNUMBER($N499),$V499&gt;N($N499)+0.01)," · Cobrado &gt; venta neta","")&amp;IF(AND(ISNUMBER($V499),$V499&gt;0,$U499="")," · Monto cobrado sin fecha","")="","OK",MID(IF($B499=""," · Falta fecha","")&amp;IF($D499=""," · Falta cliente","")&amp;IF($E499=""," · Falta canal","")&amp;IF($F499=""," · Falta SKU","")&amp;IF(AND($F499&lt;&gt;"",COUNTIF(tblProductos[SKU],$F499)=0)," · SKU no existe","")&amp;IF(OR($I499="",NOT(ISNUMBER($I499)),$I499&lt;=0)," · Cantidad inválida","")&amp;IF($M499="PRECIO PENDIENTE"," · Falta precio de venta","")&amp;IF($P499="COSTO PENDIENTE"," · Falta costo del producto","")&amp;IF(AND(ISNUMBER($Q499),$Q499&lt;0)," · UTILIDAD NEGATIVA","")&amp;IF(AND($F499&lt;&gt;"",ISNUMBER(INDEX(tblInventario[Stock actual],MATCH($F499,tblInventario[SKU],0))),INDEX(tblInventario[Stock actual],MATCH($F499,tblInventario[SKU],0))&lt;0)," · Stock negativo del SKU","")&amp;IF(AND($T499="Cobrado",$U499="")," · Cobro sin fecha","")&amp;IF(AND(ISNUMBER($V499),ISNUMBER($N499),$V499&gt;N($N499)+0.01)," · Cobrado &gt; venta neta","")&amp;IF(AND(ISNUMBER($V499),$V499&gt;0,$U499="")," · Monto cobrado sin fecha",""),4,900)))</f>
        <v/>
      </c>
    </row>
    <row r="500">
      <c r="A500" s="51">
        <f>IF(COUNTA($B500,$C500,$D500,$E500,$F500,$I500)=0,"","V-"&amp;TEXT(ROW()-6,"0000"))</f>
        <v/>
      </c>
      <c r="B500" s="41" t="n"/>
      <c r="C500" s="33" t="n"/>
      <c r="D500" s="33" t="n"/>
      <c r="E500" s="33" t="n"/>
      <c r="F500" s="33" t="n"/>
      <c r="G500" s="51">
        <f>IF($F500="","",IFERROR(IF(INDEX(tblProductos[Nombre del producto],MATCH($F500,tblProductos[SKU],0))="","",INDEX(tblProductos[Nombre del producto],MATCH($F500,tblProductos[SKU],0))),""))</f>
        <v/>
      </c>
      <c r="H500" s="51">
        <f>IF($F500="","",IFERROR(IF(INDEX(tblProductos[Categoría],MATCH($F500,tblProductos[SKU],0))="","",INDEX(tblProductos[Categoría],MATCH($F500,tblProductos[SKU],0))),""))</f>
        <v/>
      </c>
      <c r="I500" s="34" t="n"/>
      <c r="J500" s="39">
        <f>IF(OR($B500="",$F500="",$I500=""),"",IF($T500="Anulado",0,$I500))</f>
        <v/>
      </c>
      <c r="K500" s="54">
        <f>IF($F500="","",IFERROR(IF(INDEX(tblProductos[Precio de venta actual],MATCH($F500,tblProductos[SKU],0))="","",INDEX(tblProductos[Precio de venta actual],MATCH($F500,tblProductos[SKU],0))),""))</f>
        <v/>
      </c>
      <c r="L500" s="36" t="n"/>
      <c r="M500" s="37">
        <f>IF($J500="","",IF(NOT(ISNUMBER($K500)),"PRECIO PENDIENTE",$J500*$K500))</f>
        <v/>
      </c>
      <c r="N500" s="37">
        <f>IF($J500="","",IF(NOT(ISNUMBER($M500)),"PRECIO PENDIENTE",$M500-IF(ISNUMBER($L500),$L500,0)))</f>
        <v/>
      </c>
      <c r="O500" s="54">
        <f>IF($F500="","",IFERROR(INDEX(tblInventario[Costo unitario aplicado],MATCH($F500,tblInventario[SKU],0)),""))</f>
        <v/>
      </c>
      <c r="P500" s="37">
        <f>IF($J500="","",IF(NOT(ISNUMBER($O500)),"COSTO PENDIENTE",$J500*$O500))</f>
        <v/>
      </c>
      <c r="Q500" s="37">
        <f>IF($J500="","",IF(OR(NOT(ISNUMBER($N500)),NOT(ISNUMBER($P500))),"PENDIENTE",$N500-$P500))</f>
        <v/>
      </c>
      <c r="R500" s="38">
        <f>IF($J500="","",IF(OR(NOT(ISNUMBER($Q500)),NOT(ISNUMBER($N500)),$N500&lt;=0),"PENDIENTE",$Q500/$N500))</f>
        <v/>
      </c>
      <c r="S500" s="33" t="n"/>
      <c r="T500" s="33" t="n"/>
      <c r="U500" s="41" t="n"/>
      <c r="V500" s="36" t="n"/>
      <c r="W500" s="37">
        <f>IF(NOT(ISNUMBER($N500)),"",$N500-IF(ISNUMBER($V500),$V500,0))</f>
        <v/>
      </c>
      <c r="X500" s="33" t="n"/>
      <c r="Y500" s="51">
        <f>IF(COUNTA($B500,$C500,$D500,$E500,$F500,$I500)=0,"",IF(IF($B500=""," · Falta fecha","")&amp;IF($D500=""," · Falta cliente","")&amp;IF($E500=""," · Falta canal","")&amp;IF($F500=""," · Falta SKU","")&amp;IF(AND($F500&lt;&gt;"",COUNTIF(tblProductos[SKU],$F500)=0)," · SKU no existe","")&amp;IF(OR($I500="",NOT(ISNUMBER($I500)),$I500&lt;=0)," · Cantidad inválida","")&amp;IF($M500="PRECIO PENDIENTE"," · Falta precio de venta","")&amp;IF($P500="COSTO PENDIENTE"," · Falta costo del producto","")&amp;IF(AND(ISNUMBER($Q500),$Q500&lt;0)," · UTILIDAD NEGATIVA","")&amp;IF(AND($F500&lt;&gt;"",ISNUMBER(INDEX(tblInventario[Stock actual],MATCH($F500,tblInventario[SKU],0))),INDEX(tblInventario[Stock actual],MATCH($F500,tblInventario[SKU],0))&lt;0)," · Stock negativo del SKU","")&amp;IF(AND($T500="Cobrado",$U500="")," · Cobro sin fecha","")&amp;IF(AND(ISNUMBER($V500),ISNUMBER($N500),$V500&gt;N($N500)+0.01)," · Cobrado &gt; venta neta","")&amp;IF(AND(ISNUMBER($V500),$V500&gt;0,$U500="")," · Monto cobrado sin fecha","")="","OK",MID(IF($B500=""," · Falta fecha","")&amp;IF($D500=""," · Falta cliente","")&amp;IF($E500=""," · Falta canal","")&amp;IF($F500=""," · Falta SKU","")&amp;IF(AND($F500&lt;&gt;"",COUNTIF(tblProductos[SKU],$F500)=0)," · SKU no existe","")&amp;IF(OR($I500="",NOT(ISNUMBER($I500)),$I500&lt;=0)," · Cantidad inválida","")&amp;IF($M500="PRECIO PENDIENTE"," · Falta precio de venta","")&amp;IF($P500="COSTO PENDIENTE"," · Falta costo del producto","")&amp;IF(AND(ISNUMBER($Q500),$Q500&lt;0)," · UTILIDAD NEGATIVA","")&amp;IF(AND($F500&lt;&gt;"",ISNUMBER(INDEX(tblInventario[Stock actual],MATCH($F500,tblInventario[SKU],0))),INDEX(tblInventario[Stock actual],MATCH($F500,tblInventario[SKU],0))&lt;0)," · Stock negativo del SKU","")&amp;IF(AND($T500="Cobrado",$U500="")," · Cobro sin fecha","")&amp;IF(AND(ISNUMBER($V500),ISNUMBER($N500),$V500&gt;N($N500)+0.01)," · Cobrado &gt; venta neta","")&amp;IF(AND(ISNUMBER($V500),$V500&gt;0,$U500="")," · Monto cobrado sin fecha",""),4,900)))</f>
        <v/>
      </c>
    </row>
    <row r="501">
      <c r="A501" s="51">
        <f>IF(COUNTA($B501,$C501,$D501,$E501,$F501,$I501)=0,"","V-"&amp;TEXT(ROW()-6,"0000"))</f>
        <v/>
      </c>
      <c r="B501" s="41" t="n"/>
      <c r="C501" s="33" t="n"/>
      <c r="D501" s="33" t="n"/>
      <c r="E501" s="33" t="n"/>
      <c r="F501" s="33" t="n"/>
      <c r="G501" s="51">
        <f>IF($F501="","",IFERROR(IF(INDEX(tblProductos[Nombre del producto],MATCH($F501,tblProductos[SKU],0))="","",INDEX(tblProductos[Nombre del producto],MATCH($F501,tblProductos[SKU],0))),""))</f>
        <v/>
      </c>
      <c r="H501" s="51">
        <f>IF($F501="","",IFERROR(IF(INDEX(tblProductos[Categoría],MATCH($F501,tblProductos[SKU],0))="","",INDEX(tblProductos[Categoría],MATCH($F501,tblProductos[SKU],0))),""))</f>
        <v/>
      </c>
      <c r="I501" s="34" t="n"/>
      <c r="J501" s="39">
        <f>IF(OR($B501="",$F501="",$I501=""),"",IF($T501="Anulado",0,$I501))</f>
        <v/>
      </c>
      <c r="K501" s="54">
        <f>IF($F501="","",IFERROR(IF(INDEX(tblProductos[Precio de venta actual],MATCH($F501,tblProductos[SKU],0))="","",INDEX(tblProductos[Precio de venta actual],MATCH($F501,tblProductos[SKU],0))),""))</f>
        <v/>
      </c>
      <c r="L501" s="36" t="n"/>
      <c r="M501" s="37">
        <f>IF($J501="","",IF(NOT(ISNUMBER($K501)),"PRECIO PENDIENTE",$J501*$K501))</f>
        <v/>
      </c>
      <c r="N501" s="37">
        <f>IF($J501="","",IF(NOT(ISNUMBER($M501)),"PRECIO PENDIENTE",$M501-IF(ISNUMBER($L501),$L501,0)))</f>
        <v/>
      </c>
      <c r="O501" s="54">
        <f>IF($F501="","",IFERROR(INDEX(tblInventario[Costo unitario aplicado],MATCH($F501,tblInventario[SKU],0)),""))</f>
        <v/>
      </c>
      <c r="P501" s="37">
        <f>IF($J501="","",IF(NOT(ISNUMBER($O501)),"COSTO PENDIENTE",$J501*$O501))</f>
        <v/>
      </c>
      <c r="Q501" s="37">
        <f>IF($J501="","",IF(OR(NOT(ISNUMBER($N501)),NOT(ISNUMBER($P501))),"PENDIENTE",$N501-$P501))</f>
        <v/>
      </c>
      <c r="R501" s="38">
        <f>IF($J501="","",IF(OR(NOT(ISNUMBER($Q501)),NOT(ISNUMBER($N501)),$N501&lt;=0),"PENDIENTE",$Q501/$N501))</f>
        <v/>
      </c>
      <c r="S501" s="33" t="n"/>
      <c r="T501" s="33" t="n"/>
      <c r="U501" s="41" t="n"/>
      <c r="V501" s="36" t="n"/>
      <c r="W501" s="37">
        <f>IF(NOT(ISNUMBER($N501)),"",$N501-IF(ISNUMBER($V501),$V501,0))</f>
        <v/>
      </c>
      <c r="X501" s="33" t="n"/>
      <c r="Y501" s="51">
        <f>IF(COUNTA($B501,$C501,$D501,$E501,$F501,$I501)=0,"",IF(IF($B501=""," · Falta fecha","")&amp;IF($D501=""," · Falta cliente","")&amp;IF($E501=""," · Falta canal","")&amp;IF($F501=""," · Falta SKU","")&amp;IF(AND($F501&lt;&gt;"",COUNTIF(tblProductos[SKU],$F501)=0)," · SKU no existe","")&amp;IF(OR($I501="",NOT(ISNUMBER($I501)),$I501&lt;=0)," · Cantidad inválida","")&amp;IF($M501="PRECIO PENDIENTE"," · Falta precio de venta","")&amp;IF($P501="COSTO PENDIENTE"," · Falta costo del producto","")&amp;IF(AND(ISNUMBER($Q501),$Q501&lt;0)," · UTILIDAD NEGATIVA","")&amp;IF(AND($F501&lt;&gt;"",ISNUMBER(INDEX(tblInventario[Stock actual],MATCH($F501,tblInventario[SKU],0))),INDEX(tblInventario[Stock actual],MATCH($F501,tblInventario[SKU],0))&lt;0)," · Stock negativo del SKU","")&amp;IF(AND($T501="Cobrado",$U501="")," · Cobro sin fecha","")&amp;IF(AND(ISNUMBER($V501),ISNUMBER($N501),$V501&gt;N($N501)+0.01)," · Cobrado &gt; venta neta","")&amp;IF(AND(ISNUMBER($V501),$V501&gt;0,$U501="")," · Monto cobrado sin fecha","")="","OK",MID(IF($B501=""," · Falta fecha","")&amp;IF($D501=""," · Falta cliente","")&amp;IF($E501=""," · Falta canal","")&amp;IF($F501=""," · Falta SKU","")&amp;IF(AND($F501&lt;&gt;"",COUNTIF(tblProductos[SKU],$F501)=0)," · SKU no existe","")&amp;IF(OR($I501="",NOT(ISNUMBER($I501)),$I501&lt;=0)," · Cantidad inválida","")&amp;IF($M501="PRECIO PENDIENTE"," · Falta precio de venta","")&amp;IF($P501="COSTO PENDIENTE"," · Falta costo del producto","")&amp;IF(AND(ISNUMBER($Q501),$Q501&lt;0)," · UTILIDAD NEGATIVA","")&amp;IF(AND($F501&lt;&gt;"",ISNUMBER(INDEX(tblInventario[Stock actual],MATCH($F501,tblInventario[SKU],0))),INDEX(tblInventario[Stock actual],MATCH($F501,tblInventario[SKU],0))&lt;0)," · Stock negativo del SKU","")&amp;IF(AND($T501="Cobrado",$U501="")," · Cobro sin fecha","")&amp;IF(AND(ISNUMBER($V501),ISNUMBER($N501),$V501&gt;N($N501)+0.01)," · Cobrado &gt; venta neta","")&amp;IF(AND(ISNUMBER($V501),$V501&gt;0,$U501="")," · Monto cobrado sin fecha",""),4,900)))</f>
        <v/>
      </c>
    </row>
    <row r="502">
      <c r="A502" s="51">
        <f>IF(COUNTA($B502,$C502,$D502,$E502,$F502,$I502)=0,"","V-"&amp;TEXT(ROW()-6,"0000"))</f>
        <v/>
      </c>
      <c r="B502" s="41" t="n"/>
      <c r="C502" s="33" t="n"/>
      <c r="D502" s="33" t="n"/>
      <c r="E502" s="33" t="n"/>
      <c r="F502" s="33" t="n"/>
      <c r="G502" s="51">
        <f>IF($F502="","",IFERROR(IF(INDEX(tblProductos[Nombre del producto],MATCH($F502,tblProductos[SKU],0))="","",INDEX(tblProductos[Nombre del producto],MATCH($F502,tblProductos[SKU],0))),""))</f>
        <v/>
      </c>
      <c r="H502" s="51">
        <f>IF($F502="","",IFERROR(IF(INDEX(tblProductos[Categoría],MATCH($F502,tblProductos[SKU],0))="","",INDEX(tblProductos[Categoría],MATCH($F502,tblProductos[SKU],0))),""))</f>
        <v/>
      </c>
      <c r="I502" s="34" t="n"/>
      <c r="J502" s="39">
        <f>IF(OR($B502="",$F502="",$I502=""),"",IF($T502="Anulado",0,$I502))</f>
        <v/>
      </c>
      <c r="K502" s="54">
        <f>IF($F502="","",IFERROR(IF(INDEX(tblProductos[Precio de venta actual],MATCH($F502,tblProductos[SKU],0))="","",INDEX(tblProductos[Precio de venta actual],MATCH($F502,tblProductos[SKU],0))),""))</f>
        <v/>
      </c>
      <c r="L502" s="36" t="n"/>
      <c r="M502" s="37">
        <f>IF($J502="","",IF(NOT(ISNUMBER($K502)),"PRECIO PENDIENTE",$J502*$K502))</f>
        <v/>
      </c>
      <c r="N502" s="37">
        <f>IF($J502="","",IF(NOT(ISNUMBER($M502)),"PRECIO PENDIENTE",$M502-IF(ISNUMBER($L502),$L502,0)))</f>
        <v/>
      </c>
      <c r="O502" s="54">
        <f>IF($F502="","",IFERROR(INDEX(tblInventario[Costo unitario aplicado],MATCH($F502,tblInventario[SKU],0)),""))</f>
        <v/>
      </c>
      <c r="P502" s="37">
        <f>IF($J502="","",IF(NOT(ISNUMBER($O502)),"COSTO PENDIENTE",$J502*$O502))</f>
        <v/>
      </c>
      <c r="Q502" s="37">
        <f>IF($J502="","",IF(OR(NOT(ISNUMBER($N502)),NOT(ISNUMBER($P502))),"PENDIENTE",$N502-$P502))</f>
        <v/>
      </c>
      <c r="R502" s="38">
        <f>IF($J502="","",IF(OR(NOT(ISNUMBER($Q502)),NOT(ISNUMBER($N502)),$N502&lt;=0),"PENDIENTE",$Q502/$N502))</f>
        <v/>
      </c>
      <c r="S502" s="33" t="n"/>
      <c r="T502" s="33" t="n"/>
      <c r="U502" s="41" t="n"/>
      <c r="V502" s="36" t="n"/>
      <c r="W502" s="37">
        <f>IF(NOT(ISNUMBER($N502)),"",$N502-IF(ISNUMBER($V502),$V502,0))</f>
        <v/>
      </c>
      <c r="X502" s="33" t="n"/>
      <c r="Y502" s="51">
        <f>IF(COUNTA($B502,$C502,$D502,$E502,$F502,$I502)=0,"",IF(IF($B502=""," · Falta fecha","")&amp;IF($D502=""," · Falta cliente","")&amp;IF($E502=""," · Falta canal","")&amp;IF($F502=""," · Falta SKU","")&amp;IF(AND($F502&lt;&gt;"",COUNTIF(tblProductos[SKU],$F502)=0)," · SKU no existe","")&amp;IF(OR($I502="",NOT(ISNUMBER($I502)),$I502&lt;=0)," · Cantidad inválida","")&amp;IF($M502="PRECIO PENDIENTE"," · Falta precio de venta","")&amp;IF($P502="COSTO PENDIENTE"," · Falta costo del producto","")&amp;IF(AND(ISNUMBER($Q502),$Q502&lt;0)," · UTILIDAD NEGATIVA","")&amp;IF(AND($F502&lt;&gt;"",ISNUMBER(INDEX(tblInventario[Stock actual],MATCH($F502,tblInventario[SKU],0))),INDEX(tblInventario[Stock actual],MATCH($F502,tblInventario[SKU],0))&lt;0)," · Stock negativo del SKU","")&amp;IF(AND($T502="Cobrado",$U502="")," · Cobro sin fecha","")&amp;IF(AND(ISNUMBER($V502),ISNUMBER($N502),$V502&gt;N($N502)+0.01)," · Cobrado &gt; venta neta","")&amp;IF(AND(ISNUMBER($V502),$V502&gt;0,$U502="")," · Monto cobrado sin fecha","")="","OK",MID(IF($B502=""," · Falta fecha","")&amp;IF($D502=""," · Falta cliente","")&amp;IF($E502=""," · Falta canal","")&amp;IF($F502=""," · Falta SKU","")&amp;IF(AND($F502&lt;&gt;"",COUNTIF(tblProductos[SKU],$F502)=0)," · SKU no existe","")&amp;IF(OR($I502="",NOT(ISNUMBER($I502)),$I502&lt;=0)," · Cantidad inválida","")&amp;IF($M502="PRECIO PENDIENTE"," · Falta precio de venta","")&amp;IF($P502="COSTO PENDIENTE"," · Falta costo del producto","")&amp;IF(AND(ISNUMBER($Q502),$Q502&lt;0)," · UTILIDAD NEGATIVA","")&amp;IF(AND($F502&lt;&gt;"",ISNUMBER(INDEX(tblInventario[Stock actual],MATCH($F502,tblInventario[SKU],0))),INDEX(tblInventario[Stock actual],MATCH($F502,tblInventario[SKU],0))&lt;0)," · Stock negativo del SKU","")&amp;IF(AND($T502="Cobrado",$U502="")," · Cobro sin fecha","")&amp;IF(AND(ISNUMBER($V502),ISNUMBER($N502),$V502&gt;N($N502)+0.01)," · Cobrado &gt; venta neta","")&amp;IF(AND(ISNUMBER($V502),$V502&gt;0,$U502="")," · Monto cobrado sin fecha",""),4,900)))</f>
        <v/>
      </c>
    </row>
    <row r="503">
      <c r="A503" s="51">
        <f>IF(COUNTA($B503,$C503,$D503,$E503,$F503,$I503)=0,"","V-"&amp;TEXT(ROW()-6,"0000"))</f>
        <v/>
      </c>
      <c r="B503" s="41" t="n"/>
      <c r="C503" s="33" t="n"/>
      <c r="D503" s="33" t="n"/>
      <c r="E503" s="33" t="n"/>
      <c r="F503" s="33" t="n"/>
      <c r="G503" s="51">
        <f>IF($F503="","",IFERROR(IF(INDEX(tblProductos[Nombre del producto],MATCH($F503,tblProductos[SKU],0))="","",INDEX(tblProductos[Nombre del producto],MATCH($F503,tblProductos[SKU],0))),""))</f>
        <v/>
      </c>
      <c r="H503" s="51">
        <f>IF($F503="","",IFERROR(IF(INDEX(tblProductos[Categoría],MATCH($F503,tblProductos[SKU],0))="","",INDEX(tblProductos[Categoría],MATCH($F503,tblProductos[SKU],0))),""))</f>
        <v/>
      </c>
      <c r="I503" s="34" t="n"/>
      <c r="J503" s="39">
        <f>IF(OR($B503="",$F503="",$I503=""),"",IF($T503="Anulado",0,$I503))</f>
        <v/>
      </c>
      <c r="K503" s="54">
        <f>IF($F503="","",IFERROR(IF(INDEX(tblProductos[Precio de venta actual],MATCH($F503,tblProductos[SKU],0))="","",INDEX(tblProductos[Precio de venta actual],MATCH($F503,tblProductos[SKU],0))),""))</f>
        <v/>
      </c>
      <c r="L503" s="36" t="n"/>
      <c r="M503" s="37">
        <f>IF($J503="","",IF(NOT(ISNUMBER($K503)),"PRECIO PENDIENTE",$J503*$K503))</f>
        <v/>
      </c>
      <c r="N503" s="37">
        <f>IF($J503="","",IF(NOT(ISNUMBER($M503)),"PRECIO PENDIENTE",$M503-IF(ISNUMBER($L503),$L503,0)))</f>
        <v/>
      </c>
      <c r="O503" s="54">
        <f>IF($F503="","",IFERROR(INDEX(tblInventario[Costo unitario aplicado],MATCH($F503,tblInventario[SKU],0)),""))</f>
        <v/>
      </c>
      <c r="P503" s="37">
        <f>IF($J503="","",IF(NOT(ISNUMBER($O503)),"COSTO PENDIENTE",$J503*$O503))</f>
        <v/>
      </c>
      <c r="Q503" s="37">
        <f>IF($J503="","",IF(OR(NOT(ISNUMBER($N503)),NOT(ISNUMBER($P503))),"PENDIENTE",$N503-$P503))</f>
        <v/>
      </c>
      <c r="R503" s="38">
        <f>IF($J503="","",IF(OR(NOT(ISNUMBER($Q503)),NOT(ISNUMBER($N503)),$N503&lt;=0),"PENDIENTE",$Q503/$N503))</f>
        <v/>
      </c>
      <c r="S503" s="33" t="n"/>
      <c r="T503" s="33" t="n"/>
      <c r="U503" s="41" t="n"/>
      <c r="V503" s="36" t="n"/>
      <c r="W503" s="37">
        <f>IF(NOT(ISNUMBER($N503)),"",$N503-IF(ISNUMBER($V503),$V503,0))</f>
        <v/>
      </c>
      <c r="X503" s="33" t="n"/>
      <c r="Y503" s="51">
        <f>IF(COUNTA($B503,$C503,$D503,$E503,$F503,$I503)=0,"",IF(IF($B503=""," · Falta fecha","")&amp;IF($D503=""," · Falta cliente","")&amp;IF($E503=""," · Falta canal","")&amp;IF($F503=""," · Falta SKU","")&amp;IF(AND($F503&lt;&gt;"",COUNTIF(tblProductos[SKU],$F503)=0)," · SKU no existe","")&amp;IF(OR($I503="",NOT(ISNUMBER($I503)),$I503&lt;=0)," · Cantidad inválida","")&amp;IF($M503="PRECIO PENDIENTE"," · Falta precio de venta","")&amp;IF($P503="COSTO PENDIENTE"," · Falta costo del producto","")&amp;IF(AND(ISNUMBER($Q503),$Q503&lt;0)," · UTILIDAD NEGATIVA","")&amp;IF(AND($F503&lt;&gt;"",ISNUMBER(INDEX(tblInventario[Stock actual],MATCH($F503,tblInventario[SKU],0))),INDEX(tblInventario[Stock actual],MATCH($F503,tblInventario[SKU],0))&lt;0)," · Stock negativo del SKU","")&amp;IF(AND($T503="Cobrado",$U503="")," · Cobro sin fecha","")&amp;IF(AND(ISNUMBER($V503),ISNUMBER($N503),$V503&gt;N($N503)+0.01)," · Cobrado &gt; venta neta","")&amp;IF(AND(ISNUMBER($V503),$V503&gt;0,$U503="")," · Monto cobrado sin fecha","")="","OK",MID(IF($B503=""," · Falta fecha","")&amp;IF($D503=""," · Falta cliente","")&amp;IF($E503=""," · Falta canal","")&amp;IF($F503=""," · Falta SKU","")&amp;IF(AND($F503&lt;&gt;"",COUNTIF(tblProductos[SKU],$F503)=0)," · SKU no existe","")&amp;IF(OR($I503="",NOT(ISNUMBER($I503)),$I503&lt;=0)," · Cantidad inválida","")&amp;IF($M503="PRECIO PENDIENTE"," · Falta precio de venta","")&amp;IF($P503="COSTO PENDIENTE"," · Falta costo del producto","")&amp;IF(AND(ISNUMBER($Q503),$Q503&lt;0)," · UTILIDAD NEGATIVA","")&amp;IF(AND($F503&lt;&gt;"",ISNUMBER(INDEX(tblInventario[Stock actual],MATCH($F503,tblInventario[SKU],0))),INDEX(tblInventario[Stock actual],MATCH($F503,tblInventario[SKU],0))&lt;0)," · Stock negativo del SKU","")&amp;IF(AND($T503="Cobrado",$U503="")," · Cobro sin fecha","")&amp;IF(AND(ISNUMBER($V503),ISNUMBER($N503),$V503&gt;N($N503)+0.01)," · Cobrado &gt; venta neta","")&amp;IF(AND(ISNUMBER($V503),$V503&gt;0,$U503="")," · Monto cobrado sin fecha",""),4,900)))</f>
        <v/>
      </c>
    </row>
    <row r="504">
      <c r="A504" s="51">
        <f>IF(COUNTA($B504,$C504,$D504,$E504,$F504,$I504)=0,"","V-"&amp;TEXT(ROW()-6,"0000"))</f>
        <v/>
      </c>
      <c r="B504" s="41" t="n"/>
      <c r="C504" s="33" t="n"/>
      <c r="D504" s="33" t="n"/>
      <c r="E504" s="33" t="n"/>
      <c r="F504" s="33" t="n"/>
      <c r="G504" s="51">
        <f>IF($F504="","",IFERROR(IF(INDEX(tblProductos[Nombre del producto],MATCH($F504,tblProductos[SKU],0))="","",INDEX(tblProductos[Nombre del producto],MATCH($F504,tblProductos[SKU],0))),""))</f>
        <v/>
      </c>
      <c r="H504" s="51">
        <f>IF($F504="","",IFERROR(IF(INDEX(tblProductos[Categoría],MATCH($F504,tblProductos[SKU],0))="","",INDEX(tblProductos[Categoría],MATCH($F504,tblProductos[SKU],0))),""))</f>
        <v/>
      </c>
      <c r="I504" s="34" t="n"/>
      <c r="J504" s="39">
        <f>IF(OR($B504="",$F504="",$I504=""),"",IF($T504="Anulado",0,$I504))</f>
        <v/>
      </c>
      <c r="K504" s="54">
        <f>IF($F504="","",IFERROR(IF(INDEX(tblProductos[Precio de venta actual],MATCH($F504,tblProductos[SKU],0))="","",INDEX(tblProductos[Precio de venta actual],MATCH($F504,tblProductos[SKU],0))),""))</f>
        <v/>
      </c>
      <c r="L504" s="36" t="n"/>
      <c r="M504" s="37">
        <f>IF($J504="","",IF(NOT(ISNUMBER($K504)),"PRECIO PENDIENTE",$J504*$K504))</f>
        <v/>
      </c>
      <c r="N504" s="37">
        <f>IF($J504="","",IF(NOT(ISNUMBER($M504)),"PRECIO PENDIENTE",$M504-IF(ISNUMBER($L504),$L504,0)))</f>
        <v/>
      </c>
      <c r="O504" s="54">
        <f>IF($F504="","",IFERROR(INDEX(tblInventario[Costo unitario aplicado],MATCH($F504,tblInventario[SKU],0)),""))</f>
        <v/>
      </c>
      <c r="P504" s="37">
        <f>IF($J504="","",IF(NOT(ISNUMBER($O504)),"COSTO PENDIENTE",$J504*$O504))</f>
        <v/>
      </c>
      <c r="Q504" s="37">
        <f>IF($J504="","",IF(OR(NOT(ISNUMBER($N504)),NOT(ISNUMBER($P504))),"PENDIENTE",$N504-$P504))</f>
        <v/>
      </c>
      <c r="R504" s="38">
        <f>IF($J504="","",IF(OR(NOT(ISNUMBER($Q504)),NOT(ISNUMBER($N504)),$N504&lt;=0),"PENDIENTE",$Q504/$N504))</f>
        <v/>
      </c>
      <c r="S504" s="33" t="n"/>
      <c r="T504" s="33" t="n"/>
      <c r="U504" s="41" t="n"/>
      <c r="V504" s="36" t="n"/>
      <c r="W504" s="37">
        <f>IF(NOT(ISNUMBER($N504)),"",$N504-IF(ISNUMBER($V504),$V504,0))</f>
        <v/>
      </c>
      <c r="X504" s="33" t="n"/>
      <c r="Y504" s="51">
        <f>IF(COUNTA($B504,$C504,$D504,$E504,$F504,$I504)=0,"",IF(IF($B504=""," · Falta fecha","")&amp;IF($D504=""," · Falta cliente","")&amp;IF($E504=""," · Falta canal","")&amp;IF($F504=""," · Falta SKU","")&amp;IF(AND($F504&lt;&gt;"",COUNTIF(tblProductos[SKU],$F504)=0)," · SKU no existe","")&amp;IF(OR($I504="",NOT(ISNUMBER($I504)),$I504&lt;=0)," · Cantidad inválida","")&amp;IF($M504="PRECIO PENDIENTE"," · Falta precio de venta","")&amp;IF($P504="COSTO PENDIENTE"," · Falta costo del producto","")&amp;IF(AND(ISNUMBER($Q504),$Q504&lt;0)," · UTILIDAD NEGATIVA","")&amp;IF(AND($F504&lt;&gt;"",ISNUMBER(INDEX(tblInventario[Stock actual],MATCH($F504,tblInventario[SKU],0))),INDEX(tblInventario[Stock actual],MATCH($F504,tblInventario[SKU],0))&lt;0)," · Stock negativo del SKU","")&amp;IF(AND($T504="Cobrado",$U504="")," · Cobro sin fecha","")&amp;IF(AND(ISNUMBER($V504),ISNUMBER($N504),$V504&gt;N($N504)+0.01)," · Cobrado &gt; venta neta","")&amp;IF(AND(ISNUMBER($V504),$V504&gt;0,$U504="")," · Monto cobrado sin fecha","")="","OK",MID(IF($B504=""," · Falta fecha","")&amp;IF($D504=""," · Falta cliente","")&amp;IF($E504=""," · Falta canal","")&amp;IF($F504=""," · Falta SKU","")&amp;IF(AND($F504&lt;&gt;"",COUNTIF(tblProductos[SKU],$F504)=0)," · SKU no existe","")&amp;IF(OR($I504="",NOT(ISNUMBER($I504)),$I504&lt;=0)," · Cantidad inválida","")&amp;IF($M504="PRECIO PENDIENTE"," · Falta precio de venta","")&amp;IF($P504="COSTO PENDIENTE"," · Falta costo del producto","")&amp;IF(AND(ISNUMBER($Q504),$Q504&lt;0)," · UTILIDAD NEGATIVA","")&amp;IF(AND($F504&lt;&gt;"",ISNUMBER(INDEX(tblInventario[Stock actual],MATCH($F504,tblInventario[SKU],0))),INDEX(tblInventario[Stock actual],MATCH($F504,tblInventario[SKU],0))&lt;0)," · Stock negativo del SKU","")&amp;IF(AND($T504="Cobrado",$U504="")," · Cobro sin fecha","")&amp;IF(AND(ISNUMBER($V504),ISNUMBER($N504),$V504&gt;N($N504)+0.01)," · Cobrado &gt; venta neta","")&amp;IF(AND(ISNUMBER($V504),$V504&gt;0,$U504="")," · Monto cobrado sin fecha",""),4,900)))</f>
        <v/>
      </c>
    </row>
    <row r="505">
      <c r="A505" s="51">
        <f>IF(COUNTA($B505,$C505,$D505,$E505,$F505,$I505)=0,"","V-"&amp;TEXT(ROW()-6,"0000"))</f>
        <v/>
      </c>
      <c r="B505" s="41" t="n"/>
      <c r="C505" s="33" t="n"/>
      <c r="D505" s="33" t="n"/>
      <c r="E505" s="33" t="n"/>
      <c r="F505" s="33" t="n"/>
      <c r="G505" s="51">
        <f>IF($F505="","",IFERROR(IF(INDEX(tblProductos[Nombre del producto],MATCH($F505,tblProductos[SKU],0))="","",INDEX(tblProductos[Nombre del producto],MATCH($F505,tblProductos[SKU],0))),""))</f>
        <v/>
      </c>
      <c r="H505" s="51">
        <f>IF($F505="","",IFERROR(IF(INDEX(tblProductos[Categoría],MATCH($F505,tblProductos[SKU],0))="","",INDEX(tblProductos[Categoría],MATCH($F505,tblProductos[SKU],0))),""))</f>
        <v/>
      </c>
      <c r="I505" s="34" t="n"/>
      <c r="J505" s="39">
        <f>IF(OR($B505="",$F505="",$I505=""),"",IF($T505="Anulado",0,$I505))</f>
        <v/>
      </c>
      <c r="K505" s="54">
        <f>IF($F505="","",IFERROR(IF(INDEX(tblProductos[Precio de venta actual],MATCH($F505,tblProductos[SKU],0))="","",INDEX(tblProductos[Precio de venta actual],MATCH($F505,tblProductos[SKU],0))),""))</f>
        <v/>
      </c>
      <c r="L505" s="36" t="n"/>
      <c r="M505" s="37">
        <f>IF($J505="","",IF(NOT(ISNUMBER($K505)),"PRECIO PENDIENTE",$J505*$K505))</f>
        <v/>
      </c>
      <c r="N505" s="37">
        <f>IF($J505="","",IF(NOT(ISNUMBER($M505)),"PRECIO PENDIENTE",$M505-IF(ISNUMBER($L505),$L505,0)))</f>
        <v/>
      </c>
      <c r="O505" s="54">
        <f>IF($F505="","",IFERROR(INDEX(tblInventario[Costo unitario aplicado],MATCH($F505,tblInventario[SKU],0)),""))</f>
        <v/>
      </c>
      <c r="P505" s="37">
        <f>IF($J505="","",IF(NOT(ISNUMBER($O505)),"COSTO PENDIENTE",$J505*$O505))</f>
        <v/>
      </c>
      <c r="Q505" s="37">
        <f>IF($J505="","",IF(OR(NOT(ISNUMBER($N505)),NOT(ISNUMBER($P505))),"PENDIENTE",$N505-$P505))</f>
        <v/>
      </c>
      <c r="R505" s="38">
        <f>IF($J505="","",IF(OR(NOT(ISNUMBER($Q505)),NOT(ISNUMBER($N505)),$N505&lt;=0),"PENDIENTE",$Q505/$N505))</f>
        <v/>
      </c>
      <c r="S505" s="33" t="n"/>
      <c r="T505" s="33" t="n"/>
      <c r="U505" s="41" t="n"/>
      <c r="V505" s="36" t="n"/>
      <c r="W505" s="37">
        <f>IF(NOT(ISNUMBER($N505)),"",$N505-IF(ISNUMBER($V505),$V505,0))</f>
        <v/>
      </c>
      <c r="X505" s="33" t="n"/>
      <c r="Y505" s="51">
        <f>IF(COUNTA($B505,$C505,$D505,$E505,$F505,$I505)=0,"",IF(IF($B505=""," · Falta fecha","")&amp;IF($D505=""," · Falta cliente","")&amp;IF($E505=""," · Falta canal","")&amp;IF($F505=""," · Falta SKU","")&amp;IF(AND($F505&lt;&gt;"",COUNTIF(tblProductos[SKU],$F505)=0)," · SKU no existe","")&amp;IF(OR($I505="",NOT(ISNUMBER($I505)),$I505&lt;=0)," · Cantidad inválida","")&amp;IF($M505="PRECIO PENDIENTE"," · Falta precio de venta","")&amp;IF($P505="COSTO PENDIENTE"," · Falta costo del producto","")&amp;IF(AND(ISNUMBER($Q505),$Q505&lt;0)," · UTILIDAD NEGATIVA","")&amp;IF(AND($F505&lt;&gt;"",ISNUMBER(INDEX(tblInventario[Stock actual],MATCH($F505,tblInventario[SKU],0))),INDEX(tblInventario[Stock actual],MATCH($F505,tblInventario[SKU],0))&lt;0)," · Stock negativo del SKU","")&amp;IF(AND($T505="Cobrado",$U505="")," · Cobro sin fecha","")&amp;IF(AND(ISNUMBER($V505),ISNUMBER($N505),$V505&gt;N($N505)+0.01)," · Cobrado &gt; venta neta","")&amp;IF(AND(ISNUMBER($V505),$V505&gt;0,$U505="")," · Monto cobrado sin fecha","")="","OK",MID(IF($B505=""," · Falta fecha","")&amp;IF($D505=""," · Falta cliente","")&amp;IF($E505=""," · Falta canal","")&amp;IF($F505=""," · Falta SKU","")&amp;IF(AND($F505&lt;&gt;"",COUNTIF(tblProductos[SKU],$F505)=0)," · SKU no existe","")&amp;IF(OR($I505="",NOT(ISNUMBER($I505)),$I505&lt;=0)," · Cantidad inválida","")&amp;IF($M505="PRECIO PENDIENTE"," · Falta precio de venta","")&amp;IF($P505="COSTO PENDIENTE"," · Falta costo del producto","")&amp;IF(AND(ISNUMBER($Q505),$Q505&lt;0)," · UTILIDAD NEGATIVA","")&amp;IF(AND($F505&lt;&gt;"",ISNUMBER(INDEX(tblInventario[Stock actual],MATCH($F505,tblInventario[SKU],0))),INDEX(tblInventario[Stock actual],MATCH($F505,tblInventario[SKU],0))&lt;0)," · Stock negativo del SKU","")&amp;IF(AND($T505="Cobrado",$U505="")," · Cobro sin fecha","")&amp;IF(AND(ISNUMBER($V505),ISNUMBER($N505),$V505&gt;N($N505)+0.01)," · Cobrado &gt; venta neta","")&amp;IF(AND(ISNUMBER($V505),$V505&gt;0,$U505="")," · Monto cobrado sin fecha",""),4,900)))</f>
        <v/>
      </c>
    </row>
    <row r="506">
      <c r="A506" s="51">
        <f>IF(COUNTA($B506,$C506,$D506,$E506,$F506,$I506)=0,"","V-"&amp;TEXT(ROW()-6,"0000"))</f>
        <v/>
      </c>
      <c r="B506" s="41" t="n"/>
      <c r="C506" s="33" t="n"/>
      <c r="D506" s="33" t="n"/>
      <c r="E506" s="33" t="n"/>
      <c r="F506" s="33" t="n"/>
      <c r="G506" s="51">
        <f>IF($F506="","",IFERROR(IF(INDEX(tblProductos[Nombre del producto],MATCH($F506,tblProductos[SKU],0))="","",INDEX(tblProductos[Nombre del producto],MATCH($F506,tblProductos[SKU],0))),""))</f>
        <v/>
      </c>
      <c r="H506" s="51">
        <f>IF($F506="","",IFERROR(IF(INDEX(tblProductos[Categoría],MATCH($F506,tblProductos[SKU],0))="","",INDEX(tblProductos[Categoría],MATCH($F506,tblProductos[SKU],0))),""))</f>
        <v/>
      </c>
      <c r="I506" s="34" t="n"/>
      <c r="J506" s="39">
        <f>IF(OR($B506="",$F506="",$I506=""),"",IF($T506="Anulado",0,$I506))</f>
        <v/>
      </c>
      <c r="K506" s="54">
        <f>IF($F506="","",IFERROR(IF(INDEX(tblProductos[Precio de venta actual],MATCH($F506,tblProductos[SKU],0))="","",INDEX(tblProductos[Precio de venta actual],MATCH($F506,tblProductos[SKU],0))),""))</f>
        <v/>
      </c>
      <c r="L506" s="36" t="n"/>
      <c r="M506" s="37">
        <f>IF($J506="","",IF(NOT(ISNUMBER($K506)),"PRECIO PENDIENTE",$J506*$K506))</f>
        <v/>
      </c>
      <c r="N506" s="37">
        <f>IF($J506="","",IF(NOT(ISNUMBER($M506)),"PRECIO PENDIENTE",$M506-IF(ISNUMBER($L506),$L506,0)))</f>
        <v/>
      </c>
      <c r="O506" s="54">
        <f>IF($F506="","",IFERROR(INDEX(tblInventario[Costo unitario aplicado],MATCH($F506,tblInventario[SKU],0)),""))</f>
        <v/>
      </c>
      <c r="P506" s="37">
        <f>IF($J506="","",IF(NOT(ISNUMBER($O506)),"COSTO PENDIENTE",$J506*$O506))</f>
        <v/>
      </c>
      <c r="Q506" s="37">
        <f>IF($J506="","",IF(OR(NOT(ISNUMBER($N506)),NOT(ISNUMBER($P506))),"PENDIENTE",$N506-$P506))</f>
        <v/>
      </c>
      <c r="R506" s="38">
        <f>IF($J506="","",IF(OR(NOT(ISNUMBER($Q506)),NOT(ISNUMBER($N506)),$N506&lt;=0),"PENDIENTE",$Q506/$N506))</f>
        <v/>
      </c>
      <c r="S506" s="33" t="n"/>
      <c r="T506" s="33" t="n"/>
      <c r="U506" s="41" t="n"/>
      <c r="V506" s="36" t="n"/>
      <c r="W506" s="37">
        <f>IF(NOT(ISNUMBER($N506)),"",$N506-IF(ISNUMBER($V506),$V506,0))</f>
        <v/>
      </c>
      <c r="X506" s="33" t="n"/>
      <c r="Y506" s="51">
        <f>IF(COUNTA($B506,$C506,$D506,$E506,$F506,$I506)=0,"",IF(IF($B506=""," · Falta fecha","")&amp;IF($D506=""," · Falta cliente","")&amp;IF($E506=""," · Falta canal","")&amp;IF($F506=""," · Falta SKU","")&amp;IF(AND($F506&lt;&gt;"",COUNTIF(tblProductos[SKU],$F506)=0)," · SKU no existe","")&amp;IF(OR($I506="",NOT(ISNUMBER($I506)),$I506&lt;=0)," · Cantidad inválida","")&amp;IF($M506="PRECIO PENDIENTE"," · Falta precio de venta","")&amp;IF($P506="COSTO PENDIENTE"," · Falta costo del producto","")&amp;IF(AND(ISNUMBER($Q506),$Q506&lt;0)," · UTILIDAD NEGATIVA","")&amp;IF(AND($F506&lt;&gt;"",ISNUMBER(INDEX(tblInventario[Stock actual],MATCH($F506,tblInventario[SKU],0))),INDEX(tblInventario[Stock actual],MATCH($F506,tblInventario[SKU],0))&lt;0)," · Stock negativo del SKU","")&amp;IF(AND($T506="Cobrado",$U506="")," · Cobro sin fecha","")&amp;IF(AND(ISNUMBER($V506),ISNUMBER($N506),$V506&gt;N($N506)+0.01)," · Cobrado &gt; venta neta","")&amp;IF(AND(ISNUMBER($V506),$V506&gt;0,$U506="")," · Monto cobrado sin fecha","")="","OK",MID(IF($B506=""," · Falta fecha","")&amp;IF($D506=""," · Falta cliente","")&amp;IF($E506=""," · Falta canal","")&amp;IF($F506=""," · Falta SKU","")&amp;IF(AND($F506&lt;&gt;"",COUNTIF(tblProductos[SKU],$F506)=0)," · SKU no existe","")&amp;IF(OR($I506="",NOT(ISNUMBER($I506)),$I506&lt;=0)," · Cantidad inválida","")&amp;IF($M506="PRECIO PENDIENTE"," · Falta precio de venta","")&amp;IF($P506="COSTO PENDIENTE"," · Falta costo del producto","")&amp;IF(AND(ISNUMBER($Q506),$Q506&lt;0)," · UTILIDAD NEGATIVA","")&amp;IF(AND($F506&lt;&gt;"",ISNUMBER(INDEX(tblInventario[Stock actual],MATCH($F506,tblInventario[SKU],0))),INDEX(tblInventario[Stock actual],MATCH($F506,tblInventario[SKU],0))&lt;0)," · Stock negativo del SKU","")&amp;IF(AND($T506="Cobrado",$U506="")," · Cobro sin fecha","")&amp;IF(AND(ISNUMBER($V506),ISNUMBER($N506),$V506&gt;N($N506)+0.01)," · Cobrado &gt; venta neta","")&amp;IF(AND(ISNUMBER($V506),$V506&gt;0,$U506="")," · Monto cobrado sin fecha",""),4,900)))</f>
        <v/>
      </c>
    </row>
  </sheetData>
  <mergeCells count="1">
    <mergeCell ref="A3:N4"/>
  </mergeCells>
  <conditionalFormatting sqref="Y7:Y506">
    <cfRule type="expression" priority="1" dxfId="5">
      <formula>AND($Y7&lt;&gt;"",$Y7&lt;&gt;"OK")</formula>
    </cfRule>
    <cfRule type="expression" priority="2" dxfId="7">
      <formula>$Y7="OK"</formula>
    </cfRule>
  </conditionalFormatting>
  <conditionalFormatting sqref="Q7:R506">
    <cfRule type="cellIs" priority="3" operator="lessThan" dxfId="5">
      <formula>0</formula>
    </cfRule>
  </conditionalFormatting>
  <conditionalFormatting sqref="W7:W506">
    <cfRule type="cellIs" priority="4" operator="greaterThan" dxfId="8">
      <formula>0.01</formula>
    </cfRule>
  </conditionalFormatting>
  <dataValidations count="10">
    <dataValidation sqref="D7:D506" showDropDown="0" showInputMessage="0" showErrorMessage="0" allowBlank="1" errorTitle="Valor fuera de la lista" error="Ese valor no está en la lista. Agréguelo en la hoja CONFIG si es nuevo." type="list" errorStyle="warning">
      <formula1>=LISTA_CLIENTES</formula1>
    </dataValidation>
    <dataValidation sqref="E7:E506" showDropDown="0" showInputMessage="0" showErrorMessage="0" allowBlank="1" errorTitle="Valor fuera de la lista" error="Ese valor no está en la lista. Agréguelo en la hoja CONFIG si es nuevo." type="list" errorStyle="warning">
      <formula1>=LISTA_CANALES</formula1>
    </dataValidation>
    <dataValidation sqref="F7:F506" showDropDown="0" showInputMessage="0" showErrorMessage="0" allowBlank="1" errorTitle="Valor fuera de la lista" error="Ese valor no está en la lista. Agréguelo en la hoja CONFIG si es nuevo." type="list" errorStyle="stop">
      <formula1>=LISTA_SKU</formula1>
    </dataValidation>
    <dataValidation sqref="S7:S506" showDropDown="0" showInputMessage="0" showErrorMessage="0" allowBlank="1" errorTitle="Valor fuera de la lista" error="Ese valor no está en la lista. Agréguelo en la hoja CONFIG si es nuevo." type="list" errorStyle="warning">
      <formula1>=LISTA_METODOS_PAGO</formula1>
    </dataValidation>
    <dataValidation sqref="T7:T506" showDropDown="0" showInputMessage="0" showErrorMessage="0" allowBlank="1" errorTitle="Valor fuera de la lista" error="Ese valor no está en la lista. Agréguelo en la hoja CONFIG si es nuevo." type="list" errorStyle="warning">
      <formula1>=LISTA_ESTADO_PAGO</formula1>
    </dataValidation>
    <dataValidation sqref="I7:I506" showDropDown="0" showInputMessage="0" showErrorMessage="0" allowBlank="1" errorTitle="Número inválido" error="Escriba un número mayor o igual a 0." type="decimal" errorStyle="stop" operator="greaterThanOrEqual">
      <formula1>0</formula1>
    </dataValidation>
    <dataValidation sqref="L7:L506" showDropDown="0" showInputMessage="0" showErrorMessage="0" allowBlank="1" errorTitle="Número inválido" error="Escriba un número mayor o igual a 0." type="decimal" errorStyle="stop" operator="greaterThanOrEqual">
      <formula1>0</formula1>
    </dataValidation>
    <dataValidation sqref="V7:V506" showDropDown="0" showInputMessage="0" showErrorMessage="0" allowBlank="1" errorTitle="Número inválido" error="Escriba un número mayor o igual a 0." type="decimal" errorStyle="stop" operator="greaterThanOrEqual">
      <formula1>0</formula1>
    </dataValidation>
    <dataValidation sqref="B7:B506" showDropDown="0" showInputMessage="0" showErrorMessage="0" allowBlank="1" errorTitle="Fecha inválida" error="Escriba una fecha válida (dd/mm/aaaa)." type="date" errorStyle="stop" operator="greaterThan">
      <formula1>DATE(2000,1,1)</formula1>
    </dataValidation>
    <dataValidation sqref="U7:U506" showDropDown="0" showInputMessage="0" showErrorMessage="0" allowBlank="1" errorTitle="Fecha inválida" error="Escriba una fecha válida (dd/mm/aaaa)." type="date" errorStyle="stop" operator="greaterThan">
      <formula1>DATE(2000,1,1)</formula1>
    </dataValidation>
  </dataValidations>
  <printOptions horizontalCentered="1"/>
  <pageMargins left="0.4" right="0.4" top="0.5" bottom="0.5" header="0.5" footer="0.5"/>
  <pageSetup orientation="landscape"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tabColor rgb="002E5C8A"/>
    <outlinePr summaryBelow="1" summaryRight="1"/>
    <pageSetUpPr fitToPage="1"/>
  </sheetPr>
  <dimension ref="A1:O306"/>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20" customWidth="1" min="4" max="4"/>
    <col width="34" customWidth="1" min="5" max="5"/>
    <col width="22" customWidth="1" min="6" max="6"/>
    <col width="14" customWidth="1" min="7" max="7"/>
    <col width="14" customWidth="1" min="8" max="8"/>
    <col width="12" customWidth="1" min="9" max="9"/>
    <col width="12" customWidth="1" min="10" max="10"/>
    <col width="13" customWidth="1" min="11" max="11"/>
    <col width="13" customWidth="1" min="12" max="12"/>
    <col width="14" customWidth="1" min="13" max="13"/>
    <col width="26" customWidth="1" min="14" max="14"/>
    <col width="30" customWidth="1" min="15" max="15"/>
  </cols>
  <sheetData>
    <row r="1">
      <c r="A1" s="1" t="inlineStr">
        <is>
          <t>GASTOS — Operación del negocio</t>
        </is>
      </c>
    </row>
    <row r="2">
      <c r="A2" s="2" t="inlineStr">
        <is>
          <t>Aquí van los gastos del negocio, NO los costos unitarios del producto (esos van en COSTOS). Clasifique cada gasto como Fijo (no depende de las ventas) o Variable (crece con las ventas).</t>
        </is>
      </c>
    </row>
    <row r="3">
      <c r="A3" s="16" t="inlineStr">
        <is>
          <t>Los gastos FIJOS alimentan el PUNTO DE EQUILIBRIO. Los gastos de categoría «Publicidad» alimentan el ROAS. El efectivo sale de CAJA solo por el «Monto pagado» en su «Fecha de pago».</t>
        </is>
      </c>
    </row>
    <row r="4"/>
    <row r="6" ht="40" customHeight="1">
      <c r="A6" s="11" t="inlineStr">
        <is>
          <t>ID de gasto</t>
        </is>
      </c>
      <c r="B6" s="11" t="inlineStr">
        <is>
          <t>Fecha</t>
        </is>
      </c>
      <c r="C6" s="11" t="inlineStr">
        <is>
          <t>Tipo de gasto</t>
        </is>
      </c>
      <c r="D6" s="11" t="inlineStr">
        <is>
          <t>Categoría</t>
        </is>
      </c>
      <c r="E6" s="11" t="inlineStr">
        <is>
          <t>Descripción</t>
        </is>
      </c>
      <c r="F6" s="11" t="inlineStr">
        <is>
          <t>Proveedor</t>
        </is>
      </c>
      <c r="G6" s="11" t="inlineStr">
        <is>
          <t>Monto</t>
        </is>
      </c>
      <c r="H6" s="11" t="inlineStr">
        <is>
          <t>Método de pago</t>
        </is>
      </c>
      <c r="I6" s="11" t="inlineStr">
        <is>
          <t>Estado</t>
        </is>
      </c>
      <c r="J6" s="11" t="inlineStr">
        <is>
          <t>Fecha de pago</t>
        </is>
      </c>
      <c r="K6" s="11" t="inlineStr">
        <is>
          <t>Monto pagado</t>
        </is>
      </c>
      <c r="L6" s="11" t="inlineStr">
        <is>
          <t>Saldo por pagar</t>
        </is>
      </c>
      <c r="M6" s="11" t="inlineStr">
        <is>
          <t>Canal atribuido</t>
        </is>
      </c>
      <c r="N6" s="11" t="inlineStr">
        <is>
          <t>Observaciones</t>
        </is>
      </c>
      <c r="O6" s="11" t="inlineStr">
        <is>
          <t>ALERTA</t>
        </is>
      </c>
    </row>
    <row r="7">
      <c r="A7" s="51">
        <f>IF(COUNTA($B7,$C7,$D7,$E7,$G7)=0,"","G-"&amp;TEXT(ROW()-6,"0000"))</f>
        <v/>
      </c>
      <c r="B7" s="41" t="n"/>
      <c r="C7" s="33" t="n"/>
      <c r="D7" s="33" t="n"/>
      <c r="E7" s="33" t="n"/>
      <c r="F7" s="33" t="n"/>
      <c r="G7" s="36" t="n"/>
      <c r="H7" s="33" t="n"/>
      <c r="I7" s="33" t="n"/>
      <c r="J7" s="41" t="n"/>
      <c r="K7" s="36" t="n"/>
      <c r="L7" s="37">
        <f>IF(NOT(ISNUMBER($G7)),"",$G7-IF(ISNUMBER($K7),$K7,0))</f>
        <v/>
      </c>
      <c r="M7" s="33" t="n"/>
      <c r="N7" s="33" t="n"/>
      <c r="O7" s="51">
        <f>IF(COUNTA($B7,$C7,$D7,$E7,$G7)=0,"",IF(IF($B7=""," · Falta fecha","")&amp;IF($C7=""," · Falta tipo (Fijo/Variable)","")&amp;IF($D7=""," · SIN CATEGORÍA","")&amp;IF($E7=""," · Falta descripción","")&amp;IF(OR($G7="",NOT(ISNUMBER($G7)),$G7&lt;=0)," · Monto inválido","")&amp;IF(AND($I7="Pagado",$J7="")," · Pago sin fecha","")&amp;IF(AND(ISNUMBER($K7),ISNUMBER($G7),$K7&gt;N($G7)+0.01)," · Pagado &gt; monto","")&amp;IF(AND(ISNUMBER($K7),$K7&gt;0,$J7="")," · Monto pagado sin fecha","")="","OK",MID(IF($B7=""," · Falta fecha","")&amp;IF($C7=""," · Falta tipo (Fijo/Variable)","")&amp;IF($D7=""," · SIN CATEGORÍA","")&amp;IF($E7=""," · Falta descripción","")&amp;IF(OR($G7="",NOT(ISNUMBER($G7)),$G7&lt;=0)," · Monto inválido","")&amp;IF(AND($I7="Pagado",$J7="")," · Pago sin fecha","")&amp;IF(AND(ISNUMBER($K7),ISNUMBER($G7),$K7&gt;N($G7)+0.01)," · Pagado &gt; monto","")&amp;IF(AND(ISNUMBER($K7),$K7&gt;0,$J7="")," · Monto pagado sin fecha",""),4,900)))</f>
        <v/>
      </c>
    </row>
    <row r="8">
      <c r="A8" s="51">
        <f>IF(COUNTA($B8,$C8,$D8,$E8,$G8)=0,"","G-"&amp;TEXT(ROW()-6,"0000"))</f>
        <v/>
      </c>
      <c r="B8" s="41" t="n"/>
      <c r="C8" s="33" t="n"/>
      <c r="D8" s="33" t="n"/>
      <c r="E8" s="33" t="n"/>
      <c r="F8" s="33" t="n"/>
      <c r="G8" s="36" t="n"/>
      <c r="H8" s="33" t="n"/>
      <c r="I8" s="33" t="n"/>
      <c r="J8" s="41" t="n"/>
      <c r="K8" s="36" t="n"/>
      <c r="L8" s="37">
        <f>IF(NOT(ISNUMBER($G8)),"",$G8-IF(ISNUMBER($K8),$K8,0))</f>
        <v/>
      </c>
      <c r="M8" s="33" t="n"/>
      <c r="N8" s="33" t="n"/>
      <c r="O8" s="51">
        <f>IF(COUNTA($B8,$C8,$D8,$E8,$G8)=0,"",IF(IF($B8=""," · Falta fecha","")&amp;IF($C8=""," · Falta tipo (Fijo/Variable)","")&amp;IF($D8=""," · SIN CATEGORÍA","")&amp;IF($E8=""," · Falta descripción","")&amp;IF(OR($G8="",NOT(ISNUMBER($G8)),$G8&lt;=0)," · Monto inválido","")&amp;IF(AND($I8="Pagado",$J8="")," · Pago sin fecha","")&amp;IF(AND(ISNUMBER($K8),ISNUMBER($G8),$K8&gt;N($G8)+0.01)," · Pagado &gt; monto","")&amp;IF(AND(ISNUMBER($K8),$K8&gt;0,$J8="")," · Monto pagado sin fecha","")="","OK",MID(IF($B8=""," · Falta fecha","")&amp;IF($C8=""," · Falta tipo (Fijo/Variable)","")&amp;IF($D8=""," · SIN CATEGORÍA","")&amp;IF($E8=""," · Falta descripción","")&amp;IF(OR($G8="",NOT(ISNUMBER($G8)),$G8&lt;=0)," · Monto inválido","")&amp;IF(AND($I8="Pagado",$J8="")," · Pago sin fecha","")&amp;IF(AND(ISNUMBER($K8),ISNUMBER($G8),$K8&gt;N($G8)+0.01)," · Pagado &gt; monto","")&amp;IF(AND(ISNUMBER($K8),$K8&gt;0,$J8="")," · Monto pagado sin fecha",""),4,900)))</f>
        <v/>
      </c>
    </row>
    <row r="9">
      <c r="A9" s="51">
        <f>IF(COUNTA($B9,$C9,$D9,$E9,$G9)=0,"","G-"&amp;TEXT(ROW()-6,"0000"))</f>
        <v/>
      </c>
      <c r="B9" s="41" t="n"/>
      <c r="C9" s="33" t="n"/>
      <c r="D9" s="33" t="n"/>
      <c r="E9" s="33" t="n"/>
      <c r="F9" s="33" t="n"/>
      <c r="G9" s="36" t="n"/>
      <c r="H9" s="33" t="n"/>
      <c r="I9" s="33" t="n"/>
      <c r="J9" s="41" t="n"/>
      <c r="K9" s="36" t="n"/>
      <c r="L9" s="37">
        <f>IF(NOT(ISNUMBER($G9)),"",$G9-IF(ISNUMBER($K9),$K9,0))</f>
        <v/>
      </c>
      <c r="M9" s="33" t="n"/>
      <c r="N9" s="33" t="n"/>
      <c r="O9" s="51">
        <f>IF(COUNTA($B9,$C9,$D9,$E9,$G9)=0,"",IF(IF($B9=""," · Falta fecha","")&amp;IF($C9=""," · Falta tipo (Fijo/Variable)","")&amp;IF($D9=""," · SIN CATEGORÍA","")&amp;IF($E9=""," · Falta descripción","")&amp;IF(OR($G9="",NOT(ISNUMBER($G9)),$G9&lt;=0)," · Monto inválido","")&amp;IF(AND($I9="Pagado",$J9="")," · Pago sin fecha","")&amp;IF(AND(ISNUMBER($K9),ISNUMBER($G9),$K9&gt;N($G9)+0.01)," · Pagado &gt; monto","")&amp;IF(AND(ISNUMBER($K9),$K9&gt;0,$J9="")," · Monto pagado sin fecha","")="","OK",MID(IF($B9=""," · Falta fecha","")&amp;IF($C9=""," · Falta tipo (Fijo/Variable)","")&amp;IF($D9=""," · SIN CATEGORÍA","")&amp;IF($E9=""," · Falta descripción","")&amp;IF(OR($G9="",NOT(ISNUMBER($G9)),$G9&lt;=0)," · Monto inválido","")&amp;IF(AND($I9="Pagado",$J9="")," · Pago sin fecha","")&amp;IF(AND(ISNUMBER($K9),ISNUMBER($G9),$K9&gt;N($G9)+0.01)," · Pagado &gt; monto","")&amp;IF(AND(ISNUMBER($K9),$K9&gt;0,$J9="")," · Monto pagado sin fecha",""),4,900)))</f>
        <v/>
      </c>
    </row>
    <row r="10">
      <c r="A10" s="51">
        <f>IF(COUNTA($B10,$C10,$D10,$E10,$G10)=0,"","G-"&amp;TEXT(ROW()-6,"0000"))</f>
        <v/>
      </c>
      <c r="B10" s="41" t="n"/>
      <c r="C10" s="33" t="n"/>
      <c r="D10" s="33" t="n"/>
      <c r="E10" s="33" t="n"/>
      <c r="F10" s="33" t="n"/>
      <c r="G10" s="36" t="n"/>
      <c r="H10" s="33" t="n"/>
      <c r="I10" s="33" t="n"/>
      <c r="J10" s="41" t="n"/>
      <c r="K10" s="36" t="n"/>
      <c r="L10" s="37">
        <f>IF(NOT(ISNUMBER($G10)),"",$G10-IF(ISNUMBER($K10),$K10,0))</f>
        <v/>
      </c>
      <c r="M10" s="33" t="n"/>
      <c r="N10" s="33" t="n"/>
      <c r="O10" s="51">
        <f>IF(COUNTA($B10,$C10,$D10,$E10,$G10)=0,"",IF(IF($B10=""," · Falta fecha","")&amp;IF($C10=""," · Falta tipo (Fijo/Variable)","")&amp;IF($D10=""," · SIN CATEGORÍA","")&amp;IF($E10=""," · Falta descripción","")&amp;IF(OR($G10="",NOT(ISNUMBER($G10)),$G10&lt;=0)," · Monto inválido","")&amp;IF(AND($I10="Pagado",$J10="")," · Pago sin fecha","")&amp;IF(AND(ISNUMBER($K10),ISNUMBER($G10),$K10&gt;N($G10)+0.01)," · Pagado &gt; monto","")&amp;IF(AND(ISNUMBER($K10),$K10&gt;0,$J10="")," · Monto pagado sin fecha","")="","OK",MID(IF($B10=""," · Falta fecha","")&amp;IF($C10=""," · Falta tipo (Fijo/Variable)","")&amp;IF($D10=""," · SIN CATEGORÍA","")&amp;IF($E10=""," · Falta descripción","")&amp;IF(OR($G10="",NOT(ISNUMBER($G10)),$G10&lt;=0)," · Monto inválido","")&amp;IF(AND($I10="Pagado",$J10="")," · Pago sin fecha","")&amp;IF(AND(ISNUMBER($K10),ISNUMBER($G10),$K10&gt;N($G10)+0.01)," · Pagado &gt; monto","")&amp;IF(AND(ISNUMBER($K10),$K10&gt;0,$J10="")," · Monto pagado sin fecha",""),4,900)))</f>
        <v/>
      </c>
    </row>
    <row r="11">
      <c r="A11" s="51">
        <f>IF(COUNTA($B11,$C11,$D11,$E11,$G11)=0,"","G-"&amp;TEXT(ROW()-6,"0000"))</f>
        <v/>
      </c>
      <c r="B11" s="41" t="n"/>
      <c r="C11" s="33" t="n"/>
      <c r="D11" s="33" t="n"/>
      <c r="E11" s="33" t="n"/>
      <c r="F11" s="33" t="n"/>
      <c r="G11" s="36" t="n"/>
      <c r="H11" s="33" t="n"/>
      <c r="I11" s="33" t="n"/>
      <c r="J11" s="41" t="n"/>
      <c r="K11" s="36" t="n"/>
      <c r="L11" s="37">
        <f>IF(NOT(ISNUMBER($G11)),"",$G11-IF(ISNUMBER($K11),$K11,0))</f>
        <v/>
      </c>
      <c r="M11" s="33" t="n"/>
      <c r="N11" s="33" t="n"/>
      <c r="O11" s="51">
        <f>IF(COUNTA($B11,$C11,$D11,$E11,$G11)=0,"",IF(IF($B11=""," · Falta fecha","")&amp;IF($C11=""," · Falta tipo (Fijo/Variable)","")&amp;IF($D11=""," · SIN CATEGORÍA","")&amp;IF($E11=""," · Falta descripción","")&amp;IF(OR($G11="",NOT(ISNUMBER($G11)),$G11&lt;=0)," · Monto inválido","")&amp;IF(AND($I11="Pagado",$J11="")," · Pago sin fecha","")&amp;IF(AND(ISNUMBER($K11),ISNUMBER($G11),$K11&gt;N($G11)+0.01)," · Pagado &gt; monto","")&amp;IF(AND(ISNUMBER($K11),$K11&gt;0,$J11="")," · Monto pagado sin fecha","")="","OK",MID(IF($B11=""," · Falta fecha","")&amp;IF($C11=""," · Falta tipo (Fijo/Variable)","")&amp;IF($D11=""," · SIN CATEGORÍA","")&amp;IF($E11=""," · Falta descripción","")&amp;IF(OR($G11="",NOT(ISNUMBER($G11)),$G11&lt;=0)," · Monto inválido","")&amp;IF(AND($I11="Pagado",$J11="")," · Pago sin fecha","")&amp;IF(AND(ISNUMBER($K11),ISNUMBER($G11),$K11&gt;N($G11)+0.01)," · Pagado &gt; monto","")&amp;IF(AND(ISNUMBER($K11),$K11&gt;0,$J11="")," · Monto pagado sin fecha",""),4,900)))</f>
        <v/>
      </c>
    </row>
    <row r="12">
      <c r="A12" s="51">
        <f>IF(COUNTA($B12,$C12,$D12,$E12,$G12)=0,"","G-"&amp;TEXT(ROW()-6,"0000"))</f>
        <v/>
      </c>
      <c r="B12" s="41" t="n"/>
      <c r="C12" s="33" t="n"/>
      <c r="D12" s="33" t="n"/>
      <c r="E12" s="33" t="n"/>
      <c r="F12" s="33" t="n"/>
      <c r="G12" s="36" t="n"/>
      <c r="H12" s="33" t="n"/>
      <c r="I12" s="33" t="n"/>
      <c r="J12" s="41" t="n"/>
      <c r="K12" s="36" t="n"/>
      <c r="L12" s="37">
        <f>IF(NOT(ISNUMBER($G12)),"",$G12-IF(ISNUMBER($K12),$K12,0))</f>
        <v/>
      </c>
      <c r="M12" s="33" t="n"/>
      <c r="N12" s="33" t="n"/>
      <c r="O12" s="51">
        <f>IF(COUNTA($B12,$C12,$D12,$E12,$G12)=0,"",IF(IF($B12=""," · Falta fecha","")&amp;IF($C12=""," · Falta tipo (Fijo/Variable)","")&amp;IF($D12=""," · SIN CATEGORÍA","")&amp;IF($E12=""," · Falta descripción","")&amp;IF(OR($G12="",NOT(ISNUMBER($G12)),$G12&lt;=0)," · Monto inválido","")&amp;IF(AND($I12="Pagado",$J12="")," · Pago sin fecha","")&amp;IF(AND(ISNUMBER($K12),ISNUMBER($G12),$K12&gt;N($G12)+0.01)," · Pagado &gt; monto","")&amp;IF(AND(ISNUMBER($K12),$K12&gt;0,$J12="")," · Monto pagado sin fecha","")="","OK",MID(IF($B12=""," · Falta fecha","")&amp;IF($C12=""," · Falta tipo (Fijo/Variable)","")&amp;IF($D12=""," · SIN CATEGORÍA","")&amp;IF($E12=""," · Falta descripción","")&amp;IF(OR($G12="",NOT(ISNUMBER($G12)),$G12&lt;=0)," · Monto inválido","")&amp;IF(AND($I12="Pagado",$J12="")," · Pago sin fecha","")&amp;IF(AND(ISNUMBER($K12),ISNUMBER($G12),$K12&gt;N($G12)+0.01)," · Pagado &gt; monto","")&amp;IF(AND(ISNUMBER($K12),$K12&gt;0,$J12="")," · Monto pagado sin fecha",""),4,900)))</f>
        <v/>
      </c>
    </row>
    <row r="13">
      <c r="A13" s="51">
        <f>IF(COUNTA($B13,$C13,$D13,$E13,$G13)=0,"","G-"&amp;TEXT(ROW()-6,"0000"))</f>
        <v/>
      </c>
      <c r="B13" s="41" t="n"/>
      <c r="C13" s="33" t="n"/>
      <c r="D13" s="33" t="n"/>
      <c r="E13" s="33" t="n"/>
      <c r="F13" s="33" t="n"/>
      <c r="G13" s="36" t="n"/>
      <c r="H13" s="33" t="n"/>
      <c r="I13" s="33" t="n"/>
      <c r="J13" s="41" t="n"/>
      <c r="K13" s="36" t="n"/>
      <c r="L13" s="37">
        <f>IF(NOT(ISNUMBER($G13)),"",$G13-IF(ISNUMBER($K13),$K13,0))</f>
        <v/>
      </c>
      <c r="M13" s="33" t="n"/>
      <c r="N13" s="33" t="n"/>
      <c r="O13" s="51">
        <f>IF(COUNTA($B13,$C13,$D13,$E13,$G13)=0,"",IF(IF($B13=""," · Falta fecha","")&amp;IF($C13=""," · Falta tipo (Fijo/Variable)","")&amp;IF($D13=""," · SIN CATEGORÍA","")&amp;IF($E13=""," · Falta descripción","")&amp;IF(OR($G13="",NOT(ISNUMBER($G13)),$G13&lt;=0)," · Monto inválido","")&amp;IF(AND($I13="Pagado",$J13="")," · Pago sin fecha","")&amp;IF(AND(ISNUMBER($K13),ISNUMBER($G13),$K13&gt;N($G13)+0.01)," · Pagado &gt; monto","")&amp;IF(AND(ISNUMBER($K13),$K13&gt;0,$J13="")," · Monto pagado sin fecha","")="","OK",MID(IF($B13=""," · Falta fecha","")&amp;IF($C13=""," · Falta tipo (Fijo/Variable)","")&amp;IF($D13=""," · SIN CATEGORÍA","")&amp;IF($E13=""," · Falta descripción","")&amp;IF(OR($G13="",NOT(ISNUMBER($G13)),$G13&lt;=0)," · Monto inválido","")&amp;IF(AND($I13="Pagado",$J13="")," · Pago sin fecha","")&amp;IF(AND(ISNUMBER($K13),ISNUMBER($G13),$K13&gt;N($G13)+0.01)," · Pagado &gt; monto","")&amp;IF(AND(ISNUMBER($K13),$K13&gt;0,$J13="")," · Monto pagado sin fecha",""),4,900)))</f>
        <v/>
      </c>
    </row>
    <row r="14">
      <c r="A14" s="51">
        <f>IF(COUNTA($B14,$C14,$D14,$E14,$G14)=0,"","G-"&amp;TEXT(ROW()-6,"0000"))</f>
        <v/>
      </c>
      <c r="B14" s="41" t="n"/>
      <c r="C14" s="33" t="n"/>
      <c r="D14" s="33" t="n"/>
      <c r="E14" s="33" t="n"/>
      <c r="F14" s="33" t="n"/>
      <c r="G14" s="36" t="n"/>
      <c r="H14" s="33" t="n"/>
      <c r="I14" s="33" t="n"/>
      <c r="J14" s="41" t="n"/>
      <c r="K14" s="36" t="n"/>
      <c r="L14" s="37">
        <f>IF(NOT(ISNUMBER($G14)),"",$G14-IF(ISNUMBER($K14),$K14,0))</f>
        <v/>
      </c>
      <c r="M14" s="33" t="n"/>
      <c r="N14" s="33" t="n"/>
      <c r="O14" s="51">
        <f>IF(COUNTA($B14,$C14,$D14,$E14,$G14)=0,"",IF(IF($B14=""," · Falta fecha","")&amp;IF($C14=""," · Falta tipo (Fijo/Variable)","")&amp;IF($D14=""," · SIN CATEGORÍA","")&amp;IF($E14=""," · Falta descripción","")&amp;IF(OR($G14="",NOT(ISNUMBER($G14)),$G14&lt;=0)," · Monto inválido","")&amp;IF(AND($I14="Pagado",$J14="")," · Pago sin fecha","")&amp;IF(AND(ISNUMBER($K14),ISNUMBER($G14),$K14&gt;N($G14)+0.01)," · Pagado &gt; monto","")&amp;IF(AND(ISNUMBER($K14),$K14&gt;0,$J14="")," · Monto pagado sin fecha","")="","OK",MID(IF($B14=""," · Falta fecha","")&amp;IF($C14=""," · Falta tipo (Fijo/Variable)","")&amp;IF($D14=""," · SIN CATEGORÍA","")&amp;IF($E14=""," · Falta descripción","")&amp;IF(OR($G14="",NOT(ISNUMBER($G14)),$G14&lt;=0)," · Monto inválido","")&amp;IF(AND($I14="Pagado",$J14="")," · Pago sin fecha","")&amp;IF(AND(ISNUMBER($K14),ISNUMBER($G14),$K14&gt;N($G14)+0.01)," · Pagado &gt; monto","")&amp;IF(AND(ISNUMBER($K14),$K14&gt;0,$J14="")," · Monto pagado sin fecha",""),4,900)))</f>
        <v/>
      </c>
    </row>
    <row r="15">
      <c r="A15" s="51">
        <f>IF(COUNTA($B15,$C15,$D15,$E15,$G15)=0,"","G-"&amp;TEXT(ROW()-6,"0000"))</f>
        <v/>
      </c>
      <c r="B15" s="41" t="n"/>
      <c r="C15" s="33" t="n"/>
      <c r="D15" s="33" t="n"/>
      <c r="E15" s="33" t="n"/>
      <c r="F15" s="33" t="n"/>
      <c r="G15" s="36" t="n"/>
      <c r="H15" s="33" t="n"/>
      <c r="I15" s="33" t="n"/>
      <c r="J15" s="41" t="n"/>
      <c r="K15" s="36" t="n"/>
      <c r="L15" s="37">
        <f>IF(NOT(ISNUMBER($G15)),"",$G15-IF(ISNUMBER($K15),$K15,0))</f>
        <v/>
      </c>
      <c r="M15" s="33" t="n"/>
      <c r="N15" s="33" t="n"/>
      <c r="O15" s="51">
        <f>IF(COUNTA($B15,$C15,$D15,$E15,$G15)=0,"",IF(IF($B15=""," · Falta fecha","")&amp;IF($C15=""," · Falta tipo (Fijo/Variable)","")&amp;IF($D15=""," · SIN CATEGORÍA","")&amp;IF($E15=""," · Falta descripción","")&amp;IF(OR($G15="",NOT(ISNUMBER($G15)),$G15&lt;=0)," · Monto inválido","")&amp;IF(AND($I15="Pagado",$J15="")," · Pago sin fecha","")&amp;IF(AND(ISNUMBER($K15),ISNUMBER($G15),$K15&gt;N($G15)+0.01)," · Pagado &gt; monto","")&amp;IF(AND(ISNUMBER($K15),$K15&gt;0,$J15="")," · Monto pagado sin fecha","")="","OK",MID(IF($B15=""," · Falta fecha","")&amp;IF($C15=""," · Falta tipo (Fijo/Variable)","")&amp;IF($D15=""," · SIN CATEGORÍA","")&amp;IF($E15=""," · Falta descripción","")&amp;IF(OR($G15="",NOT(ISNUMBER($G15)),$G15&lt;=0)," · Monto inválido","")&amp;IF(AND($I15="Pagado",$J15="")," · Pago sin fecha","")&amp;IF(AND(ISNUMBER($K15),ISNUMBER($G15),$K15&gt;N($G15)+0.01)," · Pagado &gt; monto","")&amp;IF(AND(ISNUMBER($K15),$K15&gt;0,$J15="")," · Monto pagado sin fecha",""),4,900)))</f>
        <v/>
      </c>
    </row>
    <row r="16">
      <c r="A16" s="51">
        <f>IF(COUNTA($B16,$C16,$D16,$E16,$G16)=0,"","G-"&amp;TEXT(ROW()-6,"0000"))</f>
        <v/>
      </c>
      <c r="B16" s="41" t="n"/>
      <c r="C16" s="33" t="n"/>
      <c r="D16" s="33" t="n"/>
      <c r="E16" s="33" t="n"/>
      <c r="F16" s="33" t="n"/>
      <c r="G16" s="36" t="n"/>
      <c r="H16" s="33" t="n"/>
      <c r="I16" s="33" t="n"/>
      <c r="J16" s="41" t="n"/>
      <c r="K16" s="36" t="n"/>
      <c r="L16" s="37">
        <f>IF(NOT(ISNUMBER($G16)),"",$G16-IF(ISNUMBER($K16),$K16,0))</f>
        <v/>
      </c>
      <c r="M16" s="33" t="n"/>
      <c r="N16" s="33" t="n"/>
      <c r="O16" s="51">
        <f>IF(COUNTA($B16,$C16,$D16,$E16,$G16)=0,"",IF(IF($B16=""," · Falta fecha","")&amp;IF($C16=""," · Falta tipo (Fijo/Variable)","")&amp;IF($D16=""," · SIN CATEGORÍA","")&amp;IF($E16=""," · Falta descripción","")&amp;IF(OR($G16="",NOT(ISNUMBER($G16)),$G16&lt;=0)," · Monto inválido","")&amp;IF(AND($I16="Pagado",$J16="")," · Pago sin fecha","")&amp;IF(AND(ISNUMBER($K16),ISNUMBER($G16),$K16&gt;N($G16)+0.01)," · Pagado &gt; monto","")&amp;IF(AND(ISNUMBER($K16),$K16&gt;0,$J16="")," · Monto pagado sin fecha","")="","OK",MID(IF($B16=""," · Falta fecha","")&amp;IF($C16=""," · Falta tipo (Fijo/Variable)","")&amp;IF($D16=""," · SIN CATEGORÍA","")&amp;IF($E16=""," · Falta descripción","")&amp;IF(OR($G16="",NOT(ISNUMBER($G16)),$G16&lt;=0)," · Monto inválido","")&amp;IF(AND($I16="Pagado",$J16="")," · Pago sin fecha","")&amp;IF(AND(ISNUMBER($K16),ISNUMBER($G16),$K16&gt;N($G16)+0.01)," · Pagado &gt; monto","")&amp;IF(AND(ISNUMBER($K16),$K16&gt;0,$J16="")," · Monto pagado sin fecha",""),4,900)))</f>
        <v/>
      </c>
    </row>
    <row r="17">
      <c r="A17" s="51">
        <f>IF(COUNTA($B17,$C17,$D17,$E17,$G17)=0,"","G-"&amp;TEXT(ROW()-6,"0000"))</f>
        <v/>
      </c>
      <c r="B17" s="41" t="n"/>
      <c r="C17" s="33" t="n"/>
      <c r="D17" s="33" t="n"/>
      <c r="E17" s="33" t="n"/>
      <c r="F17" s="33" t="n"/>
      <c r="G17" s="36" t="n"/>
      <c r="H17" s="33" t="n"/>
      <c r="I17" s="33" t="n"/>
      <c r="J17" s="41" t="n"/>
      <c r="K17" s="36" t="n"/>
      <c r="L17" s="37">
        <f>IF(NOT(ISNUMBER($G17)),"",$G17-IF(ISNUMBER($K17),$K17,0))</f>
        <v/>
      </c>
      <c r="M17" s="33" t="n"/>
      <c r="N17" s="33" t="n"/>
      <c r="O17" s="51">
        <f>IF(COUNTA($B17,$C17,$D17,$E17,$G17)=0,"",IF(IF($B17=""," · Falta fecha","")&amp;IF($C17=""," · Falta tipo (Fijo/Variable)","")&amp;IF($D17=""," · SIN CATEGORÍA","")&amp;IF($E17=""," · Falta descripción","")&amp;IF(OR($G17="",NOT(ISNUMBER($G17)),$G17&lt;=0)," · Monto inválido","")&amp;IF(AND($I17="Pagado",$J17="")," · Pago sin fecha","")&amp;IF(AND(ISNUMBER($K17),ISNUMBER($G17),$K17&gt;N($G17)+0.01)," · Pagado &gt; monto","")&amp;IF(AND(ISNUMBER($K17),$K17&gt;0,$J17="")," · Monto pagado sin fecha","")="","OK",MID(IF($B17=""," · Falta fecha","")&amp;IF($C17=""," · Falta tipo (Fijo/Variable)","")&amp;IF($D17=""," · SIN CATEGORÍA","")&amp;IF($E17=""," · Falta descripción","")&amp;IF(OR($G17="",NOT(ISNUMBER($G17)),$G17&lt;=0)," · Monto inválido","")&amp;IF(AND($I17="Pagado",$J17="")," · Pago sin fecha","")&amp;IF(AND(ISNUMBER($K17),ISNUMBER($G17),$K17&gt;N($G17)+0.01)," · Pagado &gt; monto","")&amp;IF(AND(ISNUMBER($K17),$K17&gt;0,$J17="")," · Monto pagado sin fecha",""),4,900)))</f>
        <v/>
      </c>
    </row>
    <row r="18">
      <c r="A18" s="51">
        <f>IF(COUNTA($B18,$C18,$D18,$E18,$G18)=0,"","G-"&amp;TEXT(ROW()-6,"0000"))</f>
        <v/>
      </c>
      <c r="B18" s="41" t="n"/>
      <c r="C18" s="33" t="n"/>
      <c r="D18" s="33" t="n"/>
      <c r="E18" s="33" t="n"/>
      <c r="F18" s="33" t="n"/>
      <c r="G18" s="36" t="n"/>
      <c r="H18" s="33" t="n"/>
      <c r="I18" s="33" t="n"/>
      <c r="J18" s="41" t="n"/>
      <c r="K18" s="36" t="n"/>
      <c r="L18" s="37">
        <f>IF(NOT(ISNUMBER($G18)),"",$G18-IF(ISNUMBER($K18),$K18,0))</f>
        <v/>
      </c>
      <c r="M18" s="33" t="n"/>
      <c r="N18" s="33" t="n"/>
      <c r="O18" s="51">
        <f>IF(COUNTA($B18,$C18,$D18,$E18,$G18)=0,"",IF(IF($B18=""," · Falta fecha","")&amp;IF($C18=""," · Falta tipo (Fijo/Variable)","")&amp;IF($D18=""," · SIN CATEGORÍA","")&amp;IF($E18=""," · Falta descripción","")&amp;IF(OR($G18="",NOT(ISNUMBER($G18)),$G18&lt;=0)," · Monto inválido","")&amp;IF(AND($I18="Pagado",$J18="")," · Pago sin fecha","")&amp;IF(AND(ISNUMBER($K18),ISNUMBER($G18),$K18&gt;N($G18)+0.01)," · Pagado &gt; monto","")&amp;IF(AND(ISNUMBER($K18),$K18&gt;0,$J18="")," · Monto pagado sin fecha","")="","OK",MID(IF($B18=""," · Falta fecha","")&amp;IF($C18=""," · Falta tipo (Fijo/Variable)","")&amp;IF($D18=""," · SIN CATEGORÍA","")&amp;IF($E18=""," · Falta descripción","")&amp;IF(OR($G18="",NOT(ISNUMBER($G18)),$G18&lt;=0)," · Monto inválido","")&amp;IF(AND($I18="Pagado",$J18="")," · Pago sin fecha","")&amp;IF(AND(ISNUMBER($K18),ISNUMBER($G18),$K18&gt;N($G18)+0.01)," · Pagado &gt; monto","")&amp;IF(AND(ISNUMBER($K18),$K18&gt;0,$J18="")," · Monto pagado sin fecha",""),4,900)))</f>
        <v/>
      </c>
    </row>
    <row r="19">
      <c r="A19" s="51">
        <f>IF(COUNTA($B19,$C19,$D19,$E19,$G19)=0,"","G-"&amp;TEXT(ROW()-6,"0000"))</f>
        <v/>
      </c>
      <c r="B19" s="41" t="n"/>
      <c r="C19" s="33" t="n"/>
      <c r="D19" s="33" t="n"/>
      <c r="E19" s="33" t="n"/>
      <c r="F19" s="33" t="n"/>
      <c r="G19" s="36" t="n"/>
      <c r="H19" s="33" t="n"/>
      <c r="I19" s="33" t="n"/>
      <c r="J19" s="41" t="n"/>
      <c r="K19" s="36" t="n"/>
      <c r="L19" s="37">
        <f>IF(NOT(ISNUMBER($G19)),"",$G19-IF(ISNUMBER($K19),$K19,0))</f>
        <v/>
      </c>
      <c r="M19" s="33" t="n"/>
      <c r="N19" s="33" t="n"/>
      <c r="O19" s="51">
        <f>IF(COUNTA($B19,$C19,$D19,$E19,$G19)=0,"",IF(IF($B19=""," · Falta fecha","")&amp;IF($C19=""," · Falta tipo (Fijo/Variable)","")&amp;IF($D19=""," · SIN CATEGORÍA","")&amp;IF($E19=""," · Falta descripción","")&amp;IF(OR($G19="",NOT(ISNUMBER($G19)),$G19&lt;=0)," · Monto inválido","")&amp;IF(AND($I19="Pagado",$J19="")," · Pago sin fecha","")&amp;IF(AND(ISNUMBER($K19),ISNUMBER($G19),$K19&gt;N($G19)+0.01)," · Pagado &gt; monto","")&amp;IF(AND(ISNUMBER($K19),$K19&gt;0,$J19="")," · Monto pagado sin fecha","")="","OK",MID(IF($B19=""," · Falta fecha","")&amp;IF($C19=""," · Falta tipo (Fijo/Variable)","")&amp;IF($D19=""," · SIN CATEGORÍA","")&amp;IF($E19=""," · Falta descripción","")&amp;IF(OR($G19="",NOT(ISNUMBER($G19)),$G19&lt;=0)," · Monto inválido","")&amp;IF(AND($I19="Pagado",$J19="")," · Pago sin fecha","")&amp;IF(AND(ISNUMBER($K19),ISNUMBER($G19),$K19&gt;N($G19)+0.01)," · Pagado &gt; monto","")&amp;IF(AND(ISNUMBER($K19),$K19&gt;0,$J19="")," · Monto pagado sin fecha",""),4,900)))</f>
        <v/>
      </c>
    </row>
    <row r="20">
      <c r="A20" s="51">
        <f>IF(COUNTA($B20,$C20,$D20,$E20,$G20)=0,"","G-"&amp;TEXT(ROW()-6,"0000"))</f>
        <v/>
      </c>
      <c r="B20" s="41" t="n"/>
      <c r="C20" s="33" t="n"/>
      <c r="D20" s="33" t="n"/>
      <c r="E20" s="33" t="n"/>
      <c r="F20" s="33" t="n"/>
      <c r="G20" s="36" t="n"/>
      <c r="H20" s="33" t="n"/>
      <c r="I20" s="33" t="n"/>
      <c r="J20" s="41" t="n"/>
      <c r="K20" s="36" t="n"/>
      <c r="L20" s="37">
        <f>IF(NOT(ISNUMBER($G20)),"",$G20-IF(ISNUMBER($K20),$K20,0))</f>
        <v/>
      </c>
      <c r="M20" s="33" t="n"/>
      <c r="N20" s="33" t="n"/>
      <c r="O20" s="51">
        <f>IF(COUNTA($B20,$C20,$D20,$E20,$G20)=0,"",IF(IF($B20=""," · Falta fecha","")&amp;IF($C20=""," · Falta tipo (Fijo/Variable)","")&amp;IF($D20=""," · SIN CATEGORÍA","")&amp;IF($E20=""," · Falta descripción","")&amp;IF(OR($G20="",NOT(ISNUMBER($G20)),$G20&lt;=0)," · Monto inválido","")&amp;IF(AND($I20="Pagado",$J20="")," · Pago sin fecha","")&amp;IF(AND(ISNUMBER($K20),ISNUMBER($G20),$K20&gt;N($G20)+0.01)," · Pagado &gt; monto","")&amp;IF(AND(ISNUMBER($K20),$K20&gt;0,$J20="")," · Monto pagado sin fecha","")="","OK",MID(IF($B20=""," · Falta fecha","")&amp;IF($C20=""," · Falta tipo (Fijo/Variable)","")&amp;IF($D20=""," · SIN CATEGORÍA","")&amp;IF($E20=""," · Falta descripción","")&amp;IF(OR($G20="",NOT(ISNUMBER($G20)),$G20&lt;=0)," · Monto inválido","")&amp;IF(AND($I20="Pagado",$J20="")," · Pago sin fecha","")&amp;IF(AND(ISNUMBER($K20),ISNUMBER($G20),$K20&gt;N($G20)+0.01)," · Pagado &gt; monto","")&amp;IF(AND(ISNUMBER($K20),$K20&gt;0,$J20="")," · Monto pagado sin fecha",""),4,900)))</f>
        <v/>
      </c>
    </row>
    <row r="21">
      <c r="A21" s="51">
        <f>IF(COUNTA($B21,$C21,$D21,$E21,$G21)=0,"","G-"&amp;TEXT(ROW()-6,"0000"))</f>
        <v/>
      </c>
      <c r="B21" s="41" t="n"/>
      <c r="C21" s="33" t="n"/>
      <c r="D21" s="33" t="n"/>
      <c r="E21" s="33" t="n"/>
      <c r="F21" s="33" t="n"/>
      <c r="G21" s="36" t="n"/>
      <c r="H21" s="33" t="n"/>
      <c r="I21" s="33" t="n"/>
      <c r="J21" s="41" t="n"/>
      <c r="K21" s="36" t="n"/>
      <c r="L21" s="37">
        <f>IF(NOT(ISNUMBER($G21)),"",$G21-IF(ISNUMBER($K21),$K21,0))</f>
        <v/>
      </c>
      <c r="M21" s="33" t="n"/>
      <c r="N21" s="33" t="n"/>
      <c r="O21" s="51">
        <f>IF(COUNTA($B21,$C21,$D21,$E21,$G21)=0,"",IF(IF($B21=""," · Falta fecha","")&amp;IF($C21=""," · Falta tipo (Fijo/Variable)","")&amp;IF($D21=""," · SIN CATEGORÍA","")&amp;IF($E21=""," · Falta descripción","")&amp;IF(OR($G21="",NOT(ISNUMBER($G21)),$G21&lt;=0)," · Monto inválido","")&amp;IF(AND($I21="Pagado",$J21="")," · Pago sin fecha","")&amp;IF(AND(ISNUMBER($K21),ISNUMBER($G21),$K21&gt;N($G21)+0.01)," · Pagado &gt; monto","")&amp;IF(AND(ISNUMBER($K21),$K21&gt;0,$J21="")," · Monto pagado sin fecha","")="","OK",MID(IF($B21=""," · Falta fecha","")&amp;IF($C21=""," · Falta tipo (Fijo/Variable)","")&amp;IF($D21=""," · SIN CATEGORÍA","")&amp;IF($E21=""," · Falta descripción","")&amp;IF(OR($G21="",NOT(ISNUMBER($G21)),$G21&lt;=0)," · Monto inválido","")&amp;IF(AND($I21="Pagado",$J21="")," · Pago sin fecha","")&amp;IF(AND(ISNUMBER($K21),ISNUMBER($G21),$K21&gt;N($G21)+0.01)," · Pagado &gt; monto","")&amp;IF(AND(ISNUMBER($K21),$K21&gt;0,$J21="")," · Monto pagado sin fecha",""),4,900)))</f>
        <v/>
      </c>
    </row>
    <row r="22">
      <c r="A22" s="51">
        <f>IF(COUNTA($B22,$C22,$D22,$E22,$G22)=0,"","G-"&amp;TEXT(ROW()-6,"0000"))</f>
        <v/>
      </c>
      <c r="B22" s="41" t="n"/>
      <c r="C22" s="33" t="n"/>
      <c r="D22" s="33" t="n"/>
      <c r="E22" s="33" t="n"/>
      <c r="F22" s="33" t="n"/>
      <c r="G22" s="36" t="n"/>
      <c r="H22" s="33" t="n"/>
      <c r="I22" s="33" t="n"/>
      <c r="J22" s="41" t="n"/>
      <c r="K22" s="36" t="n"/>
      <c r="L22" s="37">
        <f>IF(NOT(ISNUMBER($G22)),"",$G22-IF(ISNUMBER($K22),$K22,0))</f>
        <v/>
      </c>
      <c r="M22" s="33" t="n"/>
      <c r="N22" s="33" t="n"/>
      <c r="O22" s="51">
        <f>IF(COUNTA($B22,$C22,$D22,$E22,$G22)=0,"",IF(IF($B22=""," · Falta fecha","")&amp;IF($C22=""," · Falta tipo (Fijo/Variable)","")&amp;IF($D22=""," · SIN CATEGORÍA","")&amp;IF($E22=""," · Falta descripción","")&amp;IF(OR($G22="",NOT(ISNUMBER($G22)),$G22&lt;=0)," · Monto inválido","")&amp;IF(AND($I22="Pagado",$J22="")," · Pago sin fecha","")&amp;IF(AND(ISNUMBER($K22),ISNUMBER($G22),$K22&gt;N($G22)+0.01)," · Pagado &gt; monto","")&amp;IF(AND(ISNUMBER($K22),$K22&gt;0,$J22="")," · Monto pagado sin fecha","")="","OK",MID(IF($B22=""," · Falta fecha","")&amp;IF($C22=""," · Falta tipo (Fijo/Variable)","")&amp;IF($D22=""," · SIN CATEGORÍA","")&amp;IF($E22=""," · Falta descripción","")&amp;IF(OR($G22="",NOT(ISNUMBER($G22)),$G22&lt;=0)," · Monto inválido","")&amp;IF(AND($I22="Pagado",$J22="")," · Pago sin fecha","")&amp;IF(AND(ISNUMBER($K22),ISNUMBER($G22),$K22&gt;N($G22)+0.01)," · Pagado &gt; monto","")&amp;IF(AND(ISNUMBER($K22),$K22&gt;0,$J22="")," · Monto pagado sin fecha",""),4,900)))</f>
        <v/>
      </c>
    </row>
    <row r="23">
      <c r="A23" s="51">
        <f>IF(COUNTA($B23,$C23,$D23,$E23,$G23)=0,"","G-"&amp;TEXT(ROW()-6,"0000"))</f>
        <v/>
      </c>
      <c r="B23" s="41" t="n"/>
      <c r="C23" s="33" t="n"/>
      <c r="D23" s="33" t="n"/>
      <c r="E23" s="33" t="n"/>
      <c r="F23" s="33" t="n"/>
      <c r="G23" s="36" t="n"/>
      <c r="H23" s="33" t="n"/>
      <c r="I23" s="33" t="n"/>
      <c r="J23" s="41" t="n"/>
      <c r="K23" s="36" t="n"/>
      <c r="L23" s="37">
        <f>IF(NOT(ISNUMBER($G23)),"",$G23-IF(ISNUMBER($K23),$K23,0))</f>
        <v/>
      </c>
      <c r="M23" s="33" t="n"/>
      <c r="N23" s="33" t="n"/>
      <c r="O23" s="51">
        <f>IF(COUNTA($B23,$C23,$D23,$E23,$G23)=0,"",IF(IF($B23=""," · Falta fecha","")&amp;IF($C23=""," · Falta tipo (Fijo/Variable)","")&amp;IF($D23=""," · SIN CATEGORÍA","")&amp;IF($E23=""," · Falta descripción","")&amp;IF(OR($G23="",NOT(ISNUMBER($G23)),$G23&lt;=0)," · Monto inválido","")&amp;IF(AND($I23="Pagado",$J23="")," · Pago sin fecha","")&amp;IF(AND(ISNUMBER($K23),ISNUMBER($G23),$K23&gt;N($G23)+0.01)," · Pagado &gt; monto","")&amp;IF(AND(ISNUMBER($K23),$K23&gt;0,$J23="")," · Monto pagado sin fecha","")="","OK",MID(IF($B23=""," · Falta fecha","")&amp;IF($C23=""," · Falta tipo (Fijo/Variable)","")&amp;IF($D23=""," · SIN CATEGORÍA","")&amp;IF($E23=""," · Falta descripción","")&amp;IF(OR($G23="",NOT(ISNUMBER($G23)),$G23&lt;=0)," · Monto inválido","")&amp;IF(AND($I23="Pagado",$J23="")," · Pago sin fecha","")&amp;IF(AND(ISNUMBER($K23),ISNUMBER($G23),$K23&gt;N($G23)+0.01)," · Pagado &gt; monto","")&amp;IF(AND(ISNUMBER($K23),$K23&gt;0,$J23="")," · Monto pagado sin fecha",""),4,900)))</f>
        <v/>
      </c>
    </row>
    <row r="24">
      <c r="A24" s="51">
        <f>IF(COUNTA($B24,$C24,$D24,$E24,$G24)=0,"","G-"&amp;TEXT(ROW()-6,"0000"))</f>
        <v/>
      </c>
      <c r="B24" s="41" t="n"/>
      <c r="C24" s="33" t="n"/>
      <c r="D24" s="33" t="n"/>
      <c r="E24" s="33" t="n"/>
      <c r="F24" s="33" t="n"/>
      <c r="G24" s="36" t="n"/>
      <c r="H24" s="33" t="n"/>
      <c r="I24" s="33" t="n"/>
      <c r="J24" s="41" t="n"/>
      <c r="K24" s="36" t="n"/>
      <c r="L24" s="37">
        <f>IF(NOT(ISNUMBER($G24)),"",$G24-IF(ISNUMBER($K24),$K24,0))</f>
        <v/>
      </c>
      <c r="M24" s="33" t="n"/>
      <c r="N24" s="33" t="n"/>
      <c r="O24" s="51">
        <f>IF(COUNTA($B24,$C24,$D24,$E24,$G24)=0,"",IF(IF($B24=""," · Falta fecha","")&amp;IF($C24=""," · Falta tipo (Fijo/Variable)","")&amp;IF($D24=""," · SIN CATEGORÍA","")&amp;IF($E24=""," · Falta descripción","")&amp;IF(OR($G24="",NOT(ISNUMBER($G24)),$G24&lt;=0)," · Monto inválido","")&amp;IF(AND($I24="Pagado",$J24="")," · Pago sin fecha","")&amp;IF(AND(ISNUMBER($K24),ISNUMBER($G24),$K24&gt;N($G24)+0.01)," · Pagado &gt; monto","")&amp;IF(AND(ISNUMBER($K24),$K24&gt;0,$J24="")," · Monto pagado sin fecha","")="","OK",MID(IF($B24=""," · Falta fecha","")&amp;IF($C24=""," · Falta tipo (Fijo/Variable)","")&amp;IF($D24=""," · SIN CATEGORÍA","")&amp;IF($E24=""," · Falta descripción","")&amp;IF(OR($G24="",NOT(ISNUMBER($G24)),$G24&lt;=0)," · Monto inválido","")&amp;IF(AND($I24="Pagado",$J24="")," · Pago sin fecha","")&amp;IF(AND(ISNUMBER($K24),ISNUMBER($G24),$K24&gt;N($G24)+0.01)," · Pagado &gt; monto","")&amp;IF(AND(ISNUMBER($K24),$K24&gt;0,$J24="")," · Monto pagado sin fecha",""),4,900)))</f>
        <v/>
      </c>
    </row>
    <row r="25">
      <c r="A25" s="51">
        <f>IF(COUNTA($B25,$C25,$D25,$E25,$G25)=0,"","G-"&amp;TEXT(ROW()-6,"0000"))</f>
        <v/>
      </c>
      <c r="B25" s="41" t="n"/>
      <c r="C25" s="33" t="n"/>
      <c r="D25" s="33" t="n"/>
      <c r="E25" s="33" t="n"/>
      <c r="F25" s="33" t="n"/>
      <c r="G25" s="36" t="n"/>
      <c r="H25" s="33" t="n"/>
      <c r="I25" s="33" t="n"/>
      <c r="J25" s="41" t="n"/>
      <c r="K25" s="36" t="n"/>
      <c r="L25" s="37">
        <f>IF(NOT(ISNUMBER($G25)),"",$G25-IF(ISNUMBER($K25),$K25,0))</f>
        <v/>
      </c>
      <c r="M25" s="33" t="n"/>
      <c r="N25" s="33" t="n"/>
      <c r="O25" s="51">
        <f>IF(COUNTA($B25,$C25,$D25,$E25,$G25)=0,"",IF(IF($B25=""," · Falta fecha","")&amp;IF($C25=""," · Falta tipo (Fijo/Variable)","")&amp;IF($D25=""," · SIN CATEGORÍA","")&amp;IF($E25=""," · Falta descripción","")&amp;IF(OR($G25="",NOT(ISNUMBER($G25)),$G25&lt;=0)," · Monto inválido","")&amp;IF(AND($I25="Pagado",$J25="")," · Pago sin fecha","")&amp;IF(AND(ISNUMBER($K25),ISNUMBER($G25),$K25&gt;N($G25)+0.01)," · Pagado &gt; monto","")&amp;IF(AND(ISNUMBER($K25),$K25&gt;0,$J25="")," · Monto pagado sin fecha","")="","OK",MID(IF($B25=""," · Falta fecha","")&amp;IF($C25=""," · Falta tipo (Fijo/Variable)","")&amp;IF($D25=""," · SIN CATEGORÍA","")&amp;IF($E25=""," · Falta descripción","")&amp;IF(OR($G25="",NOT(ISNUMBER($G25)),$G25&lt;=0)," · Monto inválido","")&amp;IF(AND($I25="Pagado",$J25="")," · Pago sin fecha","")&amp;IF(AND(ISNUMBER($K25),ISNUMBER($G25),$K25&gt;N($G25)+0.01)," · Pagado &gt; monto","")&amp;IF(AND(ISNUMBER($K25),$K25&gt;0,$J25="")," · Monto pagado sin fecha",""),4,900)))</f>
        <v/>
      </c>
    </row>
    <row r="26">
      <c r="A26" s="51">
        <f>IF(COUNTA($B26,$C26,$D26,$E26,$G26)=0,"","G-"&amp;TEXT(ROW()-6,"0000"))</f>
        <v/>
      </c>
      <c r="B26" s="41" t="n"/>
      <c r="C26" s="33" t="n"/>
      <c r="D26" s="33" t="n"/>
      <c r="E26" s="33" t="n"/>
      <c r="F26" s="33" t="n"/>
      <c r="G26" s="36" t="n"/>
      <c r="H26" s="33" t="n"/>
      <c r="I26" s="33" t="n"/>
      <c r="J26" s="41" t="n"/>
      <c r="K26" s="36" t="n"/>
      <c r="L26" s="37">
        <f>IF(NOT(ISNUMBER($G26)),"",$G26-IF(ISNUMBER($K26),$K26,0))</f>
        <v/>
      </c>
      <c r="M26" s="33" t="n"/>
      <c r="N26" s="33" t="n"/>
      <c r="O26" s="51">
        <f>IF(COUNTA($B26,$C26,$D26,$E26,$G26)=0,"",IF(IF($B26=""," · Falta fecha","")&amp;IF($C26=""," · Falta tipo (Fijo/Variable)","")&amp;IF($D26=""," · SIN CATEGORÍA","")&amp;IF($E26=""," · Falta descripción","")&amp;IF(OR($G26="",NOT(ISNUMBER($G26)),$G26&lt;=0)," · Monto inválido","")&amp;IF(AND($I26="Pagado",$J26="")," · Pago sin fecha","")&amp;IF(AND(ISNUMBER($K26),ISNUMBER($G26),$K26&gt;N($G26)+0.01)," · Pagado &gt; monto","")&amp;IF(AND(ISNUMBER($K26),$K26&gt;0,$J26="")," · Monto pagado sin fecha","")="","OK",MID(IF($B26=""," · Falta fecha","")&amp;IF($C26=""," · Falta tipo (Fijo/Variable)","")&amp;IF($D26=""," · SIN CATEGORÍA","")&amp;IF($E26=""," · Falta descripción","")&amp;IF(OR($G26="",NOT(ISNUMBER($G26)),$G26&lt;=0)," · Monto inválido","")&amp;IF(AND($I26="Pagado",$J26="")," · Pago sin fecha","")&amp;IF(AND(ISNUMBER($K26),ISNUMBER($G26),$K26&gt;N($G26)+0.01)," · Pagado &gt; monto","")&amp;IF(AND(ISNUMBER($K26),$K26&gt;0,$J26="")," · Monto pagado sin fecha",""),4,900)))</f>
        <v/>
      </c>
    </row>
    <row r="27">
      <c r="A27" s="51">
        <f>IF(COUNTA($B27,$C27,$D27,$E27,$G27)=0,"","G-"&amp;TEXT(ROW()-6,"0000"))</f>
        <v/>
      </c>
      <c r="B27" s="41" t="n"/>
      <c r="C27" s="33" t="n"/>
      <c r="D27" s="33" t="n"/>
      <c r="E27" s="33" t="n"/>
      <c r="F27" s="33" t="n"/>
      <c r="G27" s="36" t="n"/>
      <c r="H27" s="33" t="n"/>
      <c r="I27" s="33" t="n"/>
      <c r="J27" s="41" t="n"/>
      <c r="K27" s="36" t="n"/>
      <c r="L27" s="37">
        <f>IF(NOT(ISNUMBER($G27)),"",$G27-IF(ISNUMBER($K27),$K27,0))</f>
        <v/>
      </c>
      <c r="M27" s="33" t="n"/>
      <c r="N27" s="33" t="n"/>
      <c r="O27" s="51">
        <f>IF(COUNTA($B27,$C27,$D27,$E27,$G27)=0,"",IF(IF($B27=""," · Falta fecha","")&amp;IF($C27=""," · Falta tipo (Fijo/Variable)","")&amp;IF($D27=""," · SIN CATEGORÍA","")&amp;IF($E27=""," · Falta descripción","")&amp;IF(OR($G27="",NOT(ISNUMBER($G27)),$G27&lt;=0)," · Monto inválido","")&amp;IF(AND($I27="Pagado",$J27="")," · Pago sin fecha","")&amp;IF(AND(ISNUMBER($K27),ISNUMBER($G27),$K27&gt;N($G27)+0.01)," · Pagado &gt; monto","")&amp;IF(AND(ISNUMBER($K27),$K27&gt;0,$J27="")," · Monto pagado sin fecha","")="","OK",MID(IF($B27=""," · Falta fecha","")&amp;IF($C27=""," · Falta tipo (Fijo/Variable)","")&amp;IF($D27=""," · SIN CATEGORÍA","")&amp;IF($E27=""," · Falta descripción","")&amp;IF(OR($G27="",NOT(ISNUMBER($G27)),$G27&lt;=0)," · Monto inválido","")&amp;IF(AND($I27="Pagado",$J27="")," · Pago sin fecha","")&amp;IF(AND(ISNUMBER($K27),ISNUMBER($G27),$K27&gt;N($G27)+0.01)," · Pagado &gt; monto","")&amp;IF(AND(ISNUMBER($K27),$K27&gt;0,$J27="")," · Monto pagado sin fecha",""),4,900)))</f>
        <v/>
      </c>
    </row>
    <row r="28">
      <c r="A28" s="51">
        <f>IF(COUNTA($B28,$C28,$D28,$E28,$G28)=0,"","G-"&amp;TEXT(ROW()-6,"0000"))</f>
        <v/>
      </c>
      <c r="B28" s="41" t="n"/>
      <c r="C28" s="33" t="n"/>
      <c r="D28" s="33" t="n"/>
      <c r="E28" s="33" t="n"/>
      <c r="F28" s="33" t="n"/>
      <c r="G28" s="36" t="n"/>
      <c r="H28" s="33" t="n"/>
      <c r="I28" s="33" t="n"/>
      <c r="J28" s="41" t="n"/>
      <c r="K28" s="36" t="n"/>
      <c r="L28" s="37">
        <f>IF(NOT(ISNUMBER($G28)),"",$G28-IF(ISNUMBER($K28),$K28,0))</f>
        <v/>
      </c>
      <c r="M28" s="33" t="n"/>
      <c r="N28" s="33" t="n"/>
      <c r="O28" s="51">
        <f>IF(COUNTA($B28,$C28,$D28,$E28,$G28)=0,"",IF(IF($B28=""," · Falta fecha","")&amp;IF($C28=""," · Falta tipo (Fijo/Variable)","")&amp;IF($D28=""," · SIN CATEGORÍA","")&amp;IF($E28=""," · Falta descripción","")&amp;IF(OR($G28="",NOT(ISNUMBER($G28)),$G28&lt;=0)," · Monto inválido","")&amp;IF(AND($I28="Pagado",$J28="")," · Pago sin fecha","")&amp;IF(AND(ISNUMBER($K28),ISNUMBER($G28),$K28&gt;N($G28)+0.01)," · Pagado &gt; monto","")&amp;IF(AND(ISNUMBER($K28),$K28&gt;0,$J28="")," · Monto pagado sin fecha","")="","OK",MID(IF($B28=""," · Falta fecha","")&amp;IF($C28=""," · Falta tipo (Fijo/Variable)","")&amp;IF($D28=""," · SIN CATEGORÍA","")&amp;IF($E28=""," · Falta descripción","")&amp;IF(OR($G28="",NOT(ISNUMBER($G28)),$G28&lt;=0)," · Monto inválido","")&amp;IF(AND($I28="Pagado",$J28="")," · Pago sin fecha","")&amp;IF(AND(ISNUMBER($K28),ISNUMBER($G28),$K28&gt;N($G28)+0.01)," · Pagado &gt; monto","")&amp;IF(AND(ISNUMBER($K28),$K28&gt;0,$J28="")," · Monto pagado sin fecha",""),4,900)))</f>
        <v/>
      </c>
    </row>
    <row r="29">
      <c r="A29" s="51">
        <f>IF(COUNTA($B29,$C29,$D29,$E29,$G29)=0,"","G-"&amp;TEXT(ROW()-6,"0000"))</f>
        <v/>
      </c>
      <c r="B29" s="41" t="n"/>
      <c r="C29" s="33" t="n"/>
      <c r="D29" s="33" t="n"/>
      <c r="E29" s="33" t="n"/>
      <c r="F29" s="33" t="n"/>
      <c r="G29" s="36" t="n"/>
      <c r="H29" s="33" t="n"/>
      <c r="I29" s="33" t="n"/>
      <c r="J29" s="41" t="n"/>
      <c r="K29" s="36" t="n"/>
      <c r="L29" s="37">
        <f>IF(NOT(ISNUMBER($G29)),"",$G29-IF(ISNUMBER($K29),$K29,0))</f>
        <v/>
      </c>
      <c r="M29" s="33" t="n"/>
      <c r="N29" s="33" t="n"/>
      <c r="O29" s="51">
        <f>IF(COUNTA($B29,$C29,$D29,$E29,$G29)=0,"",IF(IF($B29=""," · Falta fecha","")&amp;IF($C29=""," · Falta tipo (Fijo/Variable)","")&amp;IF($D29=""," · SIN CATEGORÍA","")&amp;IF($E29=""," · Falta descripción","")&amp;IF(OR($G29="",NOT(ISNUMBER($G29)),$G29&lt;=0)," · Monto inválido","")&amp;IF(AND($I29="Pagado",$J29="")," · Pago sin fecha","")&amp;IF(AND(ISNUMBER($K29),ISNUMBER($G29),$K29&gt;N($G29)+0.01)," · Pagado &gt; monto","")&amp;IF(AND(ISNUMBER($K29),$K29&gt;0,$J29="")," · Monto pagado sin fecha","")="","OK",MID(IF($B29=""," · Falta fecha","")&amp;IF($C29=""," · Falta tipo (Fijo/Variable)","")&amp;IF($D29=""," · SIN CATEGORÍA","")&amp;IF($E29=""," · Falta descripción","")&amp;IF(OR($G29="",NOT(ISNUMBER($G29)),$G29&lt;=0)," · Monto inválido","")&amp;IF(AND($I29="Pagado",$J29="")," · Pago sin fecha","")&amp;IF(AND(ISNUMBER($K29),ISNUMBER($G29),$K29&gt;N($G29)+0.01)," · Pagado &gt; monto","")&amp;IF(AND(ISNUMBER($K29),$K29&gt;0,$J29="")," · Monto pagado sin fecha",""),4,900)))</f>
        <v/>
      </c>
    </row>
    <row r="30">
      <c r="A30" s="51">
        <f>IF(COUNTA($B30,$C30,$D30,$E30,$G30)=0,"","G-"&amp;TEXT(ROW()-6,"0000"))</f>
        <v/>
      </c>
      <c r="B30" s="41" t="n"/>
      <c r="C30" s="33" t="n"/>
      <c r="D30" s="33" t="n"/>
      <c r="E30" s="33" t="n"/>
      <c r="F30" s="33" t="n"/>
      <c r="G30" s="36" t="n"/>
      <c r="H30" s="33" t="n"/>
      <c r="I30" s="33" t="n"/>
      <c r="J30" s="41" t="n"/>
      <c r="K30" s="36" t="n"/>
      <c r="L30" s="37">
        <f>IF(NOT(ISNUMBER($G30)),"",$G30-IF(ISNUMBER($K30),$K30,0))</f>
        <v/>
      </c>
      <c r="M30" s="33" t="n"/>
      <c r="N30" s="33" t="n"/>
      <c r="O30" s="51">
        <f>IF(COUNTA($B30,$C30,$D30,$E30,$G30)=0,"",IF(IF($B30=""," · Falta fecha","")&amp;IF($C30=""," · Falta tipo (Fijo/Variable)","")&amp;IF($D30=""," · SIN CATEGORÍA","")&amp;IF($E30=""," · Falta descripción","")&amp;IF(OR($G30="",NOT(ISNUMBER($G30)),$G30&lt;=0)," · Monto inválido","")&amp;IF(AND($I30="Pagado",$J30="")," · Pago sin fecha","")&amp;IF(AND(ISNUMBER($K30),ISNUMBER($G30),$K30&gt;N($G30)+0.01)," · Pagado &gt; monto","")&amp;IF(AND(ISNUMBER($K30),$K30&gt;0,$J30="")," · Monto pagado sin fecha","")="","OK",MID(IF($B30=""," · Falta fecha","")&amp;IF($C30=""," · Falta tipo (Fijo/Variable)","")&amp;IF($D30=""," · SIN CATEGORÍA","")&amp;IF($E30=""," · Falta descripción","")&amp;IF(OR($G30="",NOT(ISNUMBER($G30)),$G30&lt;=0)," · Monto inválido","")&amp;IF(AND($I30="Pagado",$J30="")," · Pago sin fecha","")&amp;IF(AND(ISNUMBER($K30),ISNUMBER($G30),$K30&gt;N($G30)+0.01)," · Pagado &gt; monto","")&amp;IF(AND(ISNUMBER($K30),$K30&gt;0,$J30="")," · Monto pagado sin fecha",""),4,900)))</f>
        <v/>
      </c>
    </row>
    <row r="31">
      <c r="A31" s="51">
        <f>IF(COUNTA($B31,$C31,$D31,$E31,$G31)=0,"","G-"&amp;TEXT(ROW()-6,"0000"))</f>
        <v/>
      </c>
      <c r="B31" s="41" t="n"/>
      <c r="C31" s="33" t="n"/>
      <c r="D31" s="33" t="n"/>
      <c r="E31" s="33" t="n"/>
      <c r="F31" s="33" t="n"/>
      <c r="G31" s="36" t="n"/>
      <c r="H31" s="33" t="n"/>
      <c r="I31" s="33" t="n"/>
      <c r="J31" s="41" t="n"/>
      <c r="K31" s="36" t="n"/>
      <c r="L31" s="37">
        <f>IF(NOT(ISNUMBER($G31)),"",$G31-IF(ISNUMBER($K31),$K31,0))</f>
        <v/>
      </c>
      <c r="M31" s="33" t="n"/>
      <c r="N31" s="33" t="n"/>
      <c r="O31" s="51">
        <f>IF(COUNTA($B31,$C31,$D31,$E31,$G31)=0,"",IF(IF($B31=""," · Falta fecha","")&amp;IF($C31=""," · Falta tipo (Fijo/Variable)","")&amp;IF($D31=""," · SIN CATEGORÍA","")&amp;IF($E31=""," · Falta descripción","")&amp;IF(OR($G31="",NOT(ISNUMBER($G31)),$G31&lt;=0)," · Monto inválido","")&amp;IF(AND($I31="Pagado",$J31="")," · Pago sin fecha","")&amp;IF(AND(ISNUMBER($K31),ISNUMBER($G31),$K31&gt;N($G31)+0.01)," · Pagado &gt; monto","")&amp;IF(AND(ISNUMBER($K31),$K31&gt;0,$J31="")," · Monto pagado sin fecha","")="","OK",MID(IF($B31=""," · Falta fecha","")&amp;IF($C31=""," · Falta tipo (Fijo/Variable)","")&amp;IF($D31=""," · SIN CATEGORÍA","")&amp;IF($E31=""," · Falta descripción","")&amp;IF(OR($G31="",NOT(ISNUMBER($G31)),$G31&lt;=0)," · Monto inválido","")&amp;IF(AND($I31="Pagado",$J31="")," · Pago sin fecha","")&amp;IF(AND(ISNUMBER($K31),ISNUMBER($G31),$K31&gt;N($G31)+0.01)," · Pagado &gt; monto","")&amp;IF(AND(ISNUMBER($K31),$K31&gt;0,$J31="")," · Monto pagado sin fecha",""),4,900)))</f>
        <v/>
      </c>
    </row>
    <row r="32">
      <c r="A32" s="51">
        <f>IF(COUNTA($B32,$C32,$D32,$E32,$G32)=0,"","G-"&amp;TEXT(ROW()-6,"0000"))</f>
        <v/>
      </c>
      <c r="B32" s="41" t="n"/>
      <c r="C32" s="33" t="n"/>
      <c r="D32" s="33" t="n"/>
      <c r="E32" s="33" t="n"/>
      <c r="F32" s="33" t="n"/>
      <c r="G32" s="36" t="n"/>
      <c r="H32" s="33" t="n"/>
      <c r="I32" s="33" t="n"/>
      <c r="J32" s="41" t="n"/>
      <c r="K32" s="36" t="n"/>
      <c r="L32" s="37">
        <f>IF(NOT(ISNUMBER($G32)),"",$G32-IF(ISNUMBER($K32),$K32,0))</f>
        <v/>
      </c>
      <c r="M32" s="33" t="n"/>
      <c r="N32" s="33" t="n"/>
      <c r="O32" s="51">
        <f>IF(COUNTA($B32,$C32,$D32,$E32,$G32)=0,"",IF(IF($B32=""," · Falta fecha","")&amp;IF($C32=""," · Falta tipo (Fijo/Variable)","")&amp;IF($D32=""," · SIN CATEGORÍA","")&amp;IF($E32=""," · Falta descripción","")&amp;IF(OR($G32="",NOT(ISNUMBER($G32)),$G32&lt;=0)," · Monto inválido","")&amp;IF(AND($I32="Pagado",$J32="")," · Pago sin fecha","")&amp;IF(AND(ISNUMBER($K32),ISNUMBER($G32),$K32&gt;N($G32)+0.01)," · Pagado &gt; monto","")&amp;IF(AND(ISNUMBER($K32),$K32&gt;0,$J32="")," · Monto pagado sin fecha","")="","OK",MID(IF($B32=""," · Falta fecha","")&amp;IF($C32=""," · Falta tipo (Fijo/Variable)","")&amp;IF($D32=""," · SIN CATEGORÍA","")&amp;IF($E32=""," · Falta descripción","")&amp;IF(OR($G32="",NOT(ISNUMBER($G32)),$G32&lt;=0)," · Monto inválido","")&amp;IF(AND($I32="Pagado",$J32="")," · Pago sin fecha","")&amp;IF(AND(ISNUMBER($K32),ISNUMBER($G32),$K32&gt;N($G32)+0.01)," · Pagado &gt; monto","")&amp;IF(AND(ISNUMBER($K32),$K32&gt;0,$J32="")," · Monto pagado sin fecha",""),4,900)))</f>
        <v/>
      </c>
    </row>
    <row r="33">
      <c r="A33" s="51">
        <f>IF(COUNTA($B33,$C33,$D33,$E33,$G33)=0,"","G-"&amp;TEXT(ROW()-6,"0000"))</f>
        <v/>
      </c>
      <c r="B33" s="41" t="n"/>
      <c r="C33" s="33" t="n"/>
      <c r="D33" s="33" t="n"/>
      <c r="E33" s="33" t="n"/>
      <c r="F33" s="33" t="n"/>
      <c r="G33" s="36" t="n"/>
      <c r="H33" s="33" t="n"/>
      <c r="I33" s="33" t="n"/>
      <c r="J33" s="41" t="n"/>
      <c r="K33" s="36" t="n"/>
      <c r="L33" s="37">
        <f>IF(NOT(ISNUMBER($G33)),"",$G33-IF(ISNUMBER($K33),$K33,0))</f>
        <v/>
      </c>
      <c r="M33" s="33" t="n"/>
      <c r="N33" s="33" t="n"/>
      <c r="O33" s="51">
        <f>IF(COUNTA($B33,$C33,$D33,$E33,$G33)=0,"",IF(IF($B33=""," · Falta fecha","")&amp;IF($C33=""," · Falta tipo (Fijo/Variable)","")&amp;IF($D33=""," · SIN CATEGORÍA","")&amp;IF($E33=""," · Falta descripción","")&amp;IF(OR($G33="",NOT(ISNUMBER($G33)),$G33&lt;=0)," · Monto inválido","")&amp;IF(AND($I33="Pagado",$J33="")," · Pago sin fecha","")&amp;IF(AND(ISNUMBER($K33),ISNUMBER($G33),$K33&gt;N($G33)+0.01)," · Pagado &gt; monto","")&amp;IF(AND(ISNUMBER($K33),$K33&gt;0,$J33="")," · Monto pagado sin fecha","")="","OK",MID(IF($B33=""," · Falta fecha","")&amp;IF($C33=""," · Falta tipo (Fijo/Variable)","")&amp;IF($D33=""," · SIN CATEGORÍA","")&amp;IF($E33=""," · Falta descripción","")&amp;IF(OR($G33="",NOT(ISNUMBER($G33)),$G33&lt;=0)," · Monto inválido","")&amp;IF(AND($I33="Pagado",$J33="")," · Pago sin fecha","")&amp;IF(AND(ISNUMBER($K33),ISNUMBER($G33),$K33&gt;N($G33)+0.01)," · Pagado &gt; monto","")&amp;IF(AND(ISNUMBER($K33),$K33&gt;0,$J33="")," · Monto pagado sin fecha",""),4,900)))</f>
        <v/>
      </c>
    </row>
    <row r="34">
      <c r="A34" s="51">
        <f>IF(COUNTA($B34,$C34,$D34,$E34,$G34)=0,"","G-"&amp;TEXT(ROW()-6,"0000"))</f>
        <v/>
      </c>
      <c r="B34" s="41" t="n"/>
      <c r="C34" s="33" t="n"/>
      <c r="D34" s="33" t="n"/>
      <c r="E34" s="33" t="n"/>
      <c r="F34" s="33" t="n"/>
      <c r="G34" s="36" t="n"/>
      <c r="H34" s="33" t="n"/>
      <c r="I34" s="33" t="n"/>
      <c r="J34" s="41" t="n"/>
      <c r="K34" s="36" t="n"/>
      <c r="L34" s="37">
        <f>IF(NOT(ISNUMBER($G34)),"",$G34-IF(ISNUMBER($K34),$K34,0))</f>
        <v/>
      </c>
      <c r="M34" s="33" t="n"/>
      <c r="N34" s="33" t="n"/>
      <c r="O34" s="51">
        <f>IF(COUNTA($B34,$C34,$D34,$E34,$G34)=0,"",IF(IF($B34=""," · Falta fecha","")&amp;IF($C34=""," · Falta tipo (Fijo/Variable)","")&amp;IF($D34=""," · SIN CATEGORÍA","")&amp;IF($E34=""," · Falta descripción","")&amp;IF(OR($G34="",NOT(ISNUMBER($G34)),$G34&lt;=0)," · Monto inválido","")&amp;IF(AND($I34="Pagado",$J34="")," · Pago sin fecha","")&amp;IF(AND(ISNUMBER($K34),ISNUMBER($G34),$K34&gt;N($G34)+0.01)," · Pagado &gt; monto","")&amp;IF(AND(ISNUMBER($K34),$K34&gt;0,$J34="")," · Monto pagado sin fecha","")="","OK",MID(IF($B34=""," · Falta fecha","")&amp;IF($C34=""," · Falta tipo (Fijo/Variable)","")&amp;IF($D34=""," · SIN CATEGORÍA","")&amp;IF($E34=""," · Falta descripción","")&amp;IF(OR($G34="",NOT(ISNUMBER($G34)),$G34&lt;=0)," · Monto inválido","")&amp;IF(AND($I34="Pagado",$J34="")," · Pago sin fecha","")&amp;IF(AND(ISNUMBER($K34),ISNUMBER($G34),$K34&gt;N($G34)+0.01)," · Pagado &gt; monto","")&amp;IF(AND(ISNUMBER($K34),$K34&gt;0,$J34="")," · Monto pagado sin fecha",""),4,900)))</f>
        <v/>
      </c>
    </row>
    <row r="35">
      <c r="A35" s="51">
        <f>IF(COUNTA($B35,$C35,$D35,$E35,$G35)=0,"","G-"&amp;TEXT(ROW()-6,"0000"))</f>
        <v/>
      </c>
      <c r="B35" s="41" t="n"/>
      <c r="C35" s="33" t="n"/>
      <c r="D35" s="33" t="n"/>
      <c r="E35" s="33" t="n"/>
      <c r="F35" s="33" t="n"/>
      <c r="G35" s="36" t="n"/>
      <c r="H35" s="33" t="n"/>
      <c r="I35" s="33" t="n"/>
      <c r="J35" s="41" t="n"/>
      <c r="K35" s="36" t="n"/>
      <c r="L35" s="37">
        <f>IF(NOT(ISNUMBER($G35)),"",$G35-IF(ISNUMBER($K35),$K35,0))</f>
        <v/>
      </c>
      <c r="M35" s="33" t="n"/>
      <c r="N35" s="33" t="n"/>
      <c r="O35" s="51">
        <f>IF(COUNTA($B35,$C35,$D35,$E35,$G35)=0,"",IF(IF($B35=""," · Falta fecha","")&amp;IF($C35=""," · Falta tipo (Fijo/Variable)","")&amp;IF($D35=""," · SIN CATEGORÍA","")&amp;IF($E35=""," · Falta descripción","")&amp;IF(OR($G35="",NOT(ISNUMBER($G35)),$G35&lt;=0)," · Monto inválido","")&amp;IF(AND($I35="Pagado",$J35="")," · Pago sin fecha","")&amp;IF(AND(ISNUMBER($K35),ISNUMBER($G35),$K35&gt;N($G35)+0.01)," · Pagado &gt; monto","")&amp;IF(AND(ISNUMBER($K35),$K35&gt;0,$J35="")," · Monto pagado sin fecha","")="","OK",MID(IF($B35=""," · Falta fecha","")&amp;IF($C35=""," · Falta tipo (Fijo/Variable)","")&amp;IF($D35=""," · SIN CATEGORÍA","")&amp;IF($E35=""," · Falta descripción","")&amp;IF(OR($G35="",NOT(ISNUMBER($G35)),$G35&lt;=0)," · Monto inválido","")&amp;IF(AND($I35="Pagado",$J35="")," · Pago sin fecha","")&amp;IF(AND(ISNUMBER($K35),ISNUMBER($G35),$K35&gt;N($G35)+0.01)," · Pagado &gt; monto","")&amp;IF(AND(ISNUMBER($K35),$K35&gt;0,$J35="")," · Monto pagado sin fecha",""),4,900)))</f>
        <v/>
      </c>
    </row>
    <row r="36">
      <c r="A36" s="51">
        <f>IF(COUNTA($B36,$C36,$D36,$E36,$G36)=0,"","G-"&amp;TEXT(ROW()-6,"0000"))</f>
        <v/>
      </c>
      <c r="B36" s="41" t="n"/>
      <c r="C36" s="33" t="n"/>
      <c r="D36" s="33" t="n"/>
      <c r="E36" s="33" t="n"/>
      <c r="F36" s="33" t="n"/>
      <c r="G36" s="36" t="n"/>
      <c r="H36" s="33" t="n"/>
      <c r="I36" s="33" t="n"/>
      <c r="J36" s="41" t="n"/>
      <c r="K36" s="36" t="n"/>
      <c r="L36" s="37">
        <f>IF(NOT(ISNUMBER($G36)),"",$G36-IF(ISNUMBER($K36),$K36,0))</f>
        <v/>
      </c>
      <c r="M36" s="33" t="n"/>
      <c r="N36" s="33" t="n"/>
      <c r="O36" s="51">
        <f>IF(COUNTA($B36,$C36,$D36,$E36,$G36)=0,"",IF(IF($B36=""," · Falta fecha","")&amp;IF($C36=""," · Falta tipo (Fijo/Variable)","")&amp;IF($D36=""," · SIN CATEGORÍA","")&amp;IF($E36=""," · Falta descripción","")&amp;IF(OR($G36="",NOT(ISNUMBER($G36)),$G36&lt;=0)," · Monto inválido","")&amp;IF(AND($I36="Pagado",$J36="")," · Pago sin fecha","")&amp;IF(AND(ISNUMBER($K36),ISNUMBER($G36),$K36&gt;N($G36)+0.01)," · Pagado &gt; monto","")&amp;IF(AND(ISNUMBER($K36),$K36&gt;0,$J36="")," · Monto pagado sin fecha","")="","OK",MID(IF($B36=""," · Falta fecha","")&amp;IF($C36=""," · Falta tipo (Fijo/Variable)","")&amp;IF($D36=""," · SIN CATEGORÍA","")&amp;IF($E36=""," · Falta descripción","")&amp;IF(OR($G36="",NOT(ISNUMBER($G36)),$G36&lt;=0)," · Monto inválido","")&amp;IF(AND($I36="Pagado",$J36="")," · Pago sin fecha","")&amp;IF(AND(ISNUMBER($K36),ISNUMBER($G36),$K36&gt;N($G36)+0.01)," · Pagado &gt; monto","")&amp;IF(AND(ISNUMBER($K36),$K36&gt;0,$J36="")," · Monto pagado sin fecha",""),4,900)))</f>
        <v/>
      </c>
    </row>
    <row r="37">
      <c r="A37" s="51">
        <f>IF(COUNTA($B37,$C37,$D37,$E37,$G37)=0,"","G-"&amp;TEXT(ROW()-6,"0000"))</f>
        <v/>
      </c>
      <c r="B37" s="41" t="n"/>
      <c r="C37" s="33" t="n"/>
      <c r="D37" s="33" t="n"/>
      <c r="E37" s="33" t="n"/>
      <c r="F37" s="33" t="n"/>
      <c r="G37" s="36" t="n"/>
      <c r="H37" s="33" t="n"/>
      <c r="I37" s="33" t="n"/>
      <c r="J37" s="41" t="n"/>
      <c r="K37" s="36" t="n"/>
      <c r="L37" s="37">
        <f>IF(NOT(ISNUMBER($G37)),"",$G37-IF(ISNUMBER($K37),$K37,0))</f>
        <v/>
      </c>
      <c r="M37" s="33" t="n"/>
      <c r="N37" s="33" t="n"/>
      <c r="O37" s="51">
        <f>IF(COUNTA($B37,$C37,$D37,$E37,$G37)=0,"",IF(IF($B37=""," · Falta fecha","")&amp;IF($C37=""," · Falta tipo (Fijo/Variable)","")&amp;IF($D37=""," · SIN CATEGORÍA","")&amp;IF($E37=""," · Falta descripción","")&amp;IF(OR($G37="",NOT(ISNUMBER($G37)),$G37&lt;=0)," · Monto inválido","")&amp;IF(AND($I37="Pagado",$J37="")," · Pago sin fecha","")&amp;IF(AND(ISNUMBER($K37),ISNUMBER($G37),$K37&gt;N($G37)+0.01)," · Pagado &gt; monto","")&amp;IF(AND(ISNUMBER($K37),$K37&gt;0,$J37="")," · Monto pagado sin fecha","")="","OK",MID(IF($B37=""," · Falta fecha","")&amp;IF($C37=""," · Falta tipo (Fijo/Variable)","")&amp;IF($D37=""," · SIN CATEGORÍA","")&amp;IF($E37=""," · Falta descripción","")&amp;IF(OR($G37="",NOT(ISNUMBER($G37)),$G37&lt;=0)," · Monto inválido","")&amp;IF(AND($I37="Pagado",$J37="")," · Pago sin fecha","")&amp;IF(AND(ISNUMBER($K37),ISNUMBER($G37),$K37&gt;N($G37)+0.01)," · Pagado &gt; monto","")&amp;IF(AND(ISNUMBER($K37),$K37&gt;0,$J37="")," · Monto pagado sin fecha",""),4,900)))</f>
        <v/>
      </c>
    </row>
    <row r="38">
      <c r="A38" s="51">
        <f>IF(COUNTA($B38,$C38,$D38,$E38,$G38)=0,"","G-"&amp;TEXT(ROW()-6,"0000"))</f>
        <v/>
      </c>
      <c r="B38" s="41" t="n"/>
      <c r="C38" s="33" t="n"/>
      <c r="D38" s="33" t="n"/>
      <c r="E38" s="33" t="n"/>
      <c r="F38" s="33" t="n"/>
      <c r="G38" s="36" t="n"/>
      <c r="H38" s="33" t="n"/>
      <c r="I38" s="33" t="n"/>
      <c r="J38" s="41" t="n"/>
      <c r="K38" s="36" t="n"/>
      <c r="L38" s="37">
        <f>IF(NOT(ISNUMBER($G38)),"",$G38-IF(ISNUMBER($K38),$K38,0))</f>
        <v/>
      </c>
      <c r="M38" s="33" t="n"/>
      <c r="N38" s="33" t="n"/>
      <c r="O38" s="51">
        <f>IF(COUNTA($B38,$C38,$D38,$E38,$G38)=0,"",IF(IF($B38=""," · Falta fecha","")&amp;IF($C38=""," · Falta tipo (Fijo/Variable)","")&amp;IF($D38=""," · SIN CATEGORÍA","")&amp;IF($E38=""," · Falta descripción","")&amp;IF(OR($G38="",NOT(ISNUMBER($G38)),$G38&lt;=0)," · Monto inválido","")&amp;IF(AND($I38="Pagado",$J38="")," · Pago sin fecha","")&amp;IF(AND(ISNUMBER($K38),ISNUMBER($G38),$K38&gt;N($G38)+0.01)," · Pagado &gt; monto","")&amp;IF(AND(ISNUMBER($K38),$K38&gt;0,$J38="")," · Monto pagado sin fecha","")="","OK",MID(IF($B38=""," · Falta fecha","")&amp;IF($C38=""," · Falta tipo (Fijo/Variable)","")&amp;IF($D38=""," · SIN CATEGORÍA","")&amp;IF($E38=""," · Falta descripción","")&amp;IF(OR($G38="",NOT(ISNUMBER($G38)),$G38&lt;=0)," · Monto inválido","")&amp;IF(AND($I38="Pagado",$J38="")," · Pago sin fecha","")&amp;IF(AND(ISNUMBER($K38),ISNUMBER($G38),$K38&gt;N($G38)+0.01)," · Pagado &gt; monto","")&amp;IF(AND(ISNUMBER($K38),$K38&gt;0,$J38="")," · Monto pagado sin fecha",""),4,900)))</f>
        <v/>
      </c>
    </row>
    <row r="39">
      <c r="A39" s="51">
        <f>IF(COUNTA($B39,$C39,$D39,$E39,$G39)=0,"","G-"&amp;TEXT(ROW()-6,"0000"))</f>
        <v/>
      </c>
      <c r="B39" s="41" t="n"/>
      <c r="C39" s="33" t="n"/>
      <c r="D39" s="33" t="n"/>
      <c r="E39" s="33" t="n"/>
      <c r="F39" s="33" t="n"/>
      <c r="G39" s="36" t="n"/>
      <c r="H39" s="33" t="n"/>
      <c r="I39" s="33" t="n"/>
      <c r="J39" s="41" t="n"/>
      <c r="K39" s="36" t="n"/>
      <c r="L39" s="37">
        <f>IF(NOT(ISNUMBER($G39)),"",$G39-IF(ISNUMBER($K39),$K39,0))</f>
        <v/>
      </c>
      <c r="M39" s="33" t="n"/>
      <c r="N39" s="33" t="n"/>
      <c r="O39" s="51">
        <f>IF(COUNTA($B39,$C39,$D39,$E39,$G39)=0,"",IF(IF($B39=""," · Falta fecha","")&amp;IF($C39=""," · Falta tipo (Fijo/Variable)","")&amp;IF($D39=""," · SIN CATEGORÍA","")&amp;IF($E39=""," · Falta descripción","")&amp;IF(OR($G39="",NOT(ISNUMBER($G39)),$G39&lt;=0)," · Monto inválido","")&amp;IF(AND($I39="Pagado",$J39="")," · Pago sin fecha","")&amp;IF(AND(ISNUMBER($K39),ISNUMBER($G39),$K39&gt;N($G39)+0.01)," · Pagado &gt; monto","")&amp;IF(AND(ISNUMBER($K39),$K39&gt;0,$J39="")," · Monto pagado sin fecha","")="","OK",MID(IF($B39=""," · Falta fecha","")&amp;IF($C39=""," · Falta tipo (Fijo/Variable)","")&amp;IF($D39=""," · SIN CATEGORÍA","")&amp;IF($E39=""," · Falta descripción","")&amp;IF(OR($G39="",NOT(ISNUMBER($G39)),$G39&lt;=0)," · Monto inválido","")&amp;IF(AND($I39="Pagado",$J39="")," · Pago sin fecha","")&amp;IF(AND(ISNUMBER($K39),ISNUMBER($G39),$K39&gt;N($G39)+0.01)," · Pagado &gt; monto","")&amp;IF(AND(ISNUMBER($K39),$K39&gt;0,$J39="")," · Monto pagado sin fecha",""),4,900)))</f>
        <v/>
      </c>
    </row>
    <row r="40">
      <c r="A40" s="51">
        <f>IF(COUNTA($B40,$C40,$D40,$E40,$G40)=0,"","G-"&amp;TEXT(ROW()-6,"0000"))</f>
        <v/>
      </c>
      <c r="B40" s="41" t="n"/>
      <c r="C40" s="33" t="n"/>
      <c r="D40" s="33" t="n"/>
      <c r="E40" s="33" t="n"/>
      <c r="F40" s="33" t="n"/>
      <c r="G40" s="36" t="n"/>
      <c r="H40" s="33" t="n"/>
      <c r="I40" s="33" t="n"/>
      <c r="J40" s="41" t="n"/>
      <c r="K40" s="36" t="n"/>
      <c r="L40" s="37">
        <f>IF(NOT(ISNUMBER($G40)),"",$G40-IF(ISNUMBER($K40),$K40,0))</f>
        <v/>
      </c>
      <c r="M40" s="33" t="n"/>
      <c r="N40" s="33" t="n"/>
      <c r="O40" s="51">
        <f>IF(COUNTA($B40,$C40,$D40,$E40,$G40)=0,"",IF(IF($B40=""," · Falta fecha","")&amp;IF($C40=""," · Falta tipo (Fijo/Variable)","")&amp;IF($D40=""," · SIN CATEGORÍA","")&amp;IF($E40=""," · Falta descripción","")&amp;IF(OR($G40="",NOT(ISNUMBER($G40)),$G40&lt;=0)," · Monto inválido","")&amp;IF(AND($I40="Pagado",$J40="")," · Pago sin fecha","")&amp;IF(AND(ISNUMBER($K40),ISNUMBER($G40),$K40&gt;N($G40)+0.01)," · Pagado &gt; monto","")&amp;IF(AND(ISNUMBER($K40),$K40&gt;0,$J40="")," · Monto pagado sin fecha","")="","OK",MID(IF($B40=""," · Falta fecha","")&amp;IF($C40=""," · Falta tipo (Fijo/Variable)","")&amp;IF($D40=""," · SIN CATEGORÍA","")&amp;IF($E40=""," · Falta descripción","")&amp;IF(OR($G40="",NOT(ISNUMBER($G40)),$G40&lt;=0)," · Monto inválido","")&amp;IF(AND($I40="Pagado",$J40="")," · Pago sin fecha","")&amp;IF(AND(ISNUMBER($K40),ISNUMBER($G40),$K40&gt;N($G40)+0.01)," · Pagado &gt; monto","")&amp;IF(AND(ISNUMBER($K40),$K40&gt;0,$J40="")," · Monto pagado sin fecha",""),4,900)))</f>
        <v/>
      </c>
    </row>
    <row r="41">
      <c r="A41" s="51">
        <f>IF(COUNTA($B41,$C41,$D41,$E41,$G41)=0,"","G-"&amp;TEXT(ROW()-6,"0000"))</f>
        <v/>
      </c>
      <c r="B41" s="41" t="n"/>
      <c r="C41" s="33" t="n"/>
      <c r="D41" s="33" t="n"/>
      <c r="E41" s="33" t="n"/>
      <c r="F41" s="33" t="n"/>
      <c r="G41" s="36" t="n"/>
      <c r="H41" s="33" t="n"/>
      <c r="I41" s="33" t="n"/>
      <c r="J41" s="41" t="n"/>
      <c r="K41" s="36" t="n"/>
      <c r="L41" s="37">
        <f>IF(NOT(ISNUMBER($G41)),"",$G41-IF(ISNUMBER($K41),$K41,0))</f>
        <v/>
      </c>
      <c r="M41" s="33" t="n"/>
      <c r="N41" s="33" t="n"/>
      <c r="O41" s="51">
        <f>IF(COUNTA($B41,$C41,$D41,$E41,$G41)=0,"",IF(IF($B41=""," · Falta fecha","")&amp;IF($C41=""," · Falta tipo (Fijo/Variable)","")&amp;IF($D41=""," · SIN CATEGORÍA","")&amp;IF($E41=""," · Falta descripción","")&amp;IF(OR($G41="",NOT(ISNUMBER($G41)),$G41&lt;=0)," · Monto inválido","")&amp;IF(AND($I41="Pagado",$J41="")," · Pago sin fecha","")&amp;IF(AND(ISNUMBER($K41),ISNUMBER($G41),$K41&gt;N($G41)+0.01)," · Pagado &gt; monto","")&amp;IF(AND(ISNUMBER($K41),$K41&gt;0,$J41="")," · Monto pagado sin fecha","")="","OK",MID(IF($B41=""," · Falta fecha","")&amp;IF($C41=""," · Falta tipo (Fijo/Variable)","")&amp;IF($D41=""," · SIN CATEGORÍA","")&amp;IF($E41=""," · Falta descripción","")&amp;IF(OR($G41="",NOT(ISNUMBER($G41)),$G41&lt;=0)," · Monto inválido","")&amp;IF(AND($I41="Pagado",$J41="")," · Pago sin fecha","")&amp;IF(AND(ISNUMBER($K41),ISNUMBER($G41),$K41&gt;N($G41)+0.01)," · Pagado &gt; monto","")&amp;IF(AND(ISNUMBER($K41),$K41&gt;0,$J41="")," · Monto pagado sin fecha",""),4,900)))</f>
        <v/>
      </c>
    </row>
    <row r="42">
      <c r="A42" s="51">
        <f>IF(COUNTA($B42,$C42,$D42,$E42,$G42)=0,"","G-"&amp;TEXT(ROW()-6,"0000"))</f>
        <v/>
      </c>
      <c r="B42" s="41" t="n"/>
      <c r="C42" s="33" t="n"/>
      <c r="D42" s="33" t="n"/>
      <c r="E42" s="33" t="n"/>
      <c r="F42" s="33" t="n"/>
      <c r="G42" s="36" t="n"/>
      <c r="H42" s="33" t="n"/>
      <c r="I42" s="33" t="n"/>
      <c r="J42" s="41" t="n"/>
      <c r="K42" s="36" t="n"/>
      <c r="L42" s="37">
        <f>IF(NOT(ISNUMBER($G42)),"",$G42-IF(ISNUMBER($K42),$K42,0))</f>
        <v/>
      </c>
      <c r="M42" s="33" t="n"/>
      <c r="N42" s="33" t="n"/>
      <c r="O42" s="51">
        <f>IF(COUNTA($B42,$C42,$D42,$E42,$G42)=0,"",IF(IF($B42=""," · Falta fecha","")&amp;IF($C42=""," · Falta tipo (Fijo/Variable)","")&amp;IF($D42=""," · SIN CATEGORÍA","")&amp;IF($E42=""," · Falta descripción","")&amp;IF(OR($G42="",NOT(ISNUMBER($G42)),$G42&lt;=0)," · Monto inválido","")&amp;IF(AND($I42="Pagado",$J42="")," · Pago sin fecha","")&amp;IF(AND(ISNUMBER($K42),ISNUMBER($G42),$K42&gt;N($G42)+0.01)," · Pagado &gt; monto","")&amp;IF(AND(ISNUMBER($K42),$K42&gt;0,$J42="")," · Monto pagado sin fecha","")="","OK",MID(IF($B42=""," · Falta fecha","")&amp;IF($C42=""," · Falta tipo (Fijo/Variable)","")&amp;IF($D42=""," · SIN CATEGORÍA","")&amp;IF($E42=""," · Falta descripción","")&amp;IF(OR($G42="",NOT(ISNUMBER($G42)),$G42&lt;=0)," · Monto inválido","")&amp;IF(AND($I42="Pagado",$J42="")," · Pago sin fecha","")&amp;IF(AND(ISNUMBER($K42),ISNUMBER($G42),$K42&gt;N($G42)+0.01)," · Pagado &gt; monto","")&amp;IF(AND(ISNUMBER($K42),$K42&gt;0,$J42="")," · Monto pagado sin fecha",""),4,900)))</f>
        <v/>
      </c>
    </row>
    <row r="43">
      <c r="A43" s="51">
        <f>IF(COUNTA($B43,$C43,$D43,$E43,$G43)=0,"","G-"&amp;TEXT(ROW()-6,"0000"))</f>
        <v/>
      </c>
      <c r="B43" s="41" t="n"/>
      <c r="C43" s="33" t="n"/>
      <c r="D43" s="33" t="n"/>
      <c r="E43" s="33" t="n"/>
      <c r="F43" s="33" t="n"/>
      <c r="G43" s="36" t="n"/>
      <c r="H43" s="33" t="n"/>
      <c r="I43" s="33" t="n"/>
      <c r="J43" s="41" t="n"/>
      <c r="K43" s="36" t="n"/>
      <c r="L43" s="37">
        <f>IF(NOT(ISNUMBER($G43)),"",$G43-IF(ISNUMBER($K43),$K43,0))</f>
        <v/>
      </c>
      <c r="M43" s="33" t="n"/>
      <c r="N43" s="33" t="n"/>
      <c r="O43" s="51">
        <f>IF(COUNTA($B43,$C43,$D43,$E43,$G43)=0,"",IF(IF($B43=""," · Falta fecha","")&amp;IF($C43=""," · Falta tipo (Fijo/Variable)","")&amp;IF($D43=""," · SIN CATEGORÍA","")&amp;IF($E43=""," · Falta descripción","")&amp;IF(OR($G43="",NOT(ISNUMBER($G43)),$G43&lt;=0)," · Monto inválido","")&amp;IF(AND($I43="Pagado",$J43="")," · Pago sin fecha","")&amp;IF(AND(ISNUMBER($K43),ISNUMBER($G43),$K43&gt;N($G43)+0.01)," · Pagado &gt; monto","")&amp;IF(AND(ISNUMBER($K43),$K43&gt;0,$J43="")," · Monto pagado sin fecha","")="","OK",MID(IF($B43=""," · Falta fecha","")&amp;IF($C43=""," · Falta tipo (Fijo/Variable)","")&amp;IF($D43=""," · SIN CATEGORÍA","")&amp;IF($E43=""," · Falta descripción","")&amp;IF(OR($G43="",NOT(ISNUMBER($G43)),$G43&lt;=0)," · Monto inválido","")&amp;IF(AND($I43="Pagado",$J43="")," · Pago sin fecha","")&amp;IF(AND(ISNUMBER($K43),ISNUMBER($G43),$K43&gt;N($G43)+0.01)," · Pagado &gt; monto","")&amp;IF(AND(ISNUMBER($K43),$K43&gt;0,$J43="")," · Monto pagado sin fecha",""),4,900)))</f>
        <v/>
      </c>
    </row>
    <row r="44">
      <c r="A44" s="51">
        <f>IF(COUNTA($B44,$C44,$D44,$E44,$G44)=0,"","G-"&amp;TEXT(ROW()-6,"0000"))</f>
        <v/>
      </c>
      <c r="B44" s="41" t="n"/>
      <c r="C44" s="33" t="n"/>
      <c r="D44" s="33" t="n"/>
      <c r="E44" s="33" t="n"/>
      <c r="F44" s="33" t="n"/>
      <c r="G44" s="36" t="n"/>
      <c r="H44" s="33" t="n"/>
      <c r="I44" s="33" t="n"/>
      <c r="J44" s="41" t="n"/>
      <c r="K44" s="36" t="n"/>
      <c r="L44" s="37">
        <f>IF(NOT(ISNUMBER($G44)),"",$G44-IF(ISNUMBER($K44),$K44,0))</f>
        <v/>
      </c>
      <c r="M44" s="33" t="n"/>
      <c r="N44" s="33" t="n"/>
      <c r="O44" s="51">
        <f>IF(COUNTA($B44,$C44,$D44,$E44,$G44)=0,"",IF(IF($B44=""," · Falta fecha","")&amp;IF($C44=""," · Falta tipo (Fijo/Variable)","")&amp;IF($D44=""," · SIN CATEGORÍA","")&amp;IF($E44=""," · Falta descripción","")&amp;IF(OR($G44="",NOT(ISNUMBER($G44)),$G44&lt;=0)," · Monto inválido","")&amp;IF(AND($I44="Pagado",$J44="")," · Pago sin fecha","")&amp;IF(AND(ISNUMBER($K44),ISNUMBER($G44),$K44&gt;N($G44)+0.01)," · Pagado &gt; monto","")&amp;IF(AND(ISNUMBER($K44),$K44&gt;0,$J44="")," · Monto pagado sin fecha","")="","OK",MID(IF($B44=""," · Falta fecha","")&amp;IF($C44=""," · Falta tipo (Fijo/Variable)","")&amp;IF($D44=""," · SIN CATEGORÍA","")&amp;IF($E44=""," · Falta descripción","")&amp;IF(OR($G44="",NOT(ISNUMBER($G44)),$G44&lt;=0)," · Monto inválido","")&amp;IF(AND($I44="Pagado",$J44="")," · Pago sin fecha","")&amp;IF(AND(ISNUMBER($K44),ISNUMBER($G44),$K44&gt;N($G44)+0.01)," · Pagado &gt; monto","")&amp;IF(AND(ISNUMBER($K44),$K44&gt;0,$J44="")," · Monto pagado sin fecha",""),4,900)))</f>
        <v/>
      </c>
    </row>
    <row r="45">
      <c r="A45" s="51">
        <f>IF(COUNTA($B45,$C45,$D45,$E45,$G45)=0,"","G-"&amp;TEXT(ROW()-6,"0000"))</f>
        <v/>
      </c>
      <c r="B45" s="41" t="n"/>
      <c r="C45" s="33" t="n"/>
      <c r="D45" s="33" t="n"/>
      <c r="E45" s="33" t="n"/>
      <c r="F45" s="33" t="n"/>
      <c r="G45" s="36" t="n"/>
      <c r="H45" s="33" t="n"/>
      <c r="I45" s="33" t="n"/>
      <c r="J45" s="41" t="n"/>
      <c r="K45" s="36" t="n"/>
      <c r="L45" s="37">
        <f>IF(NOT(ISNUMBER($G45)),"",$G45-IF(ISNUMBER($K45),$K45,0))</f>
        <v/>
      </c>
      <c r="M45" s="33" t="n"/>
      <c r="N45" s="33" t="n"/>
      <c r="O45" s="51">
        <f>IF(COUNTA($B45,$C45,$D45,$E45,$G45)=0,"",IF(IF($B45=""," · Falta fecha","")&amp;IF($C45=""," · Falta tipo (Fijo/Variable)","")&amp;IF($D45=""," · SIN CATEGORÍA","")&amp;IF($E45=""," · Falta descripción","")&amp;IF(OR($G45="",NOT(ISNUMBER($G45)),$G45&lt;=0)," · Monto inválido","")&amp;IF(AND($I45="Pagado",$J45="")," · Pago sin fecha","")&amp;IF(AND(ISNUMBER($K45),ISNUMBER($G45),$K45&gt;N($G45)+0.01)," · Pagado &gt; monto","")&amp;IF(AND(ISNUMBER($K45),$K45&gt;0,$J45="")," · Monto pagado sin fecha","")="","OK",MID(IF($B45=""," · Falta fecha","")&amp;IF($C45=""," · Falta tipo (Fijo/Variable)","")&amp;IF($D45=""," · SIN CATEGORÍA","")&amp;IF($E45=""," · Falta descripción","")&amp;IF(OR($G45="",NOT(ISNUMBER($G45)),$G45&lt;=0)," · Monto inválido","")&amp;IF(AND($I45="Pagado",$J45="")," · Pago sin fecha","")&amp;IF(AND(ISNUMBER($K45),ISNUMBER($G45),$K45&gt;N($G45)+0.01)," · Pagado &gt; monto","")&amp;IF(AND(ISNUMBER($K45),$K45&gt;0,$J45="")," · Monto pagado sin fecha",""),4,900)))</f>
        <v/>
      </c>
    </row>
    <row r="46">
      <c r="A46" s="51">
        <f>IF(COUNTA($B46,$C46,$D46,$E46,$G46)=0,"","G-"&amp;TEXT(ROW()-6,"0000"))</f>
        <v/>
      </c>
      <c r="B46" s="41" t="n"/>
      <c r="C46" s="33" t="n"/>
      <c r="D46" s="33" t="n"/>
      <c r="E46" s="33" t="n"/>
      <c r="F46" s="33" t="n"/>
      <c r="G46" s="36" t="n"/>
      <c r="H46" s="33" t="n"/>
      <c r="I46" s="33" t="n"/>
      <c r="J46" s="41" t="n"/>
      <c r="K46" s="36" t="n"/>
      <c r="L46" s="37">
        <f>IF(NOT(ISNUMBER($G46)),"",$G46-IF(ISNUMBER($K46),$K46,0))</f>
        <v/>
      </c>
      <c r="M46" s="33" t="n"/>
      <c r="N46" s="33" t="n"/>
      <c r="O46" s="51">
        <f>IF(COUNTA($B46,$C46,$D46,$E46,$G46)=0,"",IF(IF($B46=""," · Falta fecha","")&amp;IF($C46=""," · Falta tipo (Fijo/Variable)","")&amp;IF($D46=""," · SIN CATEGORÍA","")&amp;IF($E46=""," · Falta descripción","")&amp;IF(OR($G46="",NOT(ISNUMBER($G46)),$G46&lt;=0)," · Monto inválido","")&amp;IF(AND($I46="Pagado",$J46="")," · Pago sin fecha","")&amp;IF(AND(ISNUMBER($K46),ISNUMBER($G46),$K46&gt;N($G46)+0.01)," · Pagado &gt; monto","")&amp;IF(AND(ISNUMBER($K46),$K46&gt;0,$J46="")," · Monto pagado sin fecha","")="","OK",MID(IF($B46=""," · Falta fecha","")&amp;IF($C46=""," · Falta tipo (Fijo/Variable)","")&amp;IF($D46=""," · SIN CATEGORÍA","")&amp;IF($E46=""," · Falta descripción","")&amp;IF(OR($G46="",NOT(ISNUMBER($G46)),$G46&lt;=0)," · Monto inválido","")&amp;IF(AND($I46="Pagado",$J46="")," · Pago sin fecha","")&amp;IF(AND(ISNUMBER($K46),ISNUMBER($G46),$K46&gt;N($G46)+0.01)," · Pagado &gt; monto","")&amp;IF(AND(ISNUMBER($K46),$K46&gt;0,$J46="")," · Monto pagado sin fecha",""),4,900)))</f>
        <v/>
      </c>
    </row>
    <row r="47">
      <c r="A47" s="51">
        <f>IF(COUNTA($B47,$C47,$D47,$E47,$G47)=0,"","G-"&amp;TEXT(ROW()-6,"0000"))</f>
        <v/>
      </c>
      <c r="B47" s="41" t="n"/>
      <c r="C47" s="33" t="n"/>
      <c r="D47" s="33" t="n"/>
      <c r="E47" s="33" t="n"/>
      <c r="F47" s="33" t="n"/>
      <c r="G47" s="36" t="n"/>
      <c r="H47" s="33" t="n"/>
      <c r="I47" s="33" t="n"/>
      <c r="J47" s="41" t="n"/>
      <c r="K47" s="36" t="n"/>
      <c r="L47" s="37">
        <f>IF(NOT(ISNUMBER($G47)),"",$G47-IF(ISNUMBER($K47),$K47,0))</f>
        <v/>
      </c>
      <c r="M47" s="33" t="n"/>
      <c r="N47" s="33" t="n"/>
      <c r="O47" s="51">
        <f>IF(COUNTA($B47,$C47,$D47,$E47,$G47)=0,"",IF(IF($B47=""," · Falta fecha","")&amp;IF($C47=""," · Falta tipo (Fijo/Variable)","")&amp;IF($D47=""," · SIN CATEGORÍA","")&amp;IF($E47=""," · Falta descripción","")&amp;IF(OR($G47="",NOT(ISNUMBER($G47)),$G47&lt;=0)," · Monto inválido","")&amp;IF(AND($I47="Pagado",$J47="")," · Pago sin fecha","")&amp;IF(AND(ISNUMBER($K47),ISNUMBER($G47),$K47&gt;N($G47)+0.01)," · Pagado &gt; monto","")&amp;IF(AND(ISNUMBER($K47),$K47&gt;0,$J47="")," · Monto pagado sin fecha","")="","OK",MID(IF($B47=""," · Falta fecha","")&amp;IF($C47=""," · Falta tipo (Fijo/Variable)","")&amp;IF($D47=""," · SIN CATEGORÍA","")&amp;IF($E47=""," · Falta descripción","")&amp;IF(OR($G47="",NOT(ISNUMBER($G47)),$G47&lt;=0)," · Monto inválido","")&amp;IF(AND($I47="Pagado",$J47="")," · Pago sin fecha","")&amp;IF(AND(ISNUMBER($K47),ISNUMBER($G47),$K47&gt;N($G47)+0.01)," · Pagado &gt; monto","")&amp;IF(AND(ISNUMBER($K47),$K47&gt;0,$J47="")," · Monto pagado sin fecha",""),4,900)))</f>
        <v/>
      </c>
    </row>
    <row r="48">
      <c r="A48" s="51">
        <f>IF(COUNTA($B48,$C48,$D48,$E48,$G48)=0,"","G-"&amp;TEXT(ROW()-6,"0000"))</f>
        <v/>
      </c>
      <c r="B48" s="41" t="n"/>
      <c r="C48" s="33" t="n"/>
      <c r="D48" s="33" t="n"/>
      <c r="E48" s="33" t="n"/>
      <c r="F48" s="33" t="n"/>
      <c r="G48" s="36" t="n"/>
      <c r="H48" s="33" t="n"/>
      <c r="I48" s="33" t="n"/>
      <c r="J48" s="41" t="n"/>
      <c r="K48" s="36" t="n"/>
      <c r="L48" s="37">
        <f>IF(NOT(ISNUMBER($G48)),"",$G48-IF(ISNUMBER($K48),$K48,0))</f>
        <v/>
      </c>
      <c r="M48" s="33" t="n"/>
      <c r="N48" s="33" t="n"/>
      <c r="O48" s="51">
        <f>IF(COUNTA($B48,$C48,$D48,$E48,$G48)=0,"",IF(IF($B48=""," · Falta fecha","")&amp;IF($C48=""," · Falta tipo (Fijo/Variable)","")&amp;IF($D48=""," · SIN CATEGORÍA","")&amp;IF($E48=""," · Falta descripción","")&amp;IF(OR($G48="",NOT(ISNUMBER($G48)),$G48&lt;=0)," · Monto inválido","")&amp;IF(AND($I48="Pagado",$J48="")," · Pago sin fecha","")&amp;IF(AND(ISNUMBER($K48),ISNUMBER($G48),$K48&gt;N($G48)+0.01)," · Pagado &gt; monto","")&amp;IF(AND(ISNUMBER($K48),$K48&gt;0,$J48="")," · Monto pagado sin fecha","")="","OK",MID(IF($B48=""," · Falta fecha","")&amp;IF($C48=""," · Falta tipo (Fijo/Variable)","")&amp;IF($D48=""," · SIN CATEGORÍA","")&amp;IF($E48=""," · Falta descripción","")&amp;IF(OR($G48="",NOT(ISNUMBER($G48)),$G48&lt;=0)," · Monto inválido","")&amp;IF(AND($I48="Pagado",$J48="")," · Pago sin fecha","")&amp;IF(AND(ISNUMBER($K48),ISNUMBER($G48),$K48&gt;N($G48)+0.01)," · Pagado &gt; monto","")&amp;IF(AND(ISNUMBER($K48),$K48&gt;0,$J48="")," · Monto pagado sin fecha",""),4,900)))</f>
        <v/>
      </c>
    </row>
    <row r="49">
      <c r="A49" s="51">
        <f>IF(COUNTA($B49,$C49,$D49,$E49,$G49)=0,"","G-"&amp;TEXT(ROW()-6,"0000"))</f>
        <v/>
      </c>
      <c r="B49" s="41" t="n"/>
      <c r="C49" s="33" t="n"/>
      <c r="D49" s="33" t="n"/>
      <c r="E49" s="33" t="n"/>
      <c r="F49" s="33" t="n"/>
      <c r="G49" s="36" t="n"/>
      <c r="H49" s="33" t="n"/>
      <c r="I49" s="33" t="n"/>
      <c r="J49" s="41" t="n"/>
      <c r="K49" s="36" t="n"/>
      <c r="L49" s="37">
        <f>IF(NOT(ISNUMBER($G49)),"",$G49-IF(ISNUMBER($K49),$K49,0))</f>
        <v/>
      </c>
      <c r="M49" s="33" t="n"/>
      <c r="N49" s="33" t="n"/>
      <c r="O49" s="51">
        <f>IF(COUNTA($B49,$C49,$D49,$E49,$G49)=0,"",IF(IF($B49=""," · Falta fecha","")&amp;IF($C49=""," · Falta tipo (Fijo/Variable)","")&amp;IF($D49=""," · SIN CATEGORÍA","")&amp;IF($E49=""," · Falta descripción","")&amp;IF(OR($G49="",NOT(ISNUMBER($G49)),$G49&lt;=0)," · Monto inválido","")&amp;IF(AND($I49="Pagado",$J49="")," · Pago sin fecha","")&amp;IF(AND(ISNUMBER($K49),ISNUMBER($G49),$K49&gt;N($G49)+0.01)," · Pagado &gt; monto","")&amp;IF(AND(ISNUMBER($K49),$K49&gt;0,$J49="")," · Monto pagado sin fecha","")="","OK",MID(IF($B49=""," · Falta fecha","")&amp;IF($C49=""," · Falta tipo (Fijo/Variable)","")&amp;IF($D49=""," · SIN CATEGORÍA","")&amp;IF($E49=""," · Falta descripción","")&amp;IF(OR($G49="",NOT(ISNUMBER($G49)),$G49&lt;=0)," · Monto inválido","")&amp;IF(AND($I49="Pagado",$J49="")," · Pago sin fecha","")&amp;IF(AND(ISNUMBER($K49),ISNUMBER($G49),$K49&gt;N($G49)+0.01)," · Pagado &gt; monto","")&amp;IF(AND(ISNUMBER($K49),$K49&gt;0,$J49="")," · Monto pagado sin fecha",""),4,900)))</f>
        <v/>
      </c>
    </row>
    <row r="50">
      <c r="A50" s="51">
        <f>IF(COUNTA($B50,$C50,$D50,$E50,$G50)=0,"","G-"&amp;TEXT(ROW()-6,"0000"))</f>
        <v/>
      </c>
      <c r="B50" s="41" t="n"/>
      <c r="C50" s="33" t="n"/>
      <c r="D50" s="33" t="n"/>
      <c r="E50" s="33" t="n"/>
      <c r="F50" s="33" t="n"/>
      <c r="G50" s="36" t="n"/>
      <c r="H50" s="33" t="n"/>
      <c r="I50" s="33" t="n"/>
      <c r="J50" s="41" t="n"/>
      <c r="K50" s="36" t="n"/>
      <c r="L50" s="37">
        <f>IF(NOT(ISNUMBER($G50)),"",$G50-IF(ISNUMBER($K50),$K50,0))</f>
        <v/>
      </c>
      <c r="M50" s="33" t="n"/>
      <c r="N50" s="33" t="n"/>
      <c r="O50" s="51">
        <f>IF(COUNTA($B50,$C50,$D50,$E50,$G50)=0,"",IF(IF($B50=""," · Falta fecha","")&amp;IF($C50=""," · Falta tipo (Fijo/Variable)","")&amp;IF($D50=""," · SIN CATEGORÍA","")&amp;IF($E50=""," · Falta descripción","")&amp;IF(OR($G50="",NOT(ISNUMBER($G50)),$G50&lt;=0)," · Monto inválido","")&amp;IF(AND($I50="Pagado",$J50="")," · Pago sin fecha","")&amp;IF(AND(ISNUMBER($K50),ISNUMBER($G50),$K50&gt;N($G50)+0.01)," · Pagado &gt; monto","")&amp;IF(AND(ISNUMBER($K50),$K50&gt;0,$J50="")," · Monto pagado sin fecha","")="","OK",MID(IF($B50=""," · Falta fecha","")&amp;IF($C50=""," · Falta tipo (Fijo/Variable)","")&amp;IF($D50=""," · SIN CATEGORÍA","")&amp;IF($E50=""," · Falta descripción","")&amp;IF(OR($G50="",NOT(ISNUMBER($G50)),$G50&lt;=0)," · Monto inválido","")&amp;IF(AND($I50="Pagado",$J50="")," · Pago sin fecha","")&amp;IF(AND(ISNUMBER($K50),ISNUMBER($G50),$K50&gt;N($G50)+0.01)," · Pagado &gt; monto","")&amp;IF(AND(ISNUMBER($K50),$K50&gt;0,$J50="")," · Monto pagado sin fecha",""),4,900)))</f>
        <v/>
      </c>
    </row>
    <row r="51">
      <c r="A51" s="51">
        <f>IF(COUNTA($B51,$C51,$D51,$E51,$G51)=0,"","G-"&amp;TEXT(ROW()-6,"0000"))</f>
        <v/>
      </c>
      <c r="B51" s="41" t="n"/>
      <c r="C51" s="33" t="n"/>
      <c r="D51" s="33" t="n"/>
      <c r="E51" s="33" t="n"/>
      <c r="F51" s="33" t="n"/>
      <c r="G51" s="36" t="n"/>
      <c r="H51" s="33" t="n"/>
      <c r="I51" s="33" t="n"/>
      <c r="J51" s="41" t="n"/>
      <c r="K51" s="36" t="n"/>
      <c r="L51" s="37">
        <f>IF(NOT(ISNUMBER($G51)),"",$G51-IF(ISNUMBER($K51),$K51,0))</f>
        <v/>
      </c>
      <c r="M51" s="33" t="n"/>
      <c r="N51" s="33" t="n"/>
      <c r="O51" s="51">
        <f>IF(COUNTA($B51,$C51,$D51,$E51,$G51)=0,"",IF(IF($B51=""," · Falta fecha","")&amp;IF($C51=""," · Falta tipo (Fijo/Variable)","")&amp;IF($D51=""," · SIN CATEGORÍA","")&amp;IF($E51=""," · Falta descripción","")&amp;IF(OR($G51="",NOT(ISNUMBER($G51)),$G51&lt;=0)," · Monto inválido","")&amp;IF(AND($I51="Pagado",$J51="")," · Pago sin fecha","")&amp;IF(AND(ISNUMBER($K51),ISNUMBER($G51),$K51&gt;N($G51)+0.01)," · Pagado &gt; monto","")&amp;IF(AND(ISNUMBER($K51),$K51&gt;0,$J51="")," · Monto pagado sin fecha","")="","OK",MID(IF($B51=""," · Falta fecha","")&amp;IF($C51=""," · Falta tipo (Fijo/Variable)","")&amp;IF($D51=""," · SIN CATEGORÍA","")&amp;IF($E51=""," · Falta descripción","")&amp;IF(OR($G51="",NOT(ISNUMBER($G51)),$G51&lt;=0)," · Monto inválido","")&amp;IF(AND($I51="Pagado",$J51="")," · Pago sin fecha","")&amp;IF(AND(ISNUMBER($K51),ISNUMBER($G51),$K51&gt;N($G51)+0.01)," · Pagado &gt; monto","")&amp;IF(AND(ISNUMBER($K51),$K51&gt;0,$J51="")," · Monto pagado sin fecha",""),4,900)))</f>
        <v/>
      </c>
    </row>
    <row r="52">
      <c r="A52" s="51">
        <f>IF(COUNTA($B52,$C52,$D52,$E52,$G52)=0,"","G-"&amp;TEXT(ROW()-6,"0000"))</f>
        <v/>
      </c>
      <c r="B52" s="41" t="n"/>
      <c r="C52" s="33" t="n"/>
      <c r="D52" s="33" t="n"/>
      <c r="E52" s="33" t="n"/>
      <c r="F52" s="33" t="n"/>
      <c r="G52" s="36" t="n"/>
      <c r="H52" s="33" t="n"/>
      <c r="I52" s="33" t="n"/>
      <c r="J52" s="41" t="n"/>
      <c r="K52" s="36" t="n"/>
      <c r="L52" s="37">
        <f>IF(NOT(ISNUMBER($G52)),"",$G52-IF(ISNUMBER($K52),$K52,0))</f>
        <v/>
      </c>
      <c r="M52" s="33" t="n"/>
      <c r="N52" s="33" t="n"/>
      <c r="O52" s="51">
        <f>IF(COUNTA($B52,$C52,$D52,$E52,$G52)=0,"",IF(IF($B52=""," · Falta fecha","")&amp;IF($C52=""," · Falta tipo (Fijo/Variable)","")&amp;IF($D52=""," · SIN CATEGORÍA","")&amp;IF($E52=""," · Falta descripción","")&amp;IF(OR($G52="",NOT(ISNUMBER($G52)),$G52&lt;=0)," · Monto inválido","")&amp;IF(AND($I52="Pagado",$J52="")," · Pago sin fecha","")&amp;IF(AND(ISNUMBER($K52),ISNUMBER($G52),$K52&gt;N($G52)+0.01)," · Pagado &gt; monto","")&amp;IF(AND(ISNUMBER($K52),$K52&gt;0,$J52="")," · Monto pagado sin fecha","")="","OK",MID(IF($B52=""," · Falta fecha","")&amp;IF($C52=""," · Falta tipo (Fijo/Variable)","")&amp;IF($D52=""," · SIN CATEGORÍA","")&amp;IF($E52=""," · Falta descripción","")&amp;IF(OR($G52="",NOT(ISNUMBER($G52)),$G52&lt;=0)," · Monto inválido","")&amp;IF(AND($I52="Pagado",$J52="")," · Pago sin fecha","")&amp;IF(AND(ISNUMBER($K52),ISNUMBER($G52),$K52&gt;N($G52)+0.01)," · Pagado &gt; monto","")&amp;IF(AND(ISNUMBER($K52),$K52&gt;0,$J52="")," · Monto pagado sin fecha",""),4,900)))</f>
        <v/>
      </c>
    </row>
    <row r="53">
      <c r="A53" s="51">
        <f>IF(COUNTA($B53,$C53,$D53,$E53,$G53)=0,"","G-"&amp;TEXT(ROW()-6,"0000"))</f>
        <v/>
      </c>
      <c r="B53" s="41" t="n"/>
      <c r="C53" s="33" t="n"/>
      <c r="D53" s="33" t="n"/>
      <c r="E53" s="33" t="n"/>
      <c r="F53" s="33" t="n"/>
      <c r="G53" s="36" t="n"/>
      <c r="H53" s="33" t="n"/>
      <c r="I53" s="33" t="n"/>
      <c r="J53" s="41" t="n"/>
      <c r="K53" s="36" t="n"/>
      <c r="L53" s="37">
        <f>IF(NOT(ISNUMBER($G53)),"",$G53-IF(ISNUMBER($K53),$K53,0))</f>
        <v/>
      </c>
      <c r="M53" s="33" t="n"/>
      <c r="N53" s="33" t="n"/>
      <c r="O53" s="51">
        <f>IF(COUNTA($B53,$C53,$D53,$E53,$G53)=0,"",IF(IF($B53=""," · Falta fecha","")&amp;IF($C53=""," · Falta tipo (Fijo/Variable)","")&amp;IF($D53=""," · SIN CATEGORÍA","")&amp;IF($E53=""," · Falta descripción","")&amp;IF(OR($G53="",NOT(ISNUMBER($G53)),$G53&lt;=0)," · Monto inválido","")&amp;IF(AND($I53="Pagado",$J53="")," · Pago sin fecha","")&amp;IF(AND(ISNUMBER($K53),ISNUMBER($G53),$K53&gt;N($G53)+0.01)," · Pagado &gt; monto","")&amp;IF(AND(ISNUMBER($K53),$K53&gt;0,$J53="")," · Monto pagado sin fecha","")="","OK",MID(IF($B53=""," · Falta fecha","")&amp;IF($C53=""," · Falta tipo (Fijo/Variable)","")&amp;IF($D53=""," · SIN CATEGORÍA","")&amp;IF($E53=""," · Falta descripción","")&amp;IF(OR($G53="",NOT(ISNUMBER($G53)),$G53&lt;=0)," · Monto inválido","")&amp;IF(AND($I53="Pagado",$J53="")," · Pago sin fecha","")&amp;IF(AND(ISNUMBER($K53),ISNUMBER($G53),$K53&gt;N($G53)+0.01)," · Pagado &gt; monto","")&amp;IF(AND(ISNUMBER($K53),$K53&gt;0,$J53="")," · Monto pagado sin fecha",""),4,900)))</f>
        <v/>
      </c>
    </row>
    <row r="54">
      <c r="A54" s="51">
        <f>IF(COUNTA($B54,$C54,$D54,$E54,$G54)=0,"","G-"&amp;TEXT(ROW()-6,"0000"))</f>
        <v/>
      </c>
      <c r="B54" s="41" t="n"/>
      <c r="C54" s="33" t="n"/>
      <c r="D54" s="33" t="n"/>
      <c r="E54" s="33" t="n"/>
      <c r="F54" s="33" t="n"/>
      <c r="G54" s="36" t="n"/>
      <c r="H54" s="33" t="n"/>
      <c r="I54" s="33" t="n"/>
      <c r="J54" s="41" t="n"/>
      <c r="K54" s="36" t="n"/>
      <c r="L54" s="37">
        <f>IF(NOT(ISNUMBER($G54)),"",$G54-IF(ISNUMBER($K54),$K54,0))</f>
        <v/>
      </c>
      <c r="M54" s="33" t="n"/>
      <c r="N54" s="33" t="n"/>
      <c r="O54" s="51">
        <f>IF(COUNTA($B54,$C54,$D54,$E54,$G54)=0,"",IF(IF($B54=""," · Falta fecha","")&amp;IF($C54=""," · Falta tipo (Fijo/Variable)","")&amp;IF($D54=""," · SIN CATEGORÍA","")&amp;IF($E54=""," · Falta descripción","")&amp;IF(OR($G54="",NOT(ISNUMBER($G54)),$G54&lt;=0)," · Monto inválido","")&amp;IF(AND($I54="Pagado",$J54="")," · Pago sin fecha","")&amp;IF(AND(ISNUMBER($K54),ISNUMBER($G54),$K54&gt;N($G54)+0.01)," · Pagado &gt; monto","")&amp;IF(AND(ISNUMBER($K54),$K54&gt;0,$J54="")," · Monto pagado sin fecha","")="","OK",MID(IF($B54=""," · Falta fecha","")&amp;IF($C54=""," · Falta tipo (Fijo/Variable)","")&amp;IF($D54=""," · SIN CATEGORÍA","")&amp;IF($E54=""," · Falta descripción","")&amp;IF(OR($G54="",NOT(ISNUMBER($G54)),$G54&lt;=0)," · Monto inválido","")&amp;IF(AND($I54="Pagado",$J54="")," · Pago sin fecha","")&amp;IF(AND(ISNUMBER($K54),ISNUMBER($G54),$K54&gt;N($G54)+0.01)," · Pagado &gt; monto","")&amp;IF(AND(ISNUMBER($K54),$K54&gt;0,$J54="")," · Monto pagado sin fecha",""),4,900)))</f>
        <v/>
      </c>
    </row>
    <row r="55">
      <c r="A55" s="51">
        <f>IF(COUNTA($B55,$C55,$D55,$E55,$G55)=0,"","G-"&amp;TEXT(ROW()-6,"0000"))</f>
        <v/>
      </c>
      <c r="B55" s="41" t="n"/>
      <c r="C55" s="33" t="n"/>
      <c r="D55" s="33" t="n"/>
      <c r="E55" s="33" t="n"/>
      <c r="F55" s="33" t="n"/>
      <c r="G55" s="36" t="n"/>
      <c r="H55" s="33" t="n"/>
      <c r="I55" s="33" t="n"/>
      <c r="J55" s="41" t="n"/>
      <c r="K55" s="36" t="n"/>
      <c r="L55" s="37">
        <f>IF(NOT(ISNUMBER($G55)),"",$G55-IF(ISNUMBER($K55),$K55,0))</f>
        <v/>
      </c>
      <c r="M55" s="33" t="n"/>
      <c r="N55" s="33" t="n"/>
      <c r="O55" s="51">
        <f>IF(COUNTA($B55,$C55,$D55,$E55,$G55)=0,"",IF(IF($B55=""," · Falta fecha","")&amp;IF($C55=""," · Falta tipo (Fijo/Variable)","")&amp;IF($D55=""," · SIN CATEGORÍA","")&amp;IF($E55=""," · Falta descripción","")&amp;IF(OR($G55="",NOT(ISNUMBER($G55)),$G55&lt;=0)," · Monto inválido","")&amp;IF(AND($I55="Pagado",$J55="")," · Pago sin fecha","")&amp;IF(AND(ISNUMBER($K55),ISNUMBER($G55),$K55&gt;N($G55)+0.01)," · Pagado &gt; monto","")&amp;IF(AND(ISNUMBER($K55),$K55&gt;0,$J55="")," · Monto pagado sin fecha","")="","OK",MID(IF($B55=""," · Falta fecha","")&amp;IF($C55=""," · Falta tipo (Fijo/Variable)","")&amp;IF($D55=""," · SIN CATEGORÍA","")&amp;IF($E55=""," · Falta descripción","")&amp;IF(OR($G55="",NOT(ISNUMBER($G55)),$G55&lt;=0)," · Monto inválido","")&amp;IF(AND($I55="Pagado",$J55="")," · Pago sin fecha","")&amp;IF(AND(ISNUMBER($K55),ISNUMBER($G55),$K55&gt;N($G55)+0.01)," · Pagado &gt; monto","")&amp;IF(AND(ISNUMBER($K55),$K55&gt;0,$J55="")," · Monto pagado sin fecha",""),4,900)))</f>
        <v/>
      </c>
    </row>
    <row r="56">
      <c r="A56" s="51">
        <f>IF(COUNTA($B56,$C56,$D56,$E56,$G56)=0,"","G-"&amp;TEXT(ROW()-6,"0000"))</f>
        <v/>
      </c>
      <c r="B56" s="41" t="n"/>
      <c r="C56" s="33" t="n"/>
      <c r="D56" s="33" t="n"/>
      <c r="E56" s="33" t="n"/>
      <c r="F56" s="33" t="n"/>
      <c r="G56" s="36" t="n"/>
      <c r="H56" s="33" t="n"/>
      <c r="I56" s="33" t="n"/>
      <c r="J56" s="41" t="n"/>
      <c r="K56" s="36" t="n"/>
      <c r="L56" s="37">
        <f>IF(NOT(ISNUMBER($G56)),"",$G56-IF(ISNUMBER($K56),$K56,0))</f>
        <v/>
      </c>
      <c r="M56" s="33" t="n"/>
      <c r="N56" s="33" t="n"/>
      <c r="O56" s="51">
        <f>IF(COUNTA($B56,$C56,$D56,$E56,$G56)=0,"",IF(IF($B56=""," · Falta fecha","")&amp;IF($C56=""," · Falta tipo (Fijo/Variable)","")&amp;IF($D56=""," · SIN CATEGORÍA","")&amp;IF($E56=""," · Falta descripción","")&amp;IF(OR($G56="",NOT(ISNUMBER($G56)),$G56&lt;=0)," · Monto inválido","")&amp;IF(AND($I56="Pagado",$J56="")," · Pago sin fecha","")&amp;IF(AND(ISNUMBER($K56),ISNUMBER($G56),$K56&gt;N($G56)+0.01)," · Pagado &gt; monto","")&amp;IF(AND(ISNUMBER($K56),$K56&gt;0,$J56="")," · Monto pagado sin fecha","")="","OK",MID(IF($B56=""," · Falta fecha","")&amp;IF($C56=""," · Falta tipo (Fijo/Variable)","")&amp;IF($D56=""," · SIN CATEGORÍA","")&amp;IF($E56=""," · Falta descripción","")&amp;IF(OR($G56="",NOT(ISNUMBER($G56)),$G56&lt;=0)," · Monto inválido","")&amp;IF(AND($I56="Pagado",$J56="")," · Pago sin fecha","")&amp;IF(AND(ISNUMBER($K56),ISNUMBER($G56),$K56&gt;N($G56)+0.01)," · Pagado &gt; monto","")&amp;IF(AND(ISNUMBER($K56),$K56&gt;0,$J56="")," · Monto pagado sin fecha",""),4,900)))</f>
        <v/>
      </c>
    </row>
    <row r="57">
      <c r="A57" s="51">
        <f>IF(COUNTA($B57,$C57,$D57,$E57,$G57)=0,"","G-"&amp;TEXT(ROW()-6,"0000"))</f>
        <v/>
      </c>
      <c r="B57" s="41" t="n"/>
      <c r="C57" s="33" t="n"/>
      <c r="D57" s="33" t="n"/>
      <c r="E57" s="33" t="n"/>
      <c r="F57" s="33" t="n"/>
      <c r="G57" s="36" t="n"/>
      <c r="H57" s="33" t="n"/>
      <c r="I57" s="33" t="n"/>
      <c r="J57" s="41" t="n"/>
      <c r="K57" s="36" t="n"/>
      <c r="L57" s="37">
        <f>IF(NOT(ISNUMBER($G57)),"",$G57-IF(ISNUMBER($K57),$K57,0))</f>
        <v/>
      </c>
      <c r="M57" s="33" t="n"/>
      <c r="N57" s="33" t="n"/>
      <c r="O57" s="51">
        <f>IF(COUNTA($B57,$C57,$D57,$E57,$G57)=0,"",IF(IF($B57=""," · Falta fecha","")&amp;IF($C57=""," · Falta tipo (Fijo/Variable)","")&amp;IF($D57=""," · SIN CATEGORÍA","")&amp;IF($E57=""," · Falta descripción","")&amp;IF(OR($G57="",NOT(ISNUMBER($G57)),$G57&lt;=0)," · Monto inválido","")&amp;IF(AND($I57="Pagado",$J57="")," · Pago sin fecha","")&amp;IF(AND(ISNUMBER($K57),ISNUMBER($G57),$K57&gt;N($G57)+0.01)," · Pagado &gt; monto","")&amp;IF(AND(ISNUMBER($K57),$K57&gt;0,$J57="")," · Monto pagado sin fecha","")="","OK",MID(IF($B57=""," · Falta fecha","")&amp;IF($C57=""," · Falta tipo (Fijo/Variable)","")&amp;IF($D57=""," · SIN CATEGORÍA","")&amp;IF($E57=""," · Falta descripción","")&amp;IF(OR($G57="",NOT(ISNUMBER($G57)),$G57&lt;=0)," · Monto inválido","")&amp;IF(AND($I57="Pagado",$J57="")," · Pago sin fecha","")&amp;IF(AND(ISNUMBER($K57),ISNUMBER($G57),$K57&gt;N($G57)+0.01)," · Pagado &gt; monto","")&amp;IF(AND(ISNUMBER($K57),$K57&gt;0,$J57="")," · Monto pagado sin fecha",""),4,900)))</f>
        <v/>
      </c>
    </row>
    <row r="58">
      <c r="A58" s="51">
        <f>IF(COUNTA($B58,$C58,$D58,$E58,$G58)=0,"","G-"&amp;TEXT(ROW()-6,"0000"))</f>
        <v/>
      </c>
      <c r="B58" s="41" t="n"/>
      <c r="C58" s="33" t="n"/>
      <c r="D58" s="33" t="n"/>
      <c r="E58" s="33" t="n"/>
      <c r="F58" s="33" t="n"/>
      <c r="G58" s="36" t="n"/>
      <c r="H58" s="33" t="n"/>
      <c r="I58" s="33" t="n"/>
      <c r="J58" s="41" t="n"/>
      <c r="K58" s="36" t="n"/>
      <c r="L58" s="37">
        <f>IF(NOT(ISNUMBER($G58)),"",$G58-IF(ISNUMBER($K58),$K58,0))</f>
        <v/>
      </c>
      <c r="M58" s="33" t="n"/>
      <c r="N58" s="33" t="n"/>
      <c r="O58" s="51">
        <f>IF(COUNTA($B58,$C58,$D58,$E58,$G58)=0,"",IF(IF($B58=""," · Falta fecha","")&amp;IF($C58=""," · Falta tipo (Fijo/Variable)","")&amp;IF($D58=""," · SIN CATEGORÍA","")&amp;IF($E58=""," · Falta descripción","")&amp;IF(OR($G58="",NOT(ISNUMBER($G58)),$G58&lt;=0)," · Monto inválido","")&amp;IF(AND($I58="Pagado",$J58="")," · Pago sin fecha","")&amp;IF(AND(ISNUMBER($K58),ISNUMBER($G58),$K58&gt;N($G58)+0.01)," · Pagado &gt; monto","")&amp;IF(AND(ISNUMBER($K58),$K58&gt;0,$J58="")," · Monto pagado sin fecha","")="","OK",MID(IF($B58=""," · Falta fecha","")&amp;IF($C58=""," · Falta tipo (Fijo/Variable)","")&amp;IF($D58=""," · SIN CATEGORÍA","")&amp;IF($E58=""," · Falta descripción","")&amp;IF(OR($G58="",NOT(ISNUMBER($G58)),$G58&lt;=0)," · Monto inválido","")&amp;IF(AND($I58="Pagado",$J58="")," · Pago sin fecha","")&amp;IF(AND(ISNUMBER($K58),ISNUMBER($G58),$K58&gt;N($G58)+0.01)," · Pagado &gt; monto","")&amp;IF(AND(ISNUMBER($K58),$K58&gt;0,$J58="")," · Monto pagado sin fecha",""),4,900)))</f>
        <v/>
      </c>
    </row>
    <row r="59">
      <c r="A59" s="51">
        <f>IF(COUNTA($B59,$C59,$D59,$E59,$G59)=0,"","G-"&amp;TEXT(ROW()-6,"0000"))</f>
        <v/>
      </c>
      <c r="B59" s="41" t="n"/>
      <c r="C59" s="33" t="n"/>
      <c r="D59" s="33" t="n"/>
      <c r="E59" s="33" t="n"/>
      <c r="F59" s="33" t="n"/>
      <c r="G59" s="36" t="n"/>
      <c r="H59" s="33" t="n"/>
      <c r="I59" s="33" t="n"/>
      <c r="J59" s="41" t="n"/>
      <c r="K59" s="36" t="n"/>
      <c r="L59" s="37">
        <f>IF(NOT(ISNUMBER($G59)),"",$G59-IF(ISNUMBER($K59),$K59,0))</f>
        <v/>
      </c>
      <c r="M59" s="33" t="n"/>
      <c r="N59" s="33" t="n"/>
      <c r="O59" s="51">
        <f>IF(COUNTA($B59,$C59,$D59,$E59,$G59)=0,"",IF(IF($B59=""," · Falta fecha","")&amp;IF($C59=""," · Falta tipo (Fijo/Variable)","")&amp;IF($D59=""," · SIN CATEGORÍA","")&amp;IF($E59=""," · Falta descripción","")&amp;IF(OR($G59="",NOT(ISNUMBER($G59)),$G59&lt;=0)," · Monto inválido","")&amp;IF(AND($I59="Pagado",$J59="")," · Pago sin fecha","")&amp;IF(AND(ISNUMBER($K59),ISNUMBER($G59),$K59&gt;N($G59)+0.01)," · Pagado &gt; monto","")&amp;IF(AND(ISNUMBER($K59),$K59&gt;0,$J59="")," · Monto pagado sin fecha","")="","OK",MID(IF($B59=""," · Falta fecha","")&amp;IF($C59=""," · Falta tipo (Fijo/Variable)","")&amp;IF($D59=""," · SIN CATEGORÍA","")&amp;IF($E59=""," · Falta descripción","")&amp;IF(OR($G59="",NOT(ISNUMBER($G59)),$G59&lt;=0)," · Monto inválido","")&amp;IF(AND($I59="Pagado",$J59="")," · Pago sin fecha","")&amp;IF(AND(ISNUMBER($K59),ISNUMBER($G59),$K59&gt;N($G59)+0.01)," · Pagado &gt; monto","")&amp;IF(AND(ISNUMBER($K59),$K59&gt;0,$J59="")," · Monto pagado sin fecha",""),4,900)))</f>
        <v/>
      </c>
    </row>
    <row r="60">
      <c r="A60" s="51">
        <f>IF(COUNTA($B60,$C60,$D60,$E60,$G60)=0,"","G-"&amp;TEXT(ROW()-6,"0000"))</f>
        <v/>
      </c>
      <c r="B60" s="41" t="n"/>
      <c r="C60" s="33" t="n"/>
      <c r="D60" s="33" t="n"/>
      <c r="E60" s="33" t="n"/>
      <c r="F60" s="33" t="n"/>
      <c r="G60" s="36" t="n"/>
      <c r="H60" s="33" t="n"/>
      <c r="I60" s="33" t="n"/>
      <c r="J60" s="41" t="n"/>
      <c r="K60" s="36" t="n"/>
      <c r="L60" s="37">
        <f>IF(NOT(ISNUMBER($G60)),"",$G60-IF(ISNUMBER($K60),$K60,0))</f>
        <v/>
      </c>
      <c r="M60" s="33" t="n"/>
      <c r="N60" s="33" t="n"/>
      <c r="O60" s="51">
        <f>IF(COUNTA($B60,$C60,$D60,$E60,$G60)=0,"",IF(IF($B60=""," · Falta fecha","")&amp;IF($C60=""," · Falta tipo (Fijo/Variable)","")&amp;IF($D60=""," · SIN CATEGORÍA","")&amp;IF($E60=""," · Falta descripción","")&amp;IF(OR($G60="",NOT(ISNUMBER($G60)),$G60&lt;=0)," · Monto inválido","")&amp;IF(AND($I60="Pagado",$J60="")," · Pago sin fecha","")&amp;IF(AND(ISNUMBER($K60),ISNUMBER($G60),$K60&gt;N($G60)+0.01)," · Pagado &gt; monto","")&amp;IF(AND(ISNUMBER($K60),$K60&gt;0,$J60="")," · Monto pagado sin fecha","")="","OK",MID(IF($B60=""," · Falta fecha","")&amp;IF($C60=""," · Falta tipo (Fijo/Variable)","")&amp;IF($D60=""," · SIN CATEGORÍA","")&amp;IF($E60=""," · Falta descripción","")&amp;IF(OR($G60="",NOT(ISNUMBER($G60)),$G60&lt;=0)," · Monto inválido","")&amp;IF(AND($I60="Pagado",$J60="")," · Pago sin fecha","")&amp;IF(AND(ISNUMBER($K60),ISNUMBER($G60),$K60&gt;N($G60)+0.01)," · Pagado &gt; monto","")&amp;IF(AND(ISNUMBER($K60),$K60&gt;0,$J60="")," · Monto pagado sin fecha",""),4,900)))</f>
        <v/>
      </c>
    </row>
    <row r="61">
      <c r="A61" s="51">
        <f>IF(COUNTA($B61,$C61,$D61,$E61,$G61)=0,"","G-"&amp;TEXT(ROW()-6,"0000"))</f>
        <v/>
      </c>
      <c r="B61" s="41" t="n"/>
      <c r="C61" s="33" t="n"/>
      <c r="D61" s="33" t="n"/>
      <c r="E61" s="33" t="n"/>
      <c r="F61" s="33" t="n"/>
      <c r="G61" s="36" t="n"/>
      <c r="H61" s="33" t="n"/>
      <c r="I61" s="33" t="n"/>
      <c r="J61" s="41" t="n"/>
      <c r="K61" s="36" t="n"/>
      <c r="L61" s="37">
        <f>IF(NOT(ISNUMBER($G61)),"",$G61-IF(ISNUMBER($K61),$K61,0))</f>
        <v/>
      </c>
      <c r="M61" s="33" t="n"/>
      <c r="N61" s="33" t="n"/>
      <c r="O61" s="51">
        <f>IF(COUNTA($B61,$C61,$D61,$E61,$G61)=0,"",IF(IF($B61=""," · Falta fecha","")&amp;IF($C61=""," · Falta tipo (Fijo/Variable)","")&amp;IF($D61=""," · SIN CATEGORÍA","")&amp;IF($E61=""," · Falta descripción","")&amp;IF(OR($G61="",NOT(ISNUMBER($G61)),$G61&lt;=0)," · Monto inválido","")&amp;IF(AND($I61="Pagado",$J61="")," · Pago sin fecha","")&amp;IF(AND(ISNUMBER($K61),ISNUMBER($G61),$K61&gt;N($G61)+0.01)," · Pagado &gt; monto","")&amp;IF(AND(ISNUMBER($K61),$K61&gt;0,$J61="")," · Monto pagado sin fecha","")="","OK",MID(IF($B61=""," · Falta fecha","")&amp;IF($C61=""," · Falta tipo (Fijo/Variable)","")&amp;IF($D61=""," · SIN CATEGORÍA","")&amp;IF($E61=""," · Falta descripción","")&amp;IF(OR($G61="",NOT(ISNUMBER($G61)),$G61&lt;=0)," · Monto inválido","")&amp;IF(AND($I61="Pagado",$J61="")," · Pago sin fecha","")&amp;IF(AND(ISNUMBER($K61),ISNUMBER($G61),$K61&gt;N($G61)+0.01)," · Pagado &gt; monto","")&amp;IF(AND(ISNUMBER($K61),$K61&gt;0,$J61="")," · Monto pagado sin fecha",""),4,900)))</f>
        <v/>
      </c>
    </row>
    <row r="62">
      <c r="A62" s="51">
        <f>IF(COUNTA($B62,$C62,$D62,$E62,$G62)=0,"","G-"&amp;TEXT(ROW()-6,"0000"))</f>
        <v/>
      </c>
      <c r="B62" s="41" t="n"/>
      <c r="C62" s="33" t="n"/>
      <c r="D62" s="33" t="n"/>
      <c r="E62" s="33" t="n"/>
      <c r="F62" s="33" t="n"/>
      <c r="G62" s="36" t="n"/>
      <c r="H62" s="33" t="n"/>
      <c r="I62" s="33" t="n"/>
      <c r="J62" s="41" t="n"/>
      <c r="K62" s="36" t="n"/>
      <c r="L62" s="37">
        <f>IF(NOT(ISNUMBER($G62)),"",$G62-IF(ISNUMBER($K62),$K62,0))</f>
        <v/>
      </c>
      <c r="M62" s="33" t="n"/>
      <c r="N62" s="33" t="n"/>
      <c r="O62" s="51">
        <f>IF(COUNTA($B62,$C62,$D62,$E62,$G62)=0,"",IF(IF($B62=""," · Falta fecha","")&amp;IF($C62=""," · Falta tipo (Fijo/Variable)","")&amp;IF($D62=""," · SIN CATEGORÍA","")&amp;IF($E62=""," · Falta descripción","")&amp;IF(OR($G62="",NOT(ISNUMBER($G62)),$G62&lt;=0)," · Monto inválido","")&amp;IF(AND($I62="Pagado",$J62="")," · Pago sin fecha","")&amp;IF(AND(ISNUMBER($K62),ISNUMBER($G62),$K62&gt;N($G62)+0.01)," · Pagado &gt; monto","")&amp;IF(AND(ISNUMBER($K62),$K62&gt;0,$J62="")," · Monto pagado sin fecha","")="","OK",MID(IF($B62=""," · Falta fecha","")&amp;IF($C62=""," · Falta tipo (Fijo/Variable)","")&amp;IF($D62=""," · SIN CATEGORÍA","")&amp;IF($E62=""," · Falta descripción","")&amp;IF(OR($G62="",NOT(ISNUMBER($G62)),$G62&lt;=0)," · Monto inválido","")&amp;IF(AND($I62="Pagado",$J62="")," · Pago sin fecha","")&amp;IF(AND(ISNUMBER($K62),ISNUMBER($G62),$K62&gt;N($G62)+0.01)," · Pagado &gt; monto","")&amp;IF(AND(ISNUMBER($K62),$K62&gt;0,$J62="")," · Monto pagado sin fecha",""),4,900)))</f>
        <v/>
      </c>
    </row>
    <row r="63">
      <c r="A63" s="51">
        <f>IF(COUNTA($B63,$C63,$D63,$E63,$G63)=0,"","G-"&amp;TEXT(ROW()-6,"0000"))</f>
        <v/>
      </c>
      <c r="B63" s="41" t="n"/>
      <c r="C63" s="33" t="n"/>
      <c r="D63" s="33" t="n"/>
      <c r="E63" s="33" t="n"/>
      <c r="F63" s="33" t="n"/>
      <c r="G63" s="36" t="n"/>
      <c r="H63" s="33" t="n"/>
      <c r="I63" s="33" t="n"/>
      <c r="J63" s="41" t="n"/>
      <c r="K63" s="36" t="n"/>
      <c r="L63" s="37">
        <f>IF(NOT(ISNUMBER($G63)),"",$G63-IF(ISNUMBER($K63),$K63,0))</f>
        <v/>
      </c>
      <c r="M63" s="33" t="n"/>
      <c r="N63" s="33" t="n"/>
      <c r="O63" s="51">
        <f>IF(COUNTA($B63,$C63,$D63,$E63,$G63)=0,"",IF(IF($B63=""," · Falta fecha","")&amp;IF($C63=""," · Falta tipo (Fijo/Variable)","")&amp;IF($D63=""," · SIN CATEGORÍA","")&amp;IF($E63=""," · Falta descripción","")&amp;IF(OR($G63="",NOT(ISNUMBER($G63)),$G63&lt;=0)," · Monto inválido","")&amp;IF(AND($I63="Pagado",$J63="")," · Pago sin fecha","")&amp;IF(AND(ISNUMBER($K63),ISNUMBER($G63),$K63&gt;N($G63)+0.01)," · Pagado &gt; monto","")&amp;IF(AND(ISNUMBER($K63),$K63&gt;0,$J63="")," · Monto pagado sin fecha","")="","OK",MID(IF($B63=""," · Falta fecha","")&amp;IF($C63=""," · Falta tipo (Fijo/Variable)","")&amp;IF($D63=""," · SIN CATEGORÍA","")&amp;IF($E63=""," · Falta descripción","")&amp;IF(OR($G63="",NOT(ISNUMBER($G63)),$G63&lt;=0)," · Monto inválido","")&amp;IF(AND($I63="Pagado",$J63="")," · Pago sin fecha","")&amp;IF(AND(ISNUMBER($K63),ISNUMBER($G63),$K63&gt;N($G63)+0.01)," · Pagado &gt; monto","")&amp;IF(AND(ISNUMBER($K63),$K63&gt;0,$J63="")," · Monto pagado sin fecha",""),4,900)))</f>
        <v/>
      </c>
    </row>
    <row r="64">
      <c r="A64" s="51">
        <f>IF(COUNTA($B64,$C64,$D64,$E64,$G64)=0,"","G-"&amp;TEXT(ROW()-6,"0000"))</f>
        <v/>
      </c>
      <c r="B64" s="41" t="n"/>
      <c r="C64" s="33" t="n"/>
      <c r="D64" s="33" t="n"/>
      <c r="E64" s="33" t="n"/>
      <c r="F64" s="33" t="n"/>
      <c r="G64" s="36" t="n"/>
      <c r="H64" s="33" t="n"/>
      <c r="I64" s="33" t="n"/>
      <c r="J64" s="41" t="n"/>
      <c r="K64" s="36" t="n"/>
      <c r="L64" s="37">
        <f>IF(NOT(ISNUMBER($G64)),"",$G64-IF(ISNUMBER($K64),$K64,0))</f>
        <v/>
      </c>
      <c r="M64" s="33" t="n"/>
      <c r="N64" s="33" t="n"/>
      <c r="O64" s="51">
        <f>IF(COUNTA($B64,$C64,$D64,$E64,$G64)=0,"",IF(IF($B64=""," · Falta fecha","")&amp;IF($C64=""," · Falta tipo (Fijo/Variable)","")&amp;IF($D64=""," · SIN CATEGORÍA","")&amp;IF($E64=""," · Falta descripción","")&amp;IF(OR($G64="",NOT(ISNUMBER($G64)),$G64&lt;=0)," · Monto inválido","")&amp;IF(AND($I64="Pagado",$J64="")," · Pago sin fecha","")&amp;IF(AND(ISNUMBER($K64),ISNUMBER($G64),$K64&gt;N($G64)+0.01)," · Pagado &gt; monto","")&amp;IF(AND(ISNUMBER($K64),$K64&gt;0,$J64="")," · Monto pagado sin fecha","")="","OK",MID(IF($B64=""," · Falta fecha","")&amp;IF($C64=""," · Falta tipo (Fijo/Variable)","")&amp;IF($D64=""," · SIN CATEGORÍA","")&amp;IF($E64=""," · Falta descripción","")&amp;IF(OR($G64="",NOT(ISNUMBER($G64)),$G64&lt;=0)," · Monto inválido","")&amp;IF(AND($I64="Pagado",$J64="")," · Pago sin fecha","")&amp;IF(AND(ISNUMBER($K64),ISNUMBER($G64),$K64&gt;N($G64)+0.01)," · Pagado &gt; monto","")&amp;IF(AND(ISNUMBER($K64),$K64&gt;0,$J64="")," · Monto pagado sin fecha",""),4,900)))</f>
        <v/>
      </c>
    </row>
    <row r="65">
      <c r="A65" s="51">
        <f>IF(COUNTA($B65,$C65,$D65,$E65,$G65)=0,"","G-"&amp;TEXT(ROW()-6,"0000"))</f>
        <v/>
      </c>
      <c r="B65" s="41" t="n"/>
      <c r="C65" s="33" t="n"/>
      <c r="D65" s="33" t="n"/>
      <c r="E65" s="33" t="n"/>
      <c r="F65" s="33" t="n"/>
      <c r="G65" s="36" t="n"/>
      <c r="H65" s="33" t="n"/>
      <c r="I65" s="33" t="n"/>
      <c r="J65" s="41" t="n"/>
      <c r="K65" s="36" t="n"/>
      <c r="L65" s="37">
        <f>IF(NOT(ISNUMBER($G65)),"",$G65-IF(ISNUMBER($K65),$K65,0))</f>
        <v/>
      </c>
      <c r="M65" s="33" t="n"/>
      <c r="N65" s="33" t="n"/>
      <c r="O65" s="51">
        <f>IF(COUNTA($B65,$C65,$D65,$E65,$G65)=0,"",IF(IF($B65=""," · Falta fecha","")&amp;IF($C65=""," · Falta tipo (Fijo/Variable)","")&amp;IF($D65=""," · SIN CATEGORÍA","")&amp;IF($E65=""," · Falta descripción","")&amp;IF(OR($G65="",NOT(ISNUMBER($G65)),$G65&lt;=0)," · Monto inválido","")&amp;IF(AND($I65="Pagado",$J65="")," · Pago sin fecha","")&amp;IF(AND(ISNUMBER($K65),ISNUMBER($G65),$K65&gt;N($G65)+0.01)," · Pagado &gt; monto","")&amp;IF(AND(ISNUMBER($K65),$K65&gt;0,$J65="")," · Monto pagado sin fecha","")="","OK",MID(IF($B65=""," · Falta fecha","")&amp;IF($C65=""," · Falta tipo (Fijo/Variable)","")&amp;IF($D65=""," · SIN CATEGORÍA","")&amp;IF($E65=""," · Falta descripción","")&amp;IF(OR($G65="",NOT(ISNUMBER($G65)),$G65&lt;=0)," · Monto inválido","")&amp;IF(AND($I65="Pagado",$J65="")," · Pago sin fecha","")&amp;IF(AND(ISNUMBER($K65),ISNUMBER($G65),$K65&gt;N($G65)+0.01)," · Pagado &gt; monto","")&amp;IF(AND(ISNUMBER($K65),$K65&gt;0,$J65="")," · Monto pagado sin fecha",""),4,900)))</f>
        <v/>
      </c>
    </row>
    <row r="66">
      <c r="A66" s="51">
        <f>IF(COUNTA($B66,$C66,$D66,$E66,$G66)=0,"","G-"&amp;TEXT(ROW()-6,"0000"))</f>
        <v/>
      </c>
      <c r="B66" s="41" t="n"/>
      <c r="C66" s="33" t="n"/>
      <c r="D66" s="33" t="n"/>
      <c r="E66" s="33" t="n"/>
      <c r="F66" s="33" t="n"/>
      <c r="G66" s="36" t="n"/>
      <c r="H66" s="33" t="n"/>
      <c r="I66" s="33" t="n"/>
      <c r="J66" s="41" t="n"/>
      <c r="K66" s="36" t="n"/>
      <c r="L66" s="37">
        <f>IF(NOT(ISNUMBER($G66)),"",$G66-IF(ISNUMBER($K66),$K66,0))</f>
        <v/>
      </c>
      <c r="M66" s="33" t="n"/>
      <c r="N66" s="33" t="n"/>
      <c r="O66" s="51">
        <f>IF(COUNTA($B66,$C66,$D66,$E66,$G66)=0,"",IF(IF($B66=""," · Falta fecha","")&amp;IF($C66=""," · Falta tipo (Fijo/Variable)","")&amp;IF($D66=""," · SIN CATEGORÍA","")&amp;IF($E66=""," · Falta descripción","")&amp;IF(OR($G66="",NOT(ISNUMBER($G66)),$G66&lt;=0)," · Monto inválido","")&amp;IF(AND($I66="Pagado",$J66="")," · Pago sin fecha","")&amp;IF(AND(ISNUMBER($K66),ISNUMBER($G66),$K66&gt;N($G66)+0.01)," · Pagado &gt; monto","")&amp;IF(AND(ISNUMBER($K66),$K66&gt;0,$J66="")," · Monto pagado sin fecha","")="","OK",MID(IF($B66=""," · Falta fecha","")&amp;IF($C66=""," · Falta tipo (Fijo/Variable)","")&amp;IF($D66=""," · SIN CATEGORÍA","")&amp;IF($E66=""," · Falta descripción","")&amp;IF(OR($G66="",NOT(ISNUMBER($G66)),$G66&lt;=0)," · Monto inválido","")&amp;IF(AND($I66="Pagado",$J66="")," · Pago sin fecha","")&amp;IF(AND(ISNUMBER($K66),ISNUMBER($G66),$K66&gt;N($G66)+0.01)," · Pagado &gt; monto","")&amp;IF(AND(ISNUMBER($K66),$K66&gt;0,$J66="")," · Monto pagado sin fecha",""),4,900)))</f>
        <v/>
      </c>
    </row>
    <row r="67">
      <c r="A67" s="51">
        <f>IF(COUNTA($B67,$C67,$D67,$E67,$G67)=0,"","G-"&amp;TEXT(ROW()-6,"0000"))</f>
        <v/>
      </c>
      <c r="B67" s="41" t="n"/>
      <c r="C67" s="33" t="n"/>
      <c r="D67" s="33" t="n"/>
      <c r="E67" s="33" t="n"/>
      <c r="F67" s="33" t="n"/>
      <c r="G67" s="36" t="n"/>
      <c r="H67" s="33" t="n"/>
      <c r="I67" s="33" t="n"/>
      <c r="J67" s="41" t="n"/>
      <c r="K67" s="36" t="n"/>
      <c r="L67" s="37">
        <f>IF(NOT(ISNUMBER($G67)),"",$G67-IF(ISNUMBER($K67),$K67,0))</f>
        <v/>
      </c>
      <c r="M67" s="33" t="n"/>
      <c r="N67" s="33" t="n"/>
      <c r="O67" s="51">
        <f>IF(COUNTA($B67,$C67,$D67,$E67,$G67)=0,"",IF(IF($B67=""," · Falta fecha","")&amp;IF($C67=""," · Falta tipo (Fijo/Variable)","")&amp;IF($D67=""," · SIN CATEGORÍA","")&amp;IF($E67=""," · Falta descripción","")&amp;IF(OR($G67="",NOT(ISNUMBER($G67)),$G67&lt;=0)," · Monto inválido","")&amp;IF(AND($I67="Pagado",$J67="")," · Pago sin fecha","")&amp;IF(AND(ISNUMBER($K67),ISNUMBER($G67),$K67&gt;N($G67)+0.01)," · Pagado &gt; monto","")&amp;IF(AND(ISNUMBER($K67),$K67&gt;0,$J67="")," · Monto pagado sin fecha","")="","OK",MID(IF($B67=""," · Falta fecha","")&amp;IF($C67=""," · Falta tipo (Fijo/Variable)","")&amp;IF($D67=""," · SIN CATEGORÍA","")&amp;IF($E67=""," · Falta descripción","")&amp;IF(OR($G67="",NOT(ISNUMBER($G67)),$G67&lt;=0)," · Monto inválido","")&amp;IF(AND($I67="Pagado",$J67="")," · Pago sin fecha","")&amp;IF(AND(ISNUMBER($K67),ISNUMBER($G67),$K67&gt;N($G67)+0.01)," · Pagado &gt; monto","")&amp;IF(AND(ISNUMBER($K67),$K67&gt;0,$J67="")," · Monto pagado sin fecha",""),4,900)))</f>
        <v/>
      </c>
    </row>
    <row r="68">
      <c r="A68" s="51">
        <f>IF(COUNTA($B68,$C68,$D68,$E68,$G68)=0,"","G-"&amp;TEXT(ROW()-6,"0000"))</f>
        <v/>
      </c>
      <c r="B68" s="41" t="n"/>
      <c r="C68" s="33" t="n"/>
      <c r="D68" s="33" t="n"/>
      <c r="E68" s="33" t="n"/>
      <c r="F68" s="33" t="n"/>
      <c r="G68" s="36" t="n"/>
      <c r="H68" s="33" t="n"/>
      <c r="I68" s="33" t="n"/>
      <c r="J68" s="41" t="n"/>
      <c r="K68" s="36" t="n"/>
      <c r="L68" s="37">
        <f>IF(NOT(ISNUMBER($G68)),"",$G68-IF(ISNUMBER($K68),$K68,0))</f>
        <v/>
      </c>
      <c r="M68" s="33" t="n"/>
      <c r="N68" s="33" t="n"/>
      <c r="O68" s="51">
        <f>IF(COUNTA($B68,$C68,$D68,$E68,$G68)=0,"",IF(IF($B68=""," · Falta fecha","")&amp;IF($C68=""," · Falta tipo (Fijo/Variable)","")&amp;IF($D68=""," · SIN CATEGORÍA","")&amp;IF($E68=""," · Falta descripción","")&amp;IF(OR($G68="",NOT(ISNUMBER($G68)),$G68&lt;=0)," · Monto inválido","")&amp;IF(AND($I68="Pagado",$J68="")," · Pago sin fecha","")&amp;IF(AND(ISNUMBER($K68),ISNUMBER($G68),$K68&gt;N($G68)+0.01)," · Pagado &gt; monto","")&amp;IF(AND(ISNUMBER($K68),$K68&gt;0,$J68="")," · Monto pagado sin fecha","")="","OK",MID(IF($B68=""," · Falta fecha","")&amp;IF($C68=""," · Falta tipo (Fijo/Variable)","")&amp;IF($D68=""," · SIN CATEGORÍA","")&amp;IF($E68=""," · Falta descripción","")&amp;IF(OR($G68="",NOT(ISNUMBER($G68)),$G68&lt;=0)," · Monto inválido","")&amp;IF(AND($I68="Pagado",$J68="")," · Pago sin fecha","")&amp;IF(AND(ISNUMBER($K68),ISNUMBER($G68),$K68&gt;N($G68)+0.01)," · Pagado &gt; monto","")&amp;IF(AND(ISNUMBER($K68),$K68&gt;0,$J68="")," · Monto pagado sin fecha",""),4,900)))</f>
        <v/>
      </c>
    </row>
    <row r="69">
      <c r="A69" s="51">
        <f>IF(COUNTA($B69,$C69,$D69,$E69,$G69)=0,"","G-"&amp;TEXT(ROW()-6,"0000"))</f>
        <v/>
      </c>
      <c r="B69" s="41" t="n"/>
      <c r="C69" s="33" t="n"/>
      <c r="D69" s="33" t="n"/>
      <c r="E69" s="33" t="n"/>
      <c r="F69" s="33" t="n"/>
      <c r="G69" s="36" t="n"/>
      <c r="H69" s="33" t="n"/>
      <c r="I69" s="33" t="n"/>
      <c r="J69" s="41" t="n"/>
      <c r="K69" s="36" t="n"/>
      <c r="L69" s="37">
        <f>IF(NOT(ISNUMBER($G69)),"",$G69-IF(ISNUMBER($K69),$K69,0))</f>
        <v/>
      </c>
      <c r="M69" s="33" t="n"/>
      <c r="N69" s="33" t="n"/>
      <c r="O69" s="51">
        <f>IF(COUNTA($B69,$C69,$D69,$E69,$G69)=0,"",IF(IF($B69=""," · Falta fecha","")&amp;IF($C69=""," · Falta tipo (Fijo/Variable)","")&amp;IF($D69=""," · SIN CATEGORÍA","")&amp;IF($E69=""," · Falta descripción","")&amp;IF(OR($G69="",NOT(ISNUMBER($G69)),$G69&lt;=0)," · Monto inválido","")&amp;IF(AND($I69="Pagado",$J69="")," · Pago sin fecha","")&amp;IF(AND(ISNUMBER($K69),ISNUMBER($G69),$K69&gt;N($G69)+0.01)," · Pagado &gt; monto","")&amp;IF(AND(ISNUMBER($K69),$K69&gt;0,$J69="")," · Monto pagado sin fecha","")="","OK",MID(IF($B69=""," · Falta fecha","")&amp;IF($C69=""," · Falta tipo (Fijo/Variable)","")&amp;IF($D69=""," · SIN CATEGORÍA","")&amp;IF($E69=""," · Falta descripción","")&amp;IF(OR($G69="",NOT(ISNUMBER($G69)),$G69&lt;=0)," · Monto inválido","")&amp;IF(AND($I69="Pagado",$J69="")," · Pago sin fecha","")&amp;IF(AND(ISNUMBER($K69),ISNUMBER($G69),$K69&gt;N($G69)+0.01)," · Pagado &gt; monto","")&amp;IF(AND(ISNUMBER($K69),$K69&gt;0,$J69="")," · Monto pagado sin fecha",""),4,900)))</f>
        <v/>
      </c>
    </row>
    <row r="70">
      <c r="A70" s="51">
        <f>IF(COUNTA($B70,$C70,$D70,$E70,$G70)=0,"","G-"&amp;TEXT(ROW()-6,"0000"))</f>
        <v/>
      </c>
      <c r="B70" s="41" t="n"/>
      <c r="C70" s="33" t="n"/>
      <c r="D70" s="33" t="n"/>
      <c r="E70" s="33" t="n"/>
      <c r="F70" s="33" t="n"/>
      <c r="G70" s="36" t="n"/>
      <c r="H70" s="33" t="n"/>
      <c r="I70" s="33" t="n"/>
      <c r="J70" s="41" t="n"/>
      <c r="K70" s="36" t="n"/>
      <c r="L70" s="37">
        <f>IF(NOT(ISNUMBER($G70)),"",$G70-IF(ISNUMBER($K70),$K70,0))</f>
        <v/>
      </c>
      <c r="M70" s="33" t="n"/>
      <c r="N70" s="33" t="n"/>
      <c r="O70" s="51">
        <f>IF(COUNTA($B70,$C70,$D70,$E70,$G70)=0,"",IF(IF($B70=""," · Falta fecha","")&amp;IF($C70=""," · Falta tipo (Fijo/Variable)","")&amp;IF($D70=""," · SIN CATEGORÍA","")&amp;IF($E70=""," · Falta descripción","")&amp;IF(OR($G70="",NOT(ISNUMBER($G70)),$G70&lt;=0)," · Monto inválido","")&amp;IF(AND($I70="Pagado",$J70="")," · Pago sin fecha","")&amp;IF(AND(ISNUMBER($K70),ISNUMBER($G70),$K70&gt;N($G70)+0.01)," · Pagado &gt; monto","")&amp;IF(AND(ISNUMBER($K70),$K70&gt;0,$J70="")," · Monto pagado sin fecha","")="","OK",MID(IF($B70=""," · Falta fecha","")&amp;IF($C70=""," · Falta tipo (Fijo/Variable)","")&amp;IF($D70=""," · SIN CATEGORÍA","")&amp;IF($E70=""," · Falta descripción","")&amp;IF(OR($G70="",NOT(ISNUMBER($G70)),$G70&lt;=0)," · Monto inválido","")&amp;IF(AND($I70="Pagado",$J70="")," · Pago sin fecha","")&amp;IF(AND(ISNUMBER($K70),ISNUMBER($G70),$K70&gt;N($G70)+0.01)," · Pagado &gt; monto","")&amp;IF(AND(ISNUMBER($K70),$K70&gt;0,$J70="")," · Monto pagado sin fecha",""),4,900)))</f>
        <v/>
      </c>
    </row>
    <row r="71">
      <c r="A71" s="51">
        <f>IF(COUNTA($B71,$C71,$D71,$E71,$G71)=0,"","G-"&amp;TEXT(ROW()-6,"0000"))</f>
        <v/>
      </c>
      <c r="B71" s="41" t="n"/>
      <c r="C71" s="33" t="n"/>
      <c r="D71" s="33" t="n"/>
      <c r="E71" s="33" t="n"/>
      <c r="F71" s="33" t="n"/>
      <c r="G71" s="36" t="n"/>
      <c r="H71" s="33" t="n"/>
      <c r="I71" s="33" t="n"/>
      <c r="J71" s="41" t="n"/>
      <c r="K71" s="36" t="n"/>
      <c r="L71" s="37">
        <f>IF(NOT(ISNUMBER($G71)),"",$G71-IF(ISNUMBER($K71),$K71,0))</f>
        <v/>
      </c>
      <c r="M71" s="33" t="n"/>
      <c r="N71" s="33" t="n"/>
      <c r="O71" s="51">
        <f>IF(COUNTA($B71,$C71,$D71,$E71,$G71)=0,"",IF(IF($B71=""," · Falta fecha","")&amp;IF($C71=""," · Falta tipo (Fijo/Variable)","")&amp;IF($D71=""," · SIN CATEGORÍA","")&amp;IF($E71=""," · Falta descripción","")&amp;IF(OR($G71="",NOT(ISNUMBER($G71)),$G71&lt;=0)," · Monto inválido","")&amp;IF(AND($I71="Pagado",$J71="")," · Pago sin fecha","")&amp;IF(AND(ISNUMBER($K71),ISNUMBER($G71),$K71&gt;N($G71)+0.01)," · Pagado &gt; monto","")&amp;IF(AND(ISNUMBER($K71),$K71&gt;0,$J71="")," · Monto pagado sin fecha","")="","OK",MID(IF($B71=""," · Falta fecha","")&amp;IF($C71=""," · Falta tipo (Fijo/Variable)","")&amp;IF($D71=""," · SIN CATEGORÍA","")&amp;IF($E71=""," · Falta descripción","")&amp;IF(OR($G71="",NOT(ISNUMBER($G71)),$G71&lt;=0)," · Monto inválido","")&amp;IF(AND($I71="Pagado",$J71="")," · Pago sin fecha","")&amp;IF(AND(ISNUMBER($K71),ISNUMBER($G71),$K71&gt;N($G71)+0.01)," · Pagado &gt; monto","")&amp;IF(AND(ISNUMBER($K71),$K71&gt;0,$J71="")," · Monto pagado sin fecha",""),4,900)))</f>
        <v/>
      </c>
    </row>
    <row r="72">
      <c r="A72" s="51">
        <f>IF(COUNTA($B72,$C72,$D72,$E72,$G72)=0,"","G-"&amp;TEXT(ROW()-6,"0000"))</f>
        <v/>
      </c>
      <c r="B72" s="41" t="n"/>
      <c r="C72" s="33" t="n"/>
      <c r="D72" s="33" t="n"/>
      <c r="E72" s="33" t="n"/>
      <c r="F72" s="33" t="n"/>
      <c r="G72" s="36" t="n"/>
      <c r="H72" s="33" t="n"/>
      <c r="I72" s="33" t="n"/>
      <c r="J72" s="41" t="n"/>
      <c r="K72" s="36" t="n"/>
      <c r="L72" s="37">
        <f>IF(NOT(ISNUMBER($G72)),"",$G72-IF(ISNUMBER($K72),$K72,0))</f>
        <v/>
      </c>
      <c r="M72" s="33" t="n"/>
      <c r="N72" s="33" t="n"/>
      <c r="O72" s="51">
        <f>IF(COUNTA($B72,$C72,$D72,$E72,$G72)=0,"",IF(IF($B72=""," · Falta fecha","")&amp;IF($C72=""," · Falta tipo (Fijo/Variable)","")&amp;IF($D72=""," · SIN CATEGORÍA","")&amp;IF($E72=""," · Falta descripción","")&amp;IF(OR($G72="",NOT(ISNUMBER($G72)),$G72&lt;=0)," · Monto inválido","")&amp;IF(AND($I72="Pagado",$J72="")," · Pago sin fecha","")&amp;IF(AND(ISNUMBER($K72),ISNUMBER($G72),$K72&gt;N($G72)+0.01)," · Pagado &gt; monto","")&amp;IF(AND(ISNUMBER($K72),$K72&gt;0,$J72="")," · Monto pagado sin fecha","")="","OK",MID(IF($B72=""," · Falta fecha","")&amp;IF($C72=""," · Falta tipo (Fijo/Variable)","")&amp;IF($D72=""," · SIN CATEGORÍA","")&amp;IF($E72=""," · Falta descripción","")&amp;IF(OR($G72="",NOT(ISNUMBER($G72)),$G72&lt;=0)," · Monto inválido","")&amp;IF(AND($I72="Pagado",$J72="")," · Pago sin fecha","")&amp;IF(AND(ISNUMBER($K72),ISNUMBER($G72),$K72&gt;N($G72)+0.01)," · Pagado &gt; monto","")&amp;IF(AND(ISNUMBER($K72),$K72&gt;0,$J72="")," · Monto pagado sin fecha",""),4,900)))</f>
        <v/>
      </c>
    </row>
    <row r="73">
      <c r="A73" s="51">
        <f>IF(COUNTA($B73,$C73,$D73,$E73,$G73)=0,"","G-"&amp;TEXT(ROW()-6,"0000"))</f>
        <v/>
      </c>
      <c r="B73" s="41" t="n"/>
      <c r="C73" s="33" t="n"/>
      <c r="D73" s="33" t="n"/>
      <c r="E73" s="33" t="n"/>
      <c r="F73" s="33" t="n"/>
      <c r="G73" s="36" t="n"/>
      <c r="H73" s="33" t="n"/>
      <c r="I73" s="33" t="n"/>
      <c r="J73" s="41" t="n"/>
      <c r="K73" s="36" t="n"/>
      <c r="L73" s="37">
        <f>IF(NOT(ISNUMBER($G73)),"",$G73-IF(ISNUMBER($K73),$K73,0))</f>
        <v/>
      </c>
      <c r="M73" s="33" t="n"/>
      <c r="N73" s="33" t="n"/>
      <c r="O73" s="51">
        <f>IF(COUNTA($B73,$C73,$D73,$E73,$G73)=0,"",IF(IF($B73=""," · Falta fecha","")&amp;IF($C73=""," · Falta tipo (Fijo/Variable)","")&amp;IF($D73=""," · SIN CATEGORÍA","")&amp;IF($E73=""," · Falta descripción","")&amp;IF(OR($G73="",NOT(ISNUMBER($G73)),$G73&lt;=0)," · Monto inválido","")&amp;IF(AND($I73="Pagado",$J73="")," · Pago sin fecha","")&amp;IF(AND(ISNUMBER($K73),ISNUMBER($G73),$K73&gt;N($G73)+0.01)," · Pagado &gt; monto","")&amp;IF(AND(ISNUMBER($K73),$K73&gt;0,$J73="")," · Monto pagado sin fecha","")="","OK",MID(IF($B73=""," · Falta fecha","")&amp;IF($C73=""," · Falta tipo (Fijo/Variable)","")&amp;IF($D73=""," · SIN CATEGORÍA","")&amp;IF($E73=""," · Falta descripción","")&amp;IF(OR($G73="",NOT(ISNUMBER($G73)),$G73&lt;=0)," · Monto inválido","")&amp;IF(AND($I73="Pagado",$J73="")," · Pago sin fecha","")&amp;IF(AND(ISNUMBER($K73),ISNUMBER($G73),$K73&gt;N($G73)+0.01)," · Pagado &gt; monto","")&amp;IF(AND(ISNUMBER($K73),$K73&gt;0,$J73="")," · Monto pagado sin fecha",""),4,900)))</f>
        <v/>
      </c>
    </row>
    <row r="74">
      <c r="A74" s="51">
        <f>IF(COUNTA($B74,$C74,$D74,$E74,$G74)=0,"","G-"&amp;TEXT(ROW()-6,"0000"))</f>
        <v/>
      </c>
      <c r="B74" s="41" t="n"/>
      <c r="C74" s="33" t="n"/>
      <c r="D74" s="33" t="n"/>
      <c r="E74" s="33" t="n"/>
      <c r="F74" s="33" t="n"/>
      <c r="G74" s="36" t="n"/>
      <c r="H74" s="33" t="n"/>
      <c r="I74" s="33" t="n"/>
      <c r="J74" s="41" t="n"/>
      <c r="K74" s="36" t="n"/>
      <c r="L74" s="37">
        <f>IF(NOT(ISNUMBER($G74)),"",$G74-IF(ISNUMBER($K74),$K74,0))</f>
        <v/>
      </c>
      <c r="M74" s="33" t="n"/>
      <c r="N74" s="33" t="n"/>
      <c r="O74" s="51">
        <f>IF(COUNTA($B74,$C74,$D74,$E74,$G74)=0,"",IF(IF($B74=""," · Falta fecha","")&amp;IF($C74=""," · Falta tipo (Fijo/Variable)","")&amp;IF($D74=""," · SIN CATEGORÍA","")&amp;IF($E74=""," · Falta descripción","")&amp;IF(OR($G74="",NOT(ISNUMBER($G74)),$G74&lt;=0)," · Monto inválido","")&amp;IF(AND($I74="Pagado",$J74="")," · Pago sin fecha","")&amp;IF(AND(ISNUMBER($K74),ISNUMBER($G74),$K74&gt;N($G74)+0.01)," · Pagado &gt; monto","")&amp;IF(AND(ISNUMBER($K74),$K74&gt;0,$J74="")," · Monto pagado sin fecha","")="","OK",MID(IF($B74=""," · Falta fecha","")&amp;IF($C74=""," · Falta tipo (Fijo/Variable)","")&amp;IF($D74=""," · SIN CATEGORÍA","")&amp;IF($E74=""," · Falta descripción","")&amp;IF(OR($G74="",NOT(ISNUMBER($G74)),$G74&lt;=0)," · Monto inválido","")&amp;IF(AND($I74="Pagado",$J74="")," · Pago sin fecha","")&amp;IF(AND(ISNUMBER($K74),ISNUMBER($G74),$K74&gt;N($G74)+0.01)," · Pagado &gt; monto","")&amp;IF(AND(ISNUMBER($K74),$K74&gt;0,$J74="")," · Monto pagado sin fecha",""),4,900)))</f>
        <v/>
      </c>
    </row>
    <row r="75">
      <c r="A75" s="51">
        <f>IF(COUNTA($B75,$C75,$D75,$E75,$G75)=0,"","G-"&amp;TEXT(ROW()-6,"0000"))</f>
        <v/>
      </c>
      <c r="B75" s="41" t="n"/>
      <c r="C75" s="33" t="n"/>
      <c r="D75" s="33" t="n"/>
      <c r="E75" s="33" t="n"/>
      <c r="F75" s="33" t="n"/>
      <c r="G75" s="36" t="n"/>
      <c r="H75" s="33" t="n"/>
      <c r="I75" s="33" t="n"/>
      <c r="J75" s="41" t="n"/>
      <c r="K75" s="36" t="n"/>
      <c r="L75" s="37">
        <f>IF(NOT(ISNUMBER($G75)),"",$G75-IF(ISNUMBER($K75),$K75,0))</f>
        <v/>
      </c>
      <c r="M75" s="33" t="n"/>
      <c r="N75" s="33" t="n"/>
      <c r="O75" s="51">
        <f>IF(COUNTA($B75,$C75,$D75,$E75,$G75)=0,"",IF(IF($B75=""," · Falta fecha","")&amp;IF($C75=""," · Falta tipo (Fijo/Variable)","")&amp;IF($D75=""," · SIN CATEGORÍA","")&amp;IF($E75=""," · Falta descripción","")&amp;IF(OR($G75="",NOT(ISNUMBER($G75)),$G75&lt;=0)," · Monto inválido","")&amp;IF(AND($I75="Pagado",$J75="")," · Pago sin fecha","")&amp;IF(AND(ISNUMBER($K75),ISNUMBER($G75),$K75&gt;N($G75)+0.01)," · Pagado &gt; monto","")&amp;IF(AND(ISNUMBER($K75),$K75&gt;0,$J75="")," · Monto pagado sin fecha","")="","OK",MID(IF($B75=""," · Falta fecha","")&amp;IF($C75=""," · Falta tipo (Fijo/Variable)","")&amp;IF($D75=""," · SIN CATEGORÍA","")&amp;IF($E75=""," · Falta descripción","")&amp;IF(OR($G75="",NOT(ISNUMBER($G75)),$G75&lt;=0)," · Monto inválido","")&amp;IF(AND($I75="Pagado",$J75="")," · Pago sin fecha","")&amp;IF(AND(ISNUMBER($K75),ISNUMBER($G75),$K75&gt;N($G75)+0.01)," · Pagado &gt; monto","")&amp;IF(AND(ISNUMBER($K75),$K75&gt;0,$J75="")," · Monto pagado sin fecha",""),4,900)))</f>
        <v/>
      </c>
    </row>
    <row r="76">
      <c r="A76" s="51">
        <f>IF(COUNTA($B76,$C76,$D76,$E76,$G76)=0,"","G-"&amp;TEXT(ROW()-6,"0000"))</f>
        <v/>
      </c>
      <c r="B76" s="41" t="n"/>
      <c r="C76" s="33" t="n"/>
      <c r="D76" s="33" t="n"/>
      <c r="E76" s="33" t="n"/>
      <c r="F76" s="33" t="n"/>
      <c r="G76" s="36" t="n"/>
      <c r="H76" s="33" t="n"/>
      <c r="I76" s="33" t="n"/>
      <c r="J76" s="41" t="n"/>
      <c r="K76" s="36" t="n"/>
      <c r="L76" s="37">
        <f>IF(NOT(ISNUMBER($G76)),"",$G76-IF(ISNUMBER($K76),$K76,0))</f>
        <v/>
      </c>
      <c r="M76" s="33" t="n"/>
      <c r="N76" s="33" t="n"/>
      <c r="O76" s="51">
        <f>IF(COUNTA($B76,$C76,$D76,$E76,$G76)=0,"",IF(IF($B76=""," · Falta fecha","")&amp;IF($C76=""," · Falta tipo (Fijo/Variable)","")&amp;IF($D76=""," · SIN CATEGORÍA","")&amp;IF($E76=""," · Falta descripción","")&amp;IF(OR($G76="",NOT(ISNUMBER($G76)),$G76&lt;=0)," · Monto inválido","")&amp;IF(AND($I76="Pagado",$J76="")," · Pago sin fecha","")&amp;IF(AND(ISNUMBER($K76),ISNUMBER($G76),$K76&gt;N($G76)+0.01)," · Pagado &gt; monto","")&amp;IF(AND(ISNUMBER($K76),$K76&gt;0,$J76="")," · Monto pagado sin fecha","")="","OK",MID(IF($B76=""," · Falta fecha","")&amp;IF($C76=""," · Falta tipo (Fijo/Variable)","")&amp;IF($D76=""," · SIN CATEGORÍA","")&amp;IF($E76=""," · Falta descripción","")&amp;IF(OR($G76="",NOT(ISNUMBER($G76)),$G76&lt;=0)," · Monto inválido","")&amp;IF(AND($I76="Pagado",$J76="")," · Pago sin fecha","")&amp;IF(AND(ISNUMBER($K76),ISNUMBER($G76),$K76&gt;N($G76)+0.01)," · Pagado &gt; monto","")&amp;IF(AND(ISNUMBER($K76),$K76&gt;0,$J76="")," · Monto pagado sin fecha",""),4,900)))</f>
        <v/>
      </c>
    </row>
    <row r="77">
      <c r="A77" s="51">
        <f>IF(COUNTA($B77,$C77,$D77,$E77,$G77)=0,"","G-"&amp;TEXT(ROW()-6,"0000"))</f>
        <v/>
      </c>
      <c r="B77" s="41" t="n"/>
      <c r="C77" s="33" t="n"/>
      <c r="D77" s="33" t="n"/>
      <c r="E77" s="33" t="n"/>
      <c r="F77" s="33" t="n"/>
      <c r="G77" s="36" t="n"/>
      <c r="H77" s="33" t="n"/>
      <c r="I77" s="33" t="n"/>
      <c r="J77" s="41" t="n"/>
      <c r="K77" s="36" t="n"/>
      <c r="L77" s="37">
        <f>IF(NOT(ISNUMBER($G77)),"",$G77-IF(ISNUMBER($K77),$K77,0))</f>
        <v/>
      </c>
      <c r="M77" s="33" t="n"/>
      <c r="N77" s="33" t="n"/>
      <c r="O77" s="51">
        <f>IF(COUNTA($B77,$C77,$D77,$E77,$G77)=0,"",IF(IF($B77=""," · Falta fecha","")&amp;IF($C77=""," · Falta tipo (Fijo/Variable)","")&amp;IF($D77=""," · SIN CATEGORÍA","")&amp;IF($E77=""," · Falta descripción","")&amp;IF(OR($G77="",NOT(ISNUMBER($G77)),$G77&lt;=0)," · Monto inválido","")&amp;IF(AND($I77="Pagado",$J77="")," · Pago sin fecha","")&amp;IF(AND(ISNUMBER($K77),ISNUMBER($G77),$K77&gt;N($G77)+0.01)," · Pagado &gt; monto","")&amp;IF(AND(ISNUMBER($K77),$K77&gt;0,$J77="")," · Monto pagado sin fecha","")="","OK",MID(IF($B77=""," · Falta fecha","")&amp;IF($C77=""," · Falta tipo (Fijo/Variable)","")&amp;IF($D77=""," · SIN CATEGORÍA","")&amp;IF($E77=""," · Falta descripción","")&amp;IF(OR($G77="",NOT(ISNUMBER($G77)),$G77&lt;=0)," · Monto inválido","")&amp;IF(AND($I77="Pagado",$J77="")," · Pago sin fecha","")&amp;IF(AND(ISNUMBER($K77),ISNUMBER($G77),$K77&gt;N($G77)+0.01)," · Pagado &gt; monto","")&amp;IF(AND(ISNUMBER($K77),$K77&gt;0,$J77="")," · Monto pagado sin fecha",""),4,900)))</f>
        <v/>
      </c>
    </row>
    <row r="78">
      <c r="A78" s="51">
        <f>IF(COUNTA($B78,$C78,$D78,$E78,$G78)=0,"","G-"&amp;TEXT(ROW()-6,"0000"))</f>
        <v/>
      </c>
      <c r="B78" s="41" t="n"/>
      <c r="C78" s="33" t="n"/>
      <c r="D78" s="33" t="n"/>
      <c r="E78" s="33" t="n"/>
      <c r="F78" s="33" t="n"/>
      <c r="G78" s="36" t="n"/>
      <c r="H78" s="33" t="n"/>
      <c r="I78" s="33" t="n"/>
      <c r="J78" s="41" t="n"/>
      <c r="K78" s="36" t="n"/>
      <c r="L78" s="37">
        <f>IF(NOT(ISNUMBER($G78)),"",$G78-IF(ISNUMBER($K78),$K78,0))</f>
        <v/>
      </c>
      <c r="M78" s="33" t="n"/>
      <c r="N78" s="33" t="n"/>
      <c r="O78" s="51">
        <f>IF(COUNTA($B78,$C78,$D78,$E78,$G78)=0,"",IF(IF($B78=""," · Falta fecha","")&amp;IF($C78=""," · Falta tipo (Fijo/Variable)","")&amp;IF($D78=""," · SIN CATEGORÍA","")&amp;IF($E78=""," · Falta descripción","")&amp;IF(OR($G78="",NOT(ISNUMBER($G78)),$G78&lt;=0)," · Monto inválido","")&amp;IF(AND($I78="Pagado",$J78="")," · Pago sin fecha","")&amp;IF(AND(ISNUMBER($K78),ISNUMBER($G78),$K78&gt;N($G78)+0.01)," · Pagado &gt; monto","")&amp;IF(AND(ISNUMBER($K78),$K78&gt;0,$J78="")," · Monto pagado sin fecha","")="","OK",MID(IF($B78=""," · Falta fecha","")&amp;IF($C78=""," · Falta tipo (Fijo/Variable)","")&amp;IF($D78=""," · SIN CATEGORÍA","")&amp;IF($E78=""," · Falta descripción","")&amp;IF(OR($G78="",NOT(ISNUMBER($G78)),$G78&lt;=0)," · Monto inválido","")&amp;IF(AND($I78="Pagado",$J78="")," · Pago sin fecha","")&amp;IF(AND(ISNUMBER($K78),ISNUMBER($G78),$K78&gt;N($G78)+0.01)," · Pagado &gt; monto","")&amp;IF(AND(ISNUMBER($K78),$K78&gt;0,$J78="")," · Monto pagado sin fecha",""),4,900)))</f>
        <v/>
      </c>
    </row>
    <row r="79">
      <c r="A79" s="51">
        <f>IF(COUNTA($B79,$C79,$D79,$E79,$G79)=0,"","G-"&amp;TEXT(ROW()-6,"0000"))</f>
        <v/>
      </c>
      <c r="B79" s="41" t="n"/>
      <c r="C79" s="33" t="n"/>
      <c r="D79" s="33" t="n"/>
      <c r="E79" s="33" t="n"/>
      <c r="F79" s="33" t="n"/>
      <c r="G79" s="36" t="n"/>
      <c r="H79" s="33" t="n"/>
      <c r="I79" s="33" t="n"/>
      <c r="J79" s="41" t="n"/>
      <c r="K79" s="36" t="n"/>
      <c r="L79" s="37">
        <f>IF(NOT(ISNUMBER($G79)),"",$G79-IF(ISNUMBER($K79),$K79,0))</f>
        <v/>
      </c>
      <c r="M79" s="33" t="n"/>
      <c r="N79" s="33" t="n"/>
      <c r="O79" s="51">
        <f>IF(COUNTA($B79,$C79,$D79,$E79,$G79)=0,"",IF(IF($B79=""," · Falta fecha","")&amp;IF($C79=""," · Falta tipo (Fijo/Variable)","")&amp;IF($D79=""," · SIN CATEGORÍA","")&amp;IF($E79=""," · Falta descripción","")&amp;IF(OR($G79="",NOT(ISNUMBER($G79)),$G79&lt;=0)," · Monto inválido","")&amp;IF(AND($I79="Pagado",$J79="")," · Pago sin fecha","")&amp;IF(AND(ISNUMBER($K79),ISNUMBER($G79),$K79&gt;N($G79)+0.01)," · Pagado &gt; monto","")&amp;IF(AND(ISNUMBER($K79),$K79&gt;0,$J79="")," · Monto pagado sin fecha","")="","OK",MID(IF($B79=""," · Falta fecha","")&amp;IF($C79=""," · Falta tipo (Fijo/Variable)","")&amp;IF($D79=""," · SIN CATEGORÍA","")&amp;IF($E79=""," · Falta descripción","")&amp;IF(OR($G79="",NOT(ISNUMBER($G79)),$G79&lt;=0)," · Monto inválido","")&amp;IF(AND($I79="Pagado",$J79="")," · Pago sin fecha","")&amp;IF(AND(ISNUMBER($K79),ISNUMBER($G79),$K79&gt;N($G79)+0.01)," · Pagado &gt; monto","")&amp;IF(AND(ISNUMBER($K79),$K79&gt;0,$J79="")," · Monto pagado sin fecha",""),4,900)))</f>
        <v/>
      </c>
    </row>
    <row r="80">
      <c r="A80" s="51">
        <f>IF(COUNTA($B80,$C80,$D80,$E80,$G80)=0,"","G-"&amp;TEXT(ROW()-6,"0000"))</f>
        <v/>
      </c>
      <c r="B80" s="41" t="n"/>
      <c r="C80" s="33" t="n"/>
      <c r="D80" s="33" t="n"/>
      <c r="E80" s="33" t="n"/>
      <c r="F80" s="33" t="n"/>
      <c r="G80" s="36" t="n"/>
      <c r="H80" s="33" t="n"/>
      <c r="I80" s="33" t="n"/>
      <c r="J80" s="41" t="n"/>
      <c r="K80" s="36" t="n"/>
      <c r="L80" s="37">
        <f>IF(NOT(ISNUMBER($G80)),"",$G80-IF(ISNUMBER($K80),$K80,0))</f>
        <v/>
      </c>
      <c r="M80" s="33" t="n"/>
      <c r="N80" s="33" t="n"/>
      <c r="O80" s="51">
        <f>IF(COUNTA($B80,$C80,$D80,$E80,$G80)=0,"",IF(IF($B80=""," · Falta fecha","")&amp;IF($C80=""," · Falta tipo (Fijo/Variable)","")&amp;IF($D80=""," · SIN CATEGORÍA","")&amp;IF($E80=""," · Falta descripción","")&amp;IF(OR($G80="",NOT(ISNUMBER($G80)),$G80&lt;=0)," · Monto inválido","")&amp;IF(AND($I80="Pagado",$J80="")," · Pago sin fecha","")&amp;IF(AND(ISNUMBER($K80),ISNUMBER($G80),$K80&gt;N($G80)+0.01)," · Pagado &gt; monto","")&amp;IF(AND(ISNUMBER($K80),$K80&gt;0,$J80="")," · Monto pagado sin fecha","")="","OK",MID(IF($B80=""," · Falta fecha","")&amp;IF($C80=""," · Falta tipo (Fijo/Variable)","")&amp;IF($D80=""," · SIN CATEGORÍA","")&amp;IF($E80=""," · Falta descripción","")&amp;IF(OR($G80="",NOT(ISNUMBER($G80)),$G80&lt;=0)," · Monto inválido","")&amp;IF(AND($I80="Pagado",$J80="")," · Pago sin fecha","")&amp;IF(AND(ISNUMBER($K80),ISNUMBER($G80),$K80&gt;N($G80)+0.01)," · Pagado &gt; monto","")&amp;IF(AND(ISNUMBER($K80),$K80&gt;0,$J80="")," · Monto pagado sin fecha",""),4,900)))</f>
        <v/>
      </c>
    </row>
    <row r="81">
      <c r="A81" s="51">
        <f>IF(COUNTA($B81,$C81,$D81,$E81,$G81)=0,"","G-"&amp;TEXT(ROW()-6,"0000"))</f>
        <v/>
      </c>
      <c r="B81" s="41" t="n"/>
      <c r="C81" s="33" t="n"/>
      <c r="D81" s="33" t="n"/>
      <c r="E81" s="33" t="n"/>
      <c r="F81" s="33" t="n"/>
      <c r="G81" s="36" t="n"/>
      <c r="H81" s="33" t="n"/>
      <c r="I81" s="33" t="n"/>
      <c r="J81" s="41" t="n"/>
      <c r="K81" s="36" t="n"/>
      <c r="L81" s="37">
        <f>IF(NOT(ISNUMBER($G81)),"",$G81-IF(ISNUMBER($K81),$K81,0))</f>
        <v/>
      </c>
      <c r="M81" s="33" t="n"/>
      <c r="N81" s="33" t="n"/>
      <c r="O81" s="51">
        <f>IF(COUNTA($B81,$C81,$D81,$E81,$G81)=0,"",IF(IF($B81=""," · Falta fecha","")&amp;IF($C81=""," · Falta tipo (Fijo/Variable)","")&amp;IF($D81=""," · SIN CATEGORÍA","")&amp;IF($E81=""," · Falta descripción","")&amp;IF(OR($G81="",NOT(ISNUMBER($G81)),$G81&lt;=0)," · Monto inválido","")&amp;IF(AND($I81="Pagado",$J81="")," · Pago sin fecha","")&amp;IF(AND(ISNUMBER($K81),ISNUMBER($G81),$K81&gt;N($G81)+0.01)," · Pagado &gt; monto","")&amp;IF(AND(ISNUMBER($K81),$K81&gt;0,$J81="")," · Monto pagado sin fecha","")="","OK",MID(IF($B81=""," · Falta fecha","")&amp;IF($C81=""," · Falta tipo (Fijo/Variable)","")&amp;IF($D81=""," · SIN CATEGORÍA","")&amp;IF($E81=""," · Falta descripción","")&amp;IF(OR($G81="",NOT(ISNUMBER($G81)),$G81&lt;=0)," · Monto inválido","")&amp;IF(AND($I81="Pagado",$J81="")," · Pago sin fecha","")&amp;IF(AND(ISNUMBER($K81),ISNUMBER($G81),$K81&gt;N($G81)+0.01)," · Pagado &gt; monto","")&amp;IF(AND(ISNUMBER($K81),$K81&gt;0,$J81="")," · Monto pagado sin fecha",""),4,900)))</f>
        <v/>
      </c>
    </row>
    <row r="82">
      <c r="A82" s="51">
        <f>IF(COUNTA($B82,$C82,$D82,$E82,$G82)=0,"","G-"&amp;TEXT(ROW()-6,"0000"))</f>
        <v/>
      </c>
      <c r="B82" s="41" t="n"/>
      <c r="C82" s="33" t="n"/>
      <c r="D82" s="33" t="n"/>
      <c r="E82" s="33" t="n"/>
      <c r="F82" s="33" t="n"/>
      <c r="G82" s="36" t="n"/>
      <c r="H82" s="33" t="n"/>
      <c r="I82" s="33" t="n"/>
      <c r="J82" s="41" t="n"/>
      <c r="K82" s="36" t="n"/>
      <c r="L82" s="37">
        <f>IF(NOT(ISNUMBER($G82)),"",$G82-IF(ISNUMBER($K82),$K82,0))</f>
        <v/>
      </c>
      <c r="M82" s="33" t="n"/>
      <c r="N82" s="33" t="n"/>
      <c r="O82" s="51">
        <f>IF(COUNTA($B82,$C82,$D82,$E82,$G82)=0,"",IF(IF($B82=""," · Falta fecha","")&amp;IF($C82=""," · Falta tipo (Fijo/Variable)","")&amp;IF($D82=""," · SIN CATEGORÍA","")&amp;IF($E82=""," · Falta descripción","")&amp;IF(OR($G82="",NOT(ISNUMBER($G82)),$G82&lt;=0)," · Monto inválido","")&amp;IF(AND($I82="Pagado",$J82="")," · Pago sin fecha","")&amp;IF(AND(ISNUMBER($K82),ISNUMBER($G82),$K82&gt;N($G82)+0.01)," · Pagado &gt; monto","")&amp;IF(AND(ISNUMBER($K82),$K82&gt;0,$J82="")," · Monto pagado sin fecha","")="","OK",MID(IF($B82=""," · Falta fecha","")&amp;IF($C82=""," · Falta tipo (Fijo/Variable)","")&amp;IF($D82=""," · SIN CATEGORÍA","")&amp;IF($E82=""," · Falta descripción","")&amp;IF(OR($G82="",NOT(ISNUMBER($G82)),$G82&lt;=0)," · Monto inválido","")&amp;IF(AND($I82="Pagado",$J82="")," · Pago sin fecha","")&amp;IF(AND(ISNUMBER($K82),ISNUMBER($G82),$K82&gt;N($G82)+0.01)," · Pagado &gt; monto","")&amp;IF(AND(ISNUMBER($K82),$K82&gt;0,$J82="")," · Monto pagado sin fecha",""),4,900)))</f>
        <v/>
      </c>
    </row>
    <row r="83">
      <c r="A83" s="51">
        <f>IF(COUNTA($B83,$C83,$D83,$E83,$G83)=0,"","G-"&amp;TEXT(ROW()-6,"0000"))</f>
        <v/>
      </c>
      <c r="B83" s="41" t="n"/>
      <c r="C83" s="33" t="n"/>
      <c r="D83" s="33" t="n"/>
      <c r="E83" s="33" t="n"/>
      <c r="F83" s="33" t="n"/>
      <c r="G83" s="36" t="n"/>
      <c r="H83" s="33" t="n"/>
      <c r="I83" s="33" t="n"/>
      <c r="J83" s="41" t="n"/>
      <c r="K83" s="36" t="n"/>
      <c r="L83" s="37">
        <f>IF(NOT(ISNUMBER($G83)),"",$G83-IF(ISNUMBER($K83),$K83,0))</f>
        <v/>
      </c>
      <c r="M83" s="33" t="n"/>
      <c r="N83" s="33" t="n"/>
      <c r="O83" s="51">
        <f>IF(COUNTA($B83,$C83,$D83,$E83,$G83)=0,"",IF(IF($B83=""," · Falta fecha","")&amp;IF($C83=""," · Falta tipo (Fijo/Variable)","")&amp;IF($D83=""," · SIN CATEGORÍA","")&amp;IF($E83=""," · Falta descripción","")&amp;IF(OR($G83="",NOT(ISNUMBER($G83)),$G83&lt;=0)," · Monto inválido","")&amp;IF(AND($I83="Pagado",$J83="")," · Pago sin fecha","")&amp;IF(AND(ISNUMBER($K83),ISNUMBER($G83),$K83&gt;N($G83)+0.01)," · Pagado &gt; monto","")&amp;IF(AND(ISNUMBER($K83),$K83&gt;0,$J83="")," · Monto pagado sin fecha","")="","OK",MID(IF($B83=""," · Falta fecha","")&amp;IF($C83=""," · Falta tipo (Fijo/Variable)","")&amp;IF($D83=""," · SIN CATEGORÍA","")&amp;IF($E83=""," · Falta descripción","")&amp;IF(OR($G83="",NOT(ISNUMBER($G83)),$G83&lt;=0)," · Monto inválido","")&amp;IF(AND($I83="Pagado",$J83="")," · Pago sin fecha","")&amp;IF(AND(ISNUMBER($K83),ISNUMBER($G83),$K83&gt;N($G83)+0.01)," · Pagado &gt; monto","")&amp;IF(AND(ISNUMBER($K83),$K83&gt;0,$J83="")," · Monto pagado sin fecha",""),4,900)))</f>
        <v/>
      </c>
    </row>
    <row r="84">
      <c r="A84" s="51">
        <f>IF(COUNTA($B84,$C84,$D84,$E84,$G84)=0,"","G-"&amp;TEXT(ROW()-6,"0000"))</f>
        <v/>
      </c>
      <c r="B84" s="41" t="n"/>
      <c r="C84" s="33" t="n"/>
      <c r="D84" s="33" t="n"/>
      <c r="E84" s="33" t="n"/>
      <c r="F84" s="33" t="n"/>
      <c r="G84" s="36" t="n"/>
      <c r="H84" s="33" t="n"/>
      <c r="I84" s="33" t="n"/>
      <c r="J84" s="41" t="n"/>
      <c r="K84" s="36" t="n"/>
      <c r="L84" s="37">
        <f>IF(NOT(ISNUMBER($G84)),"",$G84-IF(ISNUMBER($K84),$K84,0))</f>
        <v/>
      </c>
      <c r="M84" s="33" t="n"/>
      <c r="N84" s="33" t="n"/>
      <c r="O84" s="51">
        <f>IF(COUNTA($B84,$C84,$D84,$E84,$G84)=0,"",IF(IF($B84=""," · Falta fecha","")&amp;IF($C84=""," · Falta tipo (Fijo/Variable)","")&amp;IF($D84=""," · SIN CATEGORÍA","")&amp;IF($E84=""," · Falta descripción","")&amp;IF(OR($G84="",NOT(ISNUMBER($G84)),$G84&lt;=0)," · Monto inválido","")&amp;IF(AND($I84="Pagado",$J84="")," · Pago sin fecha","")&amp;IF(AND(ISNUMBER($K84),ISNUMBER($G84),$K84&gt;N($G84)+0.01)," · Pagado &gt; monto","")&amp;IF(AND(ISNUMBER($K84),$K84&gt;0,$J84="")," · Monto pagado sin fecha","")="","OK",MID(IF($B84=""," · Falta fecha","")&amp;IF($C84=""," · Falta tipo (Fijo/Variable)","")&amp;IF($D84=""," · SIN CATEGORÍA","")&amp;IF($E84=""," · Falta descripción","")&amp;IF(OR($G84="",NOT(ISNUMBER($G84)),$G84&lt;=0)," · Monto inválido","")&amp;IF(AND($I84="Pagado",$J84="")," · Pago sin fecha","")&amp;IF(AND(ISNUMBER($K84),ISNUMBER($G84),$K84&gt;N($G84)+0.01)," · Pagado &gt; monto","")&amp;IF(AND(ISNUMBER($K84),$K84&gt;0,$J84="")," · Monto pagado sin fecha",""),4,900)))</f>
        <v/>
      </c>
    </row>
    <row r="85">
      <c r="A85" s="51">
        <f>IF(COUNTA($B85,$C85,$D85,$E85,$G85)=0,"","G-"&amp;TEXT(ROW()-6,"0000"))</f>
        <v/>
      </c>
      <c r="B85" s="41" t="n"/>
      <c r="C85" s="33" t="n"/>
      <c r="D85" s="33" t="n"/>
      <c r="E85" s="33" t="n"/>
      <c r="F85" s="33" t="n"/>
      <c r="G85" s="36" t="n"/>
      <c r="H85" s="33" t="n"/>
      <c r="I85" s="33" t="n"/>
      <c r="J85" s="41" t="n"/>
      <c r="K85" s="36" t="n"/>
      <c r="L85" s="37">
        <f>IF(NOT(ISNUMBER($G85)),"",$G85-IF(ISNUMBER($K85),$K85,0))</f>
        <v/>
      </c>
      <c r="M85" s="33" t="n"/>
      <c r="N85" s="33" t="n"/>
      <c r="O85" s="51">
        <f>IF(COUNTA($B85,$C85,$D85,$E85,$G85)=0,"",IF(IF($B85=""," · Falta fecha","")&amp;IF($C85=""," · Falta tipo (Fijo/Variable)","")&amp;IF($D85=""," · SIN CATEGORÍA","")&amp;IF($E85=""," · Falta descripción","")&amp;IF(OR($G85="",NOT(ISNUMBER($G85)),$G85&lt;=0)," · Monto inválido","")&amp;IF(AND($I85="Pagado",$J85="")," · Pago sin fecha","")&amp;IF(AND(ISNUMBER($K85),ISNUMBER($G85),$K85&gt;N($G85)+0.01)," · Pagado &gt; monto","")&amp;IF(AND(ISNUMBER($K85),$K85&gt;0,$J85="")," · Monto pagado sin fecha","")="","OK",MID(IF($B85=""," · Falta fecha","")&amp;IF($C85=""," · Falta tipo (Fijo/Variable)","")&amp;IF($D85=""," · SIN CATEGORÍA","")&amp;IF($E85=""," · Falta descripción","")&amp;IF(OR($G85="",NOT(ISNUMBER($G85)),$G85&lt;=0)," · Monto inválido","")&amp;IF(AND($I85="Pagado",$J85="")," · Pago sin fecha","")&amp;IF(AND(ISNUMBER($K85),ISNUMBER($G85),$K85&gt;N($G85)+0.01)," · Pagado &gt; monto","")&amp;IF(AND(ISNUMBER($K85),$K85&gt;0,$J85="")," · Monto pagado sin fecha",""),4,900)))</f>
        <v/>
      </c>
    </row>
    <row r="86">
      <c r="A86" s="51">
        <f>IF(COUNTA($B86,$C86,$D86,$E86,$G86)=0,"","G-"&amp;TEXT(ROW()-6,"0000"))</f>
        <v/>
      </c>
      <c r="B86" s="41" t="n"/>
      <c r="C86" s="33" t="n"/>
      <c r="D86" s="33" t="n"/>
      <c r="E86" s="33" t="n"/>
      <c r="F86" s="33" t="n"/>
      <c r="G86" s="36" t="n"/>
      <c r="H86" s="33" t="n"/>
      <c r="I86" s="33" t="n"/>
      <c r="J86" s="41" t="n"/>
      <c r="K86" s="36" t="n"/>
      <c r="L86" s="37">
        <f>IF(NOT(ISNUMBER($G86)),"",$G86-IF(ISNUMBER($K86),$K86,0))</f>
        <v/>
      </c>
      <c r="M86" s="33" t="n"/>
      <c r="N86" s="33" t="n"/>
      <c r="O86" s="51">
        <f>IF(COUNTA($B86,$C86,$D86,$E86,$G86)=0,"",IF(IF($B86=""," · Falta fecha","")&amp;IF($C86=""," · Falta tipo (Fijo/Variable)","")&amp;IF($D86=""," · SIN CATEGORÍA","")&amp;IF($E86=""," · Falta descripción","")&amp;IF(OR($G86="",NOT(ISNUMBER($G86)),$G86&lt;=0)," · Monto inválido","")&amp;IF(AND($I86="Pagado",$J86="")," · Pago sin fecha","")&amp;IF(AND(ISNUMBER($K86),ISNUMBER($G86),$K86&gt;N($G86)+0.01)," · Pagado &gt; monto","")&amp;IF(AND(ISNUMBER($K86),$K86&gt;0,$J86="")," · Monto pagado sin fecha","")="","OK",MID(IF($B86=""," · Falta fecha","")&amp;IF($C86=""," · Falta tipo (Fijo/Variable)","")&amp;IF($D86=""," · SIN CATEGORÍA","")&amp;IF($E86=""," · Falta descripción","")&amp;IF(OR($G86="",NOT(ISNUMBER($G86)),$G86&lt;=0)," · Monto inválido","")&amp;IF(AND($I86="Pagado",$J86="")," · Pago sin fecha","")&amp;IF(AND(ISNUMBER($K86),ISNUMBER($G86),$K86&gt;N($G86)+0.01)," · Pagado &gt; monto","")&amp;IF(AND(ISNUMBER($K86),$K86&gt;0,$J86="")," · Monto pagado sin fecha",""),4,900)))</f>
        <v/>
      </c>
    </row>
    <row r="87">
      <c r="A87" s="51">
        <f>IF(COUNTA($B87,$C87,$D87,$E87,$G87)=0,"","G-"&amp;TEXT(ROW()-6,"0000"))</f>
        <v/>
      </c>
      <c r="B87" s="41" t="n"/>
      <c r="C87" s="33" t="n"/>
      <c r="D87" s="33" t="n"/>
      <c r="E87" s="33" t="n"/>
      <c r="F87" s="33" t="n"/>
      <c r="G87" s="36" t="n"/>
      <c r="H87" s="33" t="n"/>
      <c r="I87" s="33" t="n"/>
      <c r="J87" s="41" t="n"/>
      <c r="K87" s="36" t="n"/>
      <c r="L87" s="37">
        <f>IF(NOT(ISNUMBER($G87)),"",$G87-IF(ISNUMBER($K87),$K87,0))</f>
        <v/>
      </c>
      <c r="M87" s="33" t="n"/>
      <c r="N87" s="33" t="n"/>
      <c r="O87" s="51">
        <f>IF(COUNTA($B87,$C87,$D87,$E87,$G87)=0,"",IF(IF($B87=""," · Falta fecha","")&amp;IF($C87=""," · Falta tipo (Fijo/Variable)","")&amp;IF($D87=""," · SIN CATEGORÍA","")&amp;IF($E87=""," · Falta descripción","")&amp;IF(OR($G87="",NOT(ISNUMBER($G87)),$G87&lt;=0)," · Monto inválido","")&amp;IF(AND($I87="Pagado",$J87="")," · Pago sin fecha","")&amp;IF(AND(ISNUMBER($K87),ISNUMBER($G87),$K87&gt;N($G87)+0.01)," · Pagado &gt; monto","")&amp;IF(AND(ISNUMBER($K87),$K87&gt;0,$J87="")," · Monto pagado sin fecha","")="","OK",MID(IF($B87=""," · Falta fecha","")&amp;IF($C87=""," · Falta tipo (Fijo/Variable)","")&amp;IF($D87=""," · SIN CATEGORÍA","")&amp;IF($E87=""," · Falta descripción","")&amp;IF(OR($G87="",NOT(ISNUMBER($G87)),$G87&lt;=0)," · Monto inválido","")&amp;IF(AND($I87="Pagado",$J87="")," · Pago sin fecha","")&amp;IF(AND(ISNUMBER($K87),ISNUMBER($G87),$K87&gt;N($G87)+0.01)," · Pagado &gt; monto","")&amp;IF(AND(ISNUMBER($K87),$K87&gt;0,$J87="")," · Monto pagado sin fecha",""),4,900)))</f>
        <v/>
      </c>
    </row>
    <row r="88">
      <c r="A88" s="51">
        <f>IF(COUNTA($B88,$C88,$D88,$E88,$G88)=0,"","G-"&amp;TEXT(ROW()-6,"0000"))</f>
        <v/>
      </c>
      <c r="B88" s="41" t="n"/>
      <c r="C88" s="33" t="n"/>
      <c r="D88" s="33" t="n"/>
      <c r="E88" s="33" t="n"/>
      <c r="F88" s="33" t="n"/>
      <c r="G88" s="36" t="n"/>
      <c r="H88" s="33" t="n"/>
      <c r="I88" s="33" t="n"/>
      <c r="J88" s="41" t="n"/>
      <c r="K88" s="36" t="n"/>
      <c r="L88" s="37">
        <f>IF(NOT(ISNUMBER($G88)),"",$G88-IF(ISNUMBER($K88),$K88,0))</f>
        <v/>
      </c>
      <c r="M88" s="33" t="n"/>
      <c r="N88" s="33" t="n"/>
      <c r="O88" s="51">
        <f>IF(COUNTA($B88,$C88,$D88,$E88,$G88)=0,"",IF(IF($B88=""," · Falta fecha","")&amp;IF($C88=""," · Falta tipo (Fijo/Variable)","")&amp;IF($D88=""," · SIN CATEGORÍA","")&amp;IF($E88=""," · Falta descripción","")&amp;IF(OR($G88="",NOT(ISNUMBER($G88)),$G88&lt;=0)," · Monto inválido","")&amp;IF(AND($I88="Pagado",$J88="")," · Pago sin fecha","")&amp;IF(AND(ISNUMBER($K88),ISNUMBER($G88),$K88&gt;N($G88)+0.01)," · Pagado &gt; monto","")&amp;IF(AND(ISNUMBER($K88),$K88&gt;0,$J88="")," · Monto pagado sin fecha","")="","OK",MID(IF($B88=""," · Falta fecha","")&amp;IF($C88=""," · Falta tipo (Fijo/Variable)","")&amp;IF($D88=""," · SIN CATEGORÍA","")&amp;IF($E88=""," · Falta descripción","")&amp;IF(OR($G88="",NOT(ISNUMBER($G88)),$G88&lt;=0)," · Monto inválido","")&amp;IF(AND($I88="Pagado",$J88="")," · Pago sin fecha","")&amp;IF(AND(ISNUMBER($K88),ISNUMBER($G88),$K88&gt;N($G88)+0.01)," · Pagado &gt; monto","")&amp;IF(AND(ISNUMBER($K88),$K88&gt;0,$J88="")," · Monto pagado sin fecha",""),4,900)))</f>
        <v/>
      </c>
    </row>
    <row r="89">
      <c r="A89" s="51">
        <f>IF(COUNTA($B89,$C89,$D89,$E89,$G89)=0,"","G-"&amp;TEXT(ROW()-6,"0000"))</f>
        <v/>
      </c>
      <c r="B89" s="41" t="n"/>
      <c r="C89" s="33" t="n"/>
      <c r="D89" s="33" t="n"/>
      <c r="E89" s="33" t="n"/>
      <c r="F89" s="33" t="n"/>
      <c r="G89" s="36" t="n"/>
      <c r="H89" s="33" t="n"/>
      <c r="I89" s="33" t="n"/>
      <c r="J89" s="41" t="n"/>
      <c r="K89" s="36" t="n"/>
      <c r="L89" s="37">
        <f>IF(NOT(ISNUMBER($G89)),"",$G89-IF(ISNUMBER($K89),$K89,0))</f>
        <v/>
      </c>
      <c r="M89" s="33" t="n"/>
      <c r="N89" s="33" t="n"/>
      <c r="O89" s="51">
        <f>IF(COUNTA($B89,$C89,$D89,$E89,$G89)=0,"",IF(IF($B89=""," · Falta fecha","")&amp;IF($C89=""," · Falta tipo (Fijo/Variable)","")&amp;IF($D89=""," · SIN CATEGORÍA","")&amp;IF($E89=""," · Falta descripción","")&amp;IF(OR($G89="",NOT(ISNUMBER($G89)),$G89&lt;=0)," · Monto inválido","")&amp;IF(AND($I89="Pagado",$J89="")," · Pago sin fecha","")&amp;IF(AND(ISNUMBER($K89),ISNUMBER($G89),$K89&gt;N($G89)+0.01)," · Pagado &gt; monto","")&amp;IF(AND(ISNUMBER($K89),$K89&gt;0,$J89="")," · Monto pagado sin fecha","")="","OK",MID(IF($B89=""," · Falta fecha","")&amp;IF($C89=""," · Falta tipo (Fijo/Variable)","")&amp;IF($D89=""," · SIN CATEGORÍA","")&amp;IF($E89=""," · Falta descripción","")&amp;IF(OR($G89="",NOT(ISNUMBER($G89)),$G89&lt;=0)," · Monto inválido","")&amp;IF(AND($I89="Pagado",$J89="")," · Pago sin fecha","")&amp;IF(AND(ISNUMBER($K89),ISNUMBER($G89),$K89&gt;N($G89)+0.01)," · Pagado &gt; monto","")&amp;IF(AND(ISNUMBER($K89),$K89&gt;0,$J89="")," · Monto pagado sin fecha",""),4,900)))</f>
        <v/>
      </c>
    </row>
    <row r="90">
      <c r="A90" s="51">
        <f>IF(COUNTA($B90,$C90,$D90,$E90,$G90)=0,"","G-"&amp;TEXT(ROW()-6,"0000"))</f>
        <v/>
      </c>
      <c r="B90" s="41" t="n"/>
      <c r="C90" s="33" t="n"/>
      <c r="D90" s="33" t="n"/>
      <c r="E90" s="33" t="n"/>
      <c r="F90" s="33" t="n"/>
      <c r="G90" s="36" t="n"/>
      <c r="H90" s="33" t="n"/>
      <c r="I90" s="33" t="n"/>
      <c r="J90" s="41" t="n"/>
      <c r="K90" s="36" t="n"/>
      <c r="L90" s="37">
        <f>IF(NOT(ISNUMBER($G90)),"",$G90-IF(ISNUMBER($K90),$K90,0))</f>
        <v/>
      </c>
      <c r="M90" s="33" t="n"/>
      <c r="N90" s="33" t="n"/>
      <c r="O90" s="51">
        <f>IF(COUNTA($B90,$C90,$D90,$E90,$G90)=0,"",IF(IF($B90=""," · Falta fecha","")&amp;IF($C90=""," · Falta tipo (Fijo/Variable)","")&amp;IF($D90=""," · SIN CATEGORÍA","")&amp;IF($E90=""," · Falta descripción","")&amp;IF(OR($G90="",NOT(ISNUMBER($G90)),$G90&lt;=0)," · Monto inválido","")&amp;IF(AND($I90="Pagado",$J90="")," · Pago sin fecha","")&amp;IF(AND(ISNUMBER($K90),ISNUMBER($G90),$K90&gt;N($G90)+0.01)," · Pagado &gt; monto","")&amp;IF(AND(ISNUMBER($K90),$K90&gt;0,$J90="")," · Monto pagado sin fecha","")="","OK",MID(IF($B90=""," · Falta fecha","")&amp;IF($C90=""," · Falta tipo (Fijo/Variable)","")&amp;IF($D90=""," · SIN CATEGORÍA","")&amp;IF($E90=""," · Falta descripción","")&amp;IF(OR($G90="",NOT(ISNUMBER($G90)),$G90&lt;=0)," · Monto inválido","")&amp;IF(AND($I90="Pagado",$J90="")," · Pago sin fecha","")&amp;IF(AND(ISNUMBER($K90),ISNUMBER($G90),$K90&gt;N($G90)+0.01)," · Pagado &gt; monto","")&amp;IF(AND(ISNUMBER($K90),$K90&gt;0,$J90="")," · Monto pagado sin fecha",""),4,900)))</f>
        <v/>
      </c>
    </row>
    <row r="91">
      <c r="A91" s="51">
        <f>IF(COUNTA($B91,$C91,$D91,$E91,$G91)=0,"","G-"&amp;TEXT(ROW()-6,"0000"))</f>
        <v/>
      </c>
      <c r="B91" s="41" t="n"/>
      <c r="C91" s="33" t="n"/>
      <c r="D91" s="33" t="n"/>
      <c r="E91" s="33" t="n"/>
      <c r="F91" s="33" t="n"/>
      <c r="G91" s="36" t="n"/>
      <c r="H91" s="33" t="n"/>
      <c r="I91" s="33" t="n"/>
      <c r="J91" s="41" t="n"/>
      <c r="K91" s="36" t="n"/>
      <c r="L91" s="37">
        <f>IF(NOT(ISNUMBER($G91)),"",$G91-IF(ISNUMBER($K91),$K91,0))</f>
        <v/>
      </c>
      <c r="M91" s="33" t="n"/>
      <c r="N91" s="33" t="n"/>
      <c r="O91" s="51">
        <f>IF(COUNTA($B91,$C91,$D91,$E91,$G91)=0,"",IF(IF($B91=""," · Falta fecha","")&amp;IF($C91=""," · Falta tipo (Fijo/Variable)","")&amp;IF($D91=""," · SIN CATEGORÍA","")&amp;IF($E91=""," · Falta descripción","")&amp;IF(OR($G91="",NOT(ISNUMBER($G91)),$G91&lt;=0)," · Monto inválido","")&amp;IF(AND($I91="Pagado",$J91="")," · Pago sin fecha","")&amp;IF(AND(ISNUMBER($K91),ISNUMBER($G91),$K91&gt;N($G91)+0.01)," · Pagado &gt; monto","")&amp;IF(AND(ISNUMBER($K91),$K91&gt;0,$J91="")," · Monto pagado sin fecha","")="","OK",MID(IF($B91=""," · Falta fecha","")&amp;IF($C91=""," · Falta tipo (Fijo/Variable)","")&amp;IF($D91=""," · SIN CATEGORÍA","")&amp;IF($E91=""," · Falta descripción","")&amp;IF(OR($G91="",NOT(ISNUMBER($G91)),$G91&lt;=0)," · Monto inválido","")&amp;IF(AND($I91="Pagado",$J91="")," · Pago sin fecha","")&amp;IF(AND(ISNUMBER($K91),ISNUMBER($G91),$K91&gt;N($G91)+0.01)," · Pagado &gt; monto","")&amp;IF(AND(ISNUMBER($K91),$K91&gt;0,$J91="")," · Monto pagado sin fecha",""),4,900)))</f>
        <v/>
      </c>
    </row>
    <row r="92">
      <c r="A92" s="51">
        <f>IF(COUNTA($B92,$C92,$D92,$E92,$G92)=0,"","G-"&amp;TEXT(ROW()-6,"0000"))</f>
        <v/>
      </c>
      <c r="B92" s="41" t="n"/>
      <c r="C92" s="33" t="n"/>
      <c r="D92" s="33" t="n"/>
      <c r="E92" s="33" t="n"/>
      <c r="F92" s="33" t="n"/>
      <c r="G92" s="36" t="n"/>
      <c r="H92" s="33" t="n"/>
      <c r="I92" s="33" t="n"/>
      <c r="J92" s="41" t="n"/>
      <c r="K92" s="36" t="n"/>
      <c r="L92" s="37">
        <f>IF(NOT(ISNUMBER($G92)),"",$G92-IF(ISNUMBER($K92),$K92,0))</f>
        <v/>
      </c>
      <c r="M92" s="33" t="n"/>
      <c r="N92" s="33" t="n"/>
      <c r="O92" s="51">
        <f>IF(COUNTA($B92,$C92,$D92,$E92,$G92)=0,"",IF(IF($B92=""," · Falta fecha","")&amp;IF($C92=""," · Falta tipo (Fijo/Variable)","")&amp;IF($D92=""," · SIN CATEGORÍA","")&amp;IF($E92=""," · Falta descripción","")&amp;IF(OR($G92="",NOT(ISNUMBER($G92)),$G92&lt;=0)," · Monto inválido","")&amp;IF(AND($I92="Pagado",$J92="")," · Pago sin fecha","")&amp;IF(AND(ISNUMBER($K92),ISNUMBER($G92),$K92&gt;N($G92)+0.01)," · Pagado &gt; monto","")&amp;IF(AND(ISNUMBER($K92),$K92&gt;0,$J92="")," · Monto pagado sin fecha","")="","OK",MID(IF($B92=""," · Falta fecha","")&amp;IF($C92=""," · Falta tipo (Fijo/Variable)","")&amp;IF($D92=""," · SIN CATEGORÍA","")&amp;IF($E92=""," · Falta descripción","")&amp;IF(OR($G92="",NOT(ISNUMBER($G92)),$G92&lt;=0)," · Monto inválido","")&amp;IF(AND($I92="Pagado",$J92="")," · Pago sin fecha","")&amp;IF(AND(ISNUMBER($K92),ISNUMBER($G92),$K92&gt;N($G92)+0.01)," · Pagado &gt; monto","")&amp;IF(AND(ISNUMBER($K92),$K92&gt;0,$J92="")," · Monto pagado sin fecha",""),4,900)))</f>
        <v/>
      </c>
    </row>
    <row r="93">
      <c r="A93" s="51">
        <f>IF(COUNTA($B93,$C93,$D93,$E93,$G93)=0,"","G-"&amp;TEXT(ROW()-6,"0000"))</f>
        <v/>
      </c>
      <c r="B93" s="41" t="n"/>
      <c r="C93" s="33" t="n"/>
      <c r="D93" s="33" t="n"/>
      <c r="E93" s="33" t="n"/>
      <c r="F93" s="33" t="n"/>
      <c r="G93" s="36" t="n"/>
      <c r="H93" s="33" t="n"/>
      <c r="I93" s="33" t="n"/>
      <c r="J93" s="41" t="n"/>
      <c r="K93" s="36" t="n"/>
      <c r="L93" s="37">
        <f>IF(NOT(ISNUMBER($G93)),"",$G93-IF(ISNUMBER($K93),$K93,0))</f>
        <v/>
      </c>
      <c r="M93" s="33" t="n"/>
      <c r="N93" s="33" t="n"/>
      <c r="O93" s="51">
        <f>IF(COUNTA($B93,$C93,$D93,$E93,$G93)=0,"",IF(IF($B93=""," · Falta fecha","")&amp;IF($C93=""," · Falta tipo (Fijo/Variable)","")&amp;IF($D93=""," · SIN CATEGORÍA","")&amp;IF($E93=""," · Falta descripción","")&amp;IF(OR($G93="",NOT(ISNUMBER($G93)),$G93&lt;=0)," · Monto inválido","")&amp;IF(AND($I93="Pagado",$J93="")," · Pago sin fecha","")&amp;IF(AND(ISNUMBER($K93),ISNUMBER($G93),$K93&gt;N($G93)+0.01)," · Pagado &gt; monto","")&amp;IF(AND(ISNUMBER($K93),$K93&gt;0,$J93="")," · Monto pagado sin fecha","")="","OK",MID(IF($B93=""," · Falta fecha","")&amp;IF($C93=""," · Falta tipo (Fijo/Variable)","")&amp;IF($D93=""," · SIN CATEGORÍA","")&amp;IF($E93=""," · Falta descripción","")&amp;IF(OR($G93="",NOT(ISNUMBER($G93)),$G93&lt;=0)," · Monto inválido","")&amp;IF(AND($I93="Pagado",$J93="")," · Pago sin fecha","")&amp;IF(AND(ISNUMBER($K93),ISNUMBER($G93),$K93&gt;N($G93)+0.01)," · Pagado &gt; monto","")&amp;IF(AND(ISNUMBER($K93),$K93&gt;0,$J93="")," · Monto pagado sin fecha",""),4,900)))</f>
        <v/>
      </c>
    </row>
    <row r="94">
      <c r="A94" s="51">
        <f>IF(COUNTA($B94,$C94,$D94,$E94,$G94)=0,"","G-"&amp;TEXT(ROW()-6,"0000"))</f>
        <v/>
      </c>
      <c r="B94" s="41" t="n"/>
      <c r="C94" s="33" t="n"/>
      <c r="D94" s="33" t="n"/>
      <c r="E94" s="33" t="n"/>
      <c r="F94" s="33" t="n"/>
      <c r="G94" s="36" t="n"/>
      <c r="H94" s="33" t="n"/>
      <c r="I94" s="33" t="n"/>
      <c r="J94" s="41" t="n"/>
      <c r="K94" s="36" t="n"/>
      <c r="L94" s="37">
        <f>IF(NOT(ISNUMBER($G94)),"",$G94-IF(ISNUMBER($K94),$K94,0))</f>
        <v/>
      </c>
      <c r="M94" s="33" t="n"/>
      <c r="N94" s="33" t="n"/>
      <c r="O94" s="51">
        <f>IF(COUNTA($B94,$C94,$D94,$E94,$G94)=0,"",IF(IF($B94=""," · Falta fecha","")&amp;IF($C94=""," · Falta tipo (Fijo/Variable)","")&amp;IF($D94=""," · SIN CATEGORÍA","")&amp;IF($E94=""," · Falta descripción","")&amp;IF(OR($G94="",NOT(ISNUMBER($G94)),$G94&lt;=0)," · Monto inválido","")&amp;IF(AND($I94="Pagado",$J94="")," · Pago sin fecha","")&amp;IF(AND(ISNUMBER($K94),ISNUMBER($G94),$K94&gt;N($G94)+0.01)," · Pagado &gt; monto","")&amp;IF(AND(ISNUMBER($K94),$K94&gt;0,$J94="")," · Monto pagado sin fecha","")="","OK",MID(IF($B94=""," · Falta fecha","")&amp;IF($C94=""," · Falta tipo (Fijo/Variable)","")&amp;IF($D94=""," · SIN CATEGORÍA","")&amp;IF($E94=""," · Falta descripción","")&amp;IF(OR($G94="",NOT(ISNUMBER($G94)),$G94&lt;=0)," · Monto inválido","")&amp;IF(AND($I94="Pagado",$J94="")," · Pago sin fecha","")&amp;IF(AND(ISNUMBER($K94),ISNUMBER($G94),$K94&gt;N($G94)+0.01)," · Pagado &gt; monto","")&amp;IF(AND(ISNUMBER($K94),$K94&gt;0,$J94="")," · Monto pagado sin fecha",""),4,900)))</f>
        <v/>
      </c>
    </row>
    <row r="95">
      <c r="A95" s="51">
        <f>IF(COUNTA($B95,$C95,$D95,$E95,$G95)=0,"","G-"&amp;TEXT(ROW()-6,"0000"))</f>
        <v/>
      </c>
      <c r="B95" s="41" t="n"/>
      <c r="C95" s="33" t="n"/>
      <c r="D95" s="33" t="n"/>
      <c r="E95" s="33" t="n"/>
      <c r="F95" s="33" t="n"/>
      <c r="G95" s="36" t="n"/>
      <c r="H95" s="33" t="n"/>
      <c r="I95" s="33" t="n"/>
      <c r="J95" s="41" t="n"/>
      <c r="K95" s="36" t="n"/>
      <c r="L95" s="37">
        <f>IF(NOT(ISNUMBER($G95)),"",$G95-IF(ISNUMBER($K95),$K95,0))</f>
        <v/>
      </c>
      <c r="M95" s="33" t="n"/>
      <c r="N95" s="33" t="n"/>
      <c r="O95" s="51">
        <f>IF(COUNTA($B95,$C95,$D95,$E95,$G95)=0,"",IF(IF($B95=""," · Falta fecha","")&amp;IF($C95=""," · Falta tipo (Fijo/Variable)","")&amp;IF($D95=""," · SIN CATEGORÍA","")&amp;IF($E95=""," · Falta descripción","")&amp;IF(OR($G95="",NOT(ISNUMBER($G95)),$G95&lt;=0)," · Monto inválido","")&amp;IF(AND($I95="Pagado",$J95="")," · Pago sin fecha","")&amp;IF(AND(ISNUMBER($K95),ISNUMBER($G95),$K95&gt;N($G95)+0.01)," · Pagado &gt; monto","")&amp;IF(AND(ISNUMBER($K95),$K95&gt;0,$J95="")," · Monto pagado sin fecha","")="","OK",MID(IF($B95=""," · Falta fecha","")&amp;IF($C95=""," · Falta tipo (Fijo/Variable)","")&amp;IF($D95=""," · SIN CATEGORÍA","")&amp;IF($E95=""," · Falta descripción","")&amp;IF(OR($G95="",NOT(ISNUMBER($G95)),$G95&lt;=0)," · Monto inválido","")&amp;IF(AND($I95="Pagado",$J95="")," · Pago sin fecha","")&amp;IF(AND(ISNUMBER($K95),ISNUMBER($G95),$K95&gt;N($G95)+0.01)," · Pagado &gt; monto","")&amp;IF(AND(ISNUMBER($K95),$K95&gt;0,$J95="")," · Monto pagado sin fecha",""),4,900)))</f>
        <v/>
      </c>
    </row>
    <row r="96">
      <c r="A96" s="51">
        <f>IF(COUNTA($B96,$C96,$D96,$E96,$G96)=0,"","G-"&amp;TEXT(ROW()-6,"0000"))</f>
        <v/>
      </c>
      <c r="B96" s="41" t="n"/>
      <c r="C96" s="33" t="n"/>
      <c r="D96" s="33" t="n"/>
      <c r="E96" s="33" t="n"/>
      <c r="F96" s="33" t="n"/>
      <c r="G96" s="36" t="n"/>
      <c r="H96" s="33" t="n"/>
      <c r="I96" s="33" t="n"/>
      <c r="J96" s="41" t="n"/>
      <c r="K96" s="36" t="n"/>
      <c r="L96" s="37">
        <f>IF(NOT(ISNUMBER($G96)),"",$G96-IF(ISNUMBER($K96),$K96,0))</f>
        <v/>
      </c>
      <c r="M96" s="33" t="n"/>
      <c r="N96" s="33" t="n"/>
      <c r="O96" s="51">
        <f>IF(COUNTA($B96,$C96,$D96,$E96,$G96)=0,"",IF(IF($B96=""," · Falta fecha","")&amp;IF($C96=""," · Falta tipo (Fijo/Variable)","")&amp;IF($D96=""," · SIN CATEGORÍA","")&amp;IF($E96=""," · Falta descripción","")&amp;IF(OR($G96="",NOT(ISNUMBER($G96)),$G96&lt;=0)," · Monto inválido","")&amp;IF(AND($I96="Pagado",$J96="")," · Pago sin fecha","")&amp;IF(AND(ISNUMBER($K96),ISNUMBER($G96),$K96&gt;N($G96)+0.01)," · Pagado &gt; monto","")&amp;IF(AND(ISNUMBER($K96),$K96&gt;0,$J96="")," · Monto pagado sin fecha","")="","OK",MID(IF($B96=""," · Falta fecha","")&amp;IF($C96=""," · Falta tipo (Fijo/Variable)","")&amp;IF($D96=""," · SIN CATEGORÍA","")&amp;IF($E96=""," · Falta descripción","")&amp;IF(OR($G96="",NOT(ISNUMBER($G96)),$G96&lt;=0)," · Monto inválido","")&amp;IF(AND($I96="Pagado",$J96="")," · Pago sin fecha","")&amp;IF(AND(ISNUMBER($K96),ISNUMBER($G96),$K96&gt;N($G96)+0.01)," · Pagado &gt; monto","")&amp;IF(AND(ISNUMBER($K96),$K96&gt;0,$J96="")," · Monto pagado sin fecha",""),4,900)))</f>
        <v/>
      </c>
    </row>
    <row r="97">
      <c r="A97" s="51">
        <f>IF(COUNTA($B97,$C97,$D97,$E97,$G97)=0,"","G-"&amp;TEXT(ROW()-6,"0000"))</f>
        <v/>
      </c>
      <c r="B97" s="41" t="n"/>
      <c r="C97" s="33" t="n"/>
      <c r="D97" s="33" t="n"/>
      <c r="E97" s="33" t="n"/>
      <c r="F97" s="33" t="n"/>
      <c r="G97" s="36" t="n"/>
      <c r="H97" s="33" t="n"/>
      <c r="I97" s="33" t="n"/>
      <c r="J97" s="41" t="n"/>
      <c r="K97" s="36" t="n"/>
      <c r="L97" s="37">
        <f>IF(NOT(ISNUMBER($G97)),"",$G97-IF(ISNUMBER($K97),$K97,0))</f>
        <v/>
      </c>
      <c r="M97" s="33" t="n"/>
      <c r="N97" s="33" t="n"/>
      <c r="O97" s="51">
        <f>IF(COUNTA($B97,$C97,$D97,$E97,$G97)=0,"",IF(IF($B97=""," · Falta fecha","")&amp;IF($C97=""," · Falta tipo (Fijo/Variable)","")&amp;IF($D97=""," · SIN CATEGORÍA","")&amp;IF($E97=""," · Falta descripción","")&amp;IF(OR($G97="",NOT(ISNUMBER($G97)),$G97&lt;=0)," · Monto inválido","")&amp;IF(AND($I97="Pagado",$J97="")," · Pago sin fecha","")&amp;IF(AND(ISNUMBER($K97),ISNUMBER($G97),$K97&gt;N($G97)+0.01)," · Pagado &gt; monto","")&amp;IF(AND(ISNUMBER($K97),$K97&gt;0,$J97="")," · Monto pagado sin fecha","")="","OK",MID(IF($B97=""," · Falta fecha","")&amp;IF($C97=""," · Falta tipo (Fijo/Variable)","")&amp;IF($D97=""," · SIN CATEGORÍA","")&amp;IF($E97=""," · Falta descripción","")&amp;IF(OR($G97="",NOT(ISNUMBER($G97)),$G97&lt;=0)," · Monto inválido","")&amp;IF(AND($I97="Pagado",$J97="")," · Pago sin fecha","")&amp;IF(AND(ISNUMBER($K97),ISNUMBER($G97),$K97&gt;N($G97)+0.01)," · Pagado &gt; monto","")&amp;IF(AND(ISNUMBER($K97),$K97&gt;0,$J97="")," · Monto pagado sin fecha",""),4,900)))</f>
        <v/>
      </c>
    </row>
    <row r="98">
      <c r="A98" s="51">
        <f>IF(COUNTA($B98,$C98,$D98,$E98,$G98)=0,"","G-"&amp;TEXT(ROW()-6,"0000"))</f>
        <v/>
      </c>
      <c r="B98" s="41" t="n"/>
      <c r="C98" s="33" t="n"/>
      <c r="D98" s="33" t="n"/>
      <c r="E98" s="33" t="n"/>
      <c r="F98" s="33" t="n"/>
      <c r="G98" s="36" t="n"/>
      <c r="H98" s="33" t="n"/>
      <c r="I98" s="33" t="n"/>
      <c r="J98" s="41" t="n"/>
      <c r="K98" s="36" t="n"/>
      <c r="L98" s="37">
        <f>IF(NOT(ISNUMBER($G98)),"",$G98-IF(ISNUMBER($K98),$K98,0))</f>
        <v/>
      </c>
      <c r="M98" s="33" t="n"/>
      <c r="N98" s="33" t="n"/>
      <c r="O98" s="51">
        <f>IF(COUNTA($B98,$C98,$D98,$E98,$G98)=0,"",IF(IF($B98=""," · Falta fecha","")&amp;IF($C98=""," · Falta tipo (Fijo/Variable)","")&amp;IF($D98=""," · SIN CATEGORÍA","")&amp;IF($E98=""," · Falta descripción","")&amp;IF(OR($G98="",NOT(ISNUMBER($G98)),$G98&lt;=0)," · Monto inválido","")&amp;IF(AND($I98="Pagado",$J98="")," · Pago sin fecha","")&amp;IF(AND(ISNUMBER($K98),ISNUMBER($G98),$K98&gt;N($G98)+0.01)," · Pagado &gt; monto","")&amp;IF(AND(ISNUMBER($K98),$K98&gt;0,$J98="")," · Monto pagado sin fecha","")="","OK",MID(IF($B98=""," · Falta fecha","")&amp;IF($C98=""," · Falta tipo (Fijo/Variable)","")&amp;IF($D98=""," · SIN CATEGORÍA","")&amp;IF($E98=""," · Falta descripción","")&amp;IF(OR($G98="",NOT(ISNUMBER($G98)),$G98&lt;=0)," · Monto inválido","")&amp;IF(AND($I98="Pagado",$J98="")," · Pago sin fecha","")&amp;IF(AND(ISNUMBER($K98),ISNUMBER($G98),$K98&gt;N($G98)+0.01)," · Pagado &gt; monto","")&amp;IF(AND(ISNUMBER($K98),$K98&gt;0,$J98="")," · Monto pagado sin fecha",""),4,900)))</f>
        <v/>
      </c>
    </row>
    <row r="99">
      <c r="A99" s="51">
        <f>IF(COUNTA($B99,$C99,$D99,$E99,$G99)=0,"","G-"&amp;TEXT(ROW()-6,"0000"))</f>
        <v/>
      </c>
      <c r="B99" s="41" t="n"/>
      <c r="C99" s="33" t="n"/>
      <c r="D99" s="33" t="n"/>
      <c r="E99" s="33" t="n"/>
      <c r="F99" s="33" t="n"/>
      <c r="G99" s="36" t="n"/>
      <c r="H99" s="33" t="n"/>
      <c r="I99" s="33" t="n"/>
      <c r="J99" s="41" t="n"/>
      <c r="K99" s="36" t="n"/>
      <c r="L99" s="37">
        <f>IF(NOT(ISNUMBER($G99)),"",$G99-IF(ISNUMBER($K99),$K99,0))</f>
        <v/>
      </c>
      <c r="M99" s="33" t="n"/>
      <c r="N99" s="33" t="n"/>
      <c r="O99" s="51">
        <f>IF(COUNTA($B99,$C99,$D99,$E99,$G99)=0,"",IF(IF($B99=""," · Falta fecha","")&amp;IF($C99=""," · Falta tipo (Fijo/Variable)","")&amp;IF($D99=""," · SIN CATEGORÍA","")&amp;IF($E99=""," · Falta descripción","")&amp;IF(OR($G99="",NOT(ISNUMBER($G99)),$G99&lt;=0)," · Monto inválido","")&amp;IF(AND($I99="Pagado",$J99="")," · Pago sin fecha","")&amp;IF(AND(ISNUMBER($K99),ISNUMBER($G99),$K99&gt;N($G99)+0.01)," · Pagado &gt; monto","")&amp;IF(AND(ISNUMBER($K99),$K99&gt;0,$J99="")," · Monto pagado sin fecha","")="","OK",MID(IF($B99=""," · Falta fecha","")&amp;IF($C99=""," · Falta tipo (Fijo/Variable)","")&amp;IF($D99=""," · SIN CATEGORÍA","")&amp;IF($E99=""," · Falta descripción","")&amp;IF(OR($G99="",NOT(ISNUMBER($G99)),$G99&lt;=0)," · Monto inválido","")&amp;IF(AND($I99="Pagado",$J99="")," · Pago sin fecha","")&amp;IF(AND(ISNUMBER($K99),ISNUMBER($G99),$K99&gt;N($G99)+0.01)," · Pagado &gt; monto","")&amp;IF(AND(ISNUMBER($K99),$K99&gt;0,$J99="")," · Monto pagado sin fecha",""),4,900)))</f>
        <v/>
      </c>
    </row>
    <row r="100">
      <c r="A100" s="51">
        <f>IF(COUNTA($B100,$C100,$D100,$E100,$G100)=0,"","G-"&amp;TEXT(ROW()-6,"0000"))</f>
        <v/>
      </c>
      <c r="B100" s="41" t="n"/>
      <c r="C100" s="33" t="n"/>
      <c r="D100" s="33" t="n"/>
      <c r="E100" s="33" t="n"/>
      <c r="F100" s="33" t="n"/>
      <c r="G100" s="36" t="n"/>
      <c r="H100" s="33" t="n"/>
      <c r="I100" s="33" t="n"/>
      <c r="J100" s="41" t="n"/>
      <c r="K100" s="36" t="n"/>
      <c r="L100" s="37">
        <f>IF(NOT(ISNUMBER($G100)),"",$G100-IF(ISNUMBER($K100),$K100,0))</f>
        <v/>
      </c>
      <c r="M100" s="33" t="n"/>
      <c r="N100" s="33" t="n"/>
      <c r="O100" s="51">
        <f>IF(COUNTA($B100,$C100,$D100,$E100,$G100)=0,"",IF(IF($B100=""," · Falta fecha","")&amp;IF($C100=""," · Falta tipo (Fijo/Variable)","")&amp;IF($D100=""," · SIN CATEGORÍA","")&amp;IF($E100=""," · Falta descripción","")&amp;IF(OR($G100="",NOT(ISNUMBER($G100)),$G100&lt;=0)," · Monto inválido","")&amp;IF(AND($I100="Pagado",$J100="")," · Pago sin fecha","")&amp;IF(AND(ISNUMBER($K100),ISNUMBER($G100),$K100&gt;N($G100)+0.01)," · Pagado &gt; monto","")&amp;IF(AND(ISNUMBER($K100),$K100&gt;0,$J100="")," · Monto pagado sin fecha","")="","OK",MID(IF($B100=""," · Falta fecha","")&amp;IF($C100=""," · Falta tipo (Fijo/Variable)","")&amp;IF($D100=""," · SIN CATEGORÍA","")&amp;IF($E100=""," · Falta descripción","")&amp;IF(OR($G100="",NOT(ISNUMBER($G100)),$G100&lt;=0)," · Monto inválido","")&amp;IF(AND($I100="Pagado",$J100="")," · Pago sin fecha","")&amp;IF(AND(ISNUMBER($K100),ISNUMBER($G100),$K100&gt;N($G100)+0.01)," · Pagado &gt; monto","")&amp;IF(AND(ISNUMBER($K100),$K100&gt;0,$J100="")," · Monto pagado sin fecha",""),4,900)))</f>
        <v/>
      </c>
    </row>
    <row r="101">
      <c r="A101" s="51">
        <f>IF(COUNTA($B101,$C101,$D101,$E101,$G101)=0,"","G-"&amp;TEXT(ROW()-6,"0000"))</f>
        <v/>
      </c>
      <c r="B101" s="41" t="n"/>
      <c r="C101" s="33" t="n"/>
      <c r="D101" s="33" t="n"/>
      <c r="E101" s="33" t="n"/>
      <c r="F101" s="33" t="n"/>
      <c r="G101" s="36" t="n"/>
      <c r="H101" s="33" t="n"/>
      <c r="I101" s="33" t="n"/>
      <c r="J101" s="41" t="n"/>
      <c r="K101" s="36" t="n"/>
      <c r="L101" s="37">
        <f>IF(NOT(ISNUMBER($G101)),"",$G101-IF(ISNUMBER($K101),$K101,0))</f>
        <v/>
      </c>
      <c r="M101" s="33" t="n"/>
      <c r="N101" s="33" t="n"/>
      <c r="O101" s="51">
        <f>IF(COUNTA($B101,$C101,$D101,$E101,$G101)=0,"",IF(IF($B101=""," · Falta fecha","")&amp;IF($C101=""," · Falta tipo (Fijo/Variable)","")&amp;IF($D101=""," · SIN CATEGORÍA","")&amp;IF($E101=""," · Falta descripción","")&amp;IF(OR($G101="",NOT(ISNUMBER($G101)),$G101&lt;=0)," · Monto inválido","")&amp;IF(AND($I101="Pagado",$J101="")," · Pago sin fecha","")&amp;IF(AND(ISNUMBER($K101),ISNUMBER($G101),$K101&gt;N($G101)+0.01)," · Pagado &gt; monto","")&amp;IF(AND(ISNUMBER($K101),$K101&gt;0,$J101="")," · Monto pagado sin fecha","")="","OK",MID(IF($B101=""," · Falta fecha","")&amp;IF($C101=""," · Falta tipo (Fijo/Variable)","")&amp;IF($D101=""," · SIN CATEGORÍA","")&amp;IF($E101=""," · Falta descripción","")&amp;IF(OR($G101="",NOT(ISNUMBER($G101)),$G101&lt;=0)," · Monto inválido","")&amp;IF(AND($I101="Pagado",$J101="")," · Pago sin fecha","")&amp;IF(AND(ISNUMBER($K101),ISNUMBER($G101),$K101&gt;N($G101)+0.01)," · Pagado &gt; monto","")&amp;IF(AND(ISNUMBER($K101),$K101&gt;0,$J101="")," · Monto pagado sin fecha",""),4,900)))</f>
        <v/>
      </c>
    </row>
    <row r="102">
      <c r="A102" s="51">
        <f>IF(COUNTA($B102,$C102,$D102,$E102,$G102)=0,"","G-"&amp;TEXT(ROW()-6,"0000"))</f>
        <v/>
      </c>
      <c r="B102" s="41" t="n"/>
      <c r="C102" s="33" t="n"/>
      <c r="D102" s="33" t="n"/>
      <c r="E102" s="33" t="n"/>
      <c r="F102" s="33" t="n"/>
      <c r="G102" s="36" t="n"/>
      <c r="H102" s="33" t="n"/>
      <c r="I102" s="33" t="n"/>
      <c r="J102" s="41" t="n"/>
      <c r="K102" s="36" t="n"/>
      <c r="L102" s="37">
        <f>IF(NOT(ISNUMBER($G102)),"",$G102-IF(ISNUMBER($K102),$K102,0))</f>
        <v/>
      </c>
      <c r="M102" s="33" t="n"/>
      <c r="N102" s="33" t="n"/>
      <c r="O102" s="51">
        <f>IF(COUNTA($B102,$C102,$D102,$E102,$G102)=0,"",IF(IF($B102=""," · Falta fecha","")&amp;IF($C102=""," · Falta tipo (Fijo/Variable)","")&amp;IF($D102=""," · SIN CATEGORÍA","")&amp;IF($E102=""," · Falta descripción","")&amp;IF(OR($G102="",NOT(ISNUMBER($G102)),$G102&lt;=0)," · Monto inválido","")&amp;IF(AND($I102="Pagado",$J102="")," · Pago sin fecha","")&amp;IF(AND(ISNUMBER($K102),ISNUMBER($G102),$K102&gt;N($G102)+0.01)," · Pagado &gt; monto","")&amp;IF(AND(ISNUMBER($K102),$K102&gt;0,$J102="")," · Monto pagado sin fecha","")="","OK",MID(IF($B102=""," · Falta fecha","")&amp;IF($C102=""," · Falta tipo (Fijo/Variable)","")&amp;IF($D102=""," · SIN CATEGORÍA","")&amp;IF($E102=""," · Falta descripción","")&amp;IF(OR($G102="",NOT(ISNUMBER($G102)),$G102&lt;=0)," · Monto inválido","")&amp;IF(AND($I102="Pagado",$J102="")," · Pago sin fecha","")&amp;IF(AND(ISNUMBER($K102),ISNUMBER($G102),$K102&gt;N($G102)+0.01)," · Pagado &gt; monto","")&amp;IF(AND(ISNUMBER($K102),$K102&gt;0,$J102="")," · Monto pagado sin fecha",""),4,900)))</f>
        <v/>
      </c>
    </row>
    <row r="103">
      <c r="A103" s="51">
        <f>IF(COUNTA($B103,$C103,$D103,$E103,$G103)=0,"","G-"&amp;TEXT(ROW()-6,"0000"))</f>
        <v/>
      </c>
      <c r="B103" s="41" t="n"/>
      <c r="C103" s="33" t="n"/>
      <c r="D103" s="33" t="n"/>
      <c r="E103" s="33" t="n"/>
      <c r="F103" s="33" t="n"/>
      <c r="G103" s="36" t="n"/>
      <c r="H103" s="33" t="n"/>
      <c r="I103" s="33" t="n"/>
      <c r="J103" s="41" t="n"/>
      <c r="K103" s="36" t="n"/>
      <c r="L103" s="37">
        <f>IF(NOT(ISNUMBER($G103)),"",$G103-IF(ISNUMBER($K103),$K103,0))</f>
        <v/>
      </c>
      <c r="M103" s="33" t="n"/>
      <c r="N103" s="33" t="n"/>
      <c r="O103" s="51">
        <f>IF(COUNTA($B103,$C103,$D103,$E103,$G103)=0,"",IF(IF($B103=""," · Falta fecha","")&amp;IF($C103=""," · Falta tipo (Fijo/Variable)","")&amp;IF($D103=""," · SIN CATEGORÍA","")&amp;IF($E103=""," · Falta descripción","")&amp;IF(OR($G103="",NOT(ISNUMBER($G103)),$G103&lt;=0)," · Monto inválido","")&amp;IF(AND($I103="Pagado",$J103="")," · Pago sin fecha","")&amp;IF(AND(ISNUMBER($K103),ISNUMBER($G103),$K103&gt;N($G103)+0.01)," · Pagado &gt; monto","")&amp;IF(AND(ISNUMBER($K103),$K103&gt;0,$J103="")," · Monto pagado sin fecha","")="","OK",MID(IF($B103=""," · Falta fecha","")&amp;IF($C103=""," · Falta tipo (Fijo/Variable)","")&amp;IF($D103=""," · SIN CATEGORÍA","")&amp;IF($E103=""," · Falta descripción","")&amp;IF(OR($G103="",NOT(ISNUMBER($G103)),$G103&lt;=0)," · Monto inválido","")&amp;IF(AND($I103="Pagado",$J103="")," · Pago sin fecha","")&amp;IF(AND(ISNUMBER($K103),ISNUMBER($G103),$K103&gt;N($G103)+0.01)," · Pagado &gt; monto","")&amp;IF(AND(ISNUMBER($K103),$K103&gt;0,$J103="")," · Monto pagado sin fecha",""),4,900)))</f>
        <v/>
      </c>
    </row>
    <row r="104">
      <c r="A104" s="51">
        <f>IF(COUNTA($B104,$C104,$D104,$E104,$G104)=0,"","G-"&amp;TEXT(ROW()-6,"0000"))</f>
        <v/>
      </c>
      <c r="B104" s="41" t="n"/>
      <c r="C104" s="33" t="n"/>
      <c r="D104" s="33" t="n"/>
      <c r="E104" s="33" t="n"/>
      <c r="F104" s="33" t="n"/>
      <c r="G104" s="36" t="n"/>
      <c r="H104" s="33" t="n"/>
      <c r="I104" s="33" t="n"/>
      <c r="J104" s="41" t="n"/>
      <c r="K104" s="36" t="n"/>
      <c r="L104" s="37">
        <f>IF(NOT(ISNUMBER($G104)),"",$G104-IF(ISNUMBER($K104),$K104,0))</f>
        <v/>
      </c>
      <c r="M104" s="33" t="n"/>
      <c r="N104" s="33" t="n"/>
      <c r="O104" s="51">
        <f>IF(COUNTA($B104,$C104,$D104,$E104,$G104)=0,"",IF(IF($B104=""," · Falta fecha","")&amp;IF($C104=""," · Falta tipo (Fijo/Variable)","")&amp;IF($D104=""," · SIN CATEGORÍA","")&amp;IF($E104=""," · Falta descripción","")&amp;IF(OR($G104="",NOT(ISNUMBER($G104)),$G104&lt;=0)," · Monto inválido","")&amp;IF(AND($I104="Pagado",$J104="")," · Pago sin fecha","")&amp;IF(AND(ISNUMBER($K104),ISNUMBER($G104),$K104&gt;N($G104)+0.01)," · Pagado &gt; monto","")&amp;IF(AND(ISNUMBER($K104),$K104&gt;0,$J104="")," · Monto pagado sin fecha","")="","OK",MID(IF($B104=""," · Falta fecha","")&amp;IF($C104=""," · Falta tipo (Fijo/Variable)","")&amp;IF($D104=""," · SIN CATEGORÍA","")&amp;IF($E104=""," · Falta descripción","")&amp;IF(OR($G104="",NOT(ISNUMBER($G104)),$G104&lt;=0)," · Monto inválido","")&amp;IF(AND($I104="Pagado",$J104="")," · Pago sin fecha","")&amp;IF(AND(ISNUMBER($K104),ISNUMBER($G104),$K104&gt;N($G104)+0.01)," · Pagado &gt; monto","")&amp;IF(AND(ISNUMBER($K104),$K104&gt;0,$J104="")," · Monto pagado sin fecha",""),4,900)))</f>
        <v/>
      </c>
    </row>
    <row r="105">
      <c r="A105" s="51">
        <f>IF(COUNTA($B105,$C105,$D105,$E105,$G105)=0,"","G-"&amp;TEXT(ROW()-6,"0000"))</f>
        <v/>
      </c>
      <c r="B105" s="41" t="n"/>
      <c r="C105" s="33" t="n"/>
      <c r="D105" s="33" t="n"/>
      <c r="E105" s="33" t="n"/>
      <c r="F105" s="33" t="n"/>
      <c r="G105" s="36" t="n"/>
      <c r="H105" s="33" t="n"/>
      <c r="I105" s="33" t="n"/>
      <c r="J105" s="41" t="n"/>
      <c r="K105" s="36" t="n"/>
      <c r="L105" s="37">
        <f>IF(NOT(ISNUMBER($G105)),"",$G105-IF(ISNUMBER($K105),$K105,0))</f>
        <v/>
      </c>
      <c r="M105" s="33" t="n"/>
      <c r="N105" s="33" t="n"/>
      <c r="O105" s="51">
        <f>IF(COUNTA($B105,$C105,$D105,$E105,$G105)=0,"",IF(IF($B105=""," · Falta fecha","")&amp;IF($C105=""," · Falta tipo (Fijo/Variable)","")&amp;IF($D105=""," · SIN CATEGORÍA","")&amp;IF($E105=""," · Falta descripción","")&amp;IF(OR($G105="",NOT(ISNUMBER($G105)),$G105&lt;=0)," · Monto inválido","")&amp;IF(AND($I105="Pagado",$J105="")," · Pago sin fecha","")&amp;IF(AND(ISNUMBER($K105),ISNUMBER($G105),$K105&gt;N($G105)+0.01)," · Pagado &gt; monto","")&amp;IF(AND(ISNUMBER($K105),$K105&gt;0,$J105="")," · Monto pagado sin fecha","")="","OK",MID(IF($B105=""," · Falta fecha","")&amp;IF($C105=""," · Falta tipo (Fijo/Variable)","")&amp;IF($D105=""," · SIN CATEGORÍA","")&amp;IF($E105=""," · Falta descripción","")&amp;IF(OR($G105="",NOT(ISNUMBER($G105)),$G105&lt;=0)," · Monto inválido","")&amp;IF(AND($I105="Pagado",$J105="")," · Pago sin fecha","")&amp;IF(AND(ISNUMBER($K105),ISNUMBER($G105),$K105&gt;N($G105)+0.01)," · Pagado &gt; monto","")&amp;IF(AND(ISNUMBER($K105),$K105&gt;0,$J105="")," · Monto pagado sin fecha",""),4,900)))</f>
        <v/>
      </c>
    </row>
    <row r="106">
      <c r="A106" s="51">
        <f>IF(COUNTA($B106,$C106,$D106,$E106,$G106)=0,"","G-"&amp;TEXT(ROW()-6,"0000"))</f>
        <v/>
      </c>
      <c r="B106" s="41" t="n"/>
      <c r="C106" s="33" t="n"/>
      <c r="D106" s="33" t="n"/>
      <c r="E106" s="33" t="n"/>
      <c r="F106" s="33" t="n"/>
      <c r="G106" s="36" t="n"/>
      <c r="H106" s="33" t="n"/>
      <c r="I106" s="33" t="n"/>
      <c r="J106" s="41" t="n"/>
      <c r="K106" s="36" t="n"/>
      <c r="L106" s="37">
        <f>IF(NOT(ISNUMBER($G106)),"",$G106-IF(ISNUMBER($K106),$K106,0))</f>
        <v/>
      </c>
      <c r="M106" s="33" t="n"/>
      <c r="N106" s="33" t="n"/>
      <c r="O106" s="51">
        <f>IF(COUNTA($B106,$C106,$D106,$E106,$G106)=0,"",IF(IF($B106=""," · Falta fecha","")&amp;IF($C106=""," · Falta tipo (Fijo/Variable)","")&amp;IF($D106=""," · SIN CATEGORÍA","")&amp;IF($E106=""," · Falta descripción","")&amp;IF(OR($G106="",NOT(ISNUMBER($G106)),$G106&lt;=0)," · Monto inválido","")&amp;IF(AND($I106="Pagado",$J106="")," · Pago sin fecha","")&amp;IF(AND(ISNUMBER($K106),ISNUMBER($G106),$K106&gt;N($G106)+0.01)," · Pagado &gt; monto","")&amp;IF(AND(ISNUMBER($K106),$K106&gt;0,$J106="")," · Monto pagado sin fecha","")="","OK",MID(IF($B106=""," · Falta fecha","")&amp;IF($C106=""," · Falta tipo (Fijo/Variable)","")&amp;IF($D106=""," · SIN CATEGORÍA","")&amp;IF($E106=""," · Falta descripción","")&amp;IF(OR($G106="",NOT(ISNUMBER($G106)),$G106&lt;=0)," · Monto inválido","")&amp;IF(AND($I106="Pagado",$J106="")," · Pago sin fecha","")&amp;IF(AND(ISNUMBER($K106),ISNUMBER($G106),$K106&gt;N($G106)+0.01)," · Pagado &gt; monto","")&amp;IF(AND(ISNUMBER($K106),$K106&gt;0,$J106="")," · Monto pagado sin fecha",""),4,900)))</f>
        <v/>
      </c>
    </row>
    <row r="107">
      <c r="A107" s="51">
        <f>IF(COUNTA($B107,$C107,$D107,$E107,$G107)=0,"","G-"&amp;TEXT(ROW()-6,"0000"))</f>
        <v/>
      </c>
      <c r="B107" s="41" t="n"/>
      <c r="C107" s="33" t="n"/>
      <c r="D107" s="33" t="n"/>
      <c r="E107" s="33" t="n"/>
      <c r="F107" s="33" t="n"/>
      <c r="G107" s="36" t="n"/>
      <c r="H107" s="33" t="n"/>
      <c r="I107" s="33" t="n"/>
      <c r="J107" s="41" t="n"/>
      <c r="K107" s="36" t="n"/>
      <c r="L107" s="37">
        <f>IF(NOT(ISNUMBER($G107)),"",$G107-IF(ISNUMBER($K107),$K107,0))</f>
        <v/>
      </c>
      <c r="M107" s="33" t="n"/>
      <c r="N107" s="33" t="n"/>
      <c r="O107" s="51">
        <f>IF(COUNTA($B107,$C107,$D107,$E107,$G107)=0,"",IF(IF($B107=""," · Falta fecha","")&amp;IF($C107=""," · Falta tipo (Fijo/Variable)","")&amp;IF($D107=""," · SIN CATEGORÍA","")&amp;IF($E107=""," · Falta descripción","")&amp;IF(OR($G107="",NOT(ISNUMBER($G107)),$G107&lt;=0)," · Monto inválido","")&amp;IF(AND($I107="Pagado",$J107="")," · Pago sin fecha","")&amp;IF(AND(ISNUMBER($K107),ISNUMBER($G107),$K107&gt;N($G107)+0.01)," · Pagado &gt; monto","")&amp;IF(AND(ISNUMBER($K107),$K107&gt;0,$J107="")," · Monto pagado sin fecha","")="","OK",MID(IF($B107=""," · Falta fecha","")&amp;IF($C107=""," · Falta tipo (Fijo/Variable)","")&amp;IF($D107=""," · SIN CATEGORÍA","")&amp;IF($E107=""," · Falta descripción","")&amp;IF(OR($G107="",NOT(ISNUMBER($G107)),$G107&lt;=0)," · Monto inválido","")&amp;IF(AND($I107="Pagado",$J107="")," · Pago sin fecha","")&amp;IF(AND(ISNUMBER($K107),ISNUMBER($G107),$K107&gt;N($G107)+0.01)," · Pagado &gt; monto","")&amp;IF(AND(ISNUMBER($K107),$K107&gt;0,$J107="")," · Monto pagado sin fecha",""),4,900)))</f>
        <v/>
      </c>
    </row>
    <row r="108">
      <c r="A108" s="51">
        <f>IF(COUNTA($B108,$C108,$D108,$E108,$G108)=0,"","G-"&amp;TEXT(ROW()-6,"0000"))</f>
        <v/>
      </c>
      <c r="B108" s="41" t="n"/>
      <c r="C108" s="33" t="n"/>
      <c r="D108" s="33" t="n"/>
      <c r="E108" s="33" t="n"/>
      <c r="F108" s="33" t="n"/>
      <c r="G108" s="36" t="n"/>
      <c r="H108" s="33" t="n"/>
      <c r="I108" s="33" t="n"/>
      <c r="J108" s="41" t="n"/>
      <c r="K108" s="36" t="n"/>
      <c r="L108" s="37">
        <f>IF(NOT(ISNUMBER($G108)),"",$G108-IF(ISNUMBER($K108),$K108,0))</f>
        <v/>
      </c>
      <c r="M108" s="33" t="n"/>
      <c r="N108" s="33" t="n"/>
      <c r="O108" s="51">
        <f>IF(COUNTA($B108,$C108,$D108,$E108,$G108)=0,"",IF(IF($B108=""," · Falta fecha","")&amp;IF($C108=""," · Falta tipo (Fijo/Variable)","")&amp;IF($D108=""," · SIN CATEGORÍA","")&amp;IF($E108=""," · Falta descripción","")&amp;IF(OR($G108="",NOT(ISNUMBER($G108)),$G108&lt;=0)," · Monto inválido","")&amp;IF(AND($I108="Pagado",$J108="")," · Pago sin fecha","")&amp;IF(AND(ISNUMBER($K108),ISNUMBER($G108),$K108&gt;N($G108)+0.01)," · Pagado &gt; monto","")&amp;IF(AND(ISNUMBER($K108),$K108&gt;0,$J108="")," · Monto pagado sin fecha","")="","OK",MID(IF($B108=""," · Falta fecha","")&amp;IF($C108=""," · Falta tipo (Fijo/Variable)","")&amp;IF($D108=""," · SIN CATEGORÍA","")&amp;IF($E108=""," · Falta descripción","")&amp;IF(OR($G108="",NOT(ISNUMBER($G108)),$G108&lt;=0)," · Monto inválido","")&amp;IF(AND($I108="Pagado",$J108="")," · Pago sin fecha","")&amp;IF(AND(ISNUMBER($K108),ISNUMBER($G108),$K108&gt;N($G108)+0.01)," · Pagado &gt; monto","")&amp;IF(AND(ISNUMBER($K108),$K108&gt;0,$J108="")," · Monto pagado sin fecha",""),4,900)))</f>
        <v/>
      </c>
    </row>
    <row r="109">
      <c r="A109" s="51">
        <f>IF(COUNTA($B109,$C109,$D109,$E109,$G109)=0,"","G-"&amp;TEXT(ROW()-6,"0000"))</f>
        <v/>
      </c>
      <c r="B109" s="41" t="n"/>
      <c r="C109" s="33" t="n"/>
      <c r="D109" s="33" t="n"/>
      <c r="E109" s="33" t="n"/>
      <c r="F109" s="33" t="n"/>
      <c r="G109" s="36" t="n"/>
      <c r="H109" s="33" t="n"/>
      <c r="I109" s="33" t="n"/>
      <c r="J109" s="41" t="n"/>
      <c r="K109" s="36" t="n"/>
      <c r="L109" s="37">
        <f>IF(NOT(ISNUMBER($G109)),"",$G109-IF(ISNUMBER($K109),$K109,0))</f>
        <v/>
      </c>
      <c r="M109" s="33" t="n"/>
      <c r="N109" s="33" t="n"/>
      <c r="O109" s="51">
        <f>IF(COUNTA($B109,$C109,$D109,$E109,$G109)=0,"",IF(IF($B109=""," · Falta fecha","")&amp;IF($C109=""," · Falta tipo (Fijo/Variable)","")&amp;IF($D109=""," · SIN CATEGORÍA","")&amp;IF($E109=""," · Falta descripción","")&amp;IF(OR($G109="",NOT(ISNUMBER($G109)),$G109&lt;=0)," · Monto inválido","")&amp;IF(AND($I109="Pagado",$J109="")," · Pago sin fecha","")&amp;IF(AND(ISNUMBER($K109),ISNUMBER($G109),$K109&gt;N($G109)+0.01)," · Pagado &gt; monto","")&amp;IF(AND(ISNUMBER($K109),$K109&gt;0,$J109="")," · Monto pagado sin fecha","")="","OK",MID(IF($B109=""," · Falta fecha","")&amp;IF($C109=""," · Falta tipo (Fijo/Variable)","")&amp;IF($D109=""," · SIN CATEGORÍA","")&amp;IF($E109=""," · Falta descripción","")&amp;IF(OR($G109="",NOT(ISNUMBER($G109)),$G109&lt;=0)," · Monto inválido","")&amp;IF(AND($I109="Pagado",$J109="")," · Pago sin fecha","")&amp;IF(AND(ISNUMBER($K109),ISNUMBER($G109),$K109&gt;N($G109)+0.01)," · Pagado &gt; monto","")&amp;IF(AND(ISNUMBER($K109),$K109&gt;0,$J109="")," · Monto pagado sin fecha",""),4,900)))</f>
        <v/>
      </c>
    </row>
    <row r="110">
      <c r="A110" s="51">
        <f>IF(COUNTA($B110,$C110,$D110,$E110,$G110)=0,"","G-"&amp;TEXT(ROW()-6,"0000"))</f>
        <v/>
      </c>
      <c r="B110" s="41" t="n"/>
      <c r="C110" s="33" t="n"/>
      <c r="D110" s="33" t="n"/>
      <c r="E110" s="33" t="n"/>
      <c r="F110" s="33" t="n"/>
      <c r="G110" s="36" t="n"/>
      <c r="H110" s="33" t="n"/>
      <c r="I110" s="33" t="n"/>
      <c r="J110" s="41" t="n"/>
      <c r="K110" s="36" t="n"/>
      <c r="L110" s="37">
        <f>IF(NOT(ISNUMBER($G110)),"",$G110-IF(ISNUMBER($K110),$K110,0))</f>
        <v/>
      </c>
      <c r="M110" s="33" t="n"/>
      <c r="N110" s="33" t="n"/>
      <c r="O110" s="51">
        <f>IF(COUNTA($B110,$C110,$D110,$E110,$G110)=0,"",IF(IF($B110=""," · Falta fecha","")&amp;IF($C110=""," · Falta tipo (Fijo/Variable)","")&amp;IF($D110=""," · SIN CATEGORÍA","")&amp;IF($E110=""," · Falta descripción","")&amp;IF(OR($G110="",NOT(ISNUMBER($G110)),$G110&lt;=0)," · Monto inválido","")&amp;IF(AND($I110="Pagado",$J110="")," · Pago sin fecha","")&amp;IF(AND(ISNUMBER($K110),ISNUMBER($G110),$K110&gt;N($G110)+0.01)," · Pagado &gt; monto","")&amp;IF(AND(ISNUMBER($K110),$K110&gt;0,$J110="")," · Monto pagado sin fecha","")="","OK",MID(IF($B110=""," · Falta fecha","")&amp;IF($C110=""," · Falta tipo (Fijo/Variable)","")&amp;IF($D110=""," · SIN CATEGORÍA","")&amp;IF($E110=""," · Falta descripción","")&amp;IF(OR($G110="",NOT(ISNUMBER($G110)),$G110&lt;=0)," · Monto inválido","")&amp;IF(AND($I110="Pagado",$J110="")," · Pago sin fecha","")&amp;IF(AND(ISNUMBER($K110),ISNUMBER($G110),$K110&gt;N($G110)+0.01)," · Pagado &gt; monto","")&amp;IF(AND(ISNUMBER($K110),$K110&gt;0,$J110="")," · Monto pagado sin fecha",""),4,900)))</f>
        <v/>
      </c>
    </row>
    <row r="111">
      <c r="A111" s="51">
        <f>IF(COUNTA($B111,$C111,$D111,$E111,$G111)=0,"","G-"&amp;TEXT(ROW()-6,"0000"))</f>
        <v/>
      </c>
      <c r="B111" s="41" t="n"/>
      <c r="C111" s="33" t="n"/>
      <c r="D111" s="33" t="n"/>
      <c r="E111" s="33" t="n"/>
      <c r="F111" s="33" t="n"/>
      <c r="G111" s="36" t="n"/>
      <c r="H111" s="33" t="n"/>
      <c r="I111" s="33" t="n"/>
      <c r="J111" s="41" t="n"/>
      <c r="K111" s="36" t="n"/>
      <c r="L111" s="37">
        <f>IF(NOT(ISNUMBER($G111)),"",$G111-IF(ISNUMBER($K111),$K111,0))</f>
        <v/>
      </c>
      <c r="M111" s="33" t="n"/>
      <c r="N111" s="33" t="n"/>
      <c r="O111" s="51">
        <f>IF(COUNTA($B111,$C111,$D111,$E111,$G111)=0,"",IF(IF($B111=""," · Falta fecha","")&amp;IF($C111=""," · Falta tipo (Fijo/Variable)","")&amp;IF($D111=""," · SIN CATEGORÍA","")&amp;IF($E111=""," · Falta descripción","")&amp;IF(OR($G111="",NOT(ISNUMBER($G111)),$G111&lt;=0)," · Monto inválido","")&amp;IF(AND($I111="Pagado",$J111="")," · Pago sin fecha","")&amp;IF(AND(ISNUMBER($K111),ISNUMBER($G111),$K111&gt;N($G111)+0.01)," · Pagado &gt; monto","")&amp;IF(AND(ISNUMBER($K111),$K111&gt;0,$J111="")," · Monto pagado sin fecha","")="","OK",MID(IF($B111=""," · Falta fecha","")&amp;IF($C111=""," · Falta tipo (Fijo/Variable)","")&amp;IF($D111=""," · SIN CATEGORÍA","")&amp;IF($E111=""," · Falta descripción","")&amp;IF(OR($G111="",NOT(ISNUMBER($G111)),$G111&lt;=0)," · Monto inválido","")&amp;IF(AND($I111="Pagado",$J111="")," · Pago sin fecha","")&amp;IF(AND(ISNUMBER($K111),ISNUMBER($G111),$K111&gt;N($G111)+0.01)," · Pagado &gt; monto","")&amp;IF(AND(ISNUMBER($K111),$K111&gt;0,$J111="")," · Monto pagado sin fecha",""),4,900)))</f>
        <v/>
      </c>
    </row>
    <row r="112">
      <c r="A112" s="51">
        <f>IF(COUNTA($B112,$C112,$D112,$E112,$G112)=0,"","G-"&amp;TEXT(ROW()-6,"0000"))</f>
        <v/>
      </c>
      <c r="B112" s="41" t="n"/>
      <c r="C112" s="33" t="n"/>
      <c r="D112" s="33" t="n"/>
      <c r="E112" s="33" t="n"/>
      <c r="F112" s="33" t="n"/>
      <c r="G112" s="36" t="n"/>
      <c r="H112" s="33" t="n"/>
      <c r="I112" s="33" t="n"/>
      <c r="J112" s="41" t="n"/>
      <c r="K112" s="36" t="n"/>
      <c r="L112" s="37">
        <f>IF(NOT(ISNUMBER($G112)),"",$G112-IF(ISNUMBER($K112),$K112,0))</f>
        <v/>
      </c>
      <c r="M112" s="33" t="n"/>
      <c r="N112" s="33" t="n"/>
      <c r="O112" s="51">
        <f>IF(COUNTA($B112,$C112,$D112,$E112,$G112)=0,"",IF(IF($B112=""," · Falta fecha","")&amp;IF($C112=""," · Falta tipo (Fijo/Variable)","")&amp;IF($D112=""," · SIN CATEGORÍA","")&amp;IF($E112=""," · Falta descripción","")&amp;IF(OR($G112="",NOT(ISNUMBER($G112)),$G112&lt;=0)," · Monto inválido","")&amp;IF(AND($I112="Pagado",$J112="")," · Pago sin fecha","")&amp;IF(AND(ISNUMBER($K112),ISNUMBER($G112),$K112&gt;N($G112)+0.01)," · Pagado &gt; monto","")&amp;IF(AND(ISNUMBER($K112),$K112&gt;0,$J112="")," · Monto pagado sin fecha","")="","OK",MID(IF($B112=""," · Falta fecha","")&amp;IF($C112=""," · Falta tipo (Fijo/Variable)","")&amp;IF($D112=""," · SIN CATEGORÍA","")&amp;IF($E112=""," · Falta descripción","")&amp;IF(OR($G112="",NOT(ISNUMBER($G112)),$G112&lt;=0)," · Monto inválido","")&amp;IF(AND($I112="Pagado",$J112="")," · Pago sin fecha","")&amp;IF(AND(ISNUMBER($K112),ISNUMBER($G112),$K112&gt;N($G112)+0.01)," · Pagado &gt; monto","")&amp;IF(AND(ISNUMBER($K112),$K112&gt;0,$J112="")," · Monto pagado sin fecha",""),4,900)))</f>
        <v/>
      </c>
    </row>
    <row r="113">
      <c r="A113" s="51">
        <f>IF(COUNTA($B113,$C113,$D113,$E113,$G113)=0,"","G-"&amp;TEXT(ROW()-6,"0000"))</f>
        <v/>
      </c>
      <c r="B113" s="41" t="n"/>
      <c r="C113" s="33" t="n"/>
      <c r="D113" s="33" t="n"/>
      <c r="E113" s="33" t="n"/>
      <c r="F113" s="33" t="n"/>
      <c r="G113" s="36" t="n"/>
      <c r="H113" s="33" t="n"/>
      <c r="I113" s="33" t="n"/>
      <c r="J113" s="41" t="n"/>
      <c r="K113" s="36" t="n"/>
      <c r="L113" s="37">
        <f>IF(NOT(ISNUMBER($G113)),"",$G113-IF(ISNUMBER($K113),$K113,0))</f>
        <v/>
      </c>
      <c r="M113" s="33" t="n"/>
      <c r="N113" s="33" t="n"/>
      <c r="O113" s="51">
        <f>IF(COUNTA($B113,$C113,$D113,$E113,$G113)=0,"",IF(IF($B113=""," · Falta fecha","")&amp;IF($C113=""," · Falta tipo (Fijo/Variable)","")&amp;IF($D113=""," · SIN CATEGORÍA","")&amp;IF($E113=""," · Falta descripción","")&amp;IF(OR($G113="",NOT(ISNUMBER($G113)),$G113&lt;=0)," · Monto inválido","")&amp;IF(AND($I113="Pagado",$J113="")," · Pago sin fecha","")&amp;IF(AND(ISNUMBER($K113),ISNUMBER($G113),$K113&gt;N($G113)+0.01)," · Pagado &gt; monto","")&amp;IF(AND(ISNUMBER($K113),$K113&gt;0,$J113="")," · Monto pagado sin fecha","")="","OK",MID(IF($B113=""," · Falta fecha","")&amp;IF($C113=""," · Falta tipo (Fijo/Variable)","")&amp;IF($D113=""," · SIN CATEGORÍA","")&amp;IF($E113=""," · Falta descripción","")&amp;IF(OR($G113="",NOT(ISNUMBER($G113)),$G113&lt;=0)," · Monto inválido","")&amp;IF(AND($I113="Pagado",$J113="")," · Pago sin fecha","")&amp;IF(AND(ISNUMBER($K113),ISNUMBER($G113),$K113&gt;N($G113)+0.01)," · Pagado &gt; monto","")&amp;IF(AND(ISNUMBER($K113),$K113&gt;0,$J113="")," · Monto pagado sin fecha",""),4,900)))</f>
        <v/>
      </c>
    </row>
    <row r="114">
      <c r="A114" s="51">
        <f>IF(COUNTA($B114,$C114,$D114,$E114,$G114)=0,"","G-"&amp;TEXT(ROW()-6,"0000"))</f>
        <v/>
      </c>
      <c r="B114" s="41" t="n"/>
      <c r="C114" s="33" t="n"/>
      <c r="D114" s="33" t="n"/>
      <c r="E114" s="33" t="n"/>
      <c r="F114" s="33" t="n"/>
      <c r="G114" s="36" t="n"/>
      <c r="H114" s="33" t="n"/>
      <c r="I114" s="33" t="n"/>
      <c r="J114" s="41" t="n"/>
      <c r="K114" s="36" t="n"/>
      <c r="L114" s="37">
        <f>IF(NOT(ISNUMBER($G114)),"",$G114-IF(ISNUMBER($K114),$K114,0))</f>
        <v/>
      </c>
      <c r="M114" s="33" t="n"/>
      <c r="N114" s="33" t="n"/>
      <c r="O114" s="51">
        <f>IF(COUNTA($B114,$C114,$D114,$E114,$G114)=0,"",IF(IF($B114=""," · Falta fecha","")&amp;IF($C114=""," · Falta tipo (Fijo/Variable)","")&amp;IF($D114=""," · SIN CATEGORÍA","")&amp;IF($E114=""," · Falta descripción","")&amp;IF(OR($G114="",NOT(ISNUMBER($G114)),$G114&lt;=0)," · Monto inválido","")&amp;IF(AND($I114="Pagado",$J114="")," · Pago sin fecha","")&amp;IF(AND(ISNUMBER($K114),ISNUMBER($G114),$K114&gt;N($G114)+0.01)," · Pagado &gt; monto","")&amp;IF(AND(ISNUMBER($K114),$K114&gt;0,$J114="")," · Monto pagado sin fecha","")="","OK",MID(IF($B114=""," · Falta fecha","")&amp;IF($C114=""," · Falta tipo (Fijo/Variable)","")&amp;IF($D114=""," · SIN CATEGORÍA","")&amp;IF($E114=""," · Falta descripción","")&amp;IF(OR($G114="",NOT(ISNUMBER($G114)),$G114&lt;=0)," · Monto inválido","")&amp;IF(AND($I114="Pagado",$J114="")," · Pago sin fecha","")&amp;IF(AND(ISNUMBER($K114),ISNUMBER($G114),$K114&gt;N($G114)+0.01)," · Pagado &gt; monto","")&amp;IF(AND(ISNUMBER($K114),$K114&gt;0,$J114="")," · Monto pagado sin fecha",""),4,900)))</f>
        <v/>
      </c>
    </row>
    <row r="115">
      <c r="A115" s="51">
        <f>IF(COUNTA($B115,$C115,$D115,$E115,$G115)=0,"","G-"&amp;TEXT(ROW()-6,"0000"))</f>
        <v/>
      </c>
      <c r="B115" s="41" t="n"/>
      <c r="C115" s="33" t="n"/>
      <c r="D115" s="33" t="n"/>
      <c r="E115" s="33" t="n"/>
      <c r="F115" s="33" t="n"/>
      <c r="G115" s="36" t="n"/>
      <c r="H115" s="33" t="n"/>
      <c r="I115" s="33" t="n"/>
      <c r="J115" s="41" t="n"/>
      <c r="K115" s="36" t="n"/>
      <c r="L115" s="37">
        <f>IF(NOT(ISNUMBER($G115)),"",$G115-IF(ISNUMBER($K115),$K115,0))</f>
        <v/>
      </c>
      <c r="M115" s="33" t="n"/>
      <c r="N115" s="33" t="n"/>
      <c r="O115" s="51">
        <f>IF(COUNTA($B115,$C115,$D115,$E115,$G115)=0,"",IF(IF($B115=""," · Falta fecha","")&amp;IF($C115=""," · Falta tipo (Fijo/Variable)","")&amp;IF($D115=""," · SIN CATEGORÍA","")&amp;IF($E115=""," · Falta descripción","")&amp;IF(OR($G115="",NOT(ISNUMBER($G115)),$G115&lt;=0)," · Monto inválido","")&amp;IF(AND($I115="Pagado",$J115="")," · Pago sin fecha","")&amp;IF(AND(ISNUMBER($K115),ISNUMBER($G115),$K115&gt;N($G115)+0.01)," · Pagado &gt; monto","")&amp;IF(AND(ISNUMBER($K115),$K115&gt;0,$J115="")," · Monto pagado sin fecha","")="","OK",MID(IF($B115=""," · Falta fecha","")&amp;IF($C115=""," · Falta tipo (Fijo/Variable)","")&amp;IF($D115=""," · SIN CATEGORÍA","")&amp;IF($E115=""," · Falta descripción","")&amp;IF(OR($G115="",NOT(ISNUMBER($G115)),$G115&lt;=0)," · Monto inválido","")&amp;IF(AND($I115="Pagado",$J115="")," · Pago sin fecha","")&amp;IF(AND(ISNUMBER($K115),ISNUMBER($G115),$K115&gt;N($G115)+0.01)," · Pagado &gt; monto","")&amp;IF(AND(ISNUMBER($K115),$K115&gt;0,$J115="")," · Monto pagado sin fecha",""),4,900)))</f>
        <v/>
      </c>
    </row>
    <row r="116">
      <c r="A116" s="51">
        <f>IF(COUNTA($B116,$C116,$D116,$E116,$G116)=0,"","G-"&amp;TEXT(ROW()-6,"0000"))</f>
        <v/>
      </c>
      <c r="B116" s="41" t="n"/>
      <c r="C116" s="33" t="n"/>
      <c r="D116" s="33" t="n"/>
      <c r="E116" s="33" t="n"/>
      <c r="F116" s="33" t="n"/>
      <c r="G116" s="36" t="n"/>
      <c r="H116" s="33" t="n"/>
      <c r="I116" s="33" t="n"/>
      <c r="J116" s="41" t="n"/>
      <c r="K116" s="36" t="n"/>
      <c r="L116" s="37">
        <f>IF(NOT(ISNUMBER($G116)),"",$G116-IF(ISNUMBER($K116),$K116,0))</f>
        <v/>
      </c>
      <c r="M116" s="33" t="n"/>
      <c r="N116" s="33" t="n"/>
      <c r="O116" s="51">
        <f>IF(COUNTA($B116,$C116,$D116,$E116,$G116)=0,"",IF(IF($B116=""," · Falta fecha","")&amp;IF($C116=""," · Falta tipo (Fijo/Variable)","")&amp;IF($D116=""," · SIN CATEGORÍA","")&amp;IF($E116=""," · Falta descripción","")&amp;IF(OR($G116="",NOT(ISNUMBER($G116)),$G116&lt;=0)," · Monto inválido","")&amp;IF(AND($I116="Pagado",$J116="")," · Pago sin fecha","")&amp;IF(AND(ISNUMBER($K116),ISNUMBER($G116),$K116&gt;N($G116)+0.01)," · Pagado &gt; monto","")&amp;IF(AND(ISNUMBER($K116),$K116&gt;0,$J116="")," · Monto pagado sin fecha","")="","OK",MID(IF($B116=""," · Falta fecha","")&amp;IF($C116=""," · Falta tipo (Fijo/Variable)","")&amp;IF($D116=""," · SIN CATEGORÍA","")&amp;IF($E116=""," · Falta descripción","")&amp;IF(OR($G116="",NOT(ISNUMBER($G116)),$G116&lt;=0)," · Monto inválido","")&amp;IF(AND($I116="Pagado",$J116="")," · Pago sin fecha","")&amp;IF(AND(ISNUMBER($K116),ISNUMBER($G116),$K116&gt;N($G116)+0.01)," · Pagado &gt; monto","")&amp;IF(AND(ISNUMBER($K116),$K116&gt;0,$J116="")," · Monto pagado sin fecha",""),4,900)))</f>
        <v/>
      </c>
    </row>
    <row r="117">
      <c r="A117" s="51">
        <f>IF(COUNTA($B117,$C117,$D117,$E117,$G117)=0,"","G-"&amp;TEXT(ROW()-6,"0000"))</f>
        <v/>
      </c>
      <c r="B117" s="41" t="n"/>
      <c r="C117" s="33" t="n"/>
      <c r="D117" s="33" t="n"/>
      <c r="E117" s="33" t="n"/>
      <c r="F117" s="33" t="n"/>
      <c r="G117" s="36" t="n"/>
      <c r="H117" s="33" t="n"/>
      <c r="I117" s="33" t="n"/>
      <c r="J117" s="41" t="n"/>
      <c r="K117" s="36" t="n"/>
      <c r="L117" s="37">
        <f>IF(NOT(ISNUMBER($G117)),"",$G117-IF(ISNUMBER($K117),$K117,0))</f>
        <v/>
      </c>
      <c r="M117" s="33" t="n"/>
      <c r="N117" s="33" t="n"/>
      <c r="O117" s="51">
        <f>IF(COUNTA($B117,$C117,$D117,$E117,$G117)=0,"",IF(IF($B117=""," · Falta fecha","")&amp;IF($C117=""," · Falta tipo (Fijo/Variable)","")&amp;IF($D117=""," · SIN CATEGORÍA","")&amp;IF($E117=""," · Falta descripción","")&amp;IF(OR($G117="",NOT(ISNUMBER($G117)),$G117&lt;=0)," · Monto inválido","")&amp;IF(AND($I117="Pagado",$J117="")," · Pago sin fecha","")&amp;IF(AND(ISNUMBER($K117),ISNUMBER($G117),$K117&gt;N($G117)+0.01)," · Pagado &gt; monto","")&amp;IF(AND(ISNUMBER($K117),$K117&gt;0,$J117="")," · Monto pagado sin fecha","")="","OK",MID(IF($B117=""," · Falta fecha","")&amp;IF($C117=""," · Falta tipo (Fijo/Variable)","")&amp;IF($D117=""," · SIN CATEGORÍA","")&amp;IF($E117=""," · Falta descripción","")&amp;IF(OR($G117="",NOT(ISNUMBER($G117)),$G117&lt;=0)," · Monto inválido","")&amp;IF(AND($I117="Pagado",$J117="")," · Pago sin fecha","")&amp;IF(AND(ISNUMBER($K117),ISNUMBER($G117),$K117&gt;N($G117)+0.01)," · Pagado &gt; monto","")&amp;IF(AND(ISNUMBER($K117),$K117&gt;0,$J117="")," · Monto pagado sin fecha",""),4,900)))</f>
        <v/>
      </c>
    </row>
    <row r="118">
      <c r="A118" s="51">
        <f>IF(COUNTA($B118,$C118,$D118,$E118,$G118)=0,"","G-"&amp;TEXT(ROW()-6,"0000"))</f>
        <v/>
      </c>
      <c r="B118" s="41" t="n"/>
      <c r="C118" s="33" t="n"/>
      <c r="D118" s="33" t="n"/>
      <c r="E118" s="33" t="n"/>
      <c r="F118" s="33" t="n"/>
      <c r="G118" s="36" t="n"/>
      <c r="H118" s="33" t="n"/>
      <c r="I118" s="33" t="n"/>
      <c r="J118" s="41" t="n"/>
      <c r="K118" s="36" t="n"/>
      <c r="L118" s="37">
        <f>IF(NOT(ISNUMBER($G118)),"",$G118-IF(ISNUMBER($K118),$K118,0))</f>
        <v/>
      </c>
      <c r="M118" s="33" t="n"/>
      <c r="N118" s="33" t="n"/>
      <c r="O118" s="51">
        <f>IF(COUNTA($B118,$C118,$D118,$E118,$G118)=0,"",IF(IF($B118=""," · Falta fecha","")&amp;IF($C118=""," · Falta tipo (Fijo/Variable)","")&amp;IF($D118=""," · SIN CATEGORÍA","")&amp;IF($E118=""," · Falta descripción","")&amp;IF(OR($G118="",NOT(ISNUMBER($G118)),$G118&lt;=0)," · Monto inválido","")&amp;IF(AND($I118="Pagado",$J118="")," · Pago sin fecha","")&amp;IF(AND(ISNUMBER($K118),ISNUMBER($G118),$K118&gt;N($G118)+0.01)," · Pagado &gt; monto","")&amp;IF(AND(ISNUMBER($K118),$K118&gt;0,$J118="")," · Monto pagado sin fecha","")="","OK",MID(IF($B118=""," · Falta fecha","")&amp;IF($C118=""," · Falta tipo (Fijo/Variable)","")&amp;IF($D118=""," · SIN CATEGORÍA","")&amp;IF($E118=""," · Falta descripción","")&amp;IF(OR($G118="",NOT(ISNUMBER($G118)),$G118&lt;=0)," · Monto inválido","")&amp;IF(AND($I118="Pagado",$J118="")," · Pago sin fecha","")&amp;IF(AND(ISNUMBER($K118),ISNUMBER($G118),$K118&gt;N($G118)+0.01)," · Pagado &gt; monto","")&amp;IF(AND(ISNUMBER($K118),$K118&gt;0,$J118="")," · Monto pagado sin fecha",""),4,900)))</f>
        <v/>
      </c>
    </row>
    <row r="119">
      <c r="A119" s="51">
        <f>IF(COUNTA($B119,$C119,$D119,$E119,$G119)=0,"","G-"&amp;TEXT(ROW()-6,"0000"))</f>
        <v/>
      </c>
      <c r="B119" s="41" t="n"/>
      <c r="C119" s="33" t="n"/>
      <c r="D119" s="33" t="n"/>
      <c r="E119" s="33" t="n"/>
      <c r="F119" s="33" t="n"/>
      <c r="G119" s="36" t="n"/>
      <c r="H119" s="33" t="n"/>
      <c r="I119" s="33" t="n"/>
      <c r="J119" s="41" t="n"/>
      <c r="K119" s="36" t="n"/>
      <c r="L119" s="37">
        <f>IF(NOT(ISNUMBER($G119)),"",$G119-IF(ISNUMBER($K119),$K119,0))</f>
        <v/>
      </c>
      <c r="M119" s="33" t="n"/>
      <c r="N119" s="33" t="n"/>
      <c r="O119" s="51">
        <f>IF(COUNTA($B119,$C119,$D119,$E119,$G119)=0,"",IF(IF($B119=""," · Falta fecha","")&amp;IF($C119=""," · Falta tipo (Fijo/Variable)","")&amp;IF($D119=""," · SIN CATEGORÍA","")&amp;IF($E119=""," · Falta descripción","")&amp;IF(OR($G119="",NOT(ISNUMBER($G119)),$G119&lt;=0)," · Monto inválido","")&amp;IF(AND($I119="Pagado",$J119="")," · Pago sin fecha","")&amp;IF(AND(ISNUMBER($K119),ISNUMBER($G119),$K119&gt;N($G119)+0.01)," · Pagado &gt; monto","")&amp;IF(AND(ISNUMBER($K119),$K119&gt;0,$J119="")," · Monto pagado sin fecha","")="","OK",MID(IF($B119=""," · Falta fecha","")&amp;IF($C119=""," · Falta tipo (Fijo/Variable)","")&amp;IF($D119=""," · SIN CATEGORÍA","")&amp;IF($E119=""," · Falta descripción","")&amp;IF(OR($G119="",NOT(ISNUMBER($G119)),$G119&lt;=0)," · Monto inválido","")&amp;IF(AND($I119="Pagado",$J119="")," · Pago sin fecha","")&amp;IF(AND(ISNUMBER($K119),ISNUMBER($G119),$K119&gt;N($G119)+0.01)," · Pagado &gt; monto","")&amp;IF(AND(ISNUMBER($K119),$K119&gt;0,$J119="")," · Monto pagado sin fecha",""),4,900)))</f>
        <v/>
      </c>
    </row>
    <row r="120">
      <c r="A120" s="51">
        <f>IF(COUNTA($B120,$C120,$D120,$E120,$G120)=0,"","G-"&amp;TEXT(ROW()-6,"0000"))</f>
        <v/>
      </c>
      <c r="B120" s="41" t="n"/>
      <c r="C120" s="33" t="n"/>
      <c r="D120" s="33" t="n"/>
      <c r="E120" s="33" t="n"/>
      <c r="F120" s="33" t="n"/>
      <c r="G120" s="36" t="n"/>
      <c r="H120" s="33" t="n"/>
      <c r="I120" s="33" t="n"/>
      <c r="J120" s="41" t="n"/>
      <c r="K120" s="36" t="n"/>
      <c r="L120" s="37">
        <f>IF(NOT(ISNUMBER($G120)),"",$G120-IF(ISNUMBER($K120),$K120,0))</f>
        <v/>
      </c>
      <c r="M120" s="33" t="n"/>
      <c r="N120" s="33" t="n"/>
      <c r="O120" s="51">
        <f>IF(COUNTA($B120,$C120,$D120,$E120,$G120)=0,"",IF(IF($B120=""," · Falta fecha","")&amp;IF($C120=""," · Falta tipo (Fijo/Variable)","")&amp;IF($D120=""," · SIN CATEGORÍA","")&amp;IF($E120=""," · Falta descripción","")&amp;IF(OR($G120="",NOT(ISNUMBER($G120)),$G120&lt;=0)," · Monto inválido","")&amp;IF(AND($I120="Pagado",$J120="")," · Pago sin fecha","")&amp;IF(AND(ISNUMBER($K120),ISNUMBER($G120),$K120&gt;N($G120)+0.01)," · Pagado &gt; monto","")&amp;IF(AND(ISNUMBER($K120),$K120&gt;0,$J120="")," · Monto pagado sin fecha","")="","OK",MID(IF($B120=""," · Falta fecha","")&amp;IF($C120=""," · Falta tipo (Fijo/Variable)","")&amp;IF($D120=""," · SIN CATEGORÍA","")&amp;IF($E120=""," · Falta descripción","")&amp;IF(OR($G120="",NOT(ISNUMBER($G120)),$G120&lt;=0)," · Monto inválido","")&amp;IF(AND($I120="Pagado",$J120="")," · Pago sin fecha","")&amp;IF(AND(ISNUMBER($K120),ISNUMBER($G120),$K120&gt;N($G120)+0.01)," · Pagado &gt; monto","")&amp;IF(AND(ISNUMBER($K120),$K120&gt;0,$J120="")," · Monto pagado sin fecha",""),4,900)))</f>
        <v/>
      </c>
    </row>
    <row r="121">
      <c r="A121" s="51">
        <f>IF(COUNTA($B121,$C121,$D121,$E121,$G121)=0,"","G-"&amp;TEXT(ROW()-6,"0000"))</f>
        <v/>
      </c>
      <c r="B121" s="41" t="n"/>
      <c r="C121" s="33" t="n"/>
      <c r="D121" s="33" t="n"/>
      <c r="E121" s="33" t="n"/>
      <c r="F121" s="33" t="n"/>
      <c r="G121" s="36" t="n"/>
      <c r="H121" s="33" t="n"/>
      <c r="I121" s="33" t="n"/>
      <c r="J121" s="41" t="n"/>
      <c r="K121" s="36" t="n"/>
      <c r="L121" s="37">
        <f>IF(NOT(ISNUMBER($G121)),"",$G121-IF(ISNUMBER($K121),$K121,0))</f>
        <v/>
      </c>
      <c r="M121" s="33" t="n"/>
      <c r="N121" s="33" t="n"/>
      <c r="O121" s="51">
        <f>IF(COUNTA($B121,$C121,$D121,$E121,$G121)=0,"",IF(IF($B121=""," · Falta fecha","")&amp;IF($C121=""," · Falta tipo (Fijo/Variable)","")&amp;IF($D121=""," · SIN CATEGORÍA","")&amp;IF($E121=""," · Falta descripción","")&amp;IF(OR($G121="",NOT(ISNUMBER($G121)),$G121&lt;=0)," · Monto inválido","")&amp;IF(AND($I121="Pagado",$J121="")," · Pago sin fecha","")&amp;IF(AND(ISNUMBER($K121),ISNUMBER($G121),$K121&gt;N($G121)+0.01)," · Pagado &gt; monto","")&amp;IF(AND(ISNUMBER($K121),$K121&gt;0,$J121="")," · Monto pagado sin fecha","")="","OK",MID(IF($B121=""," · Falta fecha","")&amp;IF($C121=""," · Falta tipo (Fijo/Variable)","")&amp;IF($D121=""," · SIN CATEGORÍA","")&amp;IF($E121=""," · Falta descripción","")&amp;IF(OR($G121="",NOT(ISNUMBER($G121)),$G121&lt;=0)," · Monto inválido","")&amp;IF(AND($I121="Pagado",$J121="")," · Pago sin fecha","")&amp;IF(AND(ISNUMBER($K121),ISNUMBER($G121),$K121&gt;N($G121)+0.01)," · Pagado &gt; monto","")&amp;IF(AND(ISNUMBER($K121),$K121&gt;0,$J121="")," · Monto pagado sin fecha",""),4,900)))</f>
        <v/>
      </c>
    </row>
    <row r="122">
      <c r="A122" s="51">
        <f>IF(COUNTA($B122,$C122,$D122,$E122,$G122)=0,"","G-"&amp;TEXT(ROW()-6,"0000"))</f>
        <v/>
      </c>
      <c r="B122" s="41" t="n"/>
      <c r="C122" s="33" t="n"/>
      <c r="D122" s="33" t="n"/>
      <c r="E122" s="33" t="n"/>
      <c r="F122" s="33" t="n"/>
      <c r="G122" s="36" t="n"/>
      <c r="H122" s="33" t="n"/>
      <c r="I122" s="33" t="n"/>
      <c r="J122" s="41" t="n"/>
      <c r="K122" s="36" t="n"/>
      <c r="L122" s="37">
        <f>IF(NOT(ISNUMBER($G122)),"",$G122-IF(ISNUMBER($K122),$K122,0))</f>
        <v/>
      </c>
      <c r="M122" s="33" t="n"/>
      <c r="N122" s="33" t="n"/>
      <c r="O122" s="51">
        <f>IF(COUNTA($B122,$C122,$D122,$E122,$G122)=0,"",IF(IF($B122=""," · Falta fecha","")&amp;IF($C122=""," · Falta tipo (Fijo/Variable)","")&amp;IF($D122=""," · SIN CATEGORÍA","")&amp;IF($E122=""," · Falta descripción","")&amp;IF(OR($G122="",NOT(ISNUMBER($G122)),$G122&lt;=0)," · Monto inválido","")&amp;IF(AND($I122="Pagado",$J122="")," · Pago sin fecha","")&amp;IF(AND(ISNUMBER($K122),ISNUMBER($G122),$K122&gt;N($G122)+0.01)," · Pagado &gt; monto","")&amp;IF(AND(ISNUMBER($K122),$K122&gt;0,$J122="")," · Monto pagado sin fecha","")="","OK",MID(IF($B122=""," · Falta fecha","")&amp;IF($C122=""," · Falta tipo (Fijo/Variable)","")&amp;IF($D122=""," · SIN CATEGORÍA","")&amp;IF($E122=""," · Falta descripción","")&amp;IF(OR($G122="",NOT(ISNUMBER($G122)),$G122&lt;=0)," · Monto inválido","")&amp;IF(AND($I122="Pagado",$J122="")," · Pago sin fecha","")&amp;IF(AND(ISNUMBER($K122),ISNUMBER($G122),$K122&gt;N($G122)+0.01)," · Pagado &gt; monto","")&amp;IF(AND(ISNUMBER($K122),$K122&gt;0,$J122="")," · Monto pagado sin fecha",""),4,900)))</f>
        <v/>
      </c>
    </row>
    <row r="123">
      <c r="A123" s="51">
        <f>IF(COUNTA($B123,$C123,$D123,$E123,$G123)=0,"","G-"&amp;TEXT(ROW()-6,"0000"))</f>
        <v/>
      </c>
      <c r="B123" s="41" t="n"/>
      <c r="C123" s="33" t="n"/>
      <c r="D123" s="33" t="n"/>
      <c r="E123" s="33" t="n"/>
      <c r="F123" s="33" t="n"/>
      <c r="G123" s="36" t="n"/>
      <c r="H123" s="33" t="n"/>
      <c r="I123" s="33" t="n"/>
      <c r="J123" s="41" t="n"/>
      <c r="K123" s="36" t="n"/>
      <c r="L123" s="37">
        <f>IF(NOT(ISNUMBER($G123)),"",$G123-IF(ISNUMBER($K123),$K123,0))</f>
        <v/>
      </c>
      <c r="M123" s="33" t="n"/>
      <c r="N123" s="33" t="n"/>
      <c r="O123" s="51">
        <f>IF(COUNTA($B123,$C123,$D123,$E123,$G123)=0,"",IF(IF($B123=""," · Falta fecha","")&amp;IF($C123=""," · Falta tipo (Fijo/Variable)","")&amp;IF($D123=""," · SIN CATEGORÍA","")&amp;IF($E123=""," · Falta descripción","")&amp;IF(OR($G123="",NOT(ISNUMBER($G123)),$G123&lt;=0)," · Monto inválido","")&amp;IF(AND($I123="Pagado",$J123="")," · Pago sin fecha","")&amp;IF(AND(ISNUMBER($K123),ISNUMBER($G123),$K123&gt;N($G123)+0.01)," · Pagado &gt; monto","")&amp;IF(AND(ISNUMBER($K123),$K123&gt;0,$J123="")," · Monto pagado sin fecha","")="","OK",MID(IF($B123=""," · Falta fecha","")&amp;IF($C123=""," · Falta tipo (Fijo/Variable)","")&amp;IF($D123=""," · SIN CATEGORÍA","")&amp;IF($E123=""," · Falta descripción","")&amp;IF(OR($G123="",NOT(ISNUMBER($G123)),$G123&lt;=0)," · Monto inválido","")&amp;IF(AND($I123="Pagado",$J123="")," · Pago sin fecha","")&amp;IF(AND(ISNUMBER($K123),ISNUMBER($G123),$K123&gt;N($G123)+0.01)," · Pagado &gt; monto","")&amp;IF(AND(ISNUMBER($K123),$K123&gt;0,$J123="")," · Monto pagado sin fecha",""),4,900)))</f>
        <v/>
      </c>
    </row>
    <row r="124">
      <c r="A124" s="51">
        <f>IF(COUNTA($B124,$C124,$D124,$E124,$G124)=0,"","G-"&amp;TEXT(ROW()-6,"0000"))</f>
        <v/>
      </c>
      <c r="B124" s="41" t="n"/>
      <c r="C124" s="33" t="n"/>
      <c r="D124" s="33" t="n"/>
      <c r="E124" s="33" t="n"/>
      <c r="F124" s="33" t="n"/>
      <c r="G124" s="36" t="n"/>
      <c r="H124" s="33" t="n"/>
      <c r="I124" s="33" t="n"/>
      <c r="J124" s="41" t="n"/>
      <c r="K124" s="36" t="n"/>
      <c r="L124" s="37">
        <f>IF(NOT(ISNUMBER($G124)),"",$G124-IF(ISNUMBER($K124),$K124,0))</f>
        <v/>
      </c>
      <c r="M124" s="33" t="n"/>
      <c r="N124" s="33" t="n"/>
      <c r="O124" s="51">
        <f>IF(COUNTA($B124,$C124,$D124,$E124,$G124)=0,"",IF(IF($B124=""," · Falta fecha","")&amp;IF($C124=""," · Falta tipo (Fijo/Variable)","")&amp;IF($D124=""," · SIN CATEGORÍA","")&amp;IF($E124=""," · Falta descripción","")&amp;IF(OR($G124="",NOT(ISNUMBER($G124)),$G124&lt;=0)," · Monto inválido","")&amp;IF(AND($I124="Pagado",$J124="")," · Pago sin fecha","")&amp;IF(AND(ISNUMBER($K124),ISNUMBER($G124),$K124&gt;N($G124)+0.01)," · Pagado &gt; monto","")&amp;IF(AND(ISNUMBER($K124),$K124&gt;0,$J124="")," · Monto pagado sin fecha","")="","OK",MID(IF($B124=""," · Falta fecha","")&amp;IF($C124=""," · Falta tipo (Fijo/Variable)","")&amp;IF($D124=""," · SIN CATEGORÍA","")&amp;IF($E124=""," · Falta descripción","")&amp;IF(OR($G124="",NOT(ISNUMBER($G124)),$G124&lt;=0)," · Monto inválido","")&amp;IF(AND($I124="Pagado",$J124="")," · Pago sin fecha","")&amp;IF(AND(ISNUMBER($K124),ISNUMBER($G124),$K124&gt;N($G124)+0.01)," · Pagado &gt; monto","")&amp;IF(AND(ISNUMBER($K124),$K124&gt;0,$J124="")," · Monto pagado sin fecha",""),4,900)))</f>
        <v/>
      </c>
    </row>
    <row r="125">
      <c r="A125" s="51">
        <f>IF(COUNTA($B125,$C125,$D125,$E125,$G125)=0,"","G-"&amp;TEXT(ROW()-6,"0000"))</f>
        <v/>
      </c>
      <c r="B125" s="41" t="n"/>
      <c r="C125" s="33" t="n"/>
      <c r="D125" s="33" t="n"/>
      <c r="E125" s="33" t="n"/>
      <c r="F125" s="33" t="n"/>
      <c r="G125" s="36" t="n"/>
      <c r="H125" s="33" t="n"/>
      <c r="I125" s="33" t="n"/>
      <c r="J125" s="41" t="n"/>
      <c r="K125" s="36" t="n"/>
      <c r="L125" s="37">
        <f>IF(NOT(ISNUMBER($G125)),"",$G125-IF(ISNUMBER($K125),$K125,0))</f>
        <v/>
      </c>
      <c r="M125" s="33" t="n"/>
      <c r="N125" s="33" t="n"/>
      <c r="O125" s="51">
        <f>IF(COUNTA($B125,$C125,$D125,$E125,$G125)=0,"",IF(IF($B125=""," · Falta fecha","")&amp;IF($C125=""," · Falta tipo (Fijo/Variable)","")&amp;IF($D125=""," · SIN CATEGORÍA","")&amp;IF($E125=""," · Falta descripción","")&amp;IF(OR($G125="",NOT(ISNUMBER($G125)),$G125&lt;=0)," · Monto inválido","")&amp;IF(AND($I125="Pagado",$J125="")," · Pago sin fecha","")&amp;IF(AND(ISNUMBER($K125),ISNUMBER($G125),$K125&gt;N($G125)+0.01)," · Pagado &gt; monto","")&amp;IF(AND(ISNUMBER($K125),$K125&gt;0,$J125="")," · Monto pagado sin fecha","")="","OK",MID(IF($B125=""," · Falta fecha","")&amp;IF($C125=""," · Falta tipo (Fijo/Variable)","")&amp;IF($D125=""," · SIN CATEGORÍA","")&amp;IF($E125=""," · Falta descripción","")&amp;IF(OR($G125="",NOT(ISNUMBER($G125)),$G125&lt;=0)," · Monto inválido","")&amp;IF(AND($I125="Pagado",$J125="")," · Pago sin fecha","")&amp;IF(AND(ISNUMBER($K125),ISNUMBER($G125),$K125&gt;N($G125)+0.01)," · Pagado &gt; monto","")&amp;IF(AND(ISNUMBER($K125),$K125&gt;0,$J125="")," · Monto pagado sin fecha",""),4,900)))</f>
        <v/>
      </c>
    </row>
    <row r="126">
      <c r="A126" s="51">
        <f>IF(COUNTA($B126,$C126,$D126,$E126,$G126)=0,"","G-"&amp;TEXT(ROW()-6,"0000"))</f>
        <v/>
      </c>
      <c r="B126" s="41" t="n"/>
      <c r="C126" s="33" t="n"/>
      <c r="D126" s="33" t="n"/>
      <c r="E126" s="33" t="n"/>
      <c r="F126" s="33" t="n"/>
      <c r="G126" s="36" t="n"/>
      <c r="H126" s="33" t="n"/>
      <c r="I126" s="33" t="n"/>
      <c r="J126" s="41" t="n"/>
      <c r="K126" s="36" t="n"/>
      <c r="L126" s="37">
        <f>IF(NOT(ISNUMBER($G126)),"",$G126-IF(ISNUMBER($K126),$K126,0))</f>
        <v/>
      </c>
      <c r="M126" s="33" t="n"/>
      <c r="N126" s="33" t="n"/>
      <c r="O126" s="51">
        <f>IF(COUNTA($B126,$C126,$D126,$E126,$G126)=0,"",IF(IF($B126=""," · Falta fecha","")&amp;IF($C126=""," · Falta tipo (Fijo/Variable)","")&amp;IF($D126=""," · SIN CATEGORÍA","")&amp;IF($E126=""," · Falta descripción","")&amp;IF(OR($G126="",NOT(ISNUMBER($G126)),$G126&lt;=0)," · Monto inválido","")&amp;IF(AND($I126="Pagado",$J126="")," · Pago sin fecha","")&amp;IF(AND(ISNUMBER($K126),ISNUMBER($G126),$K126&gt;N($G126)+0.01)," · Pagado &gt; monto","")&amp;IF(AND(ISNUMBER($K126),$K126&gt;0,$J126="")," · Monto pagado sin fecha","")="","OK",MID(IF($B126=""," · Falta fecha","")&amp;IF($C126=""," · Falta tipo (Fijo/Variable)","")&amp;IF($D126=""," · SIN CATEGORÍA","")&amp;IF($E126=""," · Falta descripción","")&amp;IF(OR($G126="",NOT(ISNUMBER($G126)),$G126&lt;=0)," · Monto inválido","")&amp;IF(AND($I126="Pagado",$J126="")," · Pago sin fecha","")&amp;IF(AND(ISNUMBER($K126),ISNUMBER($G126),$K126&gt;N($G126)+0.01)," · Pagado &gt; monto","")&amp;IF(AND(ISNUMBER($K126),$K126&gt;0,$J126="")," · Monto pagado sin fecha",""),4,900)))</f>
        <v/>
      </c>
    </row>
    <row r="127">
      <c r="A127" s="51">
        <f>IF(COUNTA($B127,$C127,$D127,$E127,$G127)=0,"","G-"&amp;TEXT(ROW()-6,"0000"))</f>
        <v/>
      </c>
      <c r="B127" s="41" t="n"/>
      <c r="C127" s="33" t="n"/>
      <c r="D127" s="33" t="n"/>
      <c r="E127" s="33" t="n"/>
      <c r="F127" s="33" t="n"/>
      <c r="G127" s="36" t="n"/>
      <c r="H127" s="33" t="n"/>
      <c r="I127" s="33" t="n"/>
      <c r="J127" s="41" t="n"/>
      <c r="K127" s="36" t="n"/>
      <c r="L127" s="37">
        <f>IF(NOT(ISNUMBER($G127)),"",$G127-IF(ISNUMBER($K127),$K127,0))</f>
        <v/>
      </c>
      <c r="M127" s="33" t="n"/>
      <c r="N127" s="33" t="n"/>
      <c r="O127" s="51">
        <f>IF(COUNTA($B127,$C127,$D127,$E127,$G127)=0,"",IF(IF($B127=""," · Falta fecha","")&amp;IF($C127=""," · Falta tipo (Fijo/Variable)","")&amp;IF($D127=""," · SIN CATEGORÍA","")&amp;IF($E127=""," · Falta descripción","")&amp;IF(OR($G127="",NOT(ISNUMBER($G127)),$G127&lt;=0)," · Monto inválido","")&amp;IF(AND($I127="Pagado",$J127="")," · Pago sin fecha","")&amp;IF(AND(ISNUMBER($K127),ISNUMBER($G127),$K127&gt;N($G127)+0.01)," · Pagado &gt; monto","")&amp;IF(AND(ISNUMBER($K127),$K127&gt;0,$J127="")," · Monto pagado sin fecha","")="","OK",MID(IF($B127=""," · Falta fecha","")&amp;IF($C127=""," · Falta tipo (Fijo/Variable)","")&amp;IF($D127=""," · SIN CATEGORÍA","")&amp;IF($E127=""," · Falta descripción","")&amp;IF(OR($G127="",NOT(ISNUMBER($G127)),$G127&lt;=0)," · Monto inválido","")&amp;IF(AND($I127="Pagado",$J127="")," · Pago sin fecha","")&amp;IF(AND(ISNUMBER($K127),ISNUMBER($G127),$K127&gt;N($G127)+0.01)," · Pagado &gt; monto","")&amp;IF(AND(ISNUMBER($K127),$K127&gt;0,$J127="")," · Monto pagado sin fecha",""),4,900)))</f>
        <v/>
      </c>
    </row>
    <row r="128">
      <c r="A128" s="51">
        <f>IF(COUNTA($B128,$C128,$D128,$E128,$G128)=0,"","G-"&amp;TEXT(ROW()-6,"0000"))</f>
        <v/>
      </c>
      <c r="B128" s="41" t="n"/>
      <c r="C128" s="33" t="n"/>
      <c r="D128" s="33" t="n"/>
      <c r="E128" s="33" t="n"/>
      <c r="F128" s="33" t="n"/>
      <c r="G128" s="36" t="n"/>
      <c r="H128" s="33" t="n"/>
      <c r="I128" s="33" t="n"/>
      <c r="J128" s="41" t="n"/>
      <c r="K128" s="36" t="n"/>
      <c r="L128" s="37">
        <f>IF(NOT(ISNUMBER($G128)),"",$G128-IF(ISNUMBER($K128),$K128,0))</f>
        <v/>
      </c>
      <c r="M128" s="33" t="n"/>
      <c r="N128" s="33" t="n"/>
      <c r="O128" s="51">
        <f>IF(COUNTA($B128,$C128,$D128,$E128,$G128)=0,"",IF(IF($B128=""," · Falta fecha","")&amp;IF($C128=""," · Falta tipo (Fijo/Variable)","")&amp;IF($D128=""," · SIN CATEGORÍA","")&amp;IF($E128=""," · Falta descripción","")&amp;IF(OR($G128="",NOT(ISNUMBER($G128)),$G128&lt;=0)," · Monto inválido","")&amp;IF(AND($I128="Pagado",$J128="")," · Pago sin fecha","")&amp;IF(AND(ISNUMBER($K128),ISNUMBER($G128),$K128&gt;N($G128)+0.01)," · Pagado &gt; monto","")&amp;IF(AND(ISNUMBER($K128),$K128&gt;0,$J128="")," · Monto pagado sin fecha","")="","OK",MID(IF($B128=""," · Falta fecha","")&amp;IF($C128=""," · Falta tipo (Fijo/Variable)","")&amp;IF($D128=""," · SIN CATEGORÍA","")&amp;IF($E128=""," · Falta descripción","")&amp;IF(OR($G128="",NOT(ISNUMBER($G128)),$G128&lt;=0)," · Monto inválido","")&amp;IF(AND($I128="Pagado",$J128="")," · Pago sin fecha","")&amp;IF(AND(ISNUMBER($K128),ISNUMBER($G128),$K128&gt;N($G128)+0.01)," · Pagado &gt; monto","")&amp;IF(AND(ISNUMBER($K128),$K128&gt;0,$J128="")," · Monto pagado sin fecha",""),4,900)))</f>
        <v/>
      </c>
    </row>
    <row r="129">
      <c r="A129" s="51">
        <f>IF(COUNTA($B129,$C129,$D129,$E129,$G129)=0,"","G-"&amp;TEXT(ROW()-6,"0000"))</f>
        <v/>
      </c>
      <c r="B129" s="41" t="n"/>
      <c r="C129" s="33" t="n"/>
      <c r="D129" s="33" t="n"/>
      <c r="E129" s="33" t="n"/>
      <c r="F129" s="33" t="n"/>
      <c r="G129" s="36" t="n"/>
      <c r="H129" s="33" t="n"/>
      <c r="I129" s="33" t="n"/>
      <c r="J129" s="41" t="n"/>
      <c r="K129" s="36" t="n"/>
      <c r="L129" s="37">
        <f>IF(NOT(ISNUMBER($G129)),"",$G129-IF(ISNUMBER($K129),$K129,0))</f>
        <v/>
      </c>
      <c r="M129" s="33" t="n"/>
      <c r="N129" s="33" t="n"/>
      <c r="O129" s="51">
        <f>IF(COUNTA($B129,$C129,$D129,$E129,$G129)=0,"",IF(IF($B129=""," · Falta fecha","")&amp;IF($C129=""," · Falta tipo (Fijo/Variable)","")&amp;IF($D129=""," · SIN CATEGORÍA","")&amp;IF($E129=""," · Falta descripción","")&amp;IF(OR($G129="",NOT(ISNUMBER($G129)),$G129&lt;=0)," · Monto inválido","")&amp;IF(AND($I129="Pagado",$J129="")," · Pago sin fecha","")&amp;IF(AND(ISNUMBER($K129),ISNUMBER($G129),$K129&gt;N($G129)+0.01)," · Pagado &gt; monto","")&amp;IF(AND(ISNUMBER($K129),$K129&gt;0,$J129="")," · Monto pagado sin fecha","")="","OK",MID(IF($B129=""," · Falta fecha","")&amp;IF($C129=""," · Falta tipo (Fijo/Variable)","")&amp;IF($D129=""," · SIN CATEGORÍA","")&amp;IF($E129=""," · Falta descripción","")&amp;IF(OR($G129="",NOT(ISNUMBER($G129)),$G129&lt;=0)," · Monto inválido","")&amp;IF(AND($I129="Pagado",$J129="")," · Pago sin fecha","")&amp;IF(AND(ISNUMBER($K129),ISNUMBER($G129),$K129&gt;N($G129)+0.01)," · Pagado &gt; monto","")&amp;IF(AND(ISNUMBER($K129),$K129&gt;0,$J129="")," · Monto pagado sin fecha",""),4,900)))</f>
        <v/>
      </c>
    </row>
    <row r="130">
      <c r="A130" s="51">
        <f>IF(COUNTA($B130,$C130,$D130,$E130,$G130)=0,"","G-"&amp;TEXT(ROW()-6,"0000"))</f>
        <v/>
      </c>
      <c r="B130" s="41" t="n"/>
      <c r="C130" s="33" t="n"/>
      <c r="D130" s="33" t="n"/>
      <c r="E130" s="33" t="n"/>
      <c r="F130" s="33" t="n"/>
      <c r="G130" s="36" t="n"/>
      <c r="H130" s="33" t="n"/>
      <c r="I130" s="33" t="n"/>
      <c r="J130" s="41" t="n"/>
      <c r="K130" s="36" t="n"/>
      <c r="L130" s="37">
        <f>IF(NOT(ISNUMBER($G130)),"",$G130-IF(ISNUMBER($K130),$K130,0))</f>
        <v/>
      </c>
      <c r="M130" s="33" t="n"/>
      <c r="N130" s="33" t="n"/>
      <c r="O130" s="51">
        <f>IF(COUNTA($B130,$C130,$D130,$E130,$G130)=0,"",IF(IF($B130=""," · Falta fecha","")&amp;IF($C130=""," · Falta tipo (Fijo/Variable)","")&amp;IF($D130=""," · SIN CATEGORÍA","")&amp;IF($E130=""," · Falta descripción","")&amp;IF(OR($G130="",NOT(ISNUMBER($G130)),$G130&lt;=0)," · Monto inválido","")&amp;IF(AND($I130="Pagado",$J130="")," · Pago sin fecha","")&amp;IF(AND(ISNUMBER($K130),ISNUMBER($G130),$K130&gt;N($G130)+0.01)," · Pagado &gt; monto","")&amp;IF(AND(ISNUMBER($K130),$K130&gt;0,$J130="")," · Monto pagado sin fecha","")="","OK",MID(IF($B130=""," · Falta fecha","")&amp;IF($C130=""," · Falta tipo (Fijo/Variable)","")&amp;IF($D130=""," · SIN CATEGORÍA","")&amp;IF($E130=""," · Falta descripción","")&amp;IF(OR($G130="",NOT(ISNUMBER($G130)),$G130&lt;=0)," · Monto inválido","")&amp;IF(AND($I130="Pagado",$J130="")," · Pago sin fecha","")&amp;IF(AND(ISNUMBER($K130),ISNUMBER($G130),$K130&gt;N($G130)+0.01)," · Pagado &gt; monto","")&amp;IF(AND(ISNUMBER($K130),$K130&gt;0,$J130="")," · Monto pagado sin fecha",""),4,900)))</f>
        <v/>
      </c>
    </row>
    <row r="131">
      <c r="A131" s="51">
        <f>IF(COUNTA($B131,$C131,$D131,$E131,$G131)=0,"","G-"&amp;TEXT(ROW()-6,"0000"))</f>
        <v/>
      </c>
      <c r="B131" s="41" t="n"/>
      <c r="C131" s="33" t="n"/>
      <c r="D131" s="33" t="n"/>
      <c r="E131" s="33" t="n"/>
      <c r="F131" s="33" t="n"/>
      <c r="G131" s="36" t="n"/>
      <c r="H131" s="33" t="n"/>
      <c r="I131" s="33" t="n"/>
      <c r="J131" s="41" t="n"/>
      <c r="K131" s="36" t="n"/>
      <c r="L131" s="37">
        <f>IF(NOT(ISNUMBER($G131)),"",$G131-IF(ISNUMBER($K131),$K131,0))</f>
        <v/>
      </c>
      <c r="M131" s="33" t="n"/>
      <c r="N131" s="33" t="n"/>
      <c r="O131" s="51">
        <f>IF(COUNTA($B131,$C131,$D131,$E131,$G131)=0,"",IF(IF($B131=""," · Falta fecha","")&amp;IF($C131=""," · Falta tipo (Fijo/Variable)","")&amp;IF($D131=""," · SIN CATEGORÍA","")&amp;IF($E131=""," · Falta descripción","")&amp;IF(OR($G131="",NOT(ISNUMBER($G131)),$G131&lt;=0)," · Monto inválido","")&amp;IF(AND($I131="Pagado",$J131="")," · Pago sin fecha","")&amp;IF(AND(ISNUMBER($K131),ISNUMBER($G131),$K131&gt;N($G131)+0.01)," · Pagado &gt; monto","")&amp;IF(AND(ISNUMBER($K131),$K131&gt;0,$J131="")," · Monto pagado sin fecha","")="","OK",MID(IF($B131=""," · Falta fecha","")&amp;IF($C131=""," · Falta tipo (Fijo/Variable)","")&amp;IF($D131=""," · SIN CATEGORÍA","")&amp;IF($E131=""," · Falta descripción","")&amp;IF(OR($G131="",NOT(ISNUMBER($G131)),$G131&lt;=0)," · Monto inválido","")&amp;IF(AND($I131="Pagado",$J131="")," · Pago sin fecha","")&amp;IF(AND(ISNUMBER($K131),ISNUMBER($G131),$K131&gt;N($G131)+0.01)," · Pagado &gt; monto","")&amp;IF(AND(ISNUMBER($K131),$K131&gt;0,$J131="")," · Monto pagado sin fecha",""),4,900)))</f>
        <v/>
      </c>
    </row>
    <row r="132">
      <c r="A132" s="51">
        <f>IF(COUNTA($B132,$C132,$D132,$E132,$G132)=0,"","G-"&amp;TEXT(ROW()-6,"0000"))</f>
        <v/>
      </c>
      <c r="B132" s="41" t="n"/>
      <c r="C132" s="33" t="n"/>
      <c r="D132" s="33" t="n"/>
      <c r="E132" s="33" t="n"/>
      <c r="F132" s="33" t="n"/>
      <c r="G132" s="36" t="n"/>
      <c r="H132" s="33" t="n"/>
      <c r="I132" s="33" t="n"/>
      <c r="J132" s="41" t="n"/>
      <c r="K132" s="36" t="n"/>
      <c r="L132" s="37">
        <f>IF(NOT(ISNUMBER($G132)),"",$G132-IF(ISNUMBER($K132),$K132,0))</f>
        <v/>
      </c>
      <c r="M132" s="33" t="n"/>
      <c r="N132" s="33" t="n"/>
      <c r="O132" s="51">
        <f>IF(COUNTA($B132,$C132,$D132,$E132,$G132)=0,"",IF(IF($B132=""," · Falta fecha","")&amp;IF($C132=""," · Falta tipo (Fijo/Variable)","")&amp;IF($D132=""," · SIN CATEGORÍA","")&amp;IF($E132=""," · Falta descripción","")&amp;IF(OR($G132="",NOT(ISNUMBER($G132)),$G132&lt;=0)," · Monto inválido","")&amp;IF(AND($I132="Pagado",$J132="")," · Pago sin fecha","")&amp;IF(AND(ISNUMBER($K132),ISNUMBER($G132),$K132&gt;N($G132)+0.01)," · Pagado &gt; monto","")&amp;IF(AND(ISNUMBER($K132),$K132&gt;0,$J132="")," · Monto pagado sin fecha","")="","OK",MID(IF($B132=""," · Falta fecha","")&amp;IF($C132=""," · Falta tipo (Fijo/Variable)","")&amp;IF($D132=""," · SIN CATEGORÍA","")&amp;IF($E132=""," · Falta descripción","")&amp;IF(OR($G132="",NOT(ISNUMBER($G132)),$G132&lt;=0)," · Monto inválido","")&amp;IF(AND($I132="Pagado",$J132="")," · Pago sin fecha","")&amp;IF(AND(ISNUMBER($K132),ISNUMBER($G132),$K132&gt;N($G132)+0.01)," · Pagado &gt; monto","")&amp;IF(AND(ISNUMBER($K132),$K132&gt;0,$J132="")," · Monto pagado sin fecha",""),4,900)))</f>
        <v/>
      </c>
    </row>
    <row r="133">
      <c r="A133" s="51">
        <f>IF(COUNTA($B133,$C133,$D133,$E133,$G133)=0,"","G-"&amp;TEXT(ROW()-6,"0000"))</f>
        <v/>
      </c>
      <c r="B133" s="41" t="n"/>
      <c r="C133" s="33" t="n"/>
      <c r="D133" s="33" t="n"/>
      <c r="E133" s="33" t="n"/>
      <c r="F133" s="33" t="n"/>
      <c r="G133" s="36" t="n"/>
      <c r="H133" s="33" t="n"/>
      <c r="I133" s="33" t="n"/>
      <c r="J133" s="41" t="n"/>
      <c r="K133" s="36" t="n"/>
      <c r="L133" s="37">
        <f>IF(NOT(ISNUMBER($G133)),"",$G133-IF(ISNUMBER($K133),$K133,0))</f>
        <v/>
      </c>
      <c r="M133" s="33" t="n"/>
      <c r="N133" s="33" t="n"/>
      <c r="O133" s="51">
        <f>IF(COUNTA($B133,$C133,$D133,$E133,$G133)=0,"",IF(IF($B133=""," · Falta fecha","")&amp;IF($C133=""," · Falta tipo (Fijo/Variable)","")&amp;IF($D133=""," · SIN CATEGORÍA","")&amp;IF($E133=""," · Falta descripción","")&amp;IF(OR($G133="",NOT(ISNUMBER($G133)),$G133&lt;=0)," · Monto inválido","")&amp;IF(AND($I133="Pagado",$J133="")," · Pago sin fecha","")&amp;IF(AND(ISNUMBER($K133),ISNUMBER($G133),$K133&gt;N($G133)+0.01)," · Pagado &gt; monto","")&amp;IF(AND(ISNUMBER($K133),$K133&gt;0,$J133="")," · Monto pagado sin fecha","")="","OK",MID(IF($B133=""," · Falta fecha","")&amp;IF($C133=""," · Falta tipo (Fijo/Variable)","")&amp;IF($D133=""," · SIN CATEGORÍA","")&amp;IF($E133=""," · Falta descripción","")&amp;IF(OR($G133="",NOT(ISNUMBER($G133)),$G133&lt;=0)," · Monto inválido","")&amp;IF(AND($I133="Pagado",$J133="")," · Pago sin fecha","")&amp;IF(AND(ISNUMBER($K133),ISNUMBER($G133),$K133&gt;N($G133)+0.01)," · Pagado &gt; monto","")&amp;IF(AND(ISNUMBER($K133),$K133&gt;0,$J133="")," · Monto pagado sin fecha",""),4,900)))</f>
        <v/>
      </c>
    </row>
    <row r="134">
      <c r="A134" s="51">
        <f>IF(COUNTA($B134,$C134,$D134,$E134,$G134)=0,"","G-"&amp;TEXT(ROW()-6,"0000"))</f>
        <v/>
      </c>
      <c r="B134" s="41" t="n"/>
      <c r="C134" s="33" t="n"/>
      <c r="D134" s="33" t="n"/>
      <c r="E134" s="33" t="n"/>
      <c r="F134" s="33" t="n"/>
      <c r="G134" s="36" t="n"/>
      <c r="H134" s="33" t="n"/>
      <c r="I134" s="33" t="n"/>
      <c r="J134" s="41" t="n"/>
      <c r="K134" s="36" t="n"/>
      <c r="L134" s="37">
        <f>IF(NOT(ISNUMBER($G134)),"",$G134-IF(ISNUMBER($K134),$K134,0))</f>
        <v/>
      </c>
      <c r="M134" s="33" t="n"/>
      <c r="N134" s="33" t="n"/>
      <c r="O134" s="51">
        <f>IF(COUNTA($B134,$C134,$D134,$E134,$G134)=0,"",IF(IF($B134=""," · Falta fecha","")&amp;IF($C134=""," · Falta tipo (Fijo/Variable)","")&amp;IF($D134=""," · SIN CATEGORÍA","")&amp;IF($E134=""," · Falta descripción","")&amp;IF(OR($G134="",NOT(ISNUMBER($G134)),$G134&lt;=0)," · Monto inválido","")&amp;IF(AND($I134="Pagado",$J134="")," · Pago sin fecha","")&amp;IF(AND(ISNUMBER($K134),ISNUMBER($G134),$K134&gt;N($G134)+0.01)," · Pagado &gt; monto","")&amp;IF(AND(ISNUMBER($K134),$K134&gt;0,$J134="")," · Monto pagado sin fecha","")="","OK",MID(IF($B134=""," · Falta fecha","")&amp;IF($C134=""," · Falta tipo (Fijo/Variable)","")&amp;IF($D134=""," · SIN CATEGORÍA","")&amp;IF($E134=""," · Falta descripción","")&amp;IF(OR($G134="",NOT(ISNUMBER($G134)),$G134&lt;=0)," · Monto inválido","")&amp;IF(AND($I134="Pagado",$J134="")," · Pago sin fecha","")&amp;IF(AND(ISNUMBER($K134),ISNUMBER($G134),$K134&gt;N($G134)+0.01)," · Pagado &gt; monto","")&amp;IF(AND(ISNUMBER($K134),$K134&gt;0,$J134="")," · Monto pagado sin fecha",""),4,900)))</f>
        <v/>
      </c>
    </row>
    <row r="135">
      <c r="A135" s="51">
        <f>IF(COUNTA($B135,$C135,$D135,$E135,$G135)=0,"","G-"&amp;TEXT(ROW()-6,"0000"))</f>
        <v/>
      </c>
      <c r="B135" s="41" t="n"/>
      <c r="C135" s="33" t="n"/>
      <c r="D135" s="33" t="n"/>
      <c r="E135" s="33" t="n"/>
      <c r="F135" s="33" t="n"/>
      <c r="G135" s="36" t="n"/>
      <c r="H135" s="33" t="n"/>
      <c r="I135" s="33" t="n"/>
      <c r="J135" s="41" t="n"/>
      <c r="K135" s="36" t="n"/>
      <c r="L135" s="37">
        <f>IF(NOT(ISNUMBER($G135)),"",$G135-IF(ISNUMBER($K135),$K135,0))</f>
        <v/>
      </c>
      <c r="M135" s="33" t="n"/>
      <c r="N135" s="33" t="n"/>
      <c r="O135" s="51">
        <f>IF(COUNTA($B135,$C135,$D135,$E135,$G135)=0,"",IF(IF($B135=""," · Falta fecha","")&amp;IF($C135=""," · Falta tipo (Fijo/Variable)","")&amp;IF($D135=""," · SIN CATEGORÍA","")&amp;IF($E135=""," · Falta descripción","")&amp;IF(OR($G135="",NOT(ISNUMBER($G135)),$G135&lt;=0)," · Monto inválido","")&amp;IF(AND($I135="Pagado",$J135="")," · Pago sin fecha","")&amp;IF(AND(ISNUMBER($K135),ISNUMBER($G135),$K135&gt;N($G135)+0.01)," · Pagado &gt; monto","")&amp;IF(AND(ISNUMBER($K135),$K135&gt;0,$J135="")," · Monto pagado sin fecha","")="","OK",MID(IF($B135=""," · Falta fecha","")&amp;IF($C135=""," · Falta tipo (Fijo/Variable)","")&amp;IF($D135=""," · SIN CATEGORÍA","")&amp;IF($E135=""," · Falta descripción","")&amp;IF(OR($G135="",NOT(ISNUMBER($G135)),$G135&lt;=0)," · Monto inválido","")&amp;IF(AND($I135="Pagado",$J135="")," · Pago sin fecha","")&amp;IF(AND(ISNUMBER($K135),ISNUMBER($G135),$K135&gt;N($G135)+0.01)," · Pagado &gt; monto","")&amp;IF(AND(ISNUMBER($K135),$K135&gt;0,$J135="")," · Monto pagado sin fecha",""),4,900)))</f>
        <v/>
      </c>
    </row>
    <row r="136">
      <c r="A136" s="51">
        <f>IF(COUNTA($B136,$C136,$D136,$E136,$G136)=0,"","G-"&amp;TEXT(ROW()-6,"0000"))</f>
        <v/>
      </c>
      <c r="B136" s="41" t="n"/>
      <c r="C136" s="33" t="n"/>
      <c r="D136" s="33" t="n"/>
      <c r="E136" s="33" t="n"/>
      <c r="F136" s="33" t="n"/>
      <c r="G136" s="36" t="n"/>
      <c r="H136" s="33" t="n"/>
      <c r="I136" s="33" t="n"/>
      <c r="J136" s="41" t="n"/>
      <c r="K136" s="36" t="n"/>
      <c r="L136" s="37">
        <f>IF(NOT(ISNUMBER($G136)),"",$G136-IF(ISNUMBER($K136),$K136,0))</f>
        <v/>
      </c>
      <c r="M136" s="33" t="n"/>
      <c r="N136" s="33" t="n"/>
      <c r="O136" s="51">
        <f>IF(COUNTA($B136,$C136,$D136,$E136,$G136)=0,"",IF(IF($B136=""," · Falta fecha","")&amp;IF($C136=""," · Falta tipo (Fijo/Variable)","")&amp;IF($D136=""," · SIN CATEGORÍA","")&amp;IF($E136=""," · Falta descripción","")&amp;IF(OR($G136="",NOT(ISNUMBER($G136)),$G136&lt;=0)," · Monto inválido","")&amp;IF(AND($I136="Pagado",$J136="")," · Pago sin fecha","")&amp;IF(AND(ISNUMBER($K136),ISNUMBER($G136),$K136&gt;N($G136)+0.01)," · Pagado &gt; monto","")&amp;IF(AND(ISNUMBER($K136),$K136&gt;0,$J136="")," · Monto pagado sin fecha","")="","OK",MID(IF($B136=""," · Falta fecha","")&amp;IF($C136=""," · Falta tipo (Fijo/Variable)","")&amp;IF($D136=""," · SIN CATEGORÍA","")&amp;IF($E136=""," · Falta descripción","")&amp;IF(OR($G136="",NOT(ISNUMBER($G136)),$G136&lt;=0)," · Monto inválido","")&amp;IF(AND($I136="Pagado",$J136="")," · Pago sin fecha","")&amp;IF(AND(ISNUMBER($K136),ISNUMBER($G136),$K136&gt;N($G136)+0.01)," · Pagado &gt; monto","")&amp;IF(AND(ISNUMBER($K136),$K136&gt;0,$J136="")," · Monto pagado sin fecha",""),4,900)))</f>
        <v/>
      </c>
    </row>
    <row r="137">
      <c r="A137" s="51">
        <f>IF(COUNTA($B137,$C137,$D137,$E137,$G137)=0,"","G-"&amp;TEXT(ROW()-6,"0000"))</f>
        <v/>
      </c>
      <c r="B137" s="41" t="n"/>
      <c r="C137" s="33" t="n"/>
      <c r="D137" s="33" t="n"/>
      <c r="E137" s="33" t="n"/>
      <c r="F137" s="33" t="n"/>
      <c r="G137" s="36" t="n"/>
      <c r="H137" s="33" t="n"/>
      <c r="I137" s="33" t="n"/>
      <c r="J137" s="41" t="n"/>
      <c r="K137" s="36" t="n"/>
      <c r="L137" s="37">
        <f>IF(NOT(ISNUMBER($G137)),"",$G137-IF(ISNUMBER($K137),$K137,0))</f>
        <v/>
      </c>
      <c r="M137" s="33" t="n"/>
      <c r="N137" s="33" t="n"/>
      <c r="O137" s="51">
        <f>IF(COUNTA($B137,$C137,$D137,$E137,$G137)=0,"",IF(IF($B137=""," · Falta fecha","")&amp;IF($C137=""," · Falta tipo (Fijo/Variable)","")&amp;IF($D137=""," · SIN CATEGORÍA","")&amp;IF($E137=""," · Falta descripción","")&amp;IF(OR($G137="",NOT(ISNUMBER($G137)),$G137&lt;=0)," · Monto inválido","")&amp;IF(AND($I137="Pagado",$J137="")," · Pago sin fecha","")&amp;IF(AND(ISNUMBER($K137),ISNUMBER($G137),$K137&gt;N($G137)+0.01)," · Pagado &gt; monto","")&amp;IF(AND(ISNUMBER($K137),$K137&gt;0,$J137="")," · Monto pagado sin fecha","")="","OK",MID(IF($B137=""," · Falta fecha","")&amp;IF($C137=""," · Falta tipo (Fijo/Variable)","")&amp;IF($D137=""," · SIN CATEGORÍA","")&amp;IF($E137=""," · Falta descripción","")&amp;IF(OR($G137="",NOT(ISNUMBER($G137)),$G137&lt;=0)," · Monto inválido","")&amp;IF(AND($I137="Pagado",$J137="")," · Pago sin fecha","")&amp;IF(AND(ISNUMBER($K137),ISNUMBER($G137),$K137&gt;N($G137)+0.01)," · Pagado &gt; monto","")&amp;IF(AND(ISNUMBER($K137),$K137&gt;0,$J137="")," · Monto pagado sin fecha",""),4,900)))</f>
        <v/>
      </c>
    </row>
    <row r="138">
      <c r="A138" s="51">
        <f>IF(COUNTA($B138,$C138,$D138,$E138,$G138)=0,"","G-"&amp;TEXT(ROW()-6,"0000"))</f>
        <v/>
      </c>
      <c r="B138" s="41" t="n"/>
      <c r="C138" s="33" t="n"/>
      <c r="D138" s="33" t="n"/>
      <c r="E138" s="33" t="n"/>
      <c r="F138" s="33" t="n"/>
      <c r="G138" s="36" t="n"/>
      <c r="H138" s="33" t="n"/>
      <c r="I138" s="33" t="n"/>
      <c r="J138" s="41" t="n"/>
      <c r="K138" s="36" t="n"/>
      <c r="L138" s="37">
        <f>IF(NOT(ISNUMBER($G138)),"",$G138-IF(ISNUMBER($K138),$K138,0))</f>
        <v/>
      </c>
      <c r="M138" s="33" t="n"/>
      <c r="N138" s="33" t="n"/>
      <c r="O138" s="51">
        <f>IF(COUNTA($B138,$C138,$D138,$E138,$G138)=0,"",IF(IF($B138=""," · Falta fecha","")&amp;IF($C138=""," · Falta tipo (Fijo/Variable)","")&amp;IF($D138=""," · SIN CATEGORÍA","")&amp;IF($E138=""," · Falta descripción","")&amp;IF(OR($G138="",NOT(ISNUMBER($G138)),$G138&lt;=0)," · Monto inválido","")&amp;IF(AND($I138="Pagado",$J138="")," · Pago sin fecha","")&amp;IF(AND(ISNUMBER($K138),ISNUMBER($G138),$K138&gt;N($G138)+0.01)," · Pagado &gt; monto","")&amp;IF(AND(ISNUMBER($K138),$K138&gt;0,$J138="")," · Monto pagado sin fecha","")="","OK",MID(IF($B138=""," · Falta fecha","")&amp;IF($C138=""," · Falta tipo (Fijo/Variable)","")&amp;IF($D138=""," · SIN CATEGORÍA","")&amp;IF($E138=""," · Falta descripción","")&amp;IF(OR($G138="",NOT(ISNUMBER($G138)),$G138&lt;=0)," · Monto inválido","")&amp;IF(AND($I138="Pagado",$J138="")," · Pago sin fecha","")&amp;IF(AND(ISNUMBER($K138),ISNUMBER($G138),$K138&gt;N($G138)+0.01)," · Pagado &gt; monto","")&amp;IF(AND(ISNUMBER($K138),$K138&gt;0,$J138="")," · Monto pagado sin fecha",""),4,900)))</f>
        <v/>
      </c>
    </row>
    <row r="139">
      <c r="A139" s="51">
        <f>IF(COUNTA($B139,$C139,$D139,$E139,$G139)=0,"","G-"&amp;TEXT(ROW()-6,"0000"))</f>
        <v/>
      </c>
      <c r="B139" s="41" t="n"/>
      <c r="C139" s="33" t="n"/>
      <c r="D139" s="33" t="n"/>
      <c r="E139" s="33" t="n"/>
      <c r="F139" s="33" t="n"/>
      <c r="G139" s="36" t="n"/>
      <c r="H139" s="33" t="n"/>
      <c r="I139" s="33" t="n"/>
      <c r="J139" s="41" t="n"/>
      <c r="K139" s="36" t="n"/>
      <c r="L139" s="37">
        <f>IF(NOT(ISNUMBER($G139)),"",$G139-IF(ISNUMBER($K139),$K139,0))</f>
        <v/>
      </c>
      <c r="M139" s="33" t="n"/>
      <c r="N139" s="33" t="n"/>
      <c r="O139" s="51">
        <f>IF(COUNTA($B139,$C139,$D139,$E139,$G139)=0,"",IF(IF($B139=""," · Falta fecha","")&amp;IF($C139=""," · Falta tipo (Fijo/Variable)","")&amp;IF($D139=""," · SIN CATEGORÍA","")&amp;IF($E139=""," · Falta descripción","")&amp;IF(OR($G139="",NOT(ISNUMBER($G139)),$G139&lt;=0)," · Monto inválido","")&amp;IF(AND($I139="Pagado",$J139="")," · Pago sin fecha","")&amp;IF(AND(ISNUMBER($K139),ISNUMBER($G139),$K139&gt;N($G139)+0.01)," · Pagado &gt; monto","")&amp;IF(AND(ISNUMBER($K139),$K139&gt;0,$J139="")," · Monto pagado sin fecha","")="","OK",MID(IF($B139=""," · Falta fecha","")&amp;IF($C139=""," · Falta tipo (Fijo/Variable)","")&amp;IF($D139=""," · SIN CATEGORÍA","")&amp;IF($E139=""," · Falta descripción","")&amp;IF(OR($G139="",NOT(ISNUMBER($G139)),$G139&lt;=0)," · Monto inválido","")&amp;IF(AND($I139="Pagado",$J139="")," · Pago sin fecha","")&amp;IF(AND(ISNUMBER($K139),ISNUMBER($G139),$K139&gt;N($G139)+0.01)," · Pagado &gt; monto","")&amp;IF(AND(ISNUMBER($K139),$K139&gt;0,$J139="")," · Monto pagado sin fecha",""),4,900)))</f>
        <v/>
      </c>
    </row>
    <row r="140">
      <c r="A140" s="51">
        <f>IF(COUNTA($B140,$C140,$D140,$E140,$G140)=0,"","G-"&amp;TEXT(ROW()-6,"0000"))</f>
        <v/>
      </c>
      <c r="B140" s="41" t="n"/>
      <c r="C140" s="33" t="n"/>
      <c r="D140" s="33" t="n"/>
      <c r="E140" s="33" t="n"/>
      <c r="F140" s="33" t="n"/>
      <c r="G140" s="36" t="n"/>
      <c r="H140" s="33" t="n"/>
      <c r="I140" s="33" t="n"/>
      <c r="J140" s="41" t="n"/>
      <c r="K140" s="36" t="n"/>
      <c r="L140" s="37">
        <f>IF(NOT(ISNUMBER($G140)),"",$G140-IF(ISNUMBER($K140),$K140,0))</f>
        <v/>
      </c>
      <c r="M140" s="33" t="n"/>
      <c r="N140" s="33" t="n"/>
      <c r="O140" s="51">
        <f>IF(COUNTA($B140,$C140,$D140,$E140,$G140)=0,"",IF(IF($B140=""," · Falta fecha","")&amp;IF($C140=""," · Falta tipo (Fijo/Variable)","")&amp;IF($D140=""," · SIN CATEGORÍA","")&amp;IF($E140=""," · Falta descripción","")&amp;IF(OR($G140="",NOT(ISNUMBER($G140)),$G140&lt;=0)," · Monto inválido","")&amp;IF(AND($I140="Pagado",$J140="")," · Pago sin fecha","")&amp;IF(AND(ISNUMBER($K140),ISNUMBER($G140),$K140&gt;N($G140)+0.01)," · Pagado &gt; monto","")&amp;IF(AND(ISNUMBER($K140),$K140&gt;0,$J140="")," · Monto pagado sin fecha","")="","OK",MID(IF($B140=""," · Falta fecha","")&amp;IF($C140=""," · Falta tipo (Fijo/Variable)","")&amp;IF($D140=""," · SIN CATEGORÍA","")&amp;IF($E140=""," · Falta descripción","")&amp;IF(OR($G140="",NOT(ISNUMBER($G140)),$G140&lt;=0)," · Monto inválido","")&amp;IF(AND($I140="Pagado",$J140="")," · Pago sin fecha","")&amp;IF(AND(ISNUMBER($K140),ISNUMBER($G140),$K140&gt;N($G140)+0.01)," · Pagado &gt; monto","")&amp;IF(AND(ISNUMBER($K140),$K140&gt;0,$J140="")," · Monto pagado sin fecha",""),4,900)))</f>
        <v/>
      </c>
    </row>
    <row r="141">
      <c r="A141" s="51">
        <f>IF(COUNTA($B141,$C141,$D141,$E141,$G141)=0,"","G-"&amp;TEXT(ROW()-6,"0000"))</f>
        <v/>
      </c>
      <c r="B141" s="41" t="n"/>
      <c r="C141" s="33" t="n"/>
      <c r="D141" s="33" t="n"/>
      <c r="E141" s="33" t="n"/>
      <c r="F141" s="33" t="n"/>
      <c r="G141" s="36" t="n"/>
      <c r="H141" s="33" t="n"/>
      <c r="I141" s="33" t="n"/>
      <c r="J141" s="41" t="n"/>
      <c r="K141" s="36" t="n"/>
      <c r="L141" s="37">
        <f>IF(NOT(ISNUMBER($G141)),"",$G141-IF(ISNUMBER($K141),$K141,0))</f>
        <v/>
      </c>
      <c r="M141" s="33" t="n"/>
      <c r="N141" s="33" t="n"/>
      <c r="O141" s="51">
        <f>IF(COUNTA($B141,$C141,$D141,$E141,$G141)=0,"",IF(IF($B141=""," · Falta fecha","")&amp;IF($C141=""," · Falta tipo (Fijo/Variable)","")&amp;IF($D141=""," · SIN CATEGORÍA","")&amp;IF($E141=""," · Falta descripción","")&amp;IF(OR($G141="",NOT(ISNUMBER($G141)),$G141&lt;=0)," · Monto inválido","")&amp;IF(AND($I141="Pagado",$J141="")," · Pago sin fecha","")&amp;IF(AND(ISNUMBER($K141),ISNUMBER($G141),$K141&gt;N($G141)+0.01)," · Pagado &gt; monto","")&amp;IF(AND(ISNUMBER($K141),$K141&gt;0,$J141="")," · Monto pagado sin fecha","")="","OK",MID(IF($B141=""," · Falta fecha","")&amp;IF($C141=""," · Falta tipo (Fijo/Variable)","")&amp;IF($D141=""," · SIN CATEGORÍA","")&amp;IF($E141=""," · Falta descripción","")&amp;IF(OR($G141="",NOT(ISNUMBER($G141)),$G141&lt;=0)," · Monto inválido","")&amp;IF(AND($I141="Pagado",$J141="")," · Pago sin fecha","")&amp;IF(AND(ISNUMBER($K141),ISNUMBER($G141),$K141&gt;N($G141)+0.01)," · Pagado &gt; monto","")&amp;IF(AND(ISNUMBER($K141),$K141&gt;0,$J141="")," · Monto pagado sin fecha",""),4,900)))</f>
        <v/>
      </c>
    </row>
    <row r="142">
      <c r="A142" s="51">
        <f>IF(COUNTA($B142,$C142,$D142,$E142,$G142)=0,"","G-"&amp;TEXT(ROW()-6,"0000"))</f>
        <v/>
      </c>
      <c r="B142" s="41" t="n"/>
      <c r="C142" s="33" t="n"/>
      <c r="D142" s="33" t="n"/>
      <c r="E142" s="33" t="n"/>
      <c r="F142" s="33" t="n"/>
      <c r="G142" s="36" t="n"/>
      <c r="H142" s="33" t="n"/>
      <c r="I142" s="33" t="n"/>
      <c r="J142" s="41" t="n"/>
      <c r="K142" s="36" t="n"/>
      <c r="L142" s="37">
        <f>IF(NOT(ISNUMBER($G142)),"",$G142-IF(ISNUMBER($K142),$K142,0))</f>
        <v/>
      </c>
      <c r="M142" s="33" t="n"/>
      <c r="N142" s="33" t="n"/>
      <c r="O142" s="51">
        <f>IF(COUNTA($B142,$C142,$D142,$E142,$G142)=0,"",IF(IF($B142=""," · Falta fecha","")&amp;IF($C142=""," · Falta tipo (Fijo/Variable)","")&amp;IF($D142=""," · SIN CATEGORÍA","")&amp;IF($E142=""," · Falta descripción","")&amp;IF(OR($G142="",NOT(ISNUMBER($G142)),$G142&lt;=0)," · Monto inválido","")&amp;IF(AND($I142="Pagado",$J142="")," · Pago sin fecha","")&amp;IF(AND(ISNUMBER($K142),ISNUMBER($G142),$K142&gt;N($G142)+0.01)," · Pagado &gt; monto","")&amp;IF(AND(ISNUMBER($K142),$K142&gt;0,$J142="")," · Monto pagado sin fecha","")="","OK",MID(IF($B142=""," · Falta fecha","")&amp;IF($C142=""," · Falta tipo (Fijo/Variable)","")&amp;IF($D142=""," · SIN CATEGORÍA","")&amp;IF($E142=""," · Falta descripción","")&amp;IF(OR($G142="",NOT(ISNUMBER($G142)),$G142&lt;=0)," · Monto inválido","")&amp;IF(AND($I142="Pagado",$J142="")," · Pago sin fecha","")&amp;IF(AND(ISNUMBER($K142),ISNUMBER($G142),$K142&gt;N($G142)+0.01)," · Pagado &gt; monto","")&amp;IF(AND(ISNUMBER($K142),$K142&gt;0,$J142="")," · Monto pagado sin fecha",""),4,900)))</f>
        <v/>
      </c>
    </row>
    <row r="143">
      <c r="A143" s="51">
        <f>IF(COUNTA($B143,$C143,$D143,$E143,$G143)=0,"","G-"&amp;TEXT(ROW()-6,"0000"))</f>
        <v/>
      </c>
      <c r="B143" s="41" t="n"/>
      <c r="C143" s="33" t="n"/>
      <c r="D143" s="33" t="n"/>
      <c r="E143" s="33" t="n"/>
      <c r="F143" s="33" t="n"/>
      <c r="G143" s="36" t="n"/>
      <c r="H143" s="33" t="n"/>
      <c r="I143" s="33" t="n"/>
      <c r="J143" s="41" t="n"/>
      <c r="K143" s="36" t="n"/>
      <c r="L143" s="37">
        <f>IF(NOT(ISNUMBER($G143)),"",$G143-IF(ISNUMBER($K143),$K143,0))</f>
        <v/>
      </c>
      <c r="M143" s="33" t="n"/>
      <c r="N143" s="33" t="n"/>
      <c r="O143" s="51">
        <f>IF(COUNTA($B143,$C143,$D143,$E143,$G143)=0,"",IF(IF($B143=""," · Falta fecha","")&amp;IF($C143=""," · Falta tipo (Fijo/Variable)","")&amp;IF($D143=""," · SIN CATEGORÍA","")&amp;IF($E143=""," · Falta descripción","")&amp;IF(OR($G143="",NOT(ISNUMBER($G143)),$G143&lt;=0)," · Monto inválido","")&amp;IF(AND($I143="Pagado",$J143="")," · Pago sin fecha","")&amp;IF(AND(ISNUMBER($K143),ISNUMBER($G143),$K143&gt;N($G143)+0.01)," · Pagado &gt; monto","")&amp;IF(AND(ISNUMBER($K143),$K143&gt;0,$J143="")," · Monto pagado sin fecha","")="","OK",MID(IF($B143=""," · Falta fecha","")&amp;IF($C143=""," · Falta tipo (Fijo/Variable)","")&amp;IF($D143=""," · SIN CATEGORÍA","")&amp;IF($E143=""," · Falta descripción","")&amp;IF(OR($G143="",NOT(ISNUMBER($G143)),$G143&lt;=0)," · Monto inválido","")&amp;IF(AND($I143="Pagado",$J143="")," · Pago sin fecha","")&amp;IF(AND(ISNUMBER($K143),ISNUMBER($G143),$K143&gt;N($G143)+0.01)," · Pagado &gt; monto","")&amp;IF(AND(ISNUMBER($K143),$K143&gt;0,$J143="")," · Monto pagado sin fecha",""),4,900)))</f>
        <v/>
      </c>
    </row>
    <row r="144">
      <c r="A144" s="51">
        <f>IF(COUNTA($B144,$C144,$D144,$E144,$G144)=0,"","G-"&amp;TEXT(ROW()-6,"0000"))</f>
        <v/>
      </c>
      <c r="B144" s="41" t="n"/>
      <c r="C144" s="33" t="n"/>
      <c r="D144" s="33" t="n"/>
      <c r="E144" s="33" t="n"/>
      <c r="F144" s="33" t="n"/>
      <c r="G144" s="36" t="n"/>
      <c r="H144" s="33" t="n"/>
      <c r="I144" s="33" t="n"/>
      <c r="J144" s="41" t="n"/>
      <c r="K144" s="36" t="n"/>
      <c r="L144" s="37">
        <f>IF(NOT(ISNUMBER($G144)),"",$G144-IF(ISNUMBER($K144),$K144,0))</f>
        <v/>
      </c>
      <c r="M144" s="33" t="n"/>
      <c r="N144" s="33" t="n"/>
      <c r="O144" s="51">
        <f>IF(COUNTA($B144,$C144,$D144,$E144,$G144)=0,"",IF(IF($B144=""," · Falta fecha","")&amp;IF($C144=""," · Falta tipo (Fijo/Variable)","")&amp;IF($D144=""," · SIN CATEGORÍA","")&amp;IF($E144=""," · Falta descripción","")&amp;IF(OR($G144="",NOT(ISNUMBER($G144)),$G144&lt;=0)," · Monto inválido","")&amp;IF(AND($I144="Pagado",$J144="")," · Pago sin fecha","")&amp;IF(AND(ISNUMBER($K144),ISNUMBER($G144),$K144&gt;N($G144)+0.01)," · Pagado &gt; monto","")&amp;IF(AND(ISNUMBER($K144),$K144&gt;0,$J144="")," · Monto pagado sin fecha","")="","OK",MID(IF($B144=""," · Falta fecha","")&amp;IF($C144=""," · Falta tipo (Fijo/Variable)","")&amp;IF($D144=""," · SIN CATEGORÍA","")&amp;IF($E144=""," · Falta descripción","")&amp;IF(OR($G144="",NOT(ISNUMBER($G144)),$G144&lt;=0)," · Monto inválido","")&amp;IF(AND($I144="Pagado",$J144="")," · Pago sin fecha","")&amp;IF(AND(ISNUMBER($K144),ISNUMBER($G144),$K144&gt;N($G144)+0.01)," · Pagado &gt; monto","")&amp;IF(AND(ISNUMBER($K144),$K144&gt;0,$J144="")," · Monto pagado sin fecha",""),4,900)))</f>
        <v/>
      </c>
    </row>
    <row r="145">
      <c r="A145" s="51">
        <f>IF(COUNTA($B145,$C145,$D145,$E145,$G145)=0,"","G-"&amp;TEXT(ROW()-6,"0000"))</f>
        <v/>
      </c>
      <c r="B145" s="41" t="n"/>
      <c r="C145" s="33" t="n"/>
      <c r="D145" s="33" t="n"/>
      <c r="E145" s="33" t="n"/>
      <c r="F145" s="33" t="n"/>
      <c r="G145" s="36" t="n"/>
      <c r="H145" s="33" t="n"/>
      <c r="I145" s="33" t="n"/>
      <c r="J145" s="41" t="n"/>
      <c r="K145" s="36" t="n"/>
      <c r="L145" s="37">
        <f>IF(NOT(ISNUMBER($G145)),"",$G145-IF(ISNUMBER($K145),$K145,0))</f>
        <v/>
      </c>
      <c r="M145" s="33" t="n"/>
      <c r="N145" s="33" t="n"/>
      <c r="O145" s="51">
        <f>IF(COUNTA($B145,$C145,$D145,$E145,$G145)=0,"",IF(IF($B145=""," · Falta fecha","")&amp;IF($C145=""," · Falta tipo (Fijo/Variable)","")&amp;IF($D145=""," · SIN CATEGORÍA","")&amp;IF($E145=""," · Falta descripción","")&amp;IF(OR($G145="",NOT(ISNUMBER($G145)),$G145&lt;=0)," · Monto inválido","")&amp;IF(AND($I145="Pagado",$J145="")," · Pago sin fecha","")&amp;IF(AND(ISNUMBER($K145),ISNUMBER($G145),$K145&gt;N($G145)+0.01)," · Pagado &gt; monto","")&amp;IF(AND(ISNUMBER($K145),$K145&gt;0,$J145="")," · Monto pagado sin fecha","")="","OK",MID(IF($B145=""," · Falta fecha","")&amp;IF($C145=""," · Falta tipo (Fijo/Variable)","")&amp;IF($D145=""," · SIN CATEGORÍA","")&amp;IF($E145=""," · Falta descripción","")&amp;IF(OR($G145="",NOT(ISNUMBER($G145)),$G145&lt;=0)," · Monto inválido","")&amp;IF(AND($I145="Pagado",$J145="")," · Pago sin fecha","")&amp;IF(AND(ISNUMBER($K145),ISNUMBER($G145),$K145&gt;N($G145)+0.01)," · Pagado &gt; monto","")&amp;IF(AND(ISNUMBER($K145),$K145&gt;0,$J145="")," · Monto pagado sin fecha",""),4,900)))</f>
        <v/>
      </c>
    </row>
    <row r="146">
      <c r="A146" s="51">
        <f>IF(COUNTA($B146,$C146,$D146,$E146,$G146)=0,"","G-"&amp;TEXT(ROW()-6,"0000"))</f>
        <v/>
      </c>
      <c r="B146" s="41" t="n"/>
      <c r="C146" s="33" t="n"/>
      <c r="D146" s="33" t="n"/>
      <c r="E146" s="33" t="n"/>
      <c r="F146" s="33" t="n"/>
      <c r="G146" s="36" t="n"/>
      <c r="H146" s="33" t="n"/>
      <c r="I146" s="33" t="n"/>
      <c r="J146" s="41" t="n"/>
      <c r="K146" s="36" t="n"/>
      <c r="L146" s="37">
        <f>IF(NOT(ISNUMBER($G146)),"",$G146-IF(ISNUMBER($K146),$K146,0))</f>
        <v/>
      </c>
      <c r="M146" s="33" t="n"/>
      <c r="N146" s="33" t="n"/>
      <c r="O146" s="51">
        <f>IF(COUNTA($B146,$C146,$D146,$E146,$G146)=0,"",IF(IF($B146=""," · Falta fecha","")&amp;IF($C146=""," · Falta tipo (Fijo/Variable)","")&amp;IF($D146=""," · SIN CATEGORÍA","")&amp;IF($E146=""," · Falta descripción","")&amp;IF(OR($G146="",NOT(ISNUMBER($G146)),$G146&lt;=0)," · Monto inválido","")&amp;IF(AND($I146="Pagado",$J146="")," · Pago sin fecha","")&amp;IF(AND(ISNUMBER($K146),ISNUMBER($G146),$K146&gt;N($G146)+0.01)," · Pagado &gt; monto","")&amp;IF(AND(ISNUMBER($K146),$K146&gt;0,$J146="")," · Monto pagado sin fecha","")="","OK",MID(IF($B146=""," · Falta fecha","")&amp;IF($C146=""," · Falta tipo (Fijo/Variable)","")&amp;IF($D146=""," · SIN CATEGORÍA","")&amp;IF($E146=""," · Falta descripción","")&amp;IF(OR($G146="",NOT(ISNUMBER($G146)),$G146&lt;=0)," · Monto inválido","")&amp;IF(AND($I146="Pagado",$J146="")," · Pago sin fecha","")&amp;IF(AND(ISNUMBER($K146),ISNUMBER($G146),$K146&gt;N($G146)+0.01)," · Pagado &gt; monto","")&amp;IF(AND(ISNUMBER($K146),$K146&gt;0,$J146="")," · Monto pagado sin fecha",""),4,900)))</f>
        <v/>
      </c>
    </row>
    <row r="147">
      <c r="A147" s="51">
        <f>IF(COUNTA($B147,$C147,$D147,$E147,$G147)=0,"","G-"&amp;TEXT(ROW()-6,"0000"))</f>
        <v/>
      </c>
      <c r="B147" s="41" t="n"/>
      <c r="C147" s="33" t="n"/>
      <c r="D147" s="33" t="n"/>
      <c r="E147" s="33" t="n"/>
      <c r="F147" s="33" t="n"/>
      <c r="G147" s="36" t="n"/>
      <c r="H147" s="33" t="n"/>
      <c r="I147" s="33" t="n"/>
      <c r="J147" s="41" t="n"/>
      <c r="K147" s="36" t="n"/>
      <c r="L147" s="37">
        <f>IF(NOT(ISNUMBER($G147)),"",$G147-IF(ISNUMBER($K147),$K147,0))</f>
        <v/>
      </c>
      <c r="M147" s="33" t="n"/>
      <c r="N147" s="33" t="n"/>
      <c r="O147" s="51">
        <f>IF(COUNTA($B147,$C147,$D147,$E147,$G147)=0,"",IF(IF($B147=""," · Falta fecha","")&amp;IF($C147=""," · Falta tipo (Fijo/Variable)","")&amp;IF($D147=""," · SIN CATEGORÍA","")&amp;IF($E147=""," · Falta descripción","")&amp;IF(OR($G147="",NOT(ISNUMBER($G147)),$G147&lt;=0)," · Monto inválido","")&amp;IF(AND($I147="Pagado",$J147="")," · Pago sin fecha","")&amp;IF(AND(ISNUMBER($K147),ISNUMBER($G147),$K147&gt;N($G147)+0.01)," · Pagado &gt; monto","")&amp;IF(AND(ISNUMBER($K147),$K147&gt;0,$J147="")," · Monto pagado sin fecha","")="","OK",MID(IF($B147=""," · Falta fecha","")&amp;IF($C147=""," · Falta tipo (Fijo/Variable)","")&amp;IF($D147=""," · SIN CATEGORÍA","")&amp;IF($E147=""," · Falta descripción","")&amp;IF(OR($G147="",NOT(ISNUMBER($G147)),$G147&lt;=0)," · Monto inválido","")&amp;IF(AND($I147="Pagado",$J147="")," · Pago sin fecha","")&amp;IF(AND(ISNUMBER($K147),ISNUMBER($G147),$K147&gt;N($G147)+0.01)," · Pagado &gt; monto","")&amp;IF(AND(ISNUMBER($K147),$K147&gt;0,$J147="")," · Monto pagado sin fecha",""),4,900)))</f>
        <v/>
      </c>
    </row>
    <row r="148">
      <c r="A148" s="51">
        <f>IF(COUNTA($B148,$C148,$D148,$E148,$G148)=0,"","G-"&amp;TEXT(ROW()-6,"0000"))</f>
        <v/>
      </c>
      <c r="B148" s="41" t="n"/>
      <c r="C148" s="33" t="n"/>
      <c r="D148" s="33" t="n"/>
      <c r="E148" s="33" t="n"/>
      <c r="F148" s="33" t="n"/>
      <c r="G148" s="36" t="n"/>
      <c r="H148" s="33" t="n"/>
      <c r="I148" s="33" t="n"/>
      <c r="J148" s="41" t="n"/>
      <c r="K148" s="36" t="n"/>
      <c r="L148" s="37">
        <f>IF(NOT(ISNUMBER($G148)),"",$G148-IF(ISNUMBER($K148),$K148,0))</f>
        <v/>
      </c>
      <c r="M148" s="33" t="n"/>
      <c r="N148" s="33" t="n"/>
      <c r="O148" s="51">
        <f>IF(COUNTA($B148,$C148,$D148,$E148,$G148)=0,"",IF(IF($B148=""," · Falta fecha","")&amp;IF($C148=""," · Falta tipo (Fijo/Variable)","")&amp;IF($D148=""," · SIN CATEGORÍA","")&amp;IF($E148=""," · Falta descripción","")&amp;IF(OR($G148="",NOT(ISNUMBER($G148)),$G148&lt;=0)," · Monto inválido","")&amp;IF(AND($I148="Pagado",$J148="")," · Pago sin fecha","")&amp;IF(AND(ISNUMBER($K148),ISNUMBER($G148),$K148&gt;N($G148)+0.01)," · Pagado &gt; monto","")&amp;IF(AND(ISNUMBER($K148),$K148&gt;0,$J148="")," · Monto pagado sin fecha","")="","OK",MID(IF($B148=""," · Falta fecha","")&amp;IF($C148=""," · Falta tipo (Fijo/Variable)","")&amp;IF($D148=""," · SIN CATEGORÍA","")&amp;IF($E148=""," · Falta descripción","")&amp;IF(OR($G148="",NOT(ISNUMBER($G148)),$G148&lt;=0)," · Monto inválido","")&amp;IF(AND($I148="Pagado",$J148="")," · Pago sin fecha","")&amp;IF(AND(ISNUMBER($K148),ISNUMBER($G148),$K148&gt;N($G148)+0.01)," · Pagado &gt; monto","")&amp;IF(AND(ISNUMBER($K148),$K148&gt;0,$J148="")," · Monto pagado sin fecha",""),4,900)))</f>
        <v/>
      </c>
    </row>
    <row r="149">
      <c r="A149" s="51">
        <f>IF(COUNTA($B149,$C149,$D149,$E149,$G149)=0,"","G-"&amp;TEXT(ROW()-6,"0000"))</f>
        <v/>
      </c>
      <c r="B149" s="41" t="n"/>
      <c r="C149" s="33" t="n"/>
      <c r="D149" s="33" t="n"/>
      <c r="E149" s="33" t="n"/>
      <c r="F149" s="33" t="n"/>
      <c r="G149" s="36" t="n"/>
      <c r="H149" s="33" t="n"/>
      <c r="I149" s="33" t="n"/>
      <c r="J149" s="41" t="n"/>
      <c r="K149" s="36" t="n"/>
      <c r="L149" s="37">
        <f>IF(NOT(ISNUMBER($G149)),"",$G149-IF(ISNUMBER($K149),$K149,0))</f>
        <v/>
      </c>
      <c r="M149" s="33" t="n"/>
      <c r="N149" s="33" t="n"/>
      <c r="O149" s="51">
        <f>IF(COUNTA($B149,$C149,$D149,$E149,$G149)=0,"",IF(IF($B149=""," · Falta fecha","")&amp;IF($C149=""," · Falta tipo (Fijo/Variable)","")&amp;IF($D149=""," · SIN CATEGORÍA","")&amp;IF($E149=""," · Falta descripción","")&amp;IF(OR($G149="",NOT(ISNUMBER($G149)),$G149&lt;=0)," · Monto inválido","")&amp;IF(AND($I149="Pagado",$J149="")," · Pago sin fecha","")&amp;IF(AND(ISNUMBER($K149),ISNUMBER($G149),$K149&gt;N($G149)+0.01)," · Pagado &gt; monto","")&amp;IF(AND(ISNUMBER($K149),$K149&gt;0,$J149="")," · Monto pagado sin fecha","")="","OK",MID(IF($B149=""," · Falta fecha","")&amp;IF($C149=""," · Falta tipo (Fijo/Variable)","")&amp;IF($D149=""," · SIN CATEGORÍA","")&amp;IF($E149=""," · Falta descripción","")&amp;IF(OR($G149="",NOT(ISNUMBER($G149)),$G149&lt;=0)," · Monto inválido","")&amp;IF(AND($I149="Pagado",$J149="")," · Pago sin fecha","")&amp;IF(AND(ISNUMBER($K149),ISNUMBER($G149),$K149&gt;N($G149)+0.01)," · Pagado &gt; monto","")&amp;IF(AND(ISNUMBER($K149),$K149&gt;0,$J149="")," · Monto pagado sin fecha",""),4,900)))</f>
        <v/>
      </c>
    </row>
    <row r="150">
      <c r="A150" s="51">
        <f>IF(COUNTA($B150,$C150,$D150,$E150,$G150)=0,"","G-"&amp;TEXT(ROW()-6,"0000"))</f>
        <v/>
      </c>
      <c r="B150" s="41" t="n"/>
      <c r="C150" s="33" t="n"/>
      <c r="D150" s="33" t="n"/>
      <c r="E150" s="33" t="n"/>
      <c r="F150" s="33" t="n"/>
      <c r="G150" s="36" t="n"/>
      <c r="H150" s="33" t="n"/>
      <c r="I150" s="33" t="n"/>
      <c r="J150" s="41" t="n"/>
      <c r="K150" s="36" t="n"/>
      <c r="L150" s="37">
        <f>IF(NOT(ISNUMBER($G150)),"",$G150-IF(ISNUMBER($K150),$K150,0))</f>
        <v/>
      </c>
      <c r="M150" s="33" t="n"/>
      <c r="N150" s="33" t="n"/>
      <c r="O150" s="51">
        <f>IF(COUNTA($B150,$C150,$D150,$E150,$G150)=0,"",IF(IF($B150=""," · Falta fecha","")&amp;IF($C150=""," · Falta tipo (Fijo/Variable)","")&amp;IF($D150=""," · SIN CATEGORÍA","")&amp;IF($E150=""," · Falta descripción","")&amp;IF(OR($G150="",NOT(ISNUMBER($G150)),$G150&lt;=0)," · Monto inválido","")&amp;IF(AND($I150="Pagado",$J150="")," · Pago sin fecha","")&amp;IF(AND(ISNUMBER($K150),ISNUMBER($G150),$K150&gt;N($G150)+0.01)," · Pagado &gt; monto","")&amp;IF(AND(ISNUMBER($K150),$K150&gt;0,$J150="")," · Monto pagado sin fecha","")="","OK",MID(IF($B150=""," · Falta fecha","")&amp;IF($C150=""," · Falta tipo (Fijo/Variable)","")&amp;IF($D150=""," · SIN CATEGORÍA","")&amp;IF($E150=""," · Falta descripción","")&amp;IF(OR($G150="",NOT(ISNUMBER($G150)),$G150&lt;=0)," · Monto inválido","")&amp;IF(AND($I150="Pagado",$J150="")," · Pago sin fecha","")&amp;IF(AND(ISNUMBER($K150),ISNUMBER($G150),$K150&gt;N($G150)+0.01)," · Pagado &gt; monto","")&amp;IF(AND(ISNUMBER($K150),$K150&gt;0,$J150="")," · Monto pagado sin fecha",""),4,900)))</f>
        <v/>
      </c>
    </row>
    <row r="151">
      <c r="A151" s="51">
        <f>IF(COUNTA($B151,$C151,$D151,$E151,$G151)=0,"","G-"&amp;TEXT(ROW()-6,"0000"))</f>
        <v/>
      </c>
      <c r="B151" s="41" t="n"/>
      <c r="C151" s="33" t="n"/>
      <c r="D151" s="33" t="n"/>
      <c r="E151" s="33" t="n"/>
      <c r="F151" s="33" t="n"/>
      <c r="G151" s="36" t="n"/>
      <c r="H151" s="33" t="n"/>
      <c r="I151" s="33" t="n"/>
      <c r="J151" s="41" t="n"/>
      <c r="K151" s="36" t="n"/>
      <c r="L151" s="37">
        <f>IF(NOT(ISNUMBER($G151)),"",$G151-IF(ISNUMBER($K151),$K151,0))</f>
        <v/>
      </c>
      <c r="M151" s="33" t="n"/>
      <c r="N151" s="33" t="n"/>
      <c r="O151" s="51">
        <f>IF(COUNTA($B151,$C151,$D151,$E151,$G151)=0,"",IF(IF($B151=""," · Falta fecha","")&amp;IF($C151=""," · Falta tipo (Fijo/Variable)","")&amp;IF($D151=""," · SIN CATEGORÍA","")&amp;IF($E151=""," · Falta descripción","")&amp;IF(OR($G151="",NOT(ISNUMBER($G151)),$G151&lt;=0)," · Monto inválido","")&amp;IF(AND($I151="Pagado",$J151="")," · Pago sin fecha","")&amp;IF(AND(ISNUMBER($K151),ISNUMBER($G151),$K151&gt;N($G151)+0.01)," · Pagado &gt; monto","")&amp;IF(AND(ISNUMBER($K151),$K151&gt;0,$J151="")," · Monto pagado sin fecha","")="","OK",MID(IF($B151=""," · Falta fecha","")&amp;IF($C151=""," · Falta tipo (Fijo/Variable)","")&amp;IF($D151=""," · SIN CATEGORÍA","")&amp;IF($E151=""," · Falta descripción","")&amp;IF(OR($G151="",NOT(ISNUMBER($G151)),$G151&lt;=0)," · Monto inválido","")&amp;IF(AND($I151="Pagado",$J151="")," · Pago sin fecha","")&amp;IF(AND(ISNUMBER($K151),ISNUMBER($G151),$K151&gt;N($G151)+0.01)," · Pagado &gt; monto","")&amp;IF(AND(ISNUMBER($K151),$K151&gt;0,$J151="")," · Monto pagado sin fecha",""),4,900)))</f>
        <v/>
      </c>
    </row>
    <row r="152">
      <c r="A152" s="51">
        <f>IF(COUNTA($B152,$C152,$D152,$E152,$G152)=0,"","G-"&amp;TEXT(ROW()-6,"0000"))</f>
        <v/>
      </c>
      <c r="B152" s="41" t="n"/>
      <c r="C152" s="33" t="n"/>
      <c r="D152" s="33" t="n"/>
      <c r="E152" s="33" t="n"/>
      <c r="F152" s="33" t="n"/>
      <c r="G152" s="36" t="n"/>
      <c r="H152" s="33" t="n"/>
      <c r="I152" s="33" t="n"/>
      <c r="J152" s="41" t="n"/>
      <c r="K152" s="36" t="n"/>
      <c r="L152" s="37">
        <f>IF(NOT(ISNUMBER($G152)),"",$G152-IF(ISNUMBER($K152),$K152,0))</f>
        <v/>
      </c>
      <c r="M152" s="33" t="n"/>
      <c r="N152" s="33" t="n"/>
      <c r="O152" s="51">
        <f>IF(COUNTA($B152,$C152,$D152,$E152,$G152)=0,"",IF(IF($B152=""," · Falta fecha","")&amp;IF($C152=""," · Falta tipo (Fijo/Variable)","")&amp;IF($D152=""," · SIN CATEGORÍA","")&amp;IF($E152=""," · Falta descripción","")&amp;IF(OR($G152="",NOT(ISNUMBER($G152)),$G152&lt;=0)," · Monto inválido","")&amp;IF(AND($I152="Pagado",$J152="")," · Pago sin fecha","")&amp;IF(AND(ISNUMBER($K152),ISNUMBER($G152),$K152&gt;N($G152)+0.01)," · Pagado &gt; monto","")&amp;IF(AND(ISNUMBER($K152),$K152&gt;0,$J152="")," · Monto pagado sin fecha","")="","OK",MID(IF($B152=""," · Falta fecha","")&amp;IF($C152=""," · Falta tipo (Fijo/Variable)","")&amp;IF($D152=""," · SIN CATEGORÍA","")&amp;IF($E152=""," · Falta descripción","")&amp;IF(OR($G152="",NOT(ISNUMBER($G152)),$G152&lt;=0)," · Monto inválido","")&amp;IF(AND($I152="Pagado",$J152="")," · Pago sin fecha","")&amp;IF(AND(ISNUMBER($K152),ISNUMBER($G152),$K152&gt;N($G152)+0.01)," · Pagado &gt; monto","")&amp;IF(AND(ISNUMBER($K152),$K152&gt;0,$J152="")," · Monto pagado sin fecha",""),4,900)))</f>
        <v/>
      </c>
    </row>
    <row r="153">
      <c r="A153" s="51">
        <f>IF(COUNTA($B153,$C153,$D153,$E153,$G153)=0,"","G-"&amp;TEXT(ROW()-6,"0000"))</f>
        <v/>
      </c>
      <c r="B153" s="41" t="n"/>
      <c r="C153" s="33" t="n"/>
      <c r="D153" s="33" t="n"/>
      <c r="E153" s="33" t="n"/>
      <c r="F153" s="33" t="n"/>
      <c r="G153" s="36" t="n"/>
      <c r="H153" s="33" t="n"/>
      <c r="I153" s="33" t="n"/>
      <c r="J153" s="41" t="n"/>
      <c r="K153" s="36" t="n"/>
      <c r="L153" s="37">
        <f>IF(NOT(ISNUMBER($G153)),"",$G153-IF(ISNUMBER($K153),$K153,0))</f>
        <v/>
      </c>
      <c r="M153" s="33" t="n"/>
      <c r="N153" s="33" t="n"/>
      <c r="O153" s="51">
        <f>IF(COUNTA($B153,$C153,$D153,$E153,$G153)=0,"",IF(IF($B153=""," · Falta fecha","")&amp;IF($C153=""," · Falta tipo (Fijo/Variable)","")&amp;IF($D153=""," · SIN CATEGORÍA","")&amp;IF($E153=""," · Falta descripción","")&amp;IF(OR($G153="",NOT(ISNUMBER($G153)),$G153&lt;=0)," · Monto inválido","")&amp;IF(AND($I153="Pagado",$J153="")," · Pago sin fecha","")&amp;IF(AND(ISNUMBER($K153),ISNUMBER($G153),$K153&gt;N($G153)+0.01)," · Pagado &gt; monto","")&amp;IF(AND(ISNUMBER($K153),$K153&gt;0,$J153="")," · Monto pagado sin fecha","")="","OK",MID(IF($B153=""," · Falta fecha","")&amp;IF($C153=""," · Falta tipo (Fijo/Variable)","")&amp;IF($D153=""," · SIN CATEGORÍA","")&amp;IF($E153=""," · Falta descripción","")&amp;IF(OR($G153="",NOT(ISNUMBER($G153)),$G153&lt;=0)," · Monto inválido","")&amp;IF(AND($I153="Pagado",$J153="")," · Pago sin fecha","")&amp;IF(AND(ISNUMBER($K153),ISNUMBER($G153),$K153&gt;N($G153)+0.01)," · Pagado &gt; monto","")&amp;IF(AND(ISNUMBER($K153),$K153&gt;0,$J153="")," · Monto pagado sin fecha",""),4,900)))</f>
        <v/>
      </c>
    </row>
    <row r="154">
      <c r="A154" s="51">
        <f>IF(COUNTA($B154,$C154,$D154,$E154,$G154)=0,"","G-"&amp;TEXT(ROW()-6,"0000"))</f>
        <v/>
      </c>
      <c r="B154" s="41" t="n"/>
      <c r="C154" s="33" t="n"/>
      <c r="D154" s="33" t="n"/>
      <c r="E154" s="33" t="n"/>
      <c r="F154" s="33" t="n"/>
      <c r="G154" s="36" t="n"/>
      <c r="H154" s="33" t="n"/>
      <c r="I154" s="33" t="n"/>
      <c r="J154" s="41" t="n"/>
      <c r="K154" s="36" t="n"/>
      <c r="L154" s="37">
        <f>IF(NOT(ISNUMBER($G154)),"",$G154-IF(ISNUMBER($K154),$K154,0))</f>
        <v/>
      </c>
      <c r="M154" s="33" t="n"/>
      <c r="N154" s="33" t="n"/>
      <c r="O154" s="51">
        <f>IF(COUNTA($B154,$C154,$D154,$E154,$G154)=0,"",IF(IF($B154=""," · Falta fecha","")&amp;IF($C154=""," · Falta tipo (Fijo/Variable)","")&amp;IF($D154=""," · SIN CATEGORÍA","")&amp;IF($E154=""," · Falta descripción","")&amp;IF(OR($G154="",NOT(ISNUMBER($G154)),$G154&lt;=0)," · Monto inválido","")&amp;IF(AND($I154="Pagado",$J154="")," · Pago sin fecha","")&amp;IF(AND(ISNUMBER($K154),ISNUMBER($G154),$K154&gt;N($G154)+0.01)," · Pagado &gt; monto","")&amp;IF(AND(ISNUMBER($K154),$K154&gt;0,$J154="")," · Monto pagado sin fecha","")="","OK",MID(IF($B154=""," · Falta fecha","")&amp;IF($C154=""," · Falta tipo (Fijo/Variable)","")&amp;IF($D154=""," · SIN CATEGORÍA","")&amp;IF($E154=""," · Falta descripción","")&amp;IF(OR($G154="",NOT(ISNUMBER($G154)),$G154&lt;=0)," · Monto inválido","")&amp;IF(AND($I154="Pagado",$J154="")," · Pago sin fecha","")&amp;IF(AND(ISNUMBER($K154),ISNUMBER($G154),$K154&gt;N($G154)+0.01)," · Pagado &gt; monto","")&amp;IF(AND(ISNUMBER($K154),$K154&gt;0,$J154="")," · Monto pagado sin fecha",""),4,900)))</f>
        <v/>
      </c>
    </row>
    <row r="155">
      <c r="A155" s="51">
        <f>IF(COUNTA($B155,$C155,$D155,$E155,$G155)=0,"","G-"&amp;TEXT(ROW()-6,"0000"))</f>
        <v/>
      </c>
      <c r="B155" s="41" t="n"/>
      <c r="C155" s="33" t="n"/>
      <c r="D155" s="33" t="n"/>
      <c r="E155" s="33" t="n"/>
      <c r="F155" s="33" t="n"/>
      <c r="G155" s="36" t="n"/>
      <c r="H155" s="33" t="n"/>
      <c r="I155" s="33" t="n"/>
      <c r="J155" s="41" t="n"/>
      <c r="K155" s="36" t="n"/>
      <c r="L155" s="37">
        <f>IF(NOT(ISNUMBER($G155)),"",$G155-IF(ISNUMBER($K155),$K155,0))</f>
        <v/>
      </c>
      <c r="M155" s="33" t="n"/>
      <c r="N155" s="33" t="n"/>
      <c r="O155" s="51">
        <f>IF(COUNTA($B155,$C155,$D155,$E155,$G155)=0,"",IF(IF($B155=""," · Falta fecha","")&amp;IF($C155=""," · Falta tipo (Fijo/Variable)","")&amp;IF($D155=""," · SIN CATEGORÍA","")&amp;IF($E155=""," · Falta descripción","")&amp;IF(OR($G155="",NOT(ISNUMBER($G155)),$G155&lt;=0)," · Monto inválido","")&amp;IF(AND($I155="Pagado",$J155="")," · Pago sin fecha","")&amp;IF(AND(ISNUMBER($K155),ISNUMBER($G155),$K155&gt;N($G155)+0.01)," · Pagado &gt; monto","")&amp;IF(AND(ISNUMBER($K155),$K155&gt;0,$J155="")," · Monto pagado sin fecha","")="","OK",MID(IF($B155=""," · Falta fecha","")&amp;IF($C155=""," · Falta tipo (Fijo/Variable)","")&amp;IF($D155=""," · SIN CATEGORÍA","")&amp;IF($E155=""," · Falta descripción","")&amp;IF(OR($G155="",NOT(ISNUMBER($G155)),$G155&lt;=0)," · Monto inválido","")&amp;IF(AND($I155="Pagado",$J155="")," · Pago sin fecha","")&amp;IF(AND(ISNUMBER($K155),ISNUMBER($G155),$K155&gt;N($G155)+0.01)," · Pagado &gt; monto","")&amp;IF(AND(ISNUMBER($K155),$K155&gt;0,$J155="")," · Monto pagado sin fecha",""),4,900)))</f>
        <v/>
      </c>
    </row>
    <row r="156">
      <c r="A156" s="51">
        <f>IF(COUNTA($B156,$C156,$D156,$E156,$G156)=0,"","G-"&amp;TEXT(ROW()-6,"0000"))</f>
        <v/>
      </c>
      <c r="B156" s="41" t="n"/>
      <c r="C156" s="33" t="n"/>
      <c r="D156" s="33" t="n"/>
      <c r="E156" s="33" t="n"/>
      <c r="F156" s="33" t="n"/>
      <c r="G156" s="36" t="n"/>
      <c r="H156" s="33" t="n"/>
      <c r="I156" s="33" t="n"/>
      <c r="J156" s="41" t="n"/>
      <c r="K156" s="36" t="n"/>
      <c r="L156" s="37">
        <f>IF(NOT(ISNUMBER($G156)),"",$G156-IF(ISNUMBER($K156),$K156,0))</f>
        <v/>
      </c>
      <c r="M156" s="33" t="n"/>
      <c r="N156" s="33" t="n"/>
      <c r="O156" s="51">
        <f>IF(COUNTA($B156,$C156,$D156,$E156,$G156)=0,"",IF(IF($B156=""," · Falta fecha","")&amp;IF($C156=""," · Falta tipo (Fijo/Variable)","")&amp;IF($D156=""," · SIN CATEGORÍA","")&amp;IF($E156=""," · Falta descripción","")&amp;IF(OR($G156="",NOT(ISNUMBER($G156)),$G156&lt;=0)," · Monto inválido","")&amp;IF(AND($I156="Pagado",$J156="")," · Pago sin fecha","")&amp;IF(AND(ISNUMBER($K156),ISNUMBER($G156),$K156&gt;N($G156)+0.01)," · Pagado &gt; monto","")&amp;IF(AND(ISNUMBER($K156),$K156&gt;0,$J156="")," · Monto pagado sin fecha","")="","OK",MID(IF($B156=""," · Falta fecha","")&amp;IF($C156=""," · Falta tipo (Fijo/Variable)","")&amp;IF($D156=""," · SIN CATEGORÍA","")&amp;IF($E156=""," · Falta descripción","")&amp;IF(OR($G156="",NOT(ISNUMBER($G156)),$G156&lt;=0)," · Monto inválido","")&amp;IF(AND($I156="Pagado",$J156="")," · Pago sin fecha","")&amp;IF(AND(ISNUMBER($K156),ISNUMBER($G156),$K156&gt;N($G156)+0.01)," · Pagado &gt; monto","")&amp;IF(AND(ISNUMBER($K156),$K156&gt;0,$J156="")," · Monto pagado sin fecha",""),4,900)))</f>
        <v/>
      </c>
    </row>
    <row r="157">
      <c r="A157" s="51">
        <f>IF(COUNTA($B157,$C157,$D157,$E157,$G157)=0,"","G-"&amp;TEXT(ROW()-6,"0000"))</f>
        <v/>
      </c>
      <c r="B157" s="41" t="n"/>
      <c r="C157" s="33" t="n"/>
      <c r="D157" s="33" t="n"/>
      <c r="E157" s="33" t="n"/>
      <c r="F157" s="33" t="n"/>
      <c r="G157" s="36" t="n"/>
      <c r="H157" s="33" t="n"/>
      <c r="I157" s="33" t="n"/>
      <c r="J157" s="41" t="n"/>
      <c r="K157" s="36" t="n"/>
      <c r="L157" s="37">
        <f>IF(NOT(ISNUMBER($G157)),"",$G157-IF(ISNUMBER($K157),$K157,0))</f>
        <v/>
      </c>
      <c r="M157" s="33" t="n"/>
      <c r="N157" s="33" t="n"/>
      <c r="O157" s="51">
        <f>IF(COUNTA($B157,$C157,$D157,$E157,$G157)=0,"",IF(IF($B157=""," · Falta fecha","")&amp;IF($C157=""," · Falta tipo (Fijo/Variable)","")&amp;IF($D157=""," · SIN CATEGORÍA","")&amp;IF($E157=""," · Falta descripción","")&amp;IF(OR($G157="",NOT(ISNUMBER($G157)),$G157&lt;=0)," · Monto inválido","")&amp;IF(AND($I157="Pagado",$J157="")," · Pago sin fecha","")&amp;IF(AND(ISNUMBER($K157),ISNUMBER($G157),$K157&gt;N($G157)+0.01)," · Pagado &gt; monto","")&amp;IF(AND(ISNUMBER($K157),$K157&gt;0,$J157="")," · Monto pagado sin fecha","")="","OK",MID(IF($B157=""," · Falta fecha","")&amp;IF($C157=""," · Falta tipo (Fijo/Variable)","")&amp;IF($D157=""," · SIN CATEGORÍA","")&amp;IF($E157=""," · Falta descripción","")&amp;IF(OR($G157="",NOT(ISNUMBER($G157)),$G157&lt;=0)," · Monto inválido","")&amp;IF(AND($I157="Pagado",$J157="")," · Pago sin fecha","")&amp;IF(AND(ISNUMBER($K157),ISNUMBER($G157),$K157&gt;N($G157)+0.01)," · Pagado &gt; monto","")&amp;IF(AND(ISNUMBER($K157),$K157&gt;0,$J157="")," · Monto pagado sin fecha",""),4,900)))</f>
        <v/>
      </c>
    </row>
    <row r="158">
      <c r="A158" s="51">
        <f>IF(COUNTA($B158,$C158,$D158,$E158,$G158)=0,"","G-"&amp;TEXT(ROW()-6,"0000"))</f>
        <v/>
      </c>
      <c r="B158" s="41" t="n"/>
      <c r="C158" s="33" t="n"/>
      <c r="D158" s="33" t="n"/>
      <c r="E158" s="33" t="n"/>
      <c r="F158" s="33" t="n"/>
      <c r="G158" s="36" t="n"/>
      <c r="H158" s="33" t="n"/>
      <c r="I158" s="33" t="n"/>
      <c r="J158" s="41" t="n"/>
      <c r="K158" s="36" t="n"/>
      <c r="L158" s="37">
        <f>IF(NOT(ISNUMBER($G158)),"",$G158-IF(ISNUMBER($K158),$K158,0))</f>
        <v/>
      </c>
      <c r="M158" s="33" t="n"/>
      <c r="N158" s="33" t="n"/>
      <c r="O158" s="51">
        <f>IF(COUNTA($B158,$C158,$D158,$E158,$G158)=0,"",IF(IF($B158=""," · Falta fecha","")&amp;IF($C158=""," · Falta tipo (Fijo/Variable)","")&amp;IF($D158=""," · SIN CATEGORÍA","")&amp;IF($E158=""," · Falta descripción","")&amp;IF(OR($G158="",NOT(ISNUMBER($G158)),$G158&lt;=0)," · Monto inválido","")&amp;IF(AND($I158="Pagado",$J158="")," · Pago sin fecha","")&amp;IF(AND(ISNUMBER($K158),ISNUMBER($G158),$K158&gt;N($G158)+0.01)," · Pagado &gt; monto","")&amp;IF(AND(ISNUMBER($K158),$K158&gt;0,$J158="")," · Monto pagado sin fecha","")="","OK",MID(IF($B158=""," · Falta fecha","")&amp;IF($C158=""," · Falta tipo (Fijo/Variable)","")&amp;IF($D158=""," · SIN CATEGORÍA","")&amp;IF($E158=""," · Falta descripción","")&amp;IF(OR($G158="",NOT(ISNUMBER($G158)),$G158&lt;=0)," · Monto inválido","")&amp;IF(AND($I158="Pagado",$J158="")," · Pago sin fecha","")&amp;IF(AND(ISNUMBER($K158),ISNUMBER($G158),$K158&gt;N($G158)+0.01)," · Pagado &gt; monto","")&amp;IF(AND(ISNUMBER($K158),$K158&gt;0,$J158="")," · Monto pagado sin fecha",""),4,900)))</f>
        <v/>
      </c>
    </row>
    <row r="159">
      <c r="A159" s="51">
        <f>IF(COUNTA($B159,$C159,$D159,$E159,$G159)=0,"","G-"&amp;TEXT(ROW()-6,"0000"))</f>
        <v/>
      </c>
      <c r="B159" s="41" t="n"/>
      <c r="C159" s="33" t="n"/>
      <c r="D159" s="33" t="n"/>
      <c r="E159" s="33" t="n"/>
      <c r="F159" s="33" t="n"/>
      <c r="G159" s="36" t="n"/>
      <c r="H159" s="33" t="n"/>
      <c r="I159" s="33" t="n"/>
      <c r="J159" s="41" t="n"/>
      <c r="K159" s="36" t="n"/>
      <c r="L159" s="37">
        <f>IF(NOT(ISNUMBER($G159)),"",$G159-IF(ISNUMBER($K159),$K159,0))</f>
        <v/>
      </c>
      <c r="M159" s="33" t="n"/>
      <c r="N159" s="33" t="n"/>
      <c r="O159" s="51">
        <f>IF(COUNTA($B159,$C159,$D159,$E159,$G159)=0,"",IF(IF($B159=""," · Falta fecha","")&amp;IF($C159=""," · Falta tipo (Fijo/Variable)","")&amp;IF($D159=""," · SIN CATEGORÍA","")&amp;IF($E159=""," · Falta descripción","")&amp;IF(OR($G159="",NOT(ISNUMBER($G159)),$G159&lt;=0)," · Monto inválido","")&amp;IF(AND($I159="Pagado",$J159="")," · Pago sin fecha","")&amp;IF(AND(ISNUMBER($K159),ISNUMBER($G159),$K159&gt;N($G159)+0.01)," · Pagado &gt; monto","")&amp;IF(AND(ISNUMBER($K159),$K159&gt;0,$J159="")," · Monto pagado sin fecha","")="","OK",MID(IF($B159=""," · Falta fecha","")&amp;IF($C159=""," · Falta tipo (Fijo/Variable)","")&amp;IF($D159=""," · SIN CATEGORÍA","")&amp;IF($E159=""," · Falta descripción","")&amp;IF(OR($G159="",NOT(ISNUMBER($G159)),$G159&lt;=0)," · Monto inválido","")&amp;IF(AND($I159="Pagado",$J159="")," · Pago sin fecha","")&amp;IF(AND(ISNUMBER($K159),ISNUMBER($G159),$K159&gt;N($G159)+0.01)," · Pagado &gt; monto","")&amp;IF(AND(ISNUMBER($K159),$K159&gt;0,$J159="")," · Monto pagado sin fecha",""),4,900)))</f>
        <v/>
      </c>
    </row>
    <row r="160">
      <c r="A160" s="51">
        <f>IF(COUNTA($B160,$C160,$D160,$E160,$G160)=0,"","G-"&amp;TEXT(ROW()-6,"0000"))</f>
        <v/>
      </c>
      <c r="B160" s="41" t="n"/>
      <c r="C160" s="33" t="n"/>
      <c r="D160" s="33" t="n"/>
      <c r="E160" s="33" t="n"/>
      <c r="F160" s="33" t="n"/>
      <c r="G160" s="36" t="n"/>
      <c r="H160" s="33" t="n"/>
      <c r="I160" s="33" t="n"/>
      <c r="J160" s="41" t="n"/>
      <c r="K160" s="36" t="n"/>
      <c r="L160" s="37">
        <f>IF(NOT(ISNUMBER($G160)),"",$G160-IF(ISNUMBER($K160),$K160,0))</f>
        <v/>
      </c>
      <c r="M160" s="33" t="n"/>
      <c r="N160" s="33" t="n"/>
      <c r="O160" s="51">
        <f>IF(COUNTA($B160,$C160,$D160,$E160,$G160)=0,"",IF(IF($B160=""," · Falta fecha","")&amp;IF($C160=""," · Falta tipo (Fijo/Variable)","")&amp;IF($D160=""," · SIN CATEGORÍA","")&amp;IF($E160=""," · Falta descripción","")&amp;IF(OR($G160="",NOT(ISNUMBER($G160)),$G160&lt;=0)," · Monto inválido","")&amp;IF(AND($I160="Pagado",$J160="")," · Pago sin fecha","")&amp;IF(AND(ISNUMBER($K160),ISNUMBER($G160),$K160&gt;N($G160)+0.01)," · Pagado &gt; monto","")&amp;IF(AND(ISNUMBER($K160),$K160&gt;0,$J160="")," · Monto pagado sin fecha","")="","OK",MID(IF($B160=""," · Falta fecha","")&amp;IF($C160=""," · Falta tipo (Fijo/Variable)","")&amp;IF($D160=""," · SIN CATEGORÍA","")&amp;IF($E160=""," · Falta descripción","")&amp;IF(OR($G160="",NOT(ISNUMBER($G160)),$G160&lt;=0)," · Monto inválido","")&amp;IF(AND($I160="Pagado",$J160="")," · Pago sin fecha","")&amp;IF(AND(ISNUMBER($K160),ISNUMBER($G160),$K160&gt;N($G160)+0.01)," · Pagado &gt; monto","")&amp;IF(AND(ISNUMBER($K160),$K160&gt;0,$J160="")," · Monto pagado sin fecha",""),4,900)))</f>
        <v/>
      </c>
    </row>
    <row r="161">
      <c r="A161" s="51">
        <f>IF(COUNTA($B161,$C161,$D161,$E161,$G161)=0,"","G-"&amp;TEXT(ROW()-6,"0000"))</f>
        <v/>
      </c>
      <c r="B161" s="41" t="n"/>
      <c r="C161" s="33" t="n"/>
      <c r="D161" s="33" t="n"/>
      <c r="E161" s="33" t="n"/>
      <c r="F161" s="33" t="n"/>
      <c r="G161" s="36" t="n"/>
      <c r="H161" s="33" t="n"/>
      <c r="I161" s="33" t="n"/>
      <c r="J161" s="41" t="n"/>
      <c r="K161" s="36" t="n"/>
      <c r="L161" s="37">
        <f>IF(NOT(ISNUMBER($G161)),"",$G161-IF(ISNUMBER($K161),$K161,0))</f>
        <v/>
      </c>
      <c r="M161" s="33" t="n"/>
      <c r="N161" s="33" t="n"/>
      <c r="O161" s="51">
        <f>IF(COUNTA($B161,$C161,$D161,$E161,$G161)=0,"",IF(IF($B161=""," · Falta fecha","")&amp;IF($C161=""," · Falta tipo (Fijo/Variable)","")&amp;IF($D161=""," · SIN CATEGORÍA","")&amp;IF($E161=""," · Falta descripción","")&amp;IF(OR($G161="",NOT(ISNUMBER($G161)),$G161&lt;=0)," · Monto inválido","")&amp;IF(AND($I161="Pagado",$J161="")," · Pago sin fecha","")&amp;IF(AND(ISNUMBER($K161),ISNUMBER($G161),$K161&gt;N($G161)+0.01)," · Pagado &gt; monto","")&amp;IF(AND(ISNUMBER($K161),$K161&gt;0,$J161="")," · Monto pagado sin fecha","")="","OK",MID(IF($B161=""," · Falta fecha","")&amp;IF($C161=""," · Falta tipo (Fijo/Variable)","")&amp;IF($D161=""," · SIN CATEGORÍA","")&amp;IF($E161=""," · Falta descripción","")&amp;IF(OR($G161="",NOT(ISNUMBER($G161)),$G161&lt;=0)," · Monto inválido","")&amp;IF(AND($I161="Pagado",$J161="")," · Pago sin fecha","")&amp;IF(AND(ISNUMBER($K161),ISNUMBER($G161),$K161&gt;N($G161)+0.01)," · Pagado &gt; monto","")&amp;IF(AND(ISNUMBER($K161),$K161&gt;0,$J161="")," · Monto pagado sin fecha",""),4,900)))</f>
        <v/>
      </c>
    </row>
    <row r="162">
      <c r="A162" s="51">
        <f>IF(COUNTA($B162,$C162,$D162,$E162,$G162)=0,"","G-"&amp;TEXT(ROW()-6,"0000"))</f>
        <v/>
      </c>
      <c r="B162" s="41" t="n"/>
      <c r="C162" s="33" t="n"/>
      <c r="D162" s="33" t="n"/>
      <c r="E162" s="33" t="n"/>
      <c r="F162" s="33" t="n"/>
      <c r="G162" s="36" t="n"/>
      <c r="H162" s="33" t="n"/>
      <c r="I162" s="33" t="n"/>
      <c r="J162" s="41" t="n"/>
      <c r="K162" s="36" t="n"/>
      <c r="L162" s="37">
        <f>IF(NOT(ISNUMBER($G162)),"",$G162-IF(ISNUMBER($K162),$K162,0))</f>
        <v/>
      </c>
      <c r="M162" s="33" t="n"/>
      <c r="N162" s="33" t="n"/>
      <c r="O162" s="51">
        <f>IF(COUNTA($B162,$C162,$D162,$E162,$G162)=0,"",IF(IF($B162=""," · Falta fecha","")&amp;IF($C162=""," · Falta tipo (Fijo/Variable)","")&amp;IF($D162=""," · SIN CATEGORÍA","")&amp;IF($E162=""," · Falta descripción","")&amp;IF(OR($G162="",NOT(ISNUMBER($G162)),$G162&lt;=0)," · Monto inválido","")&amp;IF(AND($I162="Pagado",$J162="")," · Pago sin fecha","")&amp;IF(AND(ISNUMBER($K162),ISNUMBER($G162),$K162&gt;N($G162)+0.01)," · Pagado &gt; monto","")&amp;IF(AND(ISNUMBER($K162),$K162&gt;0,$J162="")," · Monto pagado sin fecha","")="","OK",MID(IF($B162=""," · Falta fecha","")&amp;IF($C162=""," · Falta tipo (Fijo/Variable)","")&amp;IF($D162=""," · SIN CATEGORÍA","")&amp;IF($E162=""," · Falta descripción","")&amp;IF(OR($G162="",NOT(ISNUMBER($G162)),$G162&lt;=0)," · Monto inválido","")&amp;IF(AND($I162="Pagado",$J162="")," · Pago sin fecha","")&amp;IF(AND(ISNUMBER($K162),ISNUMBER($G162),$K162&gt;N($G162)+0.01)," · Pagado &gt; monto","")&amp;IF(AND(ISNUMBER($K162),$K162&gt;0,$J162="")," · Monto pagado sin fecha",""),4,900)))</f>
        <v/>
      </c>
    </row>
    <row r="163">
      <c r="A163" s="51">
        <f>IF(COUNTA($B163,$C163,$D163,$E163,$G163)=0,"","G-"&amp;TEXT(ROW()-6,"0000"))</f>
        <v/>
      </c>
      <c r="B163" s="41" t="n"/>
      <c r="C163" s="33" t="n"/>
      <c r="D163" s="33" t="n"/>
      <c r="E163" s="33" t="n"/>
      <c r="F163" s="33" t="n"/>
      <c r="G163" s="36" t="n"/>
      <c r="H163" s="33" t="n"/>
      <c r="I163" s="33" t="n"/>
      <c r="J163" s="41" t="n"/>
      <c r="K163" s="36" t="n"/>
      <c r="L163" s="37">
        <f>IF(NOT(ISNUMBER($G163)),"",$G163-IF(ISNUMBER($K163),$K163,0))</f>
        <v/>
      </c>
      <c r="M163" s="33" t="n"/>
      <c r="N163" s="33" t="n"/>
      <c r="O163" s="51">
        <f>IF(COUNTA($B163,$C163,$D163,$E163,$G163)=0,"",IF(IF($B163=""," · Falta fecha","")&amp;IF($C163=""," · Falta tipo (Fijo/Variable)","")&amp;IF($D163=""," · SIN CATEGORÍA","")&amp;IF($E163=""," · Falta descripción","")&amp;IF(OR($G163="",NOT(ISNUMBER($G163)),$G163&lt;=0)," · Monto inválido","")&amp;IF(AND($I163="Pagado",$J163="")," · Pago sin fecha","")&amp;IF(AND(ISNUMBER($K163),ISNUMBER($G163),$K163&gt;N($G163)+0.01)," · Pagado &gt; monto","")&amp;IF(AND(ISNUMBER($K163),$K163&gt;0,$J163="")," · Monto pagado sin fecha","")="","OK",MID(IF($B163=""," · Falta fecha","")&amp;IF($C163=""," · Falta tipo (Fijo/Variable)","")&amp;IF($D163=""," · SIN CATEGORÍA","")&amp;IF($E163=""," · Falta descripción","")&amp;IF(OR($G163="",NOT(ISNUMBER($G163)),$G163&lt;=0)," · Monto inválido","")&amp;IF(AND($I163="Pagado",$J163="")," · Pago sin fecha","")&amp;IF(AND(ISNUMBER($K163),ISNUMBER($G163),$K163&gt;N($G163)+0.01)," · Pagado &gt; monto","")&amp;IF(AND(ISNUMBER($K163),$K163&gt;0,$J163="")," · Monto pagado sin fecha",""),4,900)))</f>
        <v/>
      </c>
    </row>
    <row r="164">
      <c r="A164" s="51">
        <f>IF(COUNTA($B164,$C164,$D164,$E164,$G164)=0,"","G-"&amp;TEXT(ROW()-6,"0000"))</f>
        <v/>
      </c>
      <c r="B164" s="41" t="n"/>
      <c r="C164" s="33" t="n"/>
      <c r="D164" s="33" t="n"/>
      <c r="E164" s="33" t="n"/>
      <c r="F164" s="33" t="n"/>
      <c r="G164" s="36" t="n"/>
      <c r="H164" s="33" t="n"/>
      <c r="I164" s="33" t="n"/>
      <c r="J164" s="41" t="n"/>
      <c r="K164" s="36" t="n"/>
      <c r="L164" s="37">
        <f>IF(NOT(ISNUMBER($G164)),"",$G164-IF(ISNUMBER($K164),$K164,0))</f>
        <v/>
      </c>
      <c r="M164" s="33" t="n"/>
      <c r="N164" s="33" t="n"/>
      <c r="O164" s="51">
        <f>IF(COUNTA($B164,$C164,$D164,$E164,$G164)=0,"",IF(IF($B164=""," · Falta fecha","")&amp;IF($C164=""," · Falta tipo (Fijo/Variable)","")&amp;IF($D164=""," · SIN CATEGORÍA","")&amp;IF($E164=""," · Falta descripción","")&amp;IF(OR($G164="",NOT(ISNUMBER($G164)),$G164&lt;=0)," · Monto inválido","")&amp;IF(AND($I164="Pagado",$J164="")," · Pago sin fecha","")&amp;IF(AND(ISNUMBER($K164),ISNUMBER($G164),$K164&gt;N($G164)+0.01)," · Pagado &gt; monto","")&amp;IF(AND(ISNUMBER($K164),$K164&gt;0,$J164="")," · Monto pagado sin fecha","")="","OK",MID(IF($B164=""," · Falta fecha","")&amp;IF($C164=""," · Falta tipo (Fijo/Variable)","")&amp;IF($D164=""," · SIN CATEGORÍA","")&amp;IF($E164=""," · Falta descripción","")&amp;IF(OR($G164="",NOT(ISNUMBER($G164)),$G164&lt;=0)," · Monto inválido","")&amp;IF(AND($I164="Pagado",$J164="")," · Pago sin fecha","")&amp;IF(AND(ISNUMBER($K164),ISNUMBER($G164),$K164&gt;N($G164)+0.01)," · Pagado &gt; monto","")&amp;IF(AND(ISNUMBER($K164),$K164&gt;0,$J164="")," · Monto pagado sin fecha",""),4,900)))</f>
        <v/>
      </c>
    </row>
    <row r="165">
      <c r="A165" s="51">
        <f>IF(COUNTA($B165,$C165,$D165,$E165,$G165)=0,"","G-"&amp;TEXT(ROW()-6,"0000"))</f>
        <v/>
      </c>
      <c r="B165" s="41" t="n"/>
      <c r="C165" s="33" t="n"/>
      <c r="D165" s="33" t="n"/>
      <c r="E165" s="33" t="n"/>
      <c r="F165" s="33" t="n"/>
      <c r="G165" s="36" t="n"/>
      <c r="H165" s="33" t="n"/>
      <c r="I165" s="33" t="n"/>
      <c r="J165" s="41" t="n"/>
      <c r="K165" s="36" t="n"/>
      <c r="L165" s="37">
        <f>IF(NOT(ISNUMBER($G165)),"",$G165-IF(ISNUMBER($K165),$K165,0))</f>
        <v/>
      </c>
      <c r="M165" s="33" t="n"/>
      <c r="N165" s="33" t="n"/>
      <c r="O165" s="51">
        <f>IF(COUNTA($B165,$C165,$D165,$E165,$G165)=0,"",IF(IF($B165=""," · Falta fecha","")&amp;IF($C165=""," · Falta tipo (Fijo/Variable)","")&amp;IF($D165=""," · SIN CATEGORÍA","")&amp;IF($E165=""," · Falta descripción","")&amp;IF(OR($G165="",NOT(ISNUMBER($G165)),$G165&lt;=0)," · Monto inválido","")&amp;IF(AND($I165="Pagado",$J165="")," · Pago sin fecha","")&amp;IF(AND(ISNUMBER($K165),ISNUMBER($G165),$K165&gt;N($G165)+0.01)," · Pagado &gt; monto","")&amp;IF(AND(ISNUMBER($K165),$K165&gt;0,$J165="")," · Monto pagado sin fecha","")="","OK",MID(IF($B165=""," · Falta fecha","")&amp;IF($C165=""," · Falta tipo (Fijo/Variable)","")&amp;IF($D165=""," · SIN CATEGORÍA","")&amp;IF($E165=""," · Falta descripción","")&amp;IF(OR($G165="",NOT(ISNUMBER($G165)),$G165&lt;=0)," · Monto inválido","")&amp;IF(AND($I165="Pagado",$J165="")," · Pago sin fecha","")&amp;IF(AND(ISNUMBER($K165),ISNUMBER($G165),$K165&gt;N($G165)+0.01)," · Pagado &gt; monto","")&amp;IF(AND(ISNUMBER($K165),$K165&gt;0,$J165="")," · Monto pagado sin fecha",""),4,900)))</f>
        <v/>
      </c>
    </row>
    <row r="166">
      <c r="A166" s="51">
        <f>IF(COUNTA($B166,$C166,$D166,$E166,$G166)=0,"","G-"&amp;TEXT(ROW()-6,"0000"))</f>
        <v/>
      </c>
      <c r="B166" s="41" t="n"/>
      <c r="C166" s="33" t="n"/>
      <c r="D166" s="33" t="n"/>
      <c r="E166" s="33" t="n"/>
      <c r="F166" s="33" t="n"/>
      <c r="G166" s="36" t="n"/>
      <c r="H166" s="33" t="n"/>
      <c r="I166" s="33" t="n"/>
      <c r="J166" s="41" t="n"/>
      <c r="K166" s="36" t="n"/>
      <c r="L166" s="37">
        <f>IF(NOT(ISNUMBER($G166)),"",$G166-IF(ISNUMBER($K166),$K166,0))</f>
        <v/>
      </c>
      <c r="M166" s="33" t="n"/>
      <c r="N166" s="33" t="n"/>
      <c r="O166" s="51">
        <f>IF(COUNTA($B166,$C166,$D166,$E166,$G166)=0,"",IF(IF($B166=""," · Falta fecha","")&amp;IF($C166=""," · Falta tipo (Fijo/Variable)","")&amp;IF($D166=""," · SIN CATEGORÍA","")&amp;IF($E166=""," · Falta descripción","")&amp;IF(OR($G166="",NOT(ISNUMBER($G166)),$G166&lt;=0)," · Monto inválido","")&amp;IF(AND($I166="Pagado",$J166="")," · Pago sin fecha","")&amp;IF(AND(ISNUMBER($K166),ISNUMBER($G166),$K166&gt;N($G166)+0.01)," · Pagado &gt; monto","")&amp;IF(AND(ISNUMBER($K166),$K166&gt;0,$J166="")," · Monto pagado sin fecha","")="","OK",MID(IF($B166=""," · Falta fecha","")&amp;IF($C166=""," · Falta tipo (Fijo/Variable)","")&amp;IF($D166=""," · SIN CATEGORÍA","")&amp;IF($E166=""," · Falta descripción","")&amp;IF(OR($G166="",NOT(ISNUMBER($G166)),$G166&lt;=0)," · Monto inválido","")&amp;IF(AND($I166="Pagado",$J166="")," · Pago sin fecha","")&amp;IF(AND(ISNUMBER($K166),ISNUMBER($G166),$K166&gt;N($G166)+0.01)," · Pagado &gt; monto","")&amp;IF(AND(ISNUMBER($K166),$K166&gt;0,$J166="")," · Monto pagado sin fecha",""),4,900)))</f>
        <v/>
      </c>
    </row>
    <row r="167">
      <c r="A167" s="51">
        <f>IF(COUNTA($B167,$C167,$D167,$E167,$G167)=0,"","G-"&amp;TEXT(ROW()-6,"0000"))</f>
        <v/>
      </c>
      <c r="B167" s="41" t="n"/>
      <c r="C167" s="33" t="n"/>
      <c r="D167" s="33" t="n"/>
      <c r="E167" s="33" t="n"/>
      <c r="F167" s="33" t="n"/>
      <c r="G167" s="36" t="n"/>
      <c r="H167" s="33" t="n"/>
      <c r="I167" s="33" t="n"/>
      <c r="J167" s="41" t="n"/>
      <c r="K167" s="36" t="n"/>
      <c r="L167" s="37">
        <f>IF(NOT(ISNUMBER($G167)),"",$G167-IF(ISNUMBER($K167),$K167,0))</f>
        <v/>
      </c>
      <c r="M167" s="33" t="n"/>
      <c r="N167" s="33" t="n"/>
      <c r="O167" s="51">
        <f>IF(COUNTA($B167,$C167,$D167,$E167,$G167)=0,"",IF(IF($B167=""," · Falta fecha","")&amp;IF($C167=""," · Falta tipo (Fijo/Variable)","")&amp;IF($D167=""," · SIN CATEGORÍA","")&amp;IF($E167=""," · Falta descripción","")&amp;IF(OR($G167="",NOT(ISNUMBER($G167)),$G167&lt;=0)," · Monto inválido","")&amp;IF(AND($I167="Pagado",$J167="")," · Pago sin fecha","")&amp;IF(AND(ISNUMBER($K167),ISNUMBER($G167),$K167&gt;N($G167)+0.01)," · Pagado &gt; monto","")&amp;IF(AND(ISNUMBER($K167),$K167&gt;0,$J167="")," · Monto pagado sin fecha","")="","OK",MID(IF($B167=""," · Falta fecha","")&amp;IF($C167=""," · Falta tipo (Fijo/Variable)","")&amp;IF($D167=""," · SIN CATEGORÍA","")&amp;IF($E167=""," · Falta descripción","")&amp;IF(OR($G167="",NOT(ISNUMBER($G167)),$G167&lt;=0)," · Monto inválido","")&amp;IF(AND($I167="Pagado",$J167="")," · Pago sin fecha","")&amp;IF(AND(ISNUMBER($K167),ISNUMBER($G167),$K167&gt;N($G167)+0.01)," · Pagado &gt; monto","")&amp;IF(AND(ISNUMBER($K167),$K167&gt;0,$J167="")," · Monto pagado sin fecha",""),4,900)))</f>
        <v/>
      </c>
    </row>
    <row r="168">
      <c r="A168" s="51">
        <f>IF(COUNTA($B168,$C168,$D168,$E168,$G168)=0,"","G-"&amp;TEXT(ROW()-6,"0000"))</f>
        <v/>
      </c>
      <c r="B168" s="41" t="n"/>
      <c r="C168" s="33" t="n"/>
      <c r="D168" s="33" t="n"/>
      <c r="E168" s="33" t="n"/>
      <c r="F168" s="33" t="n"/>
      <c r="G168" s="36" t="n"/>
      <c r="H168" s="33" t="n"/>
      <c r="I168" s="33" t="n"/>
      <c r="J168" s="41" t="n"/>
      <c r="K168" s="36" t="n"/>
      <c r="L168" s="37">
        <f>IF(NOT(ISNUMBER($G168)),"",$G168-IF(ISNUMBER($K168),$K168,0))</f>
        <v/>
      </c>
      <c r="M168" s="33" t="n"/>
      <c r="N168" s="33" t="n"/>
      <c r="O168" s="51">
        <f>IF(COUNTA($B168,$C168,$D168,$E168,$G168)=0,"",IF(IF($B168=""," · Falta fecha","")&amp;IF($C168=""," · Falta tipo (Fijo/Variable)","")&amp;IF($D168=""," · SIN CATEGORÍA","")&amp;IF($E168=""," · Falta descripción","")&amp;IF(OR($G168="",NOT(ISNUMBER($G168)),$G168&lt;=0)," · Monto inválido","")&amp;IF(AND($I168="Pagado",$J168="")," · Pago sin fecha","")&amp;IF(AND(ISNUMBER($K168),ISNUMBER($G168),$K168&gt;N($G168)+0.01)," · Pagado &gt; monto","")&amp;IF(AND(ISNUMBER($K168),$K168&gt;0,$J168="")," · Monto pagado sin fecha","")="","OK",MID(IF($B168=""," · Falta fecha","")&amp;IF($C168=""," · Falta tipo (Fijo/Variable)","")&amp;IF($D168=""," · SIN CATEGORÍA","")&amp;IF($E168=""," · Falta descripción","")&amp;IF(OR($G168="",NOT(ISNUMBER($G168)),$G168&lt;=0)," · Monto inválido","")&amp;IF(AND($I168="Pagado",$J168="")," · Pago sin fecha","")&amp;IF(AND(ISNUMBER($K168),ISNUMBER($G168),$K168&gt;N($G168)+0.01)," · Pagado &gt; monto","")&amp;IF(AND(ISNUMBER($K168),$K168&gt;0,$J168="")," · Monto pagado sin fecha",""),4,900)))</f>
        <v/>
      </c>
    </row>
    <row r="169">
      <c r="A169" s="51">
        <f>IF(COUNTA($B169,$C169,$D169,$E169,$G169)=0,"","G-"&amp;TEXT(ROW()-6,"0000"))</f>
        <v/>
      </c>
      <c r="B169" s="41" t="n"/>
      <c r="C169" s="33" t="n"/>
      <c r="D169" s="33" t="n"/>
      <c r="E169" s="33" t="n"/>
      <c r="F169" s="33" t="n"/>
      <c r="G169" s="36" t="n"/>
      <c r="H169" s="33" t="n"/>
      <c r="I169" s="33" t="n"/>
      <c r="J169" s="41" t="n"/>
      <c r="K169" s="36" t="n"/>
      <c r="L169" s="37">
        <f>IF(NOT(ISNUMBER($G169)),"",$G169-IF(ISNUMBER($K169),$K169,0))</f>
        <v/>
      </c>
      <c r="M169" s="33" t="n"/>
      <c r="N169" s="33" t="n"/>
      <c r="O169" s="51">
        <f>IF(COUNTA($B169,$C169,$D169,$E169,$G169)=0,"",IF(IF($B169=""," · Falta fecha","")&amp;IF($C169=""," · Falta tipo (Fijo/Variable)","")&amp;IF($D169=""," · SIN CATEGORÍA","")&amp;IF($E169=""," · Falta descripción","")&amp;IF(OR($G169="",NOT(ISNUMBER($G169)),$G169&lt;=0)," · Monto inválido","")&amp;IF(AND($I169="Pagado",$J169="")," · Pago sin fecha","")&amp;IF(AND(ISNUMBER($K169),ISNUMBER($G169),$K169&gt;N($G169)+0.01)," · Pagado &gt; monto","")&amp;IF(AND(ISNUMBER($K169),$K169&gt;0,$J169="")," · Monto pagado sin fecha","")="","OK",MID(IF($B169=""," · Falta fecha","")&amp;IF($C169=""," · Falta tipo (Fijo/Variable)","")&amp;IF($D169=""," · SIN CATEGORÍA","")&amp;IF($E169=""," · Falta descripción","")&amp;IF(OR($G169="",NOT(ISNUMBER($G169)),$G169&lt;=0)," · Monto inválido","")&amp;IF(AND($I169="Pagado",$J169="")," · Pago sin fecha","")&amp;IF(AND(ISNUMBER($K169),ISNUMBER($G169),$K169&gt;N($G169)+0.01)," · Pagado &gt; monto","")&amp;IF(AND(ISNUMBER($K169),$K169&gt;0,$J169="")," · Monto pagado sin fecha",""),4,900)))</f>
        <v/>
      </c>
    </row>
    <row r="170">
      <c r="A170" s="51">
        <f>IF(COUNTA($B170,$C170,$D170,$E170,$G170)=0,"","G-"&amp;TEXT(ROW()-6,"0000"))</f>
        <v/>
      </c>
      <c r="B170" s="41" t="n"/>
      <c r="C170" s="33" t="n"/>
      <c r="D170" s="33" t="n"/>
      <c r="E170" s="33" t="n"/>
      <c r="F170" s="33" t="n"/>
      <c r="G170" s="36" t="n"/>
      <c r="H170" s="33" t="n"/>
      <c r="I170" s="33" t="n"/>
      <c r="J170" s="41" t="n"/>
      <c r="K170" s="36" t="n"/>
      <c r="L170" s="37">
        <f>IF(NOT(ISNUMBER($G170)),"",$G170-IF(ISNUMBER($K170),$K170,0))</f>
        <v/>
      </c>
      <c r="M170" s="33" t="n"/>
      <c r="N170" s="33" t="n"/>
      <c r="O170" s="51">
        <f>IF(COUNTA($B170,$C170,$D170,$E170,$G170)=0,"",IF(IF($B170=""," · Falta fecha","")&amp;IF($C170=""," · Falta tipo (Fijo/Variable)","")&amp;IF($D170=""," · SIN CATEGORÍA","")&amp;IF($E170=""," · Falta descripción","")&amp;IF(OR($G170="",NOT(ISNUMBER($G170)),$G170&lt;=0)," · Monto inválido","")&amp;IF(AND($I170="Pagado",$J170="")," · Pago sin fecha","")&amp;IF(AND(ISNUMBER($K170),ISNUMBER($G170),$K170&gt;N($G170)+0.01)," · Pagado &gt; monto","")&amp;IF(AND(ISNUMBER($K170),$K170&gt;0,$J170="")," · Monto pagado sin fecha","")="","OK",MID(IF($B170=""," · Falta fecha","")&amp;IF($C170=""," · Falta tipo (Fijo/Variable)","")&amp;IF($D170=""," · SIN CATEGORÍA","")&amp;IF($E170=""," · Falta descripción","")&amp;IF(OR($G170="",NOT(ISNUMBER($G170)),$G170&lt;=0)," · Monto inválido","")&amp;IF(AND($I170="Pagado",$J170="")," · Pago sin fecha","")&amp;IF(AND(ISNUMBER($K170),ISNUMBER($G170),$K170&gt;N($G170)+0.01)," · Pagado &gt; monto","")&amp;IF(AND(ISNUMBER($K170),$K170&gt;0,$J170="")," · Monto pagado sin fecha",""),4,900)))</f>
        <v/>
      </c>
    </row>
    <row r="171">
      <c r="A171" s="51">
        <f>IF(COUNTA($B171,$C171,$D171,$E171,$G171)=0,"","G-"&amp;TEXT(ROW()-6,"0000"))</f>
        <v/>
      </c>
      <c r="B171" s="41" t="n"/>
      <c r="C171" s="33" t="n"/>
      <c r="D171" s="33" t="n"/>
      <c r="E171" s="33" t="n"/>
      <c r="F171" s="33" t="n"/>
      <c r="G171" s="36" t="n"/>
      <c r="H171" s="33" t="n"/>
      <c r="I171" s="33" t="n"/>
      <c r="J171" s="41" t="n"/>
      <c r="K171" s="36" t="n"/>
      <c r="L171" s="37">
        <f>IF(NOT(ISNUMBER($G171)),"",$G171-IF(ISNUMBER($K171),$K171,0))</f>
        <v/>
      </c>
      <c r="M171" s="33" t="n"/>
      <c r="N171" s="33" t="n"/>
      <c r="O171" s="51">
        <f>IF(COUNTA($B171,$C171,$D171,$E171,$G171)=0,"",IF(IF($B171=""," · Falta fecha","")&amp;IF($C171=""," · Falta tipo (Fijo/Variable)","")&amp;IF($D171=""," · SIN CATEGORÍA","")&amp;IF($E171=""," · Falta descripción","")&amp;IF(OR($G171="",NOT(ISNUMBER($G171)),$G171&lt;=0)," · Monto inválido","")&amp;IF(AND($I171="Pagado",$J171="")," · Pago sin fecha","")&amp;IF(AND(ISNUMBER($K171),ISNUMBER($G171),$K171&gt;N($G171)+0.01)," · Pagado &gt; monto","")&amp;IF(AND(ISNUMBER($K171),$K171&gt;0,$J171="")," · Monto pagado sin fecha","")="","OK",MID(IF($B171=""," · Falta fecha","")&amp;IF($C171=""," · Falta tipo (Fijo/Variable)","")&amp;IF($D171=""," · SIN CATEGORÍA","")&amp;IF($E171=""," · Falta descripción","")&amp;IF(OR($G171="",NOT(ISNUMBER($G171)),$G171&lt;=0)," · Monto inválido","")&amp;IF(AND($I171="Pagado",$J171="")," · Pago sin fecha","")&amp;IF(AND(ISNUMBER($K171),ISNUMBER($G171),$K171&gt;N($G171)+0.01)," · Pagado &gt; monto","")&amp;IF(AND(ISNUMBER($K171),$K171&gt;0,$J171="")," · Monto pagado sin fecha",""),4,900)))</f>
        <v/>
      </c>
    </row>
    <row r="172">
      <c r="A172" s="51">
        <f>IF(COUNTA($B172,$C172,$D172,$E172,$G172)=0,"","G-"&amp;TEXT(ROW()-6,"0000"))</f>
        <v/>
      </c>
      <c r="B172" s="41" t="n"/>
      <c r="C172" s="33" t="n"/>
      <c r="D172" s="33" t="n"/>
      <c r="E172" s="33" t="n"/>
      <c r="F172" s="33" t="n"/>
      <c r="G172" s="36" t="n"/>
      <c r="H172" s="33" t="n"/>
      <c r="I172" s="33" t="n"/>
      <c r="J172" s="41" t="n"/>
      <c r="K172" s="36" t="n"/>
      <c r="L172" s="37">
        <f>IF(NOT(ISNUMBER($G172)),"",$G172-IF(ISNUMBER($K172),$K172,0))</f>
        <v/>
      </c>
      <c r="M172" s="33" t="n"/>
      <c r="N172" s="33" t="n"/>
      <c r="O172" s="51">
        <f>IF(COUNTA($B172,$C172,$D172,$E172,$G172)=0,"",IF(IF($B172=""," · Falta fecha","")&amp;IF($C172=""," · Falta tipo (Fijo/Variable)","")&amp;IF($D172=""," · SIN CATEGORÍA","")&amp;IF($E172=""," · Falta descripción","")&amp;IF(OR($G172="",NOT(ISNUMBER($G172)),$G172&lt;=0)," · Monto inválido","")&amp;IF(AND($I172="Pagado",$J172="")," · Pago sin fecha","")&amp;IF(AND(ISNUMBER($K172),ISNUMBER($G172),$K172&gt;N($G172)+0.01)," · Pagado &gt; monto","")&amp;IF(AND(ISNUMBER($K172),$K172&gt;0,$J172="")," · Monto pagado sin fecha","")="","OK",MID(IF($B172=""," · Falta fecha","")&amp;IF($C172=""," · Falta tipo (Fijo/Variable)","")&amp;IF($D172=""," · SIN CATEGORÍA","")&amp;IF($E172=""," · Falta descripción","")&amp;IF(OR($G172="",NOT(ISNUMBER($G172)),$G172&lt;=0)," · Monto inválido","")&amp;IF(AND($I172="Pagado",$J172="")," · Pago sin fecha","")&amp;IF(AND(ISNUMBER($K172),ISNUMBER($G172),$K172&gt;N($G172)+0.01)," · Pagado &gt; monto","")&amp;IF(AND(ISNUMBER($K172),$K172&gt;0,$J172="")," · Monto pagado sin fecha",""),4,900)))</f>
        <v/>
      </c>
    </row>
    <row r="173">
      <c r="A173" s="51">
        <f>IF(COUNTA($B173,$C173,$D173,$E173,$G173)=0,"","G-"&amp;TEXT(ROW()-6,"0000"))</f>
        <v/>
      </c>
      <c r="B173" s="41" t="n"/>
      <c r="C173" s="33" t="n"/>
      <c r="D173" s="33" t="n"/>
      <c r="E173" s="33" t="n"/>
      <c r="F173" s="33" t="n"/>
      <c r="G173" s="36" t="n"/>
      <c r="H173" s="33" t="n"/>
      <c r="I173" s="33" t="n"/>
      <c r="J173" s="41" t="n"/>
      <c r="K173" s="36" t="n"/>
      <c r="L173" s="37">
        <f>IF(NOT(ISNUMBER($G173)),"",$G173-IF(ISNUMBER($K173),$K173,0))</f>
        <v/>
      </c>
      <c r="M173" s="33" t="n"/>
      <c r="N173" s="33" t="n"/>
      <c r="O173" s="51">
        <f>IF(COUNTA($B173,$C173,$D173,$E173,$G173)=0,"",IF(IF($B173=""," · Falta fecha","")&amp;IF($C173=""," · Falta tipo (Fijo/Variable)","")&amp;IF($D173=""," · SIN CATEGORÍA","")&amp;IF($E173=""," · Falta descripción","")&amp;IF(OR($G173="",NOT(ISNUMBER($G173)),$G173&lt;=0)," · Monto inválido","")&amp;IF(AND($I173="Pagado",$J173="")," · Pago sin fecha","")&amp;IF(AND(ISNUMBER($K173),ISNUMBER($G173),$K173&gt;N($G173)+0.01)," · Pagado &gt; monto","")&amp;IF(AND(ISNUMBER($K173),$K173&gt;0,$J173="")," · Monto pagado sin fecha","")="","OK",MID(IF($B173=""," · Falta fecha","")&amp;IF($C173=""," · Falta tipo (Fijo/Variable)","")&amp;IF($D173=""," · SIN CATEGORÍA","")&amp;IF($E173=""," · Falta descripción","")&amp;IF(OR($G173="",NOT(ISNUMBER($G173)),$G173&lt;=0)," · Monto inválido","")&amp;IF(AND($I173="Pagado",$J173="")," · Pago sin fecha","")&amp;IF(AND(ISNUMBER($K173),ISNUMBER($G173),$K173&gt;N($G173)+0.01)," · Pagado &gt; monto","")&amp;IF(AND(ISNUMBER($K173),$K173&gt;0,$J173="")," · Monto pagado sin fecha",""),4,900)))</f>
        <v/>
      </c>
    </row>
    <row r="174">
      <c r="A174" s="51">
        <f>IF(COUNTA($B174,$C174,$D174,$E174,$G174)=0,"","G-"&amp;TEXT(ROW()-6,"0000"))</f>
        <v/>
      </c>
      <c r="B174" s="41" t="n"/>
      <c r="C174" s="33" t="n"/>
      <c r="D174" s="33" t="n"/>
      <c r="E174" s="33" t="n"/>
      <c r="F174" s="33" t="n"/>
      <c r="G174" s="36" t="n"/>
      <c r="H174" s="33" t="n"/>
      <c r="I174" s="33" t="n"/>
      <c r="J174" s="41" t="n"/>
      <c r="K174" s="36" t="n"/>
      <c r="L174" s="37">
        <f>IF(NOT(ISNUMBER($G174)),"",$G174-IF(ISNUMBER($K174),$K174,0))</f>
        <v/>
      </c>
      <c r="M174" s="33" t="n"/>
      <c r="N174" s="33" t="n"/>
      <c r="O174" s="51">
        <f>IF(COUNTA($B174,$C174,$D174,$E174,$G174)=0,"",IF(IF($B174=""," · Falta fecha","")&amp;IF($C174=""," · Falta tipo (Fijo/Variable)","")&amp;IF($D174=""," · SIN CATEGORÍA","")&amp;IF($E174=""," · Falta descripción","")&amp;IF(OR($G174="",NOT(ISNUMBER($G174)),$G174&lt;=0)," · Monto inválido","")&amp;IF(AND($I174="Pagado",$J174="")," · Pago sin fecha","")&amp;IF(AND(ISNUMBER($K174),ISNUMBER($G174),$K174&gt;N($G174)+0.01)," · Pagado &gt; monto","")&amp;IF(AND(ISNUMBER($K174),$K174&gt;0,$J174="")," · Monto pagado sin fecha","")="","OK",MID(IF($B174=""," · Falta fecha","")&amp;IF($C174=""," · Falta tipo (Fijo/Variable)","")&amp;IF($D174=""," · SIN CATEGORÍA","")&amp;IF($E174=""," · Falta descripción","")&amp;IF(OR($G174="",NOT(ISNUMBER($G174)),$G174&lt;=0)," · Monto inválido","")&amp;IF(AND($I174="Pagado",$J174="")," · Pago sin fecha","")&amp;IF(AND(ISNUMBER($K174),ISNUMBER($G174),$K174&gt;N($G174)+0.01)," · Pagado &gt; monto","")&amp;IF(AND(ISNUMBER($K174),$K174&gt;0,$J174="")," · Monto pagado sin fecha",""),4,900)))</f>
        <v/>
      </c>
    </row>
    <row r="175">
      <c r="A175" s="51">
        <f>IF(COUNTA($B175,$C175,$D175,$E175,$G175)=0,"","G-"&amp;TEXT(ROW()-6,"0000"))</f>
        <v/>
      </c>
      <c r="B175" s="41" t="n"/>
      <c r="C175" s="33" t="n"/>
      <c r="D175" s="33" t="n"/>
      <c r="E175" s="33" t="n"/>
      <c r="F175" s="33" t="n"/>
      <c r="G175" s="36" t="n"/>
      <c r="H175" s="33" t="n"/>
      <c r="I175" s="33" t="n"/>
      <c r="J175" s="41" t="n"/>
      <c r="K175" s="36" t="n"/>
      <c r="L175" s="37">
        <f>IF(NOT(ISNUMBER($G175)),"",$G175-IF(ISNUMBER($K175),$K175,0))</f>
        <v/>
      </c>
      <c r="M175" s="33" t="n"/>
      <c r="N175" s="33" t="n"/>
      <c r="O175" s="51">
        <f>IF(COUNTA($B175,$C175,$D175,$E175,$G175)=0,"",IF(IF($B175=""," · Falta fecha","")&amp;IF($C175=""," · Falta tipo (Fijo/Variable)","")&amp;IF($D175=""," · SIN CATEGORÍA","")&amp;IF($E175=""," · Falta descripción","")&amp;IF(OR($G175="",NOT(ISNUMBER($G175)),$G175&lt;=0)," · Monto inválido","")&amp;IF(AND($I175="Pagado",$J175="")," · Pago sin fecha","")&amp;IF(AND(ISNUMBER($K175),ISNUMBER($G175),$K175&gt;N($G175)+0.01)," · Pagado &gt; monto","")&amp;IF(AND(ISNUMBER($K175),$K175&gt;0,$J175="")," · Monto pagado sin fecha","")="","OK",MID(IF($B175=""," · Falta fecha","")&amp;IF($C175=""," · Falta tipo (Fijo/Variable)","")&amp;IF($D175=""," · SIN CATEGORÍA","")&amp;IF($E175=""," · Falta descripción","")&amp;IF(OR($G175="",NOT(ISNUMBER($G175)),$G175&lt;=0)," · Monto inválido","")&amp;IF(AND($I175="Pagado",$J175="")," · Pago sin fecha","")&amp;IF(AND(ISNUMBER($K175),ISNUMBER($G175),$K175&gt;N($G175)+0.01)," · Pagado &gt; monto","")&amp;IF(AND(ISNUMBER($K175),$K175&gt;0,$J175="")," · Monto pagado sin fecha",""),4,900)))</f>
        <v/>
      </c>
    </row>
    <row r="176">
      <c r="A176" s="51">
        <f>IF(COUNTA($B176,$C176,$D176,$E176,$G176)=0,"","G-"&amp;TEXT(ROW()-6,"0000"))</f>
        <v/>
      </c>
      <c r="B176" s="41" t="n"/>
      <c r="C176" s="33" t="n"/>
      <c r="D176" s="33" t="n"/>
      <c r="E176" s="33" t="n"/>
      <c r="F176" s="33" t="n"/>
      <c r="G176" s="36" t="n"/>
      <c r="H176" s="33" t="n"/>
      <c r="I176" s="33" t="n"/>
      <c r="J176" s="41" t="n"/>
      <c r="K176" s="36" t="n"/>
      <c r="L176" s="37">
        <f>IF(NOT(ISNUMBER($G176)),"",$G176-IF(ISNUMBER($K176),$K176,0))</f>
        <v/>
      </c>
      <c r="M176" s="33" t="n"/>
      <c r="N176" s="33" t="n"/>
      <c r="O176" s="51">
        <f>IF(COUNTA($B176,$C176,$D176,$E176,$G176)=0,"",IF(IF($B176=""," · Falta fecha","")&amp;IF($C176=""," · Falta tipo (Fijo/Variable)","")&amp;IF($D176=""," · SIN CATEGORÍA","")&amp;IF($E176=""," · Falta descripción","")&amp;IF(OR($G176="",NOT(ISNUMBER($G176)),$G176&lt;=0)," · Monto inválido","")&amp;IF(AND($I176="Pagado",$J176="")," · Pago sin fecha","")&amp;IF(AND(ISNUMBER($K176),ISNUMBER($G176),$K176&gt;N($G176)+0.01)," · Pagado &gt; monto","")&amp;IF(AND(ISNUMBER($K176),$K176&gt;0,$J176="")," · Monto pagado sin fecha","")="","OK",MID(IF($B176=""," · Falta fecha","")&amp;IF($C176=""," · Falta tipo (Fijo/Variable)","")&amp;IF($D176=""," · SIN CATEGORÍA","")&amp;IF($E176=""," · Falta descripción","")&amp;IF(OR($G176="",NOT(ISNUMBER($G176)),$G176&lt;=0)," · Monto inválido","")&amp;IF(AND($I176="Pagado",$J176="")," · Pago sin fecha","")&amp;IF(AND(ISNUMBER($K176),ISNUMBER($G176),$K176&gt;N($G176)+0.01)," · Pagado &gt; monto","")&amp;IF(AND(ISNUMBER($K176),$K176&gt;0,$J176="")," · Monto pagado sin fecha",""),4,900)))</f>
        <v/>
      </c>
    </row>
    <row r="177">
      <c r="A177" s="51">
        <f>IF(COUNTA($B177,$C177,$D177,$E177,$G177)=0,"","G-"&amp;TEXT(ROW()-6,"0000"))</f>
        <v/>
      </c>
      <c r="B177" s="41" t="n"/>
      <c r="C177" s="33" t="n"/>
      <c r="D177" s="33" t="n"/>
      <c r="E177" s="33" t="n"/>
      <c r="F177" s="33" t="n"/>
      <c r="G177" s="36" t="n"/>
      <c r="H177" s="33" t="n"/>
      <c r="I177" s="33" t="n"/>
      <c r="J177" s="41" t="n"/>
      <c r="K177" s="36" t="n"/>
      <c r="L177" s="37">
        <f>IF(NOT(ISNUMBER($G177)),"",$G177-IF(ISNUMBER($K177),$K177,0))</f>
        <v/>
      </c>
      <c r="M177" s="33" t="n"/>
      <c r="N177" s="33" t="n"/>
      <c r="O177" s="51">
        <f>IF(COUNTA($B177,$C177,$D177,$E177,$G177)=0,"",IF(IF($B177=""," · Falta fecha","")&amp;IF($C177=""," · Falta tipo (Fijo/Variable)","")&amp;IF($D177=""," · SIN CATEGORÍA","")&amp;IF($E177=""," · Falta descripción","")&amp;IF(OR($G177="",NOT(ISNUMBER($G177)),$G177&lt;=0)," · Monto inválido","")&amp;IF(AND($I177="Pagado",$J177="")," · Pago sin fecha","")&amp;IF(AND(ISNUMBER($K177),ISNUMBER($G177),$K177&gt;N($G177)+0.01)," · Pagado &gt; monto","")&amp;IF(AND(ISNUMBER($K177),$K177&gt;0,$J177="")," · Monto pagado sin fecha","")="","OK",MID(IF($B177=""," · Falta fecha","")&amp;IF($C177=""," · Falta tipo (Fijo/Variable)","")&amp;IF($D177=""," · SIN CATEGORÍA","")&amp;IF($E177=""," · Falta descripción","")&amp;IF(OR($G177="",NOT(ISNUMBER($G177)),$G177&lt;=0)," · Monto inválido","")&amp;IF(AND($I177="Pagado",$J177="")," · Pago sin fecha","")&amp;IF(AND(ISNUMBER($K177),ISNUMBER($G177),$K177&gt;N($G177)+0.01)," · Pagado &gt; monto","")&amp;IF(AND(ISNUMBER($K177),$K177&gt;0,$J177="")," · Monto pagado sin fecha",""),4,900)))</f>
        <v/>
      </c>
    </row>
    <row r="178">
      <c r="A178" s="51">
        <f>IF(COUNTA($B178,$C178,$D178,$E178,$G178)=0,"","G-"&amp;TEXT(ROW()-6,"0000"))</f>
        <v/>
      </c>
      <c r="B178" s="41" t="n"/>
      <c r="C178" s="33" t="n"/>
      <c r="D178" s="33" t="n"/>
      <c r="E178" s="33" t="n"/>
      <c r="F178" s="33" t="n"/>
      <c r="G178" s="36" t="n"/>
      <c r="H178" s="33" t="n"/>
      <c r="I178" s="33" t="n"/>
      <c r="J178" s="41" t="n"/>
      <c r="K178" s="36" t="n"/>
      <c r="L178" s="37">
        <f>IF(NOT(ISNUMBER($G178)),"",$G178-IF(ISNUMBER($K178),$K178,0))</f>
        <v/>
      </c>
      <c r="M178" s="33" t="n"/>
      <c r="N178" s="33" t="n"/>
      <c r="O178" s="51">
        <f>IF(COUNTA($B178,$C178,$D178,$E178,$G178)=0,"",IF(IF($B178=""," · Falta fecha","")&amp;IF($C178=""," · Falta tipo (Fijo/Variable)","")&amp;IF($D178=""," · SIN CATEGORÍA","")&amp;IF($E178=""," · Falta descripción","")&amp;IF(OR($G178="",NOT(ISNUMBER($G178)),$G178&lt;=0)," · Monto inválido","")&amp;IF(AND($I178="Pagado",$J178="")," · Pago sin fecha","")&amp;IF(AND(ISNUMBER($K178),ISNUMBER($G178),$K178&gt;N($G178)+0.01)," · Pagado &gt; monto","")&amp;IF(AND(ISNUMBER($K178),$K178&gt;0,$J178="")," · Monto pagado sin fecha","")="","OK",MID(IF($B178=""," · Falta fecha","")&amp;IF($C178=""," · Falta tipo (Fijo/Variable)","")&amp;IF($D178=""," · SIN CATEGORÍA","")&amp;IF($E178=""," · Falta descripción","")&amp;IF(OR($G178="",NOT(ISNUMBER($G178)),$G178&lt;=0)," · Monto inválido","")&amp;IF(AND($I178="Pagado",$J178="")," · Pago sin fecha","")&amp;IF(AND(ISNUMBER($K178),ISNUMBER($G178),$K178&gt;N($G178)+0.01)," · Pagado &gt; monto","")&amp;IF(AND(ISNUMBER($K178),$K178&gt;0,$J178="")," · Monto pagado sin fecha",""),4,900)))</f>
        <v/>
      </c>
    </row>
    <row r="179">
      <c r="A179" s="51">
        <f>IF(COUNTA($B179,$C179,$D179,$E179,$G179)=0,"","G-"&amp;TEXT(ROW()-6,"0000"))</f>
        <v/>
      </c>
      <c r="B179" s="41" t="n"/>
      <c r="C179" s="33" t="n"/>
      <c r="D179" s="33" t="n"/>
      <c r="E179" s="33" t="n"/>
      <c r="F179" s="33" t="n"/>
      <c r="G179" s="36" t="n"/>
      <c r="H179" s="33" t="n"/>
      <c r="I179" s="33" t="n"/>
      <c r="J179" s="41" t="n"/>
      <c r="K179" s="36" t="n"/>
      <c r="L179" s="37">
        <f>IF(NOT(ISNUMBER($G179)),"",$G179-IF(ISNUMBER($K179),$K179,0))</f>
        <v/>
      </c>
      <c r="M179" s="33" t="n"/>
      <c r="N179" s="33" t="n"/>
      <c r="O179" s="51">
        <f>IF(COUNTA($B179,$C179,$D179,$E179,$G179)=0,"",IF(IF($B179=""," · Falta fecha","")&amp;IF($C179=""," · Falta tipo (Fijo/Variable)","")&amp;IF($D179=""," · SIN CATEGORÍA","")&amp;IF($E179=""," · Falta descripción","")&amp;IF(OR($G179="",NOT(ISNUMBER($G179)),$G179&lt;=0)," · Monto inválido","")&amp;IF(AND($I179="Pagado",$J179="")," · Pago sin fecha","")&amp;IF(AND(ISNUMBER($K179),ISNUMBER($G179),$K179&gt;N($G179)+0.01)," · Pagado &gt; monto","")&amp;IF(AND(ISNUMBER($K179),$K179&gt;0,$J179="")," · Monto pagado sin fecha","")="","OK",MID(IF($B179=""," · Falta fecha","")&amp;IF($C179=""," · Falta tipo (Fijo/Variable)","")&amp;IF($D179=""," · SIN CATEGORÍA","")&amp;IF($E179=""," · Falta descripción","")&amp;IF(OR($G179="",NOT(ISNUMBER($G179)),$G179&lt;=0)," · Monto inválido","")&amp;IF(AND($I179="Pagado",$J179="")," · Pago sin fecha","")&amp;IF(AND(ISNUMBER($K179),ISNUMBER($G179),$K179&gt;N($G179)+0.01)," · Pagado &gt; monto","")&amp;IF(AND(ISNUMBER($K179),$K179&gt;0,$J179="")," · Monto pagado sin fecha",""),4,900)))</f>
        <v/>
      </c>
    </row>
    <row r="180">
      <c r="A180" s="51">
        <f>IF(COUNTA($B180,$C180,$D180,$E180,$G180)=0,"","G-"&amp;TEXT(ROW()-6,"0000"))</f>
        <v/>
      </c>
      <c r="B180" s="41" t="n"/>
      <c r="C180" s="33" t="n"/>
      <c r="D180" s="33" t="n"/>
      <c r="E180" s="33" t="n"/>
      <c r="F180" s="33" t="n"/>
      <c r="G180" s="36" t="n"/>
      <c r="H180" s="33" t="n"/>
      <c r="I180" s="33" t="n"/>
      <c r="J180" s="41" t="n"/>
      <c r="K180" s="36" t="n"/>
      <c r="L180" s="37">
        <f>IF(NOT(ISNUMBER($G180)),"",$G180-IF(ISNUMBER($K180),$K180,0))</f>
        <v/>
      </c>
      <c r="M180" s="33" t="n"/>
      <c r="N180" s="33" t="n"/>
      <c r="O180" s="51">
        <f>IF(COUNTA($B180,$C180,$D180,$E180,$G180)=0,"",IF(IF($B180=""," · Falta fecha","")&amp;IF($C180=""," · Falta tipo (Fijo/Variable)","")&amp;IF($D180=""," · SIN CATEGORÍA","")&amp;IF($E180=""," · Falta descripción","")&amp;IF(OR($G180="",NOT(ISNUMBER($G180)),$G180&lt;=0)," · Monto inválido","")&amp;IF(AND($I180="Pagado",$J180="")," · Pago sin fecha","")&amp;IF(AND(ISNUMBER($K180),ISNUMBER($G180),$K180&gt;N($G180)+0.01)," · Pagado &gt; monto","")&amp;IF(AND(ISNUMBER($K180),$K180&gt;0,$J180="")," · Monto pagado sin fecha","")="","OK",MID(IF($B180=""," · Falta fecha","")&amp;IF($C180=""," · Falta tipo (Fijo/Variable)","")&amp;IF($D180=""," · SIN CATEGORÍA","")&amp;IF($E180=""," · Falta descripción","")&amp;IF(OR($G180="",NOT(ISNUMBER($G180)),$G180&lt;=0)," · Monto inválido","")&amp;IF(AND($I180="Pagado",$J180="")," · Pago sin fecha","")&amp;IF(AND(ISNUMBER($K180),ISNUMBER($G180),$K180&gt;N($G180)+0.01)," · Pagado &gt; monto","")&amp;IF(AND(ISNUMBER($K180),$K180&gt;0,$J180="")," · Monto pagado sin fecha",""),4,900)))</f>
        <v/>
      </c>
    </row>
    <row r="181">
      <c r="A181" s="51">
        <f>IF(COUNTA($B181,$C181,$D181,$E181,$G181)=0,"","G-"&amp;TEXT(ROW()-6,"0000"))</f>
        <v/>
      </c>
      <c r="B181" s="41" t="n"/>
      <c r="C181" s="33" t="n"/>
      <c r="D181" s="33" t="n"/>
      <c r="E181" s="33" t="n"/>
      <c r="F181" s="33" t="n"/>
      <c r="G181" s="36" t="n"/>
      <c r="H181" s="33" t="n"/>
      <c r="I181" s="33" t="n"/>
      <c r="J181" s="41" t="n"/>
      <c r="K181" s="36" t="n"/>
      <c r="L181" s="37">
        <f>IF(NOT(ISNUMBER($G181)),"",$G181-IF(ISNUMBER($K181),$K181,0))</f>
        <v/>
      </c>
      <c r="M181" s="33" t="n"/>
      <c r="N181" s="33" t="n"/>
      <c r="O181" s="51">
        <f>IF(COUNTA($B181,$C181,$D181,$E181,$G181)=0,"",IF(IF($B181=""," · Falta fecha","")&amp;IF($C181=""," · Falta tipo (Fijo/Variable)","")&amp;IF($D181=""," · SIN CATEGORÍA","")&amp;IF($E181=""," · Falta descripción","")&amp;IF(OR($G181="",NOT(ISNUMBER($G181)),$G181&lt;=0)," · Monto inválido","")&amp;IF(AND($I181="Pagado",$J181="")," · Pago sin fecha","")&amp;IF(AND(ISNUMBER($K181),ISNUMBER($G181),$K181&gt;N($G181)+0.01)," · Pagado &gt; monto","")&amp;IF(AND(ISNUMBER($K181),$K181&gt;0,$J181="")," · Monto pagado sin fecha","")="","OK",MID(IF($B181=""," · Falta fecha","")&amp;IF($C181=""," · Falta tipo (Fijo/Variable)","")&amp;IF($D181=""," · SIN CATEGORÍA","")&amp;IF($E181=""," · Falta descripción","")&amp;IF(OR($G181="",NOT(ISNUMBER($G181)),$G181&lt;=0)," · Monto inválido","")&amp;IF(AND($I181="Pagado",$J181="")," · Pago sin fecha","")&amp;IF(AND(ISNUMBER($K181),ISNUMBER($G181),$K181&gt;N($G181)+0.01)," · Pagado &gt; monto","")&amp;IF(AND(ISNUMBER($K181),$K181&gt;0,$J181="")," · Monto pagado sin fecha",""),4,900)))</f>
        <v/>
      </c>
    </row>
    <row r="182">
      <c r="A182" s="51">
        <f>IF(COUNTA($B182,$C182,$D182,$E182,$G182)=0,"","G-"&amp;TEXT(ROW()-6,"0000"))</f>
        <v/>
      </c>
      <c r="B182" s="41" t="n"/>
      <c r="C182" s="33" t="n"/>
      <c r="D182" s="33" t="n"/>
      <c r="E182" s="33" t="n"/>
      <c r="F182" s="33" t="n"/>
      <c r="G182" s="36" t="n"/>
      <c r="H182" s="33" t="n"/>
      <c r="I182" s="33" t="n"/>
      <c r="J182" s="41" t="n"/>
      <c r="K182" s="36" t="n"/>
      <c r="L182" s="37">
        <f>IF(NOT(ISNUMBER($G182)),"",$G182-IF(ISNUMBER($K182),$K182,0))</f>
        <v/>
      </c>
      <c r="M182" s="33" t="n"/>
      <c r="N182" s="33" t="n"/>
      <c r="O182" s="51">
        <f>IF(COUNTA($B182,$C182,$D182,$E182,$G182)=0,"",IF(IF($B182=""," · Falta fecha","")&amp;IF($C182=""," · Falta tipo (Fijo/Variable)","")&amp;IF($D182=""," · SIN CATEGORÍA","")&amp;IF($E182=""," · Falta descripción","")&amp;IF(OR($G182="",NOT(ISNUMBER($G182)),$G182&lt;=0)," · Monto inválido","")&amp;IF(AND($I182="Pagado",$J182="")," · Pago sin fecha","")&amp;IF(AND(ISNUMBER($K182),ISNUMBER($G182),$K182&gt;N($G182)+0.01)," · Pagado &gt; monto","")&amp;IF(AND(ISNUMBER($K182),$K182&gt;0,$J182="")," · Monto pagado sin fecha","")="","OK",MID(IF($B182=""," · Falta fecha","")&amp;IF($C182=""," · Falta tipo (Fijo/Variable)","")&amp;IF($D182=""," · SIN CATEGORÍA","")&amp;IF($E182=""," · Falta descripción","")&amp;IF(OR($G182="",NOT(ISNUMBER($G182)),$G182&lt;=0)," · Monto inválido","")&amp;IF(AND($I182="Pagado",$J182="")," · Pago sin fecha","")&amp;IF(AND(ISNUMBER($K182),ISNUMBER($G182),$K182&gt;N($G182)+0.01)," · Pagado &gt; monto","")&amp;IF(AND(ISNUMBER($K182),$K182&gt;0,$J182="")," · Monto pagado sin fecha",""),4,900)))</f>
        <v/>
      </c>
    </row>
    <row r="183">
      <c r="A183" s="51">
        <f>IF(COUNTA($B183,$C183,$D183,$E183,$G183)=0,"","G-"&amp;TEXT(ROW()-6,"0000"))</f>
        <v/>
      </c>
      <c r="B183" s="41" t="n"/>
      <c r="C183" s="33" t="n"/>
      <c r="D183" s="33" t="n"/>
      <c r="E183" s="33" t="n"/>
      <c r="F183" s="33" t="n"/>
      <c r="G183" s="36" t="n"/>
      <c r="H183" s="33" t="n"/>
      <c r="I183" s="33" t="n"/>
      <c r="J183" s="41" t="n"/>
      <c r="K183" s="36" t="n"/>
      <c r="L183" s="37">
        <f>IF(NOT(ISNUMBER($G183)),"",$G183-IF(ISNUMBER($K183),$K183,0))</f>
        <v/>
      </c>
      <c r="M183" s="33" t="n"/>
      <c r="N183" s="33" t="n"/>
      <c r="O183" s="51">
        <f>IF(COUNTA($B183,$C183,$D183,$E183,$G183)=0,"",IF(IF($B183=""," · Falta fecha","")&amp;IF($C183=""," · Falta tipo (Fijo/Variable)","")&amp;IF($D183=""," · SIN CATEGORÍA","")&amp;IF($E183=""," · Falta descripción","")&amp;IF(OR($G183="",NOT(ISNUMBER($G183)),$G183&lt;=0)," · Monto inválido","")&amp;IF(AND($I183="Pagado",$J183="")," · Pago sin fecha","")&amp;IF(AND(ISNUMBER($K183),ISNUMBER($G183),$K183&gt;N($G183)+0.01)," · Pagado &gt; monto","")&amp;IF(AND(ISNUMBER($K183),$K183&gt;0,$J183="")," · Monto pagado sin fecha","")="","OK",MID(IF($B183=""," · Falta fecha","")&amp;IF($C183=""," · Falta tipo (Fijo/Variable)","")&amp;IF($D183=""," · SIN CATEGORÍA","")&amp;IF($E183=""," · Falta descripción","")&amp;IF(OR($G183="",NOT(ISNUMBER($G183)),$G183&lt;=0)," · Monto inválido","")&amp;IF(AND($I183="Pagado",$J183="")," · Pago sin fecha","")&amp;IF(AND(ISNUMBER($K183),ISNUMBER($G183),$K183&gt;N($G183)+0.01)," · Pagado &gt; monto","")&amp;IF(AND(ISNUMBER($K183),$K183&gt;0,$J183="")," · Monto pagado sin fecha",""),4,900)))</f>
        <v/>
      </c>
    </row>
    <row r="184">
      <c r="A184" s="51">
        <f>IF(COUNTA($B184,$C184,$D184,$E184,$G184)=0,"","G-"&amp;TEXT(ROW()-6,"0000"))</f>
        <v/>
      </c>
      <c r="B184" s="41" t="n"/>
      <c r="C184" s="33" t="n"/>
      <c r="D184" s="33" t="n"/>
      <c r="E184" s="33" t="n"/>
      <c r="F184" s="33" t="n"/>
      <c r="G184" s="36" t="n"/>
      <c r="H184" s="33" t="n"/>
      <c r="I184" s="33" t="n"/>
      <c r="J184" s="41" t="n"/>
      <c r="K184" s="36" t="n"/>
      <c r="L184" s="37">
        <f>IF(NOT(ISNUMBER($G184)),"",$G184-IF(ISNUMBER($K184),$K184,0))</f>
        <v/>
      </c>
      <c r="M184" s="33" t="n"/>
      <c r="N184" s="33" t="n"/>
      <c r="O184" s="51">
        <f>IF(COUNTA($B184,$C184,$D184,$E184,$G184)=0,"",IF(IF($B184=""," · Falta fecha","")&amp;IF($C184=""," · Falta tipo (Fijo/Variable)","")&amp;IF($D184=""," · SIN CATEGORÍA","")&amp;IF($E184=""," · Falta descripción","")&amp;IF(OR($G184="",NOT(ISNUMBER($G184)),$G184&lt;=0)," · Monto inválido","")&amp;IF(AND($I184="Pagado",$J184="")," · Pago sin fecha","")&amp;IF(AND(ISNUMBER($K184),ISNUMBER($G184),$K184&gt;N($G184)+0.01)," · Pagado &gt; monto","")&amp;IF(AND(ISNUMBER($K184),$K184&gt;0,$J184="")," · Monto pagado sin fecha","")="","OK",MID(IF($B184=""," · Falta fecha","")&amp;IF($C184=""," · Falta tipo (Fijo/Variable)","")&amp;IF($D184=""," · SIN CATEGORÍA","")&amp;IF($E184=""," · Falta descripción","")&amp;IF(OR($G184="",NOT(ISNUMBER($G184)),$G184&lt;=0)," · Monto inválido","")&amp;IF(AND($I184="Pagado",$J184="")," · Pago sin fecha","")&amp;IF(AND(ISNUMBER($K184),ISNUMBER($G184),$K184&gt;N($G184)+0.01)," · Pagado &gt; monto","")&amp;IF(AND(ISNUMBER($K184),$K184&gt;0,$J184="")," · Monto pagado sin fecha",""),4,900)))</f>
        <v/>
      </c>
    </row>
    <row r="185">
      <c r="A185" s="51">
        <f>IF(COUNTA($B185,$C185,$D185,$E185,$G185)=0,"","G-"&amp;TEXT(ROW()-6,"0000"))</f>
        <v/>
      </c>
      <c r="B185" s="41" t="n"/>
      <c r="C185" s="33" t="n"/>
      <c r="D185" s="33" t="n"/>
      <c r="E185" s="33" t="n"/>
      <c r="F185" s="33" t="n"/>
      <c r="G185" s="36" t="n"/>
      <c r="H185" s="33" t="n"/>
      <c r="I185" s="33" t="n"/>
      <c r="J185" s="41" t="n"/>
      <c r="K185" s="36" t="n"/>
      <c r="L185" s="37">
        <f>IF(NOT(ISNUMBER($G185)),"",$G185-IF(ISNUMBER($K185),$K185,0))</f>
        <v/>
      </c>
      <c r="M185" s="33" t="n"/>
      <c r="N185" s="33" t="n"/>
      <c r="O185" s="51">
        <f>IF(COUNTA($B185,$C185,$D185,$E185,$G185)=0,"",IF(IF($B185=""," · Falta fecha","")&amp;IF($C185=""," · Falta tipo (Fijo/Variable)","")&amp;IF($D185=""," · SIN CATEGORÍA","")&amp;IF($E185=""," · Falta descripción","")&amp;IF(OR($G185="",NOT(ISNUMBER($G185)),$G185&lt;=0)," · Monto inválido","")&amp;IF(AND($I185="Pagado",$J185="")," · Pago sin fecha","")&amp;IF(AND(ISNUMBER($K185),ISNUMBER($G185),$K185&gt;N($G185)+0.01)," · Pagado &gt; monto","")&amp;IF(AND(ISNUMBER($K185),$K185&gt;0,$J185="")," · Monto pagado sin fecha","")="","OK",MID(IF($B185=""," · Falta fecha","")&amp;IF($C185=""," · Falta tipo (Fijo/Variable)","")&amp;IF($D185=""," · SIN CATEGORÍA","")&amp;IF($E185=""," · Falta descripción","")&amp;IF(OR($G185="",NOT(ISNUMBER($G185)),$G185&lt;=0)," · Monto inválido","")&amp;IF(AND($I185="Pagado",$J185="")," · Pago sin fecha","")&amp;IF(AND(ISNUMBER($K185),ISNUMBER($G185),$K185&gt;N($G185)+0.01)," · Pagado &gt; monto","")&amp;IF(AND(ISNUMBER($K185),$K185&gt;0,$J185="")," · Monto pagado sin fecha",""),4,900)))</f>
        <v/>
      </c>
    </row>
    <row r="186">
      <c r="A186" s="51">
        <f>IF(COUNTA($B186,$C186,$D186,$E186,$G186)=0,"","G-"&amp;TEXT(ROW()-6,"0000"))</f>
        <v/>
      </c>
      <c r="B186" s="41" t="n"/>
      <c r="C186" s="33" t="n"/>
      <c r="D186" s="33" t="n"/>
      <c r="E186" s="33" t="n"/>
      <c r="F186" s="33" t="n"/>
      <c r="G186" s="36" t="n"/>
      <c r="H186" s="33" t="n"/>
      <c r="I186" s="33" t="n"/>
      <c r="J186" s="41" t="n"/>
      <c r="K186" s="36" t="n"/>
      <c r="L186" s="37">
        <f>IF(NOT(ISNUMBER($G186)),"",$G186-IF(ISNUMBER($K186),$K186,0))</f>
        <v/>
      </c>
      <c r="M186" s="33" t="n"/>
      <c r="N186" s="33" t="n"/>
      <c r="O186" s="51">
        <f>IF(COUNTA($B186,$C186,$D186,$E186,$G186)=0,"",IF(IF($B186=""," · Falta fecha","")&amp;IF($C186=""," · Falta tipo (Fijo/Variable)","")&amp;IF($D186=""," · SIN CATEGORÍA","")&amp;IF($E186=""," · Falta descripción","")&amp;IF(OR($G186="",NOT(ISNUMBER($G186)),$G186&lt;=0)," · Monto inválido","")&amp;IF(AND($I186="Pagado",$J186="")," · Pago sin fecha","")&amp;IF(AND(ISNUMBER($K186),ISNUMBER($G186),$K186&gt;N($G186)+0.01)," · Pagado &gt; monto","")&amp;IF(AND(ISNUMBER($K186),$K186&gt;0,$J186="")," · Monto pagado sin fecha","")="","OK",MID(IF($B186=""," · Falta fecha","")&amp;IF($C186=""," · Falta tipo (Fijo/Variable)","")&amp;IF($D186=""," · SIN CATEGORÍA","")&amp;IF($E186=""," · Falta descripción","")&amp;IF(OR($G186="",NOT(ISNUMBER($G186)),$G186&lt;=0)," · Monto inválido","")&amp;IF(AND($I186="Pagado",$J186="")," · Pago sin fecha","")&amp;IF(AND(ISNUMBER($K186),ISNUMBER($G186),$K186&gt;N($G186)+0.01)," · Pagado &gt; monto","")&amp;IF(AND(ISNUMBER($K186),$K186&gt;0,$J186="")," · Monto pagado sin fecha",""),4,900)))</f>
        <v/>
      </c>
    </row>
    <row r="187">
      <c r="A187" s="51">
        <f>IF(COUNTA($B187,$C187,$D187,$E187,$G187)=0,"","G-"&amp;TEXT(ROW()-6,"0000"))</f>
        <v/>
      </c>
      <c r="B187" s="41" t="n"/>
      <c r="C187" s="33" t="n"/>
      <c r="D187" s="33" t="n"/>
      <c r="E187" s="33" t="n"/>
      <c r="F187" s="33" t="n"/>
      <c r="G187" s="36" t="n"/>
      <c r="H187" s="33" t="n"/>
      <c r="I187" s="33" t="n"/>
      <c r="J187" s="41" t="n"/>
      <c r="K187" s="36" t="n"/>
      <c r="L187" s="37">
        <f>IF(NOT(ISNUMBER($G187)),"",$G187-IF(ISNUMBER($K187),$K187,0))</f>
        <v/>
      </c>
      <c r="M187" s="33" t="n"/>
      <c r="N187" s="33" t="n"/>
      <c r="O187" s="51">
        <f>IF(COUNTA($B187,$C187,$D187,$E187,$G187)=0,"",IF(IF($B187=""," · Falta fecha","")&amp;IF($C187=""," · Falta tipo (Fijo/Variable)","")&amp;IF($D187=""," · SIN CATEGORÍA","")&amp;IF($E187=""," · Falta descripción","")&amp;IF(OR($G187="",NOT(ISNUMBER($G187)),$G187&lt;=0)," · Monto inválido","")&amp;IF(AND($I187="Pagado",$J187="")," · Pago sin fecha","")&amp;IF(AND(ISNUMBER($K187),ISNUMBER($G187),$K187&gt;N($G187)+0.01)," · Pagado &gt; monto","")&amp;IF(AND(ISNUMBER($K187),$K187&gt;0,$J187="")," · Monto pagado sin fecha","")="","OK",MID(IF($B187=""," · Falta fecha","")&amp;IF($C187=""," · Falta tipo (Fijo/Variable)","")&amp;IF($D187=""," · SIN CATEGORÍA","")&amp;IF($E187=""," · Falta descripción","")&amp;IF(OR($G187="",NOT(ISNUMBER($G187)),$G187&lt;=0)," · Monto inválido","")&amp;IF(AND($I187="Pagado",$J187="")," · Pago sin fecha","")&amp;IF(AND(ISNUMBER($K187),ISNUMBER($G187),$K187&gt;N($G187)+0.01)," · Pagado &gt; monto","")&amp;IF(AND(ISNUMBER($K187),$K187&gt;0,$J187="")," · Monto pagado sin fecha",""),4,900)))</f>
        <v/>
      </c>
    </row>
    <row r="188">
      <c r="A188" s="51">
        <f>IF(COUNTA($B188,$C188,$D188,$E188,$G188)=0,"","G-"&amp;TEXT(ROW()-6,"0000"))</f>
        <v/>
      </c>
      <c r="B188" s="41" t="n"/>
      <c r="C188" s="33" t="n"/>
      <c r="D188" s="33" t="n"/>
      <c r="E188" s="33" t="n"/>
      <c r="F188" s="33" t="n"/>
      <c r="G188" s="36" t="n"/>
      <c r="H188" s="33" t="n"/>
      <c r="I188" s="33" t="n"/>
      <c r="J188" s="41" t="n"/>
      <c r="K188" s="36" t="n"/>
      <c r="L188" s="37">
        <f>IF(NOT(ISNUMBER($G188)),"",$G188-IF(ISNUMBER($K188),$K188,0))</f>
        <v/>
      </c>
      <c r="M188" s="33" t="n"/>
      <c r="N188" s="33" t="n"/>
      <c r="O188" s="51">
        <f>IF(COUNTA($B188,$C188,$D188,$E188,$G188)=0,"",IF(IF($B188=""," · Falta fecha","")&amp;IF($C188=""," · Falta tipo (Fijo/Variable)","")&amp;IF($D188=""," · SIN CATEGORÍA","")&amp;IF($E188=""," · Falta descripción","")&amp;IF(OR($G188="",NOT(ISNUMBER($G188)),$G188&lt;=0)," · Monto inválido","")&amp;IF(AND($I188="Pagado",$J188="")," · Pago sin fecha","")&amp;IF(AND(ISNUMBER($K188),ISNUMBER($G188),$K188&gt;N($G188)+0.01)," · Pagado &gt; monto","")&amp;IF(AND(ISNUMBER($K188),$K188&gt;0,$J188="")," · Monto pagado sin fecha","")="","OK",MID(IF($B188=""," · Falta fecha","")&amp;IF($C188=""," · Falta tipo (Fijo/Variable)","")&amp;IF($D188=""," · SIN CATEGORÍA","")&amp;IF($E188=""," · Falta descripción","")&amp;IF(OR($G188="",NOT(ISNUMBER($G188)),$G188&lt;=0)," · Monto inválido","")&amp;IF(AND($I188="Pagado",$J188="")," · Pago sin fecha","")&amp;IF(AND(ISNUMBER($K188),ISNUMBER($G188),$K188&gt;N($G188)+0.01)," · Pagado &gt; monto","")&amp;IF(AND(ISNUMBER($K188),$K188&gt;0,$J188="")," · Monto pagado sin fecha",""),4,900)))</f>
        <v/>
      </c>
    </row>
    <row r="189">
      <c r="A189" s="51">
        <f>IF(COUNTA($B189,$C189,$D189,$E189,$G189)=0,"","G-"&amp;TEXT(ROW()-6,"0000"))</f>
        <v/>
      </c>
      <c r="B189" s="41" t="n"/>
      <c r="C189" s="33" t="n"/>
      <c r="D189" s="33" t="n"/>
      <c r="E189" s="33" t="n"/>
      <c r="F189" s="33" t="n"/>
      <c r="G189" s="36" t="n"/>
      <c r="H189" s="33" t="n"/>
      <c r="I189" s="33" t="n"/>
      <c r="J189" s="41" t="n"/>
      <c r="K189" s="36" t="n"/>
      <c r="L189" s="37">
        <f>IF(NOT(ISNUMBER($G189)),"",$G189-IF(ISNUMBER($K189),$K189,0))</f>
        <v/>
      </c>
      <c r="M189" s="33" t="n"/>
      <c r="N189" s="33" t="n"/>
      <c r="O189" s="51">
        <f>IF(COUNTA($B189,$C189,$D189,$E189,$G189)=0,"",IF(IF($B189=""," · Falta fecha","")&amp;IF($C189=""," · Falta tipo (Fijo/Variable)","")&amp;IF($D189=""," · SIN CATEGORÍA","")&amp;IF($E189=""," · Falta descripción","")&amp;IF(OR($G189="",NOT(ISNUMBER($G189)),$G189&lt;=0)," · Monto inválido","")&amp;IF(AND($I189="Pagado",$J189="")," · Pago sin fecha","")&amp;IF(AND(ISNUMBER($K189),ISNUMBER($G189),$K189&gt;N($G189)+0.01)," · Pagado &gt; monto","")&amp;IF(AND(ISNUMBER($K189),$K189&gt;0,$J189="")," · Monto pagado sin fecha","")="","OK",MID(IF($B189=""," · Falta fecha","")&amp;IF($C189=""," · Falta tipo (Fijo/Variable)","")&amp;IF($D189=""," · SIN CATEGORÍA","")&amp;IF($E189=""," · Falta descripción","")&amp;IF(OR($G189="",NOT(ISNUMBER($G189)),$G189&lt;=0)," · Monto inválido","")&amp;IF(AND($I189="Pagado",$J189="")," · Pago sin fecha","")&amp;IF(AND(ISNUMBER($K189),ISNUMBER($G189),$K189&gt;N($G189)+0.01)," · Pagado &gt; monto","")&amp;IF(AND(ISNUMBER($K189),$K189&gt;0,$J189="")," · Monto pagado sin fecha",""),4,900)))</f>
        <v/>
      </c>
    </row>
    <row r="190">
      <c r="A190" s="51">
        <f>IF(COUNTA($B190,$C190,$D190,$E190,$G190)=0,"","G-"&amp;TEXT(ROW()-6,"0000"))</f>
        <v/>
      </c>
      <c r="B190" s="41" t="n"/>
      <c r="C190" s="33" t="n"/>
      <c r="D190" s="33" t="n"/>
      <c r="E190" s="33" t="n"/>
      <c r="F190" s="33" t="n"/>
      <c r="G190" s="36" t="n"/>
      <c r="H190" s="33" t="n"/>
      <c r="I190" s="33" t="n"/>
      <c r="J190" s="41" t="n"/>
      <c r="K190" s="36" t="n"/>
      <c r="L190" s="37">
        <f>IF(NOT(ISNUMBER($G190)),"",$G190-IF(ISNUMBER($K190),$K190,0))</f>
        <v/>
      </c>
      <c r="M190" s="33" t="n"/>
      <c r="N190" s="33" t="n"/>
      <c r="O190" s="51">
        <f>IF(COUNTA($B190,$C190,$D190,$E190,$G190)=0,"",IF(IF($B190=""," · Falta fecha","")&amp;IF($C190=""," · Falta tipo (Fijo/Variable)","")&amp;IF($D190=""," · SIN CATEGORÍA","")&amp;IF($E190=""," · Falta descripción","")&amp;IF(OR($G190="",NOT(ISNUMBER($G190)),$G190&lt;=0)," · Monto inválido","")&amp;IF(AND($I190="Pagado",$J190="")," · Pago sin fecha","")&amp;IF(AND(ISNUMBER($K190),ISNUMBER($G190),$K190&gt;N($G190)+0.01)," · Pagado &gt; monto","")&amp;IF(AND(ISNUMBER($K190),$K190&gt;0,$J190="")," · Monto pagado sin fecha","")="","OK",MID(IF($B190=""," · Falta fecha","")&amp;IF($C190=""," · Falta tipo (Fijo/Variable)","")&amp;IF($D190=""," · SIN CATEGORÍA","")&amp;IF($E190=""," · Falta descripción","")&amp;IF(OR($G190="",NOT(ISNUMBER($G190)),$G190&lt;=0)," · Monto inválido","")&amp;IF(AND($I190="Pagado",$J190="")," · Pago sin fecha","")&amp;IF(AND(ISNUMBER($K190),ISNUMBER($G190),$K190&gt;N($G190)+0.01)," · Pagado &gt; monto","")&amp;IF(AND(ISNUMBER($K190),$K190&gt;0,$J190="")," · Monto pagado sin fecha",""),4,900)))</f>
        <v/>
      </c>
    </row>
    <row r="191">
      <c r="A191" s="51">
        <f>IF(COUNTA($B191,$C191,$D191,$E191,$G191)=0,"","G-"&amp;TEXT(ROW()-6,"0000"))</f>
        <v/>
      </c>
      <c r="B191" s="41" t="n"/>
      <c r="C191" s="33" t="n"/>
      <c r="D191" s="33" t="n"/>
      <c r="E191" s="33" t="n"/>
      <c r="F191" s="33" t="n"/>
      <c r="G191" s="36" t="n"/>
      <c r="H191" s="33" t="n"/>
      <c r="I191" s="33" t="n"/>
      <c r="J191" s="41" t="n"/>
      <c r="K191" s="36" t="n"/>
      <c r="L191" s="37">
        <f>IF(NOT(ISNUMBER($G191)),"",$G191-IF(ISNUMBER($K191),$K191,0))</f>
        <v/>
      </c>
      <c r="M191" s="33" t="n"/>
      <c r="N191" s="33" t="n"/>
      <c r="O191" s="51">
        <f>IF(COUNTA($B191,$C191,$D191,$E191,$G191)=0,"",IF(IF($B191=""," · Falta fecha","")&amp;IF($C191=""," · Falta tipo (Fijo/Variable)","")&amp;IF($D191=""," · SIN CATEGORÍA","")&amp;IF($E191=""," · Falta descripción","")&amp;IF(OR($G191="",NOT(ISNUMBER($G191)),$G191&lt;=0)," · Monto inválido","")&amp;IF(AND($I191="Pagado",$J191="")," · Pago sin fecha","")&amp;IF(AND(ISNUMBER($K191),ISNUMBER($G191),$K191&gt;N($G191)+0.01)," · Pagado &gt; monto","")&amp;IF(AND(ISNUMBER($K191),$K191&gt;0,$J191="")," · Monto pagado sin fecha","")="","OK",MID(IF($B191=""," · Falta fecha","")&amp;IF($C191=""," · Falta tipo (Fijo/Variable)","")&amp;IF($D191=""," · SIN CATEGORÍA","")&amp;IF($E191=""," · Falta descripción","")&amp;IF(OR($G191="",NOT(ISNUMBER($G191)),$G191&lt;=0)," · Monto inválido","")&amp;IF(AND($I191="Pagado",$J191="")," · Pago sin fecha","")&amp;IF(AND(ISNUMBER($K191),ISNUMBER($G191),$K191&gt;N($G191)+0.01)," · Pagado &gt; monto","")&amp;IF(AND(ISNUMBER($K191),$K191&gt;0,$J191="")," · Monto pagado sin fecha",""),4,900)))</f>
        <v/>
      </c>
    </row>
    <row r="192">
      <c r="A192" s="51">
        <f>IF(COUNTA($B192,$C192,$D192,$E192,$G192)=0,"","G-"&amp;TEXT(ROW()-6,"0000"))</f>
        <v/>
      </c>
      <c r="B192" s="41" t="n"/>
      <c r="C192" s="33" t="n"/>
      <c r="D192" s="33" t="n"/>
      <c r="E192" s="33" t="n"/>
      <c r="F192" s="33" t="n"/>
      <c r="G192" s="36" t="n"/>
      <c r="H192" s="33" t="n"/>
      <c r="I192" s="33" t="n"/>
      <c r="J192" s="41" t="n"/>
      <c r="K192" s="36" t="n"/>
      <c r="L192" s="37">
        <f>IF(NOT(ISNUMBER($G192)),"",$G192-IF(ISNUMBER($K192),$K192,0))</f>
        <v/>
      </c>
      <c r="M192" s="33" t="n"/>
      <c r="N192" s="33" t="n"/>
      <c r="O192" s="51">
        <f>IF(COUNTA($B192,$C192,$D192,$E192,$G192)=0,"",IF(IF($B192=""," · Falta fecha","")&amp;IF($C192=""," · Falta tipo (Fijo/Variable)","")&amp;IF($D192=""," · SIN CATEGORÍA","")&amp;IF($E192=""," · Falta descripción","")&amp;IF(OR($G192="",NOT(ISNUMBER($G192)),$G192&lt;=0)," · Monto inválido","")&amp;IF(AND($I192="Pagado",$J192="")," · Pago sin fecha","")&amp;IF(AND(ISNUMBER($K192),ISNUMBER($G192),$K192&gt;N($G192)+0.01)," · Pagado &gt; monto","")&amp;IF(AND(ISNUMBER($K192),$K192&gt;0,$J192="")," · Monto pagado sin fecha","")="","OK",MID(IF($B192=""," · Falta fecha","")&amp;IF($C192=""," · Falta tipo (Fijo/Variable)","")&amp;IF($D192=""," · SIN CATEGORÍA","")&amp;IF($E192=""," · Falta descripción","")&amp;IF(OR($G192="",NOT(ISNUMBER($G192)),$G192&lt;=0)," · Monto inválido","")&amp;IF(AND($I192="Pagado",$J192="")," · Pago sin fecha","")&amp;IF(AND(ISNUMBER($K192),ISNUMBER($G192),$K192&gt;N($G192)+0.01)," · Pagado &gt; monto","")&amp;IF(AND(ISNUMBER($K192),$K192&gt;0,$J192="")," · Monto pagado sin fecha",""),4,900)))</f>
        <v/>
      </c>
    </row>
    <row r="193">
      <c r="A193" s="51">
        <f>IF(COUNTA($B193,$C193,$D193,$E193,$G193)=0,"","G-"&amp;TEXT(ROW()-6,"0000"))</f>
        <v/>
      </c>
      <c r="B193" s="41" t="n"/>
      <c r="C193" s="33" t="n"/>
      <c r="D193" s="33" t="n"/>
      <c r="E193" s="33" t="n"/>
      <c r="F193" s="33" t="n"/>
      <c r="G193" s="36" t="n"/>
      <c r="H193" s="33" t="n"/>
      <c r="I193" s="33" t="n"/>
      <c r="J193" s="41" t="n"/>
      <c r="K193" s="36" t="n"/>
      <c r="L193" s="37">
        <f>IF(NOT(ISNUMBER($G193)),"",$G193-IF(ISNUMBER($K193),$K193,0))</f>
        <v/>
      </c>
      <c r="M193" s="33" t="n"/>
      <c r="N193" s="33" t="n"/>
      <c r="O193" s="51">
        <f>IF(COUNTA($B193,$C193,$D193,$E193,$G193)=0,"",IF(IF($B193=""," · Falta fecha","")&amp;IF($C193=""," · Falta tipo (Fijo/Variable)","")&amp;IF($D193=""," · SIN CATEGORÍA","")&amp;IF($E193=""," · Falta descripción","")&amp;IF(OR($G193="",NOT(ISNUMBER($G193)),$G193&lt;=0)," · Monto inválido","")&amp;IF(AND($I193="Pagado",$J193="")," · Pago sin fecha","")&amp;IF(AND(ISNUMBER($K193),ISNUMBER($G193),$K193&gt;N($G193)+0.01)," · Pagado &gt; monto","")&amp;IF(AND(ISNUMBER($K193),$K193&gt;0,$J193="")," · Monto pagado sin fecha","")="","OK",MID(IF($B193=""," · Falta fecha","")&amp;IF($C193=""," · Falta tipo (Fijo/Variable)","")&amp;IF($D193=""," · SIN CATEGORÍA","")&amp;IF($E193=""," · Falta descripción","")&amp;IF(OR($G193="",NOT(ISNUMBER($G193)),$G193&lt;=0)," · Monto inválido","")&amp;IF(AND($I193="Pagado",$J193="")," · Pago sin fecha","")&amp;IF(AND(ISNUMBER($K193),ISNUMBER($G193),$K193&gt;N($G193)+0.01)," · Pagado &gt; monto","")&amp;IF(AND(ISNUMBER($K193),$K193&gt;0,$J193="")," · Monto pagado sin fecha",""),4,900)))</f>
        <v/>
      </c>
    </row>
    <row r="194">
      <c r="A194" s="51">
        <f>IF(COUNTA($B194,$C194,$D194,$E194,$G194)=0,"","G-"&amp;TEXT(ROW()-6,"0000"))</f>
        <v/>
      </c>
      <c r="B194" s="41" t="n"/>
      <c r="C194" s="33" t="n"/>
      <c r="D194" s="33" t="n"/>
      <c r="E194" s="33" t="n"/>
      <c r="F194" s="33" t="n"/>
      <c r="G194" s="36" t="n"/>
      <c r="H194" s="33" t="n"/>
      <c r="I194" s="33" t="n"/>
      <c r="J194" s="41" t="n"/>
      <c r="K194" s="36" t="n"/>
      <c r="L194" s="37">
        <f>IF(NOT(ISNUMBER($G194)),"",$G194-IF(ISNUMBER($K194),$K194,0))</f>
        <v/>
      </c>
      <c r="M194" s="33" t="n"/>
      <c r="N194" s="33" t="n"/>
      <c r="O194" s="51">
        <f>IF(COUNTA($B194,$C194,$D194,$E194,$G194)=0,"",IF(IF($B194=""," · Falta fecha","")&amp;IF($C194=""," · Falta tipo (Fijo/Variable)","")&amp;IF($D194=""," · SIN CATEGORÍA","")&amp;IF($E194=""," · Falta descripción","")&amp;IF(OR($G194="",NOT(ISNUMBER($G194)),$G194&lt;=0)," · Monto inválido","")&amp;IF(AND($I194="Pagado",$J194="")," · Pago sin fecha","")&amp;IF(AND(ISNUMBER($K194),ISNUMBER($G194),$K194&gt;N($G194)+0.01)," · Pagado &gt; monto","")&amp;IF(AND(ISNUMBER($K194),$K194&gt;0,$J194="")," · Monto pagado sin fecha","")="","OK",MID(IF($B194=""," · Falta fecha","")&amp;IF($C194=""," · Falta tipo (Fijo/Variable)","")&amp;IF($D194=""," · SIN CATEGORÍA","")&amp;IF($E194=""," · Falta descripción","")&amp;IF(OR($G194="",NOT(ISNUMBER($G194)),$G194&lt;=0)," · Monto inválido","")&amp;IF(AND($I194="Pagado",$J194="")," · Pago sin fecha","")&amp;IF(AND(ISNUMBER($K194),ISNUMBER($G194),$K194&gt;N($G194)+0.01)," · Pagado &gt; monto","")&amp;IF(AND(ISNUMBER($K194),$K194&gt;0,$J194="")," · Monto pagado sin fecha",""),4,900)))</f>
        <v/>
      </c>
    </row>
    <row r="195">
      <c r="A195" s="51">
        <f>IF(COUNTA($B195,$C195,$D195,$E195,$G195)=0,"","G-"&amp;TEXT(ROW()-6,"0000"))</f>
        <v/>
      </c>
      <c r="B195" s="41" t="n"/>
      <c r="C195" s="33" t="n"/>
      <c r="D195" s="33" t="n"/>
      <c r="E195" s="33" t="n"/>
      <c r="F195" s="33" t="n"/>
      <c r="G195" s="36" t="n"/>
      <c r="H195" s="33" t="n"/>
      <c r="I195" s="33" t="n"/>
      <c r="J195" s="41" t="n"/>
      <c r="K195" s="36" t="n"/>
      <c r="L195" s="37">
        <f>IF(NOT(ISNUMBER($G195)),"",$G195-IF(ISNUMBER($K195),$K195,0))</f>
        <v/>
      </c>
      <c r="M195" s="33" t="n"/>
      <c r="N195" s="33" t="n"/>
      <c r="O195" s="51">
        <f>IF(COUNTA($B195,$C195,$D195,$E195,$G195)=0,"",IF(IF($B195=""," · Falta fecha","")&amp;IF($C195=""," · Falta tipo (Fijo/Variable)","")&amp;IF($D195=""," · SIN CATEGORÍA","")&amp;IF($E195=""," · Falta descripción","")&amp;IF(OR($G195="",NOT(ISNUMBER($G195)),$G195&lt;=0)," · Monto inválido","")&amp;IF(AND($I195="Pagado",$J195="")," · Pago sin fecha","")&amp;IF(AND(ISNUMBER($K195),ISNUMBER($G195),$K195&gt;N($G195)+0.01)," · Pagado &gt; monto","")&amp;IF(AND(ISNUMBER($K195),$K195&gt;0,$J195="")," · Monto pagado sin fecha","")="","OK",MID(IF($B195=""," · Falta fecha","")&amp;IF($C195=""," · Falta tipo (Fijo/Variable)","")&amp;IF($D195=""," · SIN CATEGORÍA","")&amp;IF($E195=""," · Falta descripción","")&amp;IF(OR($G195="",NOT(ISNUMBER($G195)),$G195&lt;=0)," · Monto inválido","")&amp;IF(AND($I195="Pagado",$J195="")," · Pago sin fecha","")&amp;IF(AND(ISNUMBER($K195),ISNUMBER($G195),$K195&gt;N($G195)+0.01)," · Pagado &gt; monto","")&amp;IF(AND(ISNUMBER($K195),$K195&gt;0,$J195="")," · Monto pagado sin fecha",""),4,900)))</f>
        <v/>
      </c>
    </row>
    <row r="196">
      <c r="A196" s="51">
        <f>IF(COUNTA($B196,$C196,$D196,$E196,$G196)=0,"","G-"&amp;TEXT(ROW()-6,"0000"))</f>
        <v/>
      </c>
      <c r="B196" s="41" t="n"/>
      <c r="C196" s="33" t="n"/>
      <c r="D196" s="33" t="n"/>
      <c r="E196" s="33" t="n"/>
      <c r="F196" s="33" t="n"/>
      <c r="G196" s="36" t="n"/>
      <c r="H196" s="33" t="n"/>
      <c r="I196" s="33" t="n"/>
      <c r="J196" s="41" t="n"/>
      <c r="K196" s="36" t="n"/>
      <c r="L196" s="37">
        <f>IF(NOT(ISNUMBER($G196)),"",$G196-IF(ISNUMBER($K196),$K196,0))</f>
        <v/>
      </c>
      <c r="M196" s="33" t="n"/>
      <c r="N196" s="33" t="n"/>
      <c r="O196" s="51">
        <f>IF(COUNTA($B196,$C196,$D196,$E196,$G196)=0,"",IF(IF($B196=""," · Falta fecha","")&amp;IF($C196=""," · Falta tipo (Fijo/Variable)","")&amp;IF($D196=""," · SIN CATEGORÍA","")&amp;IF($E196=""," · Falta descripción","")&amp;IF(OR($G196="",NOT(ISNUMBER($G196)),$G196&lt;=0)," · Monto inválido","")&amp;IF(AND($I196="Pagado",$J196="")," · Pago sin fecha","")&amp;IF(AND(ISNUMBER($K196),ISNUMBER($G196),$K196&gt;N($G196)+0.01)," · Pagado &gt; monto","")&amp;IF(AND(ISNUMBER($K196),$K196&gt;0,$J196="")," · Monto pagado sin fecha","")="","OK",MID(IF($B196=""," · Falta fecha","")&amp;IF($C196=""," · Falta tipo (Fijo/Variable)","")&amp;IF($D196=""," · SIN CATEGORÍA","")&amp;IF($E196=""," · Falta descripción","")&amp;IF(OR($G196="",NOT(ISNUMBER($G196)),$G196&lt;=0)," · Monto inválido","")&amp;IF(AND($I196="Pagado",$J196="")," · Pago sin fecha","")&amp;IF(AND(ISNUMBER($K196),ISNUMBER($G196),$K196&gt;N($G196)+0.01)," · Pagado &gt; monto","")&amp;IF(AND(ISNUMBER($K196),$K196&gt;0,$J196="")," · Monto pagado sin fecha",""),4,900)))</f>
        <v/>
      </c>
    </row>
    <row r="197">
      <c r="A197" s="51">
        <f>IF(COUNTA($B197,$C197,$D197,$E197,$G197)=0,"","G-"&amp;TEXT(ROW()-6,"0000"))</f>
        <v/>
      </c>
      <c r="B197" s="41" t="n"/>
      <c r="C197" s="33" t="n"/>
      <c r="D197" s="33" t="n"/>
      <c r="E197" s="33" t="n"/>
      <c r="F197" s="33" t="n"/>
      <c r="G197" s="36" t="n"/>
      <c r="H197" s="33" t="n"/>
      <c r="I197" s="33" t="n"/>
      <c r="J197" s="41" t="n"/>
      <c r="K197" s="36" t="n"/>
      <c r="L197" s="37">
        <f>IF(NOT(ISNUMBER($G197)),"",$G197-IF(ISNUMBER($K197),$K197,0))</f>
        <v/>
      </c>
      <c r="M197" s="33" t="n"/>
      <c r="N197" s="33" t="n"/>
      <c r="O197" s="51">
        <f>IF(COUNTA($B197,$C197,$D197,$E197,$G197)=0,"",IF(IF($B197=""," · Falta fecha","")&amp;IF($C197=""," · Falta tipo (Fijo/Variable)","")&amp;IF($D197=""," · SIN CATEGORÍA","")&amp;IF($E197=""," · Falta descripción","")&amp;IF(OR($G197="",NOT(ISNUMBER($G197)),$G197&lt;=0)," · Monto inválido","")&amp;IF(AND($I197="Pagado",$J197="")," · Pago sin fecha","")&amp;IF(AND(ISNUMBER($K197),ISNUMBER($G197),$K197&gt;N($G197)+0.01)," · Pagado &gt; monto","")&amp;IF(AND(ISNUMBER($K197),$K197&gt;0,$J197="")," · Monto pagado sin fecha","")="","OK",MID(IF($B197=""," · Falta fecha","")&amp;IF($C197=""," · Falta tipo (Fijo/Variable)","")&amp;IF($D197=""," · SIN CATEGORÍA","")&amp;IF($E197=""," · Falta descripción","")&amp;IF(OR($G197="",NOT(ISNUMBER($G197)),$G197&lt;=0)," · Monto inválido","")&amp;IF(AND($I197="Pagado",$J197="")," · Pago sin fecha","")&amp;IF(AND(ISNUMBER($K197),ISNUMBER($G197),$K197&gt;N($G197)+0.01)," · Pagado &gt; monto","")&amp;IF(AND(ISNUMBER($K197),$K197&gt;0,$J197="")," · Monto pagado sin fecha",""),4,900)))</f>
        <v/>
      </c>
    </row>
    <row r="198">
      <c r="A198" s="51">
        <f>IF(COUNTA($B198,$C198,$D198,$E198,$G198)=0,"","G-"&amp;TEXT(ROW()-6,"0000"))</f>
        <v/>
      </c>
      <c r="B198" s="41" t="n"/>
      <c r="C198" s="33" t="n"/>
      <c r="D198" s="33" t="n"/>
      <c r="E198" s="33" t="n"/>
      <c r="F198" s="33" t="n"/>
      <c r="G198" s="36" t="n"/>
      <c r="H198" s="33" t="n"/>
      <c r="I198" s="33" t="n"/>
      <c r="J198" s="41" t="n"/>
      <c r="K198" s="36" t="n"/>
      <c r="L198" s="37">
        <f>IF(NOT(ISNUMBER($G198)),"",$G198-IF(ISNUMBER($K198),$K198,0))</f>
        <v/>
      </c>
      <c r="M198" s="33" t="n"/>
      <c r="N198" s="33" t="n"/>
      <c r="O198" s="51">
        <f>IF(COUNTA($B198,$C198,$D198,$E198,$G198)=0,"",IF(IF($B198=""," · Falta fecha","")&amp;IF($C198=""," · Falta tipo (Fijo/Variable)","")&amp;IF($D198=""," · SIN CATEGORÍA","")&amp;IF($E198=""," · Falta descripción","")&amp;IF(OR($G198="",NOT(ISNUMBER($G198)),$G198&lt;=0)," · Monto inválido","")&amp;IF(AND($I198="Pagado",$J198="")," · Pago sin fecha","")&amp;IF(AND(ISNUMBER($K198),ISNUMBER($G198),$K198&gt;N($G198)+0.01)," · Pagado &gt; monto","")&amp;IF(AND(ISNUMBER($K198),$K198&gt;0,$J198="")," · Monto pagado sin fecha","")="","OK",MID(IF($B198=""," · Falta fecha","")&amp;IF($C198=""," · Falta tipo (Fijo/Variable)","")&amp;IF($D198=""," · SIN CATEGORÍA","")&amp;IF($E198=""," · Falta descripción","")&amp;IF(OR($G198="",NOT(ISNUMBER($G198)),$G198&lt;=0)," · Monto inválido","")&amp;IF(AND($I198="Pagado",$J198="")," · Pago sin fecha","")&amp;IF(AND(ISNUMBER($K198),ISNUMBER($G198),$K198&gt;N($G198)+0.01)," · Pagado &gt; monto","")&amp;IF(AND(ISNUMBER($K198),$K198&gt;0,$J198="")," · Monto pagado sin fecha",""),4,900)))</f>
        <v/>
      </c>
    </row>
    <row r="199">
      <c r="A199" s="51">
        <f>IF(COUNTA($B199,$C199,$D199,$E199,$G199)=0,"","G-"&amp;TEXT(ROW()-6,"0000"))</f>
        <v/>
      </c>
      <c r="B199" s="41" t="n"/>
      <c r="C199" s="33" t="n"/>
      <c r="D199" s="33" t="n"/>
      <c r="E199" s="33" t="n"/>
      <c r="F199" s="33" t="n"/>
      <c r="G199" s="36" t="n"/>
      <c r="H199" s="33" t="n"/>
      <c r="I199" s="33" t="n"/>
      <c r="J199" s="41" t="n"/>
      <c r="K199" s="36" t="n"/>
      <c r="L199" s="37">
        <f>IF(NOT(ISNUMBER($G199)),"",$G199-IF(ISNUMBER($K199),$K199,0))</f>
        <v/>
      </c>
      <c r="M199" s="33" t="n"/>
      <c r="N199" s="33" t="n"/>
      <c r="O199" s="51">
        <f>IF(COUNTA($B199,$C199,$D199,$E199,$G199)=0,"",IF(IF($B199=""," · Falta fecha","")&amp;IF($C199=""," · Falta tipo (Fijo/Variable)","")&amp;IF($D199=""," · SIN CATEGORÍA","")&amp;IF($E199=""," · Falta descripción","")&amp;IF(OR($G199="",NOT(ISNUMBER($G199)),$G199&lt;=0)," · Monto inválido","")&amp;IF(AND($I199="Pagado",$J199="")," · Pago sin fecha","")&amp;IF(AND(ISNUMBER($K199),ISNUMBER($G199),$K199&gt;N($G199)+0.01)," · Pagado &gt; monto","")&amp;IF(AND(ISNUMBER($K199),$K199&gt;0,$J199="")," · Monto pagado sin fecha","")="","OK",MID(IF($B199=""," · Falta fecha","")&amp;IF($C199=""," · Falta tipo (Fijo/Variable)","")&amp;IF($D199=""," · SIN CATEGORÍA","")&amp;IF($E199=""," · Falta descripción","")&amp;IF(OR($G199="",NOT(ISNUMBER($G199)),$G199&lt;=0)," · Monto inválido","")&amp;IF(AND($I199="Pagado",$J199="")," · Pago sin fecha","")&amp;IF(AND(ISNUMBER($K199),ISNUMBER($G199),$K199&gt;N($G199)+0.01)," · Pagado &gt; monto","")&amp;IF(AND(ISNUMBER($K199),$K199&gt;0,$J199="")," · Monto pagado sin fecha",""),4,900)))</f>
        <v/>
      </c>
    </row>
    <row r="200">
      <c r="A200" s="51">
        <f>IF(COUNTA($B200,$C200,$D200,$E200,$G200)=0,"","G-"&amp;TEXT(ROW()-6,"0000"))</f>
        <v/>
      </c>
      <c r="B200" s="41" t="n"/>
      <c r="C200" s="33" t="n"/>
      <c r="D200" s="33" t="n"/>
      <c r="E200" s="33" t="n"/>
      <c r="F200" s="33" t="n"/>
      <c r="G200" s="36" t="n"/>
      <c r="H200" s="33" t="n"/>
      <c r="I200" s="33" t="n"/>
      <c r="J200" s="41" t="n"/>
      <c r="K200" s="36" t="n"/>
      <c r="L200" s="37">
        <f>IF(NOT(ISNUMBER($G200)),"",$G200-IF(ISNUMBER($K200),$K200,0))</f>
        <v/>
      </c>
      <c r="M200" s="33" t="n"/>
      <c r="N200" s="33" t="n"/>
      <c r="O200" s="51">
        <f>IF(COUNTA($B200,$C200,$D200,$E200,$G200)=0,"",IF(IF($B200=""," · Falta fecha","")&amp;IF($C200=""," · Falta tipo (Fijo/Variable)","")&amp;IF($D200=""," · SIN CATEGORÍA","")&amp;IF($E200=""," · Falta descripción","")&amp;IF(OR($G200="",NOT(ISNUMBER($G200)),$G200&lt;=0)," · Monto inválido","")&amp;IF(AND($I200="Pagado",$J200="")," · Pago sin fecha","")&amp;IF(AND(ISNUMBER($K200),ISNUMBER($G200),$K200&gt;N($G200)+0.01)," · Pagado &gt; monto","")&amp;IF(AND(ISNUMBER($K200),$K200&gt;0,$J200="")," · Monto pagado sin fecha","")="","OK",MID(IF($B200=""," · Falta fecha","")&amp;IF($C200=""," · Falta tipo (Fijo/Variable)","")&amp;IF($D200=""," · SIN CATEGORÍA","")&amp;IF($E200=""," · Falta descripción","")&amp;IF(OR($G200="",NOT(ISNUMBER($G200)),$G200&lt;=0)," · Monto inválido","")&amp;IF(AND($I200="Pagado",$J200="")," · Pago sin fecha","")&amp;IF(AND(ISNUMBER($K200),ISNUMBER($G200),$K200&gt;N($G200)+0.01)," · Pagado &gt; monto","")&amp;IF(AND(ISNUMBER($K200),$K200&gt;0,$J200="")," · Monto pagado sin fecha",""),4,900)))</f>
        <v/>
      </c>
    </row>
    <row r="201">
      <c r="A201" s="51">
        <f>IF(COUNTA($B201,$C201,$D201,$E201,$G201)=0,"","G-"&amp;TEXT(ROW()-6,"0000"))</f>
        <v/>
      </c>
      <c r="B201" s="41" t="n"/>
      <c r="C201" s="33" t="n"/>
      <c r="D201" s="33" t="n"/>
      <c r="E201" s="33" t="n"/>
      <c r="F201" s="33" t="n"/>
      <c r="G201" s="36" t="n"/>
      <c r="H201" s="33" t="n"/>
      <c r="I201" s="33" t="n"/>
      <c r="J201" s="41" t="n"/>
      <c r="K201" s="36" t="n"/>
      <c r="L201" s="37">
        <f>IF(NOT(ISNUMBER($G201)),"",$G201-IF(ISNUMBER($K201),$K201,0))</f>
        <v/>
      </c>
      <c r="M201" s="33" t="n"/>
      <c r="N201" s="33" t="n"/>
      <c r="O201" s="51">
        <f>IF(COUNTA($B201,$C201,$D201,$E201,$G201)=0,"",IF(IF($B201=""," · Falta fecha","")&amp;IF($C201=""," · Falta tipo (Fijo/Variable)","")&amp;IF($D201=""," · SIN CATEGORÍA","")&amp;IF($E201=""," · Falta descripción","")&amp;IF(OR($G201="",NOT(ISNUMBER($G201)),$G201&lt;=0)," · Monto inválido","")&amp;IF(AND($I201="Pagado",$J201="")," · Pago sin fecha","")&amp;IF(AND(ISNUMBER($K201),ISNUMBER($G201),$K201&gt;N($G201)+0.01)," · Pagado &gt; monto","")&amp;IF(AND(ISNUMBER($K201),$K201&gt;0,$J201="")," · Monto pagado sin fecha","")="","OK",MID(IF($B201=""," · Falta fecha","")&amp;IF($C201=""," · Falta tipo (Fijo/Variable)","")&amp;IF($D201=""," · SIN CATEGORÍA","")&amp;IF($E201=""," · Falta descripción","")&amp;IF(OR($G201="",NOT(ISNUMBER($G201)),$G201&lt;=0)," · Monto inválido","")&amp;IF(AND($I201="Pagado",$J201="")," · Pago sin fecha","")&amp;IF(AND(ISNUMBER($K201),ISNUMBER($G201),$K201&gt;N($G201)+0.01)," · Pagado &gt; monto","")&amp;IF(AND(ISNUMBER($K201),$K201&gt;0,$J201="")," · Monto pagado sin fecha",""),4,900)))</f>
        <v/>
      </c>
    </row>
    <row r="202">
      <c r="A202" s="51">
        <f>IF(COUNTA($B202,$C202,$D202,$E202,$G202)=0,"","G-"&amp;TEXT(ROW()-6,"0000"))</f>
        <v/>
      </c>
      <c r="B202" s="41" t="n"/>
      <c r="C202" s="33" t="n"/>
      <c r="D202" s="33" t="n"/>
      <c r="E202" s="33" t="n"/>
      <c r="F202" s="33" t="n"/>
      <c r="G202" s="36" t="n"/>
      <c r="H202" s="33" t="n"/>
      <c r="I202" s="33" t="n"/>
      <c r="J202" s="41" t="n"/>
      <c r="K202" s="36" t="n"/>
      <c r="L202" s="37">
        <f>IF(NOT(ISNUMBER($G202)),"",$G202-IF(ISNUMBER($K202),$K202,0))</f>
        <v/>
      </c>
      <c r="M202" s="33" t="n"/>
      <c r="N202" s="33" t="n"/>
      <c r="O202" s="51">
        <f>IF(COUNTA($B202,$C202,$D202,$E202,$G202)=0,"",IF(IF($B202=""," · Falta fecha","")&amp;IF($C202=""," · Falta tipo (Fijo/Variable)","")&amp;IF($D202=""," · SIN CATEGORÍA","")&amp;IF($E202=""," · Falta descripción","")&amp;IF(OR($G202="",NOT(ISNUMBER($G202)),$G202&lt;=0)," · Monto inválido","")&amp;IF(AND($I202="Pagado",$J202="")," · Pago sin fecha","")&amp;IF(AND(ISNUMBER($K202),ISNUMBER($G202),$K202&gt;N($G202)+0.01)," · Pagado &gt; monto","")&amp;IF(AND(ISNUMBER($K202),$K202&gt;0,$J202="")," · Monto pagado sin fecha","")="","OK",MID(IF($B202=""," · Falta fecha","")&amp;IF($C202=""," · Falta tipo (Fijo/Variable)","")&amp;IF($D202=""," · SIN CATEGORÍA","")&amp;IF($E202=""," · Falta descripción","")&amp;IF(OR($G202="",NOT(ISNUMBER($G202)),$G202&lt;=0)," · Monto inválido","")&amp;IF(AND($I202="Pagado",$J202="")," · Pago sin fecha","")&amp;IF(AND(ISNUMBER($K202),ISNUMBER($G202),$K202&gt;N($G202)+0.01)," · Pagado &gt; monto","")&amp;IF(AND(ISNUMBER($K202),$K202&gt;0,$J202="")," · Monto pagado sin fecha",""),4,900)))</f>
        <v/>
      </c>
    </row>
    <row r="203">
      <c r="A203" s="51">
        <f>IF(COUNTA($B203,$C203,$D203,$E203,$G203)=0,"","G-"&amp;TEXT(ROW()-6,"0000"))</f>
        <v/>
      </c>
      <c r="B203" s="41" t="n"/>
      <c r="C203" s="33" t="n"/>
      <c r="D203" s="33" t="n"/>
      <c r="E203" s="33" t="n"/>
      <c r="F203" s="33" t="n"/>
      <c r="G203" s="36" t="n"/>
      <c r="H203" s="33" t="n"/>
      <c r="I203" s="33" t="n"/>
      <c r="J203" s="41" t="n"/>
      <c r="K203" s="36" t="n"/>
      <c r="L203" s="37">
        <f>IF(NOT(ISNUMBER($G203)),"",$G203-IF(ISNUMBER($K203),$K203,0))</f>
        <v/>
      </c>
      <c r="M203" s="33" t="n"/>
      <c r="N203" s="33" t="n"/>
      <c r="O203" s="51">
        <f>IF(COUNTA($B203,$C203,$D203,$E203,$G203)=0,"",IF(IF($B203=""," · Falta fecha","")&amp;IF($C203=""," · Falta tipo (Fijo/Variable)","")&amp;IF($D203=""," · SIN CATEGORÍA","")&amp;IF($E203=""," · Falta descripción","")&amp;IF(OR($G203="",NOT(ISNUMBER($G203)),$G203&lt;=0)," · Monto inválido","")&amp;IF(AND($I203="Pagado",$J203="")," · Pago sin fecha","")&amp;IF(AND(ISNUMBER($K203),ISNUMBER($G203),$K203&gt;N($G203)+0.01)," · Pagado &gt; monto","")&amp;IF(AND(ISNUMBER($K203),$K203&gt;0,$J203="")," · Monto pagado sin fecha","")="","OK",MID(IF($B203=""," · Falta fecha","")&amp;IF($C203=""," · Falta tipo (Fijo/Variable)","")&amp;IF($D203=""," · SIN CATEGORÍA","")&amp;IF($E203=""," · Falta descripción","")&amp;IF(OR($G203="",NOT(ISNUMBER($G203)),$G203&lt;=0)," · Monto inválido","")&amp;IF(AND($I203="Pagado",$J203="")," · Pago sin fecha","")&amp;IF(AND(ISNUMBER($K203),ISNUMBER($G203),$K203&gt;N($G203)+0.01)," · Pagado &gt; monto","")&amp;IF(AND(ISNUMBER($K203),$K203&gt;0,$J203="")," · Monto pagado sin fecha",""),4,900)))</f>
        <v/>
      </c>
    </row>
    <row r="204">
      <c r="A204" s="51">
        <f>IF(COUNTA($B204,$C204,$D204,$E204,$G204)=0,"","G-"&amp;TEXT(ROW()-6,"0000"))</f>
        <v/>
      </c>
      <c r="B204" s="41" t="n"/>
      <c r="C204" s="33" t="n"/>
      <c r="D204" s="33" t="n"/>
      <c r="E204" s="33" t="n"/>
      <c r="F204" s="33" t="n"/>
      <c r="G204" s="36" t="n"/>
      <c r="H204" s="33" t="n"/>
      <c r="I204" s="33" t="n"/>
      <c r="J204" s="41" t="n"/>
      <c r="K204" s="36" t="n"/>
      <c r="L204" s="37">
        <f>IF(NOT(ISNUMBER($G204)),"",$G204-IF(ISNUMBER($K204),$K204,0))</f>
        <v/>
      </c>
      <c r="M204" s="33" t="n"/>
      <c r="N204" s="33" t="n"/>
      <c r="O204" s="51">
        <f>IF(COUNTA($B204,$C204,$D204,$E204,$G204)=0,"",IF(IF($B204=""," · Falta fecha","")&amp;IF($C204=""," · Falta tipo (Fijo/Variable)","")&amp;IF($D204=""," · SIN CATEGORÍA","")&amp;IF($E204=""," · Falta descripción","")&amp;IF(OR($G204="",NOT(ISNUMBER($G204)),$G204&lt;=0)," · Monto inválido","")&amp;IF(AND($I204="Pagado",$J204="")," · Pago sin fecha","")&amp;IF(AND(ISNUMBER($K204),ISNUMBER($G204),$K204&gt;N($G204)+0.01)," · Pagado &gt; monto","")&amp;IF(AND(ISNUMBER($K204),$K204&gt;0,$J204="")," · Monto pagado sin fecha","")="","OK",MID(IF($B204=""," · Falta fecha","")&amp;IF($C204=""," · Falta tipo (Fijo/Variable)","")&amp;IF($D204=""," · SIN CATEGORÍA","")&amp;IF($E204=""," · Falta descripción","")&amp;IF(OR($G204="",NOT(ISNUMBER($G204)),$G204&lt;=0)," · Monto inválido","")&amp;IF(AND($I204="Pagado",$J204="")," · Pago sin fecha","")&amp;IF(AND(ISNUMBER($K204),ISNUMBER($G204),$K204&gt;N($G204)+0.01)," · Pagado &gt; monto","")&amp;IF(AND(ISNUMBER($K204),$K204&gt;0,$J204="")," · Monto pagado sin fecha",""),4,900)))</f>
        <v/>
      </c>
    </row>
    <row r="205">
      <c r="A205" s="51">
        <f>IF(COUNTA($B205,$C205,$D205,$E205,$G205)=0,"","G-"&amp;TEXT(ROW()-6,"0000"))</f>
        <v/>
      </c>
      <c r="B205" s="41" t="n"/>
      <c r="C205" s="33" t="n"/>
      <c r="D205" s="33" t="n"/>
      <c r="E205" s="33" t="n"/>
      <c r="F205" s="33" t="n"/>
      <c r="G205" s="36" t="n"/>
      <c r="H205" s="33" t="n"/>
      <c r="I205" s="33" t="n"/>
      <c r="J205" s="41" t="n"/>
      <c r="K205" s="36" t="n"/>
      <c r="L205" s="37">
        <f>IF(NOT(ISNUMBER($G205)),"",$G205-IF(ISNUMBER($K205),$K205,0))</f>
        <v/>
      </c>
      <c r="M205" s="33" t="n"/>
      <c r="N205" s="33" t="n"/>
      <c r="O205" s="51">
        <f>IF(COUNTA($B205,$C205,$D205,$E205,$G205)=0,"",IF(IF($B205=""," · Falta fecha","")&amp;IF($C205=""," · Falta tipo (Fijo/Variable)","")&amp;IF($D205=""," · SIN CATEGORÍA","")&amp;IF($E205=""," · Falta descripción","")&amp;IF(OR($G205="",NOT(ISNUMBER($G205)),$G205&lt;=0)," · Monto inválido","")&amp;IF(AND($I205="Pagado",$J205="")," · Pago sin fecha","")&amp;IF(AND(ISNUMBER($K205),ISNUMBER($G205),$K205&gt;N($G205)+0.01)," · Pagado &gt; monto","")&amp;IF(AND(ISNUMBER($K205),$K205&gt;0,$J205="")," · Monto pagado sin fecha","")="","OK",MID(IF($B205=""," · Falta fecha","")&amp;IF($C205=""," · Falta tipo (Fijo/Variable)","")&amp;IF($D205=""," · SIN CATEGORÍA","")&amp;IF($E205=""," · Falta descripción","")&amp;IF(OR($G205="",NOT(ISNUMBER($G205)),$G205&lt;=0)," · Monto inválido","")&amp;IF(AND($I205="Pagado",$J205="")," · Pago sin fecha","")&amp;IF(AND(ISNUMBER($K205),ISNUMBER($G205),$K205&gt;N($G205)+0.01)," · Pagado &gt; monto","")&amp;IF(AND(ISNUMBER($K205),$K205&gt;0,$J205="")," · Monto pagado sin fecha",""),4,900)))</f>
        <v/>
      </c>
    </row>
    <row r="206">
      <c r="A206" s="51">
        <f>IF(COUNTA($B206,$C206,$D206,$E206,$G206)=0,"","G-"&amp;TEXT(ROW()-6,"0000"))</f>
        <v/>
      </c>
      <c r="B206" s="41" t="n"/>
      <c r="C206" s="33" t="n"/>
      <c r="D206" s="33" t="n"/>
      <c r="E206" s="33" t="n"/>
      <c r="F206" s="33" t="n"/>
      <c r="G206" s="36" t="n"/>
      <c r="H206" s="33" t="n"/>
      <c r="I206" s="33" t="n"/>
      <c r="J206" s="41" t="n"/>
      <c r="K206" s="36" t="n"/>
      <c r="L206" s="37">
        <f>IF(NOT(ISNUMBER($G206)),"",$G206-IF(ISNUMBER($K206),$K206,0))</f>
        <v/>
      </c>
      <c r="M206" s="33" t="n"/>
      <c r="N206" s="33" t="n"/>
      <c r="O206" s="51">
        <f>IF(COUNTA($B206,$C206,$D206,$E206,$G206)=0,"",IF(IF($B206=""," · Falta fecha","")&amp;IF($C206=""," · Falta tipo (Fijo/Variable)","")&amp;IF($D206=""," · SIN CATEGORÍA","")&amp;IF($E206=""," · Falta descripción","")&amp;IF(OR($G206="",NOT(ISNUMBER($G206)),$G206&lt;=0)," · Monto inválido","")&amp;IF(AND($I206="Pagado",$J206="")," · Pago sin fecha","")&amp;IF(AND(ISNUMBER($K206),ISNUMBER($G206),$K206&gt;N($G206)+0.01)," · Pagado &gt; monto","")&amp;IF(AND(ISNUMBER($K206),$K206&gt;0,$J206="")," · Monto pagado sin fecha","")="","OK",MID(IF($B206=""," · Falta fecha","")&amp;IF($C206=""," · Falta tipo (Fijo/Variable)","")&amp;IF($D206=""," · SIN CATEGORÍA","")&amp;IF($E206=""," · Falta descripción","")&amp;IF(OR($G206="",NOT(ISNUMBER($G206)),$G206&lt;=0)," · Monto inválido","")&amp;IF(AND($I206="Pagado",$J206="")," · Pago sin fecha","")&amp;IF(AND(ISNUMBER($K206),ISNUMBER($G206),$K206&gt;N($G206)+0.01)," · Pagado &gt; monto","")&amp;IF(AND(ISNUMBER($K206),$K206&gt;0,$J206="")," · Monto pagado sin fecha",""),4,900)))</f>
        <v/>
      </c>
    </row>
    <row r="207">
      <c r="A207" s="51">
        <f>IF(COUNTA($B207,$C207,$D207,$E207,$G207)=0,"","G-"&amp;TEXT(ROW()-6,"0000"))</f>
        <v/>
      </c>
      <c r="B207" s="41" t="n"/>
      <c r="C207" s="33" t="n"/>
      <c r="D207" s="33" t="n"/>
      <c r="E207" s="33" t="n"/>
      <c r="F207" s="33" t="n"/>
      <c r="G207" s="36" t="n"/>
      <c r="H207" s="33" t="n"/>
      <c r="I207" s="33" t="n"/>
      <c r="J207" s="41" t="n"/>
      <c r="K207" s="36" t="n"/>
      <c r="L207" s="37">
        <f>IF(NOT(ISNUMBER($G207)),"",$G207-IF(ISNUMBER($K207),$K207,0))</f>
        <v/>
      </c>
      <c r="M207" s="33" t="n"/>
      <c r="N207" s="33" t="n"/>
      <c r="O207" s="51">
        <f>IF(COUNTA($B207,$C207,$D207,$E207,$G207)=0,"",IF(IF($B207=""," · Falta fecha","")&amp;IF($C207=""," · Falta tipo (Fijo/Variable)","")&amp;IF($D207=""," · SIN CATEGORÍA","")&amp;IF($E207=""," · Falta descripción","")&amp;IF(OR($G207="",NOT(ISNUMBER($G207)),$G207&lt;=0)," · Monto inválido","")&amp;IF(AND($I207="Pagado",$J207="")," · Pago sin fecha","")&amp;IF(AND(ISNUMBER($K207),ISNUMBER($G207),$K207&gt;N($G207)+0.01)," · Pagado &gt; monto","")&amp;IF(AND(ISNUMBER($K207),$K207&gt;0,$J207="")," · Monto pagado sin fecha","")="","OK",MID(IF($B207=""," · Falta fecha","")&amp;IF($C207=""," · Falta tipo (Fijo/Variable)","")&amp;IF($D207=""," · SIN CATEGORÍA","")&amp;IF($E207=""," · Falta descripción","")&amp;IF(OR($G207="",NOT(ISNUMBER($G207)),$G207&lt;=0)," · Monto inválido","")&amp;IF(AND($I207="Pagado",$J207="")," · Pago sin fecha","")&amp;IF(AND(ISNUMBER($K207),ISNUMBER($G207),$K207&gt;N($G207)+0.01)," · Pagado &gt; monto","")&amp;IF(AND(ISNUMBER($K207),$K207&gt;0,$J207="")," · Monto pagado sin fecha",""),4,900)))</f>
        <v/>
      </c>
    </row>
    <row r="208">
      <c r="A208" s="51">
        <f>IF(COUNTA($B208,$C208,$D208,$E208,$G208)=0,"","G-"&amp;TEXT(ROW()-6,"0000"))</f>
        <v/>
      </c>
      <c r="B208" s="41" t="n"/>
      <c r="C208" s="33" t="n"/>
      <c r="D208" s="33" t="n"/>
      <c r="E208" s="33" t="n"/>
      <c r="F208" s="33" t="n"/>
      <c r="G208" s="36" t="n"/>
      <c r="H208" s="33" t="n"/>
      <c r="I208" s="33" t="n"/>
      <c r="J208" s="41" t="n"/>
      <c r="K208" s="36" t="n"/>
      <c r="L208" s="37">
        <f>IF(NOT(ISNUMBER($G208)),"",$G208-IF(ISNUMBER($K208),$K208,0))</f>
        <v/>
      </c>
      <c r="M208" s="33" t="n"/>
      <c r="N208" s="33" t="n"/>
      <c r="O208" s="51">
        <f>IF(COUNTA($B208,$C208,$D208,$E208,$G208)=0,"",IF(IF($B208=""," · Falta fecha","")&amp;IF($C208=""," · Falta tipo (Fijo/Variable)","")&amp;IF($D208=""," · SIN CATEGORÍA","")&amp;IF($E208=""," · Falta descripción","")&amp;IF(OR($G208="",NOT(ISNUMBER($G208)),$G208&lt;=0)," · Monto inválido","")&amp;IF(AND($I208="Pagado",$J208="")," · Pago sin fecha","")&amp;IF(AND(ISNUMBER($K208),ISNUMBER($G208),$K208&gt;N($G208)+0.01)," · Pagado &gt; monto","")&amp;IF(AND(ISNUMBER($K208),$K208&gt;0,$J208="")," · Monto pagado sin fecha","")="","OK",MID(IF($B208=""," · Falta fecha","")&amp;IF($C208=""," · Falta tipo (Fijo/Variable)","")&amp;IF($D208=""," · SIN CATEGORÍA","")&amp;IF($E208=""," · Falta descripción","")&amp;IF(OR($G208="",NOT(ISNUMBER($G208)),$G208&lt;=0)," · Monto inválido","")&amp;IF(AND($I208="Pagado",$J208="")," · Pago sin fecha","")&amp;IF(AND(ISNUMBER($K208),ISNUMBER($G208),$K208&gt;N($G208)+0.01)," · Pagado &gt; monto","")&amp;IF(AND(ISNUMBER($K208),$K208&gt;0,$J208="")," · Monto pagado sin fecha",""),4,900)))</f>
        <v/>
      </c>
    </row>
    <row r="209">
      <c r="A209" s="51">
        <f>IF(COUNTA($B209,$C209,$D209,$E209,$G209)=0,"","G-"&amp;TEXT(ROW()-6,"0000"))</f>
        <v/>
      </c>
      <c r="B209" s="41" t="n"/>
      <c r="C209" s="33" t="n"/>
      <c r="D209" s="33" t="n"/>
      <c r="E209" s="33" t="n"/>
      <c r="F209" s="33" t="n"/>
      <c r="G209" s="36" t="n"/>
      <c r="H209" s="33" t="n"/>
      <c r="I209" s="33" t="n"/>
      <c r="J209" s="41" t="n"/>
      <c r="K209" s="36" t="n"/>
      <c r="L209" s="37">
        <f>IF(NOT(ISNUMBER($G209)),"",$G209-IF(ISNUMBER($K209),$K209,0))</f>
        <v/>
      </c>
      <c r="M209" s="33" t="n"/>
      <c r="N209" s="33" t="n"/>
      <c r="O209" s="51">
        <f>IF(COUNTA($B209,$C209,$D209,$E209,$G209)=0,"",IF(IF($B209=""," · Falta fecha","")&amp;IF($C209=""," · Falta tipo (Fijo/Variable)","")&amp;IF($D209=""," · SIN CATEGORÍA","")&amp;IF($E209=""," · Falta descripción","")&amp;IF(OR($G209="",NOT(ISNUMBER($G209)),$G209&lt;=0)," · Monto inválido","")&amp;IF(AND($I209="Pagado",$J209="")," · Pago sin fecha","")&amp;IF(AND(ISNUMBER($K209),ISNUMBER($G209),$K209&gt;N($G209)+0.01)," · Pagado &gt; monto","")&amp;IF(AND(ISNUMBER($K209),$K209&gt;0,$J209="")," · Monto pagado sin fecha","")="","OK",MID(IF($B209=""," · Falta fecha","")&amp;IF($C209=""," · Falta tipo (Fijo/Variable)","")&amp;IF($D209=""," · SIN CATEGORÍA","")&amp;IF($E209=""," · Falta descripción","")&amp;IF(OR($G209="",NOT(ISNUMBER($G209)),$G209&lt;=0)," · Monto inválido","")&amp;IF(AND($I209="Pagado",$J209="")," · Pago sin fecha","")&amp;IF(AND(ISNUMBER($K209),ISNUMBER($G209),$K209&gt;N($G209)+0.01)," · Pagado &gt; monto","")&amp;IF(AND(ISNUMBER($K209),$K209&gt;0,$J209="")," · Monto pagado sin fecha",""),4,900)))</f>
        <v/>
      </c>
    </row>
    <row r="210">
      <c r="A210" s="51">
        <f>IF(COUNTA($B210,$C210,$D210,$E210,$G210)=0,"","G-"&amp;TEXT(ROW()-6,"0000"))</f>
        <v/>
      </c>
      <c r="B210" s="41" t="n"/>
      <c r="C210" s="33" t="n"/>
      <c r="D210" s="33" t="n"/>
      <c r="E210" s="33" t="n"/>
      <c r="F210" s="33" t="n"/>
      <c r="G210" s="36" t="n"/>
      <c r="H210" s="33" t="n"/>
      <c r="I210" s="33" t="n"/>
      <c r="J210" s="41" t="n"/>
      <c r="K210" s="36" t="n"/>
      <c r="L210" s="37">
        <f>IF(NOT(ISNUMBER($G210)),"",$G210-IF(ISNUMBER($K210),$K210,0))</f>
        <v/>
      </c>
      <c r="M210" s="33" t="n"/>
      <c r="N210" s="33" t="n"/>
      <c r="O210" s="51">
        <f>IF(COUNTA($B210,$C210,$D210,$E210,$G210)=0,"",IF(IF($B210=""," · Falta fecha","")&amp;IF($C210=""," · Falta tipo (Fijo/Variable)","")&amp;IF($D210=""," · SIN CATEGORÍA","")&amp;IF($E210=""," · Falta descripción","")&amp;IF(OR($G210="",NOT(ISNUMBER($G210)),$G210&lt;=0)," · Monto inválido","")&amp;IF(AND($I210="Pagado",$J210="")," · Pago sin fecha","")&amp;IF(AND(ISNUMBER($K210),ISNUMBER($G210),$K210&gt;N($G210)+0.01)," · Pagado &gt; monto","")&amp;IF(AND(ISNUMBER($K210),$K210&gt;0,$J210="")," · Monto pagado sin fecha","")="","OK",MID(IF($B210=""," · Falta fecha","")&amp;IF($C210=""," · Falta tipo (Fijo/Variable)","")&amp;IF($D210=""," · SIN CATEGORÍA","")&amp;IF($E210=""," · Falta descripción","")&amp;IF(OR($G210="",NOT(ISNUMBER($G210)),$G210&lt;=0)," · Monto inválido","")&amp;IF(AND($I210="Pagado",$J210="")," · Pago sin fecha","")&amp;IF(AND(ISNUMBER($K210),ISNUMBER($G210),$K210&gt;N($G210)+0.01)," · Pagado &gt; monto","")&amp;IF(AND(ISNUMBER($K210),$K210&gt;0,$J210="")," · Monto pagado sin fecha",""),4,900)))</f>
        <v/>
      </c>
    </row>
    <row r="211">
      <c r="A211" s="51">
        <f>IF(COUNTA($B211,$C211,$D211,$E211,$G211)=0,"","G-"&amp;TEXT(ROW()-6,"0000"))</f>
        <v/>
      </c>
      <c r="B211" s="41" t="n"/>
      <c r="C211" s="33" t="n"/>
      <c r="D211" s="33" t="n"/>
      <c r="E211" s="33" t="n"/>
      <c r="F211" s="33" t="n"/>
      <c r="G211" s="36" t="n"/>
      <c r="H211" s="33" t="n"/>
      <c r="I211" s="33" t="n"/>
      <c r="J211" s="41" t="n"/>
      <c r="K211" s="36" t="n"/>
      <c r="L211" s="37">
        <f>IF(NOT(ISNUMBER($G211)),"",$G211-IF(ISNUMBER($K211),$K211,0))</f>
        <v/>
      </c>
      <c r="M211" s="33" t="n"/>
      <c r="N211" s="33" t="n"/>
      <c r="O211" s="51">
        <f>IF(COUNTA($B211,$C211,$D211,$E211,$G211)=0,"",IF(IF($B211=""," · Falta fecha","")&amp;IF($C211=""," · Falta tipo (Fijo/Variable)","")&amp;IF($D211=""," · SIN CATEGORÍA","")&amp;IF($E211=""," · Falta descripción","")&amp;IF(OR($G211="",NOT(ISNUMBER($G211)),$G211&lt;=0)," · Monto inválido","")&amp;IF(AND($I211="Pagado",$J211="")," · Pago sin fecha","")&amp;IF(AND(ISNUMBER($K211),ISNUMBER($G211),$K211&gt;N($G211)+0.01)," · Pagado &gt; monto","")&amp;IF(AND(ISNUMBER($K211),$K211&gt;0,$J211="")," · Monto pagado sin fecha","")="","OK",MID(IF($B211=""," · Falta fecha","")&amp;IF($C211=""," · Falta tipo (Fijo/Variable)","")&amp;IF($D211=""," · SIN CATEGORÍA","")&amp;IF($E211=""," · Falta descripción","")&amp;IF(OR($G211="",NOT(ISNUMBER($G211)),$G211&lt;=0)," · Monto inválido","")&amp;IF(AND($I211="Pagado",$J211="")," · Pago sin fecha","")&amp;IF(AND(ISNUMBER($K211),ISNUMBER($G211),$K211&gt;N($G211)+0.01)," · Pagado &gt; monto","")&amp;IF(AND(ISNUMBER($K211),$K211&gt;0,$J211="")," · Monto pagado sin fecha",""),4,900)))</f>
        <v/>
      </c>
    </row>
    <row r="212">
      <c r="A212" s="51">
        <f>IF(COUNTA($B212,$C212,$D212,$E212,$G212)=0,"","G-"&amp;TEXT(ROW()-6,"0000"))</f>
        <v/>
      </c>
      <c r="B212" s="41" t="n"/>
      <c r="C212" s="33" t="n"/>
      <c r="D212" s="33" t="n"/>
      <c r="E212" s="33" t="n"/>
      <c r="F212" s="33" t="n"/>
      <c r="G212" s="36" t="n"/>
      <c r="H212" s="33" t="n"/>
      <c r="I212" s="33" t="n"/>
      <c r="J212" s="41" t="n"/>
      <c r="K212" s="36" t="n"/>
      <c r="L212" s="37">
        <f>IF(NOT(ISNUMBER($G212)),"",$G212-IF(ISNUMBER($K212),$K212,0))</f>
        <v/>
      </c>
      <c r="M212" s="33" t="n"/>
      <c r="N212" s="33" t="n"/>
      <c r="O212" s="51">
        <f>IF(COUNTA($B212,$C212,$D212,$E212,$G212)=0,"",IF(IF($B212=""," · Falta fecha","")&amp;IF($C212=""," · Falta tipo (Fijo/Variable)","")&amp;IF($D212=""," · SIN CATEGORÍA","")&amp;IF($E212=""," · Falta descripción","")&amp;IF(OR($G212="",NOT(ISNUMBER($G212)),$G212&lt;=0)," · Monto inválido","")&amp;IF(AND($I212="Pagado",$J212="")," · Pago sin fecha","")&amp;IF(AND(ISNUMBER($K212),ISNUMBER($G212),$K212&gt;N($G212)+0.01)," · Pagado &gt; monto","")&amp;IF(AND(ISNUMBER($K212),$K212&gt;0,$J212="")," · Monto pagado sin fecha","")="","OK",MID(IF($B212=""," · Falta fecha","")&amp;IF($C212=""," · Falta tipo (Fijo/Variable)","")&amp;IF($D212=""," · SIN CATEGORÍA","")&amp;IF($E212=""," · Falta descripción","")&amp;IF(OR($G212="",NOT(ISNUMBER($G212)),$G212&lt;=0)," · Monto inválido","")&amp;IF(AND($I212="Pagado",$J212="")," · Pago sin fecha","")&amp;IF(AND(ISNUMBER($K212),ISNUMBER($G212),$K212&gt;N($G212)+0.01)," · Pagado &gt; monto","")&amp;IF(AND(ISNUMBER($K212),$K212&gt;0,$J212="")," · Monto pagado sin fecha",""),4,900)))</f>
        <v/>
      </c>
    </row>
    <row r="213">
      <c r="A213" s="51">
        <f>IF(COUNTA($B213,$C213,$D213,$E213,$G213)=0,"","G-"&amp;TEXT(ROW()-6,"0000"))</f>
        <v/>
      </c>
      <c r="B213" s="41" t="n"/>
      <c r="C213" s="33" t="n"/>
      <c r="D213" s="33" t="n"/>
      <c r="E213" s="33" t="n"/>
      <c r="F213" s="33" t="n"/>
      <c r="G213" s="36" t="n"/>
      <c r="H213" s="33" t="n"/>
      <c r="I213" s="33" t="n"/>
      <c r="J213" s="41" t="n"/>
      <c r="K213" s="36" t="n"/>
      <c r="L213" s="37">
        <f>IF(NOT(ISNUMBER($G213)),"",$G213-IF(ISNUMBER($K213),$K213,0))</f>
        <v/>
      </c>
      <c r="M213" s="33" t="n"/>
      <c r="N213" s="33" t="n"/>
      <c r="O213" s="51">
        <f>IF(COUNTA($B213,$C213,$D213,$E213,$G213)=0,"",IF(IF($B213=""," · Falta fecha","")&amp;IF($C213=""," · Falta tipo (Fijo/Variable)","")&amp;IF($D213=""," · SIN CATEGORÍA","")&amp;IF($E213=""," · Falta descripción","")&amp;IF(OR($G213="",NOT(ISNUMBER($G213)),$G213&lt;=0)," · Monto inválido","")&amp;IF(AND($I213="Pagado",$J213="")," · Pago sin fecha","")&amp;IF(AND(ISNUMBER($K213),ISNUMBER($G213),$K213&gt;N($G213)+0.01)," · Pagado &gt; monto","")&amp;IF(AND(ISNUMBER($K213),$K213&gt;0,$J213="")," · Monto pagado sin fecha","")="","OK",MID(IF($B213=""," · Falta fecha","")&amp;IF($C213=""," · Falta tipo (Fijo/Variable)","")&amp;IF($D213=""," · SIN CATEGORÍA","")&amp;IF($E213=""," · Falta descripción","")&amp;IF(OR($G213="",NOT(ISNUMBER($G213)),$G213&lt;=0)," · Monto inválido","")&amp;IF(AND($I213="Pagado",$J213="")," · Pago sin fecha","")&amp;IF(AND(ISNUMBER($K213),ISNUMBER($G213),$K213&gt;N($G213)+0.01)," · Pagado &gt; monto","")&amp;IF(AND(ISNUMBER($K213),$K213&gt;0,$J213="")," · Monto pagado sin fecha",""),4,900)))</f>
        <v/>
      </c>
    </row>
    <row r="214">
      <c r="A214" s="51">
        <f>IF(COUNTA($B214,$C214,$D214,$E214,$G214)=0,"","G-"&amp;TEXT(ROW()-6,"0000"))</f>
        <v/>
      </c>
      <c r="B214" s="41" t="n"/>
      <c r="C214" s="33" t="n"/>
      <c r="D214" s="33" t="n"/>
      <c r="E214" s="33" t="n"/>
      <c r="F214" s="33" t="n"/>
      <c r="G214" s="36" t="n"/>
      <c r="H214" s="33" t="n"/>
      <c r="I214" s="33" t="n"/>
      <c r="J214" s="41" t="n"/>
      <c r="K214" s="36" t="n"/>
      <c r="L214" s="37">
        <f>IF(NOT(ISNUMBER($G214)),"",$G214-IF(ISNUMBER($K214),$K214,0))</f>
        <v/>
      </c>
      <c r="M214" s="33" t="n"/>
      <c r="N214" s="33" t="n"/>
      <c r="O214" s="51">
        <f>IF(COUNTA($B214,$C214,$D214,$E214,$G214)=0,"",IF(IF($B214=""," · Falta fecha","")&amp;IF($C214=""," · Falta tipo (Fijo/Variable)","")&amp;IF($D214=""," · SIN CATEGORÍA","")&amp;IF($E214=""," · Falta descripción","")&amp;IF(OR($G214="",NOT(ISNUMBER($G214)),$G214&lt;=0)," · Monto inválido","")&amp;IF(AND($I214="Pagado",$J214="")," · Pago sin fecha","")&amp;IF(AND(ISNUMBER($K214),ISNUMBER($G214),$K214&gt;N($G214)+0.01)," · Pagado &gt; monto","")&amp;IF(AND(ISNUMBER($K214),$K214&gt;0,$J214="")," · Monto pagado sin fecha","")="","OK",MID(IF($B214=""," · Falta fecha","")&amp;IF($C214=""," · Falta tipo (Fijo/Variable)","")&amp;IF($D214=""," · SIN CATEGORÍA","")&amp;IF($E214=""," · Falta descripción","")&amp;IF(OR($G214="",NOT(ISNUMBER($G214)),$G214&lt;=0)," · Monto inválido","")&amp;IF(AND($I214="Pagado",$J214="")," · Pago sin fecha","")&amp;IF(AND(ISNUMBER($K214),ISNUMBER($G214),$K214&gt;N($G214)+0.01)," · Pagado &gt; monto","")&amp;IF(AND(ISNUMBER($K214),$K214&gt;0,$J214="")," · Monto pagado sin fecha",""),4,900)))</f>
        <v/>
      </c>
    </row>
    <row r="215">
      <c r="A215" s="51">
        <f>IF(COUNTA($B215,$C215,$D215,$E215,$G215)=0,"","G-"&amp;TEXT(ROW()-6,"0000"))</f>
        <v/>
      </c>
      <c r="B215" s="41" t="n"/>
      <c r="C215" s="33" t="n"/>
      <c r="D215" s="33" t="n"/>
      <c r="E215" s="33" t="n"/>
      <c r="F215" s="33" t="n"/>
      <c r="G215" s="36" t="n"/>
      <c r="H215" s="33" t="n"/>
      <c r="I215" s="33" t="n"/>
      <c r="J215" s="41" t="n"/>
      <c r="K215" s="36" t="n"/>
      <c r="L215" s="37">
        <f>IF(NOT(ISNUMBER($G215)),"",$G215-IF(ISNUMBER($K215),$K215,0))</f>
        <v/>
      </c>
      <c r="M215" s="33" t="n"/>
      <c r="N215" s="33" t="n"/>
      <c r="O215" s="51">
        <f>IF(COUNTA($B215,$C215,$D215,$E215,$G215)=0,"",IF(IF($B215=""," · Falta fecha","")&amp;IF($C215=""," · Falta tipo (Fijo/Variable)","")&amp;IF($D215=""," · SIN CATEGORÍA","")&amp;IF($E215=""," · Falta descripción","")&amp;IF(OR($G215="",NOT(ISNUMBER($G215)),$G215&lt;=0)," · Monto inválido","")&amp;IF(AND($I215="Pagado",$J215="")," · Pago sin fecha","")&amp;IF(AND(ISNUMBER($K215),ISNUMBER($G215),$K215&gt;N($G215)+0.01)," · Pagado &gt; monto","")&amp;IF(AND(ISNUMBER($K215),$K215&gt;0,$J215="")," · Monto pagado sin fecha","")="","OK",MID(IF($B215=""," · Falta fecha","")&amp;IF($C215=""," · Falta tipo (Fijo/Variable)","")&amp;IF($D215=""," · SIN CATEGORÍA","")&amp;IF($E215=""," · Falta descripción","")&amp;IF(OR($G215="",NOT(ISNUMBER($G215)),$G215&lt;=0)," · Monto inválido","")&amp;IF(AND($I215="Pagado",$J215="")," · Pago sin fecha","")&amp;IF(AND(ISNUMBER($K215),ISNUMBER($G215),$K215&gt;N($G215)+0.01)," · Pagado &gt; monto","")&amp;IF(AND(ISNUMBER($K215),$K215&gt;0,$J215="")," · Monto pagado sin fecha",""),4,900)))</f>
        <v/>
      </c>
    </row>
    <row r="216">
      <c r="A216" s="51">
        <f>IF(COUNTA($B216,$C216,$D216,$E216,$G216)=0,"","G-"&amp;TEXT(ROW()-6,"0000"))</f>
        <v/>
      </c>
      <c r="B216" s="41" t="n"/>
      <c r="C216" s="33" t="n"/>
      <c r="D216" s="33" t="n"/>
      <c r="E216" s="33" t="n"/>
      <c r="F216" s="33" t="n"/>
      <c r="G216" s="36" t="n"/>
      <c r="H216" s="33" t="n"/>
      <c r="I216" s="33" t="n"/>
      <c r="J216" s="41" t="n"/>
      <c r="K216" s="36" t="n"/>
      <c r="L216" s="37">
        <f>IF(NOT(ISNUMBER($G216)),"",$G216-IF(ISNUMBER($K216),$K216,0))</f>
        <v/>
      </c>
      <c r="M216" s="33" t="n"/>
      <c r="N216" s="33" t="n"/>
      <c r="O216" s="51">
        <f>IF(COUNTA($B216,$C216,$D216,$E216,$G216)=0,"",IF(IF($B216=""," · Falta fecha","")&amp;IF($C216=""," · Falta tipo (Fijo/Variable)","")&amp;IF($D216=""," · SIN CATEGORÍA","")&amp;IF($E216=""," · Falta descripción","")&amp;IF(OR($G216="",NOT(ISNUMBER($G216)),$G216&lt;=0)," · Monto inválido","")&amp;IF(AND($I216="Pagado",$J216="")," · Pago sin fecha","")&amp;IF(AND(ISNUMBER($K216),ISNUMBER($G216),$K216&gt;N($G216)+0.01)," · Pagado &gt; monto","")&amp;IF(AND(ISNUMBER($K216),$K216&gt;0,$J216="")," · Monto pagado sin fecha","")="","OK",MID(IF($B216=""," · Falta fecha","")&amp;IF($C216=""," · Falta tipo (Fijo/Variable)","")&amp;IF($D216=""," · SIN CATEGORÍA","")&amp;IF($E216=""," · Falta descripción","")&amp;IF(OR($G216="",NOT(ISNUMBER($G216)),$G216&lt;=0)," · Monto inválido","")&amp;IF(AND($I216="Pagado",$J216="")," · Pago sin fecha","")&amp;IF(AND(ISNUMBER($K216),ISNUMBER($G216),$K216&gt;N($G216)+0.01)," · Pagado &gt; monto","")&amp;IF(AND(ISNUMBER($K216),$K216&gt;0,$J216="")," · Monto pagado sin fecha",""),4,900)))</f>
        <v/>
      </c>
    </row>
    <row r="217">
      <c r="A217" s="51">
        <f>IF(COUNTA($B217,$C217,$D217,$E217,$G217)=0,"","G-"&amp;TEXT(ROW()-6,"0000"))</f>
        <v/>
      </c>
      <c r="B217" s="41" t="n"/>
      <c r="C217" s="33" t="n"/>
      <c r="D217" s="33" t="n"/>
      <c r="E217" s="33" t="n"/>
      <c r="F217" s="33" t="n"/>
      <c r="G217" s="36" t="n"/>
      <c r="H217" s="33" t="n"/>
      <c r="I217" s="33" t="n"/>
      <c r="J217" s="41" t="n"/>
      <c r="K217" s="36" t="n"/>
      <c r="L217" s="37">
        <f>IF(NOT(ISNUMBER($G217)),"",$G217-IF(ISNUMBER($K217),$K217,0))</f>
        <v/>
      </c>
      <c r="M217" s="33" t="n"/>
      <c r="N217" s="33" t="n"/>
      <c r="O217" s="51">
        <f>IF(COUNTA($B217,$C217,$D217,$E217,$G217)=0,"",IF(IF($B217=""," · Falta fecha","")&amp;IF($C217=""," · Falta tipo (Fijo/Variable)","")&amp;IF($D217=""," · SIN CATEGORÍA","")&amp;IF($E217=""," · Falta descripción","")&amp;IF(OR($G217="",NOT(ISNUMBER($G217)),$G217&lt;=0)," · Monto inválido","")&amp;IF(AND($I217="Pagado",$J217="")," · Pago sin fecha","")&amp;IF(AND(ISNUMBER($K217),ISNUMBER($G217),$K217&gt;N($G217)+0.01)," · Pagado &gt; monto","")&amp;IF(AND(ISNUMBER($K217),$K217&gt;0,$J217="")," · Monto pagado sin fecha","")="","OK",MID(IF($B217=""," · Falta fecha","")&amp;IF($C217=""," · Falta tipo (Fijo/Variable)","")&amp;IF($D217=""," · SIN CATEGORÍA","")&amp;IF($E217=""," · Falta descripción","")&amp;IF(OR($G217="",NOT(ISNUMBER($G217)),$G217&lt;=0)," · Monto inválido","")&amp;IF(AND($I217="Pagado",$J217="")," · Pago sin fecha","")&amp;IF(AND(ISNUMBER($K217),ISNUMBER($G217),$K217&gt;N($G217)+0.01)," · Pagado &gt; monto","")&amp;IF(AND(ISNUMBER($K217),$K217&gt;0,$J217="")," · Monto pagado sin fecha",""),4,900)))</f>
        <v/>
      </c>
    </row>
    <row r="218">
      <c r="A218" s="51">
        <f>IF(COUNTA($B218,$C218,$D218,$E218,$G218)=0,"","G-"&amp;TEXT(ROW()-6,"0000"))</f>
        <v/>
      </c>
      <c r="B218" s="41" t="n"/>
      <c r="C218" s="33" t="n"/>
      <c r="D218" s="33" t="n"/>
      <c r="E218" s="33" t="n"/>
      <c r="F218" s="33" t="n"/>
      <c r="G218" s="36" t="n"/>
      <c r="H218" s="33" t="n"/>
      <c r="I218" s="33" t="n"/>
      <c r="J218" s="41" t="n"/>
      <c r="K218" s="36" t="n"/>
      <c r="L218" s="37">
        <f>IF(NOT(ISNUMBER($G218)),"",$G218-IF(ISNUMBER($K218),$K218,0))</f>
        <v/>
      </c>
      <c r="M218" s="33" t="n"/>
      <c r="N218" s="33" t="n"/>
      <c r="O218" s="51">
        <f>IF(COUNTA($B218,$C218,$D218,$E218,$G218)=0,"",IF(IF($B218=""," · Falta fecha","")&amp;IF($C218=""," · Falta tipo (Fijo/Variable)","")&amp;IF($D218=""," · SIN CATEGORÍA","")&amp;IF($E218=""," · Falta descripción","")&amp;IF(OR($G218="",NOT(ISNUMBER($G218)),$G218&lt;=0)," · Monto inválido","")&amp;IF(AND($I218="Pagado",$J218="")," · Pago sin fecha","")&amp;IF(AND(ISNUMBER($K218),ISNUMBER($G218),$K218&gt;N($G218)+0.01)," · Pagado &gt; monto","")&amp;IF(AND(ISNUMBER($K218),$K218&gt;0,$J218="")," · Monto pagado sin fecha","")="","OK",MID(IF($B218=""," · Falta fecha","")&amp;IF($C218=""," · Falta tipo (Fijo/Variable)","")&amp;IF($D218=""," · SIN CATEGORÍA","")&amp;IF($E218=""," · Falta descripción","")&amp;IF(OR($G218="",NOT(ISNUMBER($G218)),$G218&lt;=0)," · Monto inválido","")&amp;IF(AND($I218="Pagado",$J218="")," · Pago sin fecha","")&amp;IF(AND(ISNUMBER($K218),ISNUMBER($G218),$K218&gt;N($G218)+0.01)," · Pagado &gt; monto","")&amp;IF(AND(ISNUMBER($K218),$K218&gt;0,$J218="")," · Monto pagado sin fecha",""),4,900)))</f>
        <v/>
      </c>
    </row>
    <row r="219">
      <c r="A219" s="51">
        <f>IF(COUNTA($B219,$C219,$D219,$E219,$G219)=0,"","G-"&amp;TEXT(ROW()-6,"0000"))</f>
        <v/>
      </c>
      <c r="B219" s="41" t="n"/>
      <c r="C219" s="33" t="n"/>
      <c r="D219" s="33" t="n"/>
      <c r="E219" s="33" t="n"/>
      <c r="F219" s="33" t="n"/>
      <c r="G219" s="36" t="n"/>
      <c r="H219" s="33" t="n"/>
      <c r="I219" s="33" t="n"/>
      <c r="J219" s="41" t="n"/>
      <c r="K219" s="36" t="n"/>
      <c r="L219" s="37">
        <f>IF(NOT(ISNUMBER($G219)),"",$G219-IF(ISNUMBER($K219),$K219,0))</f>
        <v/>
      </c>
      <c r="M219" s="33" t="n"/>
      <c r="N219" s="33" t="n"/>
      <c r="O219" s="51">
        <f>IF(COUNTA($B219,$C219,$D219,$E219,$G219)=0,"",IF(IF($B219=""," · Falta fecha","")&amp;IF($C219=""," · Falta tipo (Fijo/Variable)","")&amp;IF($D219=""," · SIN CATEGORÍA","")&amp;IF($E219=""," · Falta descripción","")&amp;IF(OR($G219="",NOT(ISNUMBER($G219)),$G219&lt;=0)," · Monto inválido","")&amp;IF(AND($I219="Pagado",$J219="")," · Pago sin fecha","")&amp;IF(AND(ISNUMBER($K219),ISNUMBER($G219),$K219&gt;N($G219)+0.01)," · Pagado &gt; monto","")&amp;IF(AND(ISNUMBER($K219),$K219&gt;0,$J219="")," · Monto pagado sin fecha","")="","OK",MID(IF($B219=""," · Falta fecha","")&amp;IF($C219=""," · Falta tipo (Fijo/Variable)","")&amp;IF($D219=""," · SIN CATEGORÍA","")&amp;IF($E219=""," · Falta descripción","")&amp;IF(OR($G219="",NOT(ISNUMBER($G219)),$G219&lt;=0)," · Monto inválido","")&amp;IF(AND($I219="Pagado",$J219="")," · Pago sin fecha","")&amp;IF(AND(ISNUMBER($K219),ISNUMBER($G219),$K219&gt;N($G219)+0.01)," · Pagado &gt; monto","")&amp;IF(AND(ISNUMBER($K219),$K219&gt;0,$J219="")," · Monto pagado sin fecha",""),4,900)))</f>
        <v/>
      </c>
    </row>
    <row r="220">
      <c r="A220" s="51">
        <f>IF(COUNTA($B220,$C220,$D220,$E220,$G220)=0,"","G-"&amp;TEXT(ROW()-6,"0000"))</f>
        <v/>
      </c>
      <c r="B220" s="41" t="n"/>
      <c r="C220" s="33" t="n"/>
      <c r="D220" s="33" t="n"/>
      <c r="E220" s="33" t="n"/>
      <c r="F220" s="33" t="n"/>
      <c r="G220" s="36" t="n"/>
      <c r="H220" s="33" t="n"/>
      <c r="I220" s="33" t="n"/>
      <c r="J220" s="41" t="n"/>
      <c r="K220" s="36" t="n"/>
      <c r="L220" s="37">
        <f>IF(NOT(ISNUMBER($G220)),"",$G220-IF(ISNUMBER($K220),$K220,0))</f>
        <v/>
      </c>
      <c r="M220" s="33" t="n"/>
      <c r="N220" s="33" t="n"/>
      <c r="O220" s="51">
        <f>IF(COUNTA($B220,$C220,$D220,$E220,$G220)=0,"",IF(IF($B220=""," · Falta fecha","")&amp;IF($C220=""," · Falta tipo (Fijo/Variable)","")&amp;IF($D220=""," · SIN CATEGORÍA","")&amp;IF($E220=""," · Falta descripción","")&amp;IF(OR($G220="",NOT(ISNUMBER($G220)),$G220&lt;=0)," · Monto inválido","")&amp;IF(AND($I220="Pagado",$J220="")," · Pago sin fecha","")&amp;IF(AND(ISNUMBER($K220),ISNUMBER($G220),$K220&gt;N($G220)+0.01)," · Pagado &gt; monto","")&amp;IF(AND(ISNUMBER($K220),$K220&gt;0,$J220="")," · Monto pagado sin fecha","")="","OK",MID(IF($B220=""," · Falta fecha","")&amp;IF($C220=""," · Falta tipo (Fijo/Variable)","")&amp;IF($D220=""," · SIN CATEGORÍA","")&amp;IF($E220=""," · Falta descripción","")&amp;IF(OR($G220="",NOT(ISNUMBER($G220)),$G220&lt;=0)," · Monto inválido","")&amp;IF(AND($I220="Pagado",$J220="")," · Pago sin fecha","")&amp;IF(AND(ISNUMBER($K220),ISNUMBER($G220),$K220&gt;N($G220)+0.01)," · Pagado &gt; monto","")&amp;IF(AND(ISNUMBER($K220),$K220&gt;0,$J220="")," · Monto pagado sin fecha",""),4,900)))</f>
        <v/>
      </c>
    </row>
    <row r="221">
      <c r="A221" s="51">
        <f>IF(COUNTA($B221,$C221,$D221,$E221,$G221)=0,"","G-"&amp;TEXT(ROW()-6,"0000"))</f>
        <v/>
      </c>
      <c r="B221" s="41" t="n"/>
      <c r="C221" s="33" t="n"/>
      <c r="D221" s="33" t="n"/>
      <c r="E221" s="33" t="n"/>
      <c r="F221" s="33" t="n"/>
      <c r="G221" s="36" t="n"/>
      <c r="H221" s="33" t="n"/>
      <c r="I221" s="33" t="n"/>
      <c r="J221" s="41" t="n"/>
      <c r="K221" s="36" t="n"/>
      <c r="L221" s="37">
        <f>IF(NOT(ISNUMBER($G221)),"",$G221-IF(ISNUMBER($K221),$K221,0))</f>
        <v/>
      </c>
      <c r="M221" s="33" t="n"/>
      <c r="N221" s="33" t="n"/>
      <c r="O221" s="51">
        <f>IF(COUNTA($B221,$C221,$D221,$E221,$G221)=0,"",IF(IF($B221=""," · Falta fecha","")&amp;IF($C221=""," · Falta tipo (Fijo/Variable)","")&amp;IF($D221=""," · SIN CATEGORÍA","")&amp;IF($E221=""," · Falta descripción","")&amp;IF(OR($G221="",NOT(ISNUMBER($G221)),$G221&lt;=0)," · Monto inválido","")&amp;IF(AND($I221="Pagado",$J221="")," · Pago sin fecha","")&amp;IF(AND(ISNUMBER($K221),ISNUMBER($G221),$K221&gt;N($G221)+0.01)," · Pagado &gt; monto","")&amp;IF(AND(ISNUMBER($K221),$K221&gt;0,$J221="")," · Monto pagado sin fecha","")="","OK",MID(IF($B221=""," · Falta fecha","")&amp;IF($C221=""," · Falta tipo (Fijo/Variable)","")&amp;IF($D221=""," · SIN CATEGORÍA","")&amp;IF($E221=""," · Falta descripción","")&amp;IF(OR($G221="",NOT(ISNUMBER($G221)),$G221&lt;=0)," · Monto inválido","")&amp;IF(AND($I221="Pagado",$J221="")," · Pago sin fecha","")&amp;IF(AND(ISNUMBER($K221),ISNUMBER($G221),$K221&gt;N($G221)+0.01)," · Pagado &gt; monto","")&amp;IF(AND(ISNUMBER($K221),$K221&gt;0,$J221="")," · Monto pagado sin fecha",""),4,900)))</f>
        <v/>
      </c>
    </row>
    <row r="222">
      <c r="A222" s="51">
        <f>IF(COUNTA($B222,$C222,$D222,$E222,$G222)=0,"","G-"&amp;TEXT(ROW()-6,"0000"))</f>
        <v/>
      </c>
      <c r="B222" s="41" t="n"/>
      <c r="C222" s="33" t="n"/>
      <c r="D222" s="33" t="n"/>
      <c r="E222" s="33" t="n"/>
      <c r="F222" s="33" t="n"/>
      <c r="G222" s="36" t="n"/>
      <c r="H222" s="33" t="n"/>
      <c r="I222" s="33" t="n"/>
      <c r="J222" s="41" t="n"/>
      <c r="K222" s="36" t="n"/>
      <c r="L222" s="37">
        <f>IF(NOT(ISNUMBER($G222)),"",$G222-IF(ISNUMBER($K222),$K222,0))</f>
        <v/>
      </c>
      <c r="M222" s="33" t="n"/>
      <c r="N222" s="33" t="n"/>
      <c r="O222" s="51">
        <f>IF(COUNTA($B222,$C222,$D222,$E222,$G222)=0,"",IF(IF($B222=""," · Falta fecha","")&amp;IF($C222=""," · Falta tipo (Fijo/Variable)","")&amp;IF($D222=""," · SIN CATEGORÍA","")&amp;IF($E222=""," · Falta descripción","")&amp;IF(OR($G222="",NOT(ISNUMBER($G222)),$G222&lt;=0)," · Monto inválido","")&amp;IF(AND($I222="Pagado",$J222="")," · Pago sin fecha","")&amp;IF(AND(ISNUMBER($K222),ISNUMBER($G222),$K222&gt;N($G222)+0.01)," · Pagado &gt; monto","")&amp;IF(AND(ISNUMBER($K222),$K222&gt;0,$J222="")," · Monto pagado sin fecha","")="","OK",MID(IF($B222=""," · Falta fecha","")&amp;IF($C222=""," · Falta tipo (Fijo/Variable)","")&amp;IF($D222=""," · SIN CATEGORÍA","")&amp;IF($E222=""," · Falta descripción","")&amp;IF(OR($G222="",NOT(ISNUMBER($G222)),$G222&lt;=0)," · Monto inválido","")&amp;IF(AND($I222="Pagado",$J222="")," · Pago sin fecha","")&amp;IF(AND(ISNUMBER($K222),ISNUMBER($G222),$K222&gt;N($G222)+0.01)," · Pagado &gt; monto","")&amp;IF(AND(ISNUMBER($K222),$K222&gt;0,$J222="")," · Monto pagado sin fecha",""),4,900)))</f>
        <v/>
      </c>
    </row>
    <row r="223">
      <c r="A223" s="51">
        <f>IF(COUNTA($B223,$C223,$D223,$E223,$G223)=0,"","G-"&amp;TEXT(ROW()-6,"0000"))</f>
        <v/>
      </c>
      <c r="B223" s="41" t="n"/>
      <c r="C223" s="33" t="n"/>
      <c r="D223" s="33" t="n"/>
      <c r="E223" s="33" t="n"/>
      <c r="F223" s="33" t="n"/>
      <c r="G223" s="36" t="n"/>
      <c r="H223" s="33" t="n"/>
      <c r="I223" s="33" t="n"/>
      <c r="J223" s="41" t="n"/>
      <c r="K223" s="36" t="n"/>
      <c r="L223" s="37">
        <f>IF(NOT(ISNUMBER($G223)),"",$G223-IF(ISNUMBER($K223),$K223,0))</f>
        <v/>
      </c>
      <c r="M223" s="33" t="n"/>
      <c r="N223" s="33" t="n"/>
      <c r="O223" s="51">
        <f>IF(COUNTA($B223,$C223,$D223,$E223,$G223)=0,"",IF(IF($B223=""," · Falta fecha","")&amp;IF($C223=""," · Falta tipo (Fijo/Variable)","")&amp;IF($D223=""," · SIN CATEGORÍA","")&amp;IF($E223=""," · Falta descripción","")&amp;IF(OR($G223="",NOT(ISNUMBER($G223)),$G223&lt;=0)," · Monto inválido","")&amp;IF(AND($I223="Pagado",$J223="")," · Pago sin fecha","")&amp;IF(AND(ISNUMBER($K223),ISNUMBER($G223),$K223&gt;N($G223)+0.01)," · Pagado &gt; monto","")&amp;IF(AND(ISNUMBER($K223),$K223&gt;0,$J223="")," · Monto pagado sin fecha","")="","OK",MID(IF($B223=""," · Falta fecha","")&amp;IF($C223=""," · Falta tipo (Fijo/Variable)","")&amp;IF($D223=""," · SIN CATEGORÍA","")&amp;IF($E223=""," · Falta descripción","")&amp;IF(OR($G223="",NOT(ISNUMBER($G223)),$G223&lt;=0)," · Monto inválido","")&amp;IF(AND($I223="Pagado",$J223="")," · Pago sin fecha","")&amp;IF(AND(ISNUMBER($K223),ISNUMBER($G223),$K223&gt;N($G223)+0.01)," · Pagado &gt; monto","")&amp;IF(AND(ISNUMBER($K223),$K223&gt;0,$J223="")," · Monto pagado sin fecha",""),4,900)))</f>
        <v/>
      </c>
    </row>
    <row r="224">
      <c r="A224" s="51">
        <f>IF(COUNTA($B224,$C224,$D224,$E224,$G224)=0,"","G-"&amp;TEXT(ROW()-6,"0000"))</f>
        <v/>
      </c>
      <c r="B224" s="41" t="n"/>
      <c r="C224" s="33" t="n"/>
      <c r="D224" s="33" t="n"/>
      <c r="E224" s="33" t="n"/>
      <c r="F224" s="33" t="n"/>
      <c r="G224" s="36" t="n"/>
      <c r="H224" s="33" t="n"/>
      <c r="I224" s="33" t="n"/>
      <c r="J224" s="41" t="n"/>
      <c r="K224" s="36" t="n"/>
      <c r="L224" s="37">
        <f>IF(NOT(ISNUMBER($G224)),"",$G224-IF(ISNUMBER($K224),$K224,0))</f>
        <v/>
      </c>
      <c r="M224" s="33" t="n"/>
      <c r="N224" s="33" t="n"/>
      <c r="O224" s="51">
        <f>IF(COUNTA($B224,$C224,$D224,$E224,$G224)=0,"",IF(IF($B224=""," · Falta fecha","")&amp;IF($C224=""," · Falta tipo (Fijo/Variable)","")&amp;IF($D224=""," · SIN CATEGORÍA","")&amp;IF($E224=""," · Falta descripción","")&amp;IF(OR($G224="",NOT(ISNUMBER($G224)),$G224&lt;=0)," · Monto inválido","")&amp;IF(AND($I224="Pagado",$J224="")," · Pago sin fecha","")&amp;IF(AND(ISNUMBER($K224),ISNUMBER($G224),$K224&gt;N($G224)+0.01)," · Pagado &gt; monto","")&amp;IF(AND(ISNUMBER($K224),$K224&gt;0,$J224="")," · Monto pagado sin fecha","")="","OK",MID(IF($B224=""," · Falta fecha","")&amp;IF($C224=""," · Falta tipo (Fijo/Variable)","")&amp;IF($D224=""," · SIN CATEGORÍA","")&amp;IF($E224=""," · Falta descripción","")&amp;IF(OR($G224="",NOT(ISNUMBER($G224)),$G224&lt;=0)," · Monto inválido","")&amp;IF(AND($I224="Pagado",$J224="")," · Pago sin fecha","")&amp;IF(AND(ISNUMBER($K224),ISNUMBER($G224),$K224&gt;N($G224)+0.01)," · Pagado &gt; monto","")&amp;IF(AND(ISNUMBER($K224),$K224&gt;0,$J224="")," · Monto pagado sin fecha",""),4,900)))</f>
        <v/>
      </c>
    </row>
    <row r="225">
      <c r="A225" s="51">
        <f>IF(COUNTA($B225,$C225,$D225,$E225,$G225)=0,"","G-"&amp;TEXT(ROW()-6,"0000"))</f>
        <v/>
      </c>
      <c r="B225" s="41" t="n"/>
      <c r="C225" s="33" t="n"/>
      <c r="D225" s="33" t="n"/>
      <c r="E225" s="33" t="n"/>
      <c r="F225" s="33" t="n"/>
      <c r="G225" s="36" t="n"/>
      <c r="H225" s="33" t="n"/>
      <c r="I225" s="33" t="n"/>
      <c r="J225" s="41" t="n"/>
      <c r="K225" s="36" t="n"/>
      <c r="L225" s="37">
        <f>IF(NOT(ISNUMBER($G225)),"",$G225-IF(ISNUMBER($K225),$K225,0))</f>
        <v/>
      </c>
      <c r="M225" s="33" t="n"/>
      <c r="N225" s="33" t="n"/>
      <c r="O225" s="51">
        <f>IF(COUNTA($B225,$C225,$D225,$E225,$G225)=0,"",IF(IF($B225=""," · Falta fecha","")&amp;IF($C225=""," · Falta tipo (Fijo/Variable)","")&amp;IF($D225=""," · SIN CATEGORÍA","")&amp;IF($E225=""," · Falta descripción","")&amp;IF(OR($G225="",NOT(ISNUMBER($G225)),$G225&lt;=0)," · Monto inválido","")&amp;IF(AND($I225="Pagado",$J225="")," · Pago sin fecha","")&amp;IF(AND(ISNUMBER($K225),ISNUMBER($G225),$K225&gt;N($G225)+0.01)," · Pagado &gt; monto","")&amp;IF(AND(ISNUMBER($K225),$K225&gt;0,$J225="")," · Monto pagado sin fecha","")="","OK",MID(IF($B225=""," · Falta fecha","")&amp;IF($C225=""," · Falta tipo (Fijo/Variable)","")&amp;IF($D225=""," · SIN CATEGORÍA","")&amp;IF($E225=""," · Falta descripción","")&amp;IF(OR($G225="",NOT(ISNUMBER($G225)),$G225&lt;=0)," · Monto inválido","")&amp;IF(AND($I225="Pagado",$J225="")," · Pago sin fecha","")&amp;IF(AND(ISNUMBER($K225),ISNUMBER($G225),$K225&gt;N($G225)+0.01)," · Pagado &gt; monto","")&amp;IF(AND(ISNUMBER($K225),$K225&gt;0,$J225="")," · Monto pagado sin fecha",""),4,900)))</f>
        <v/>
      </c>
    </row>
    <row r="226">
      <c r="A226" s="51">
        <f>IF(COUNTA($B226,$C226,$D226,$E226,$G226)=0,"","G-"&amp;TEXT(ROW()-6,"0000"))</f>
        <v/>
      </c>
      <c r="B226" s="41" t="n"/>
      <c r="C226" s="33" t="n"/>
      <c r="D226" s="33" t="n"/>
      <c r="E226" s="33" t="n"/>
      <c r="F226" s="33" t="n"/>
      <c r="G226" s="36" t="n"/>
      <c r="H226" s="33" t="n"/>
      <c r="I226" s="33" t="n"/>
      <c r="J226" s="41" t="n"/>
      <c r="K226" s="36" t="n"/>
      <c r="L226" s="37">
        <f>IF(NOT(ISNUMBER($G226)),"",$G226-IF(ISNUMBER($K226),$K226,0))</f>
        <v/>
      </c>
      <c r="M226" s="33" t="n"/>
      <c r="N226" s="33" t="n"/>
      <c r="O226" s="51">
        <f>IF(COUNTA($B226,$C226,$D226,$E226,$G226)=0,"",IF(IF($B226=""," · Falta fecha","")&amp;IF($C226=""," · Falta tipo (Fijo/Variable)","")&amp;IF($D226=""," · SIN CATEGORÍA","")&amp;IF($E226=""," · Falta descripción","")&amp;IF(OR($G226="",NOT(ISNUMBER($G226)),$G226&lt;=0)," · Monto inválido","")&amp;IF(AND($I226="Pagado",$J226="")," · Pago sin fecha","")&amp;IF(AND(ISNUMBER($K226),ISNUMBER($G226),$K226&gt;N($G226)+0.01)," · Pagado &gt; monto","")&amp;IF(AND(ISNUMBER($K226),$K226&gt;0,$J226="")," · Monto pagado sin fecha","")="","OK",MID(IF($B226=""," · Falta fecha","")&amp;IF($C226=""," · Falta tipo (Fijo/Variable)","")&amp;IF($D226=""," · SIN CATEGORÍA","")&amp;IF($E226=""," · Falta descripción","")&amp;IF(OR($G226="",NOT(ISNUMBER($G226)),$G226&lt;=0)," · Monto inválido","")&amp;IF(AND($I226="Pagado",$J226="")," · Pago sin fecha","")&amp;IF(AND(ISNUMBER($K226),ISNUMBER($G226),$K226&gt;N($G226)+0.01)," · Pagado &gt; monto","")&amp;IF(AND(ISNUMBER($K226),$K226&gt;0,$J226="")," · Monto pagado sin fecha",""),4,900)))</f>
        <v/>
      </c>
    </row>
    <row r="227">
      <c r="A227" s="51">
        <f>IF(COUNTA($B227,$C227,$D227,$E227,$G227)=0,"","G-"&amp;TEXT(ROW()-6,"0000"))</f>
        <v/>
      </c>
      <c r="B227" s="41" t="n"/>
      <c r="C227" s="33" t="n"/>
      <c r="D227" s="33" t="n"/>
      <c r="E227" s="33" t="n"/>
      <c r="F227" s="33" t="n"/>
      <c r="G227" s="36" t="n"/>
      <c r="H227" s="33" t="n"/>
      <c r="I227" s="33" t="n"/>
      <c r="J227" s="41" t="n"/>
      <c r="K227" s="36" t="n"/>
      <c r="L227" s="37">
        <f>IF(NOT(ISNUMBER($G227)),"",$G227-IF(ISNUMBER($K227),$K227,0))</f>
        <v/>
      </c>
      <c r="M227" s="33" t="n"/>
      <c r="N227" s="33" t="n"/>
      <c r="O227" s="51">
        <f>IF(COUNTA($B227,$C227,$D227,$E227,$G227)=0,"",IF(IF($B227=""," · Falta fecha","")&amp;IF($C227=""," · Falta tipo (Fijo/Variable)","")&amp;IF($D227=""," · SIN CATEGORÍA","")&amp;IF($E227=""," · Falta descripción","")&amp;IF(OR($G227="",NOT(ISNUMBER($G227)),$G227&lt;=0)," · Monto inválido","")&amp;IF(AND($I227="Pagado",$J227="")," · Pago sin fecha","")&amp;IF(AND(ISNUMBER($K227),ISNUMBER($G227),$K227&gt;N($G227)+0.01)," · Pagado &gt; monto","")&amp;IF(AND(ISNUMBER($K227),$K227&gt;0,$J227="")," · Monto pagado sin fecha","")="","OK",MID(IF($B227=""," · Falta fecha","")&amp;IF($C227=""," · Falta tipo (Fijo/Variable)","")&amp;IF($D227=""," · SIN CATEGORÍA","")&amp;IF($E227=""," · Falta descripción","")&amp;IF(OR($G227="",NOT(ISNUMBER($G227)),$G227&lt;=0)," · Monto inválido","")&amp;IF(AND($I227="Pagado",$J227="")," · Pago sin fecha","")&amp;IF(AND(ISNUMBER($K227),ISNUMBER($G227),$K227&gt;N($G227)+0.01)," · Pagado &gt; monto","")&amp;IF(AND(ISNUMBER($K227),$K227&gt;0,$J227="")," · Monto pagado sin fecha",""),4,900)))</f>
        <v/>
      </c>
    </row>
    <row r="228">
      <c r="A228" s="51">
        <f>IF(COUNTA($B228,$C228,$D228,$E228,$G228)=0,"","G-"&amp;TEXT(ROW()-6,"0000"))</f>
        <v/>
      </c>
      <c r="B228" s="41" t="n"/>
      <c r="C228" s="33" t="n"/>
      <c r="D228" s="33" t="n"/>
      <c r="E228" s="33" t="n"/>
      <c r="F228" s="33" t="n"/>
      <c r="G228" s="36" t="n"/>
      <c r="H228" s="33" t="n"/>
      <c r="I228" s="33" t="n"/>
      <c r="J228" s="41" t="n"/>
      <c r="K228" s="36" t="n"/>
      <c r="L228" s="37">
        <f>IF(NOT(ISNUMBER($G228)),"",$G228-IF(ISNUMBER($K228),$K228,0))</f>
        <v/>
      </c>
      <c r="M228" s="33" t="n"/>
      <c r="N228" s="33" t="n"/>
      <c r="O228" s="51">
        <f>IF(COUNTA($B228,$C228,$D228,$E228,$G228)=0,"",IF(IF($B228=""," · Falta fecha","")&amp;IF($C228=""," · Falta tipo (Fijo/Variable)","")&amp;IF($D228=""," · SIN CATEGORÍA","")&amp;IF($E228=""," · Falta descripción","")&amp;IF(OR($G228="",NOT(ISNUMBER($G228)),$G228&lt;=0)," · Monto inválido","")&amp;IF(AND($I228="Pagado",$J228="")," · Pago sin fecha","")&amp;IF(AND(ISNUMBER($K228),ISNUMBER($G228),$K228&gt;N($G228)+0.01)," · Pagado &gt; monto","")&amp;IF(AND(ISNUMBER($K228),$K228&gt;0,$J228="")," · Monto pagado sin fecha","")="","OK",MID(IF($B228=""," · Falta fecha","")&amp;IF($C228=""," · Falta tipo (Fijo/Variable)","")&amp;IF($D228=""," · SIN CATEGORÍA","")&amp;IF($E228=""," · Falta descripción","")&amp;IF(OR($G228="",NOT(ISNUMBER($G228)),$G228&lt;=0)," · Monto inválido","")&amp;IF(AND($I228="Pagado",$J228="")," · Pago sin fecha","")&amp;IF(AND(ISNUMBER($K228),ISNUMBER($G228),$K228&gt;N($G228)+0.01)," · Pagado &gt; monto","")&amp;IF(AND(ISNUMBER($K228),$K228&gt;0,$J228="")," · Monto pagado sin fecha",""),4,900)))</f>
        <v/>
      </c>
    </row>
    <row r="229">
      <c r="A229" s="51">
        <f>IF(COUNTA($B229,$C229,$D229,$E229,$G229)=0,"","G-"&amp;TEXT(ROW()-6,"0000"))</f>
        <v/>
      </c>
      <c r="B229" s="41" t="n"/>
      <c r="C229" s="33" t="n"/>
      <c r="D229" s="33" t="n"/>
      <c r="E229" s="33" t="n"/>
      <c r="F229" s="33" t="n"/>
      <c r="G229" s="36" t="n"/>
      <c r="H229" s="33" t="n"/>
      <c r="I229" s="33" t="n"/>
      <c r="J229" s="41" t="n"/>
      <c r="K229" s="36" t="n"/>
      <c r="L229" s="37">
        <f>IF(NOT(ISNUMBER($G229)),"",$G229-IF(ISNUMBER($K229),$K229,0))</f>
        <v/>
      </c>
      <c r="M229" s="33" t="n"/>
      <c r="N229" s="33" t="n"/>
      <c r="O229" s="51">
        <f>IF(COUNTA($B229,$C229,$D229,$E229,$G229)=0,"",IF(IF($B229=""," · Falta fecha","")&amp;IF($C229=""," · Falta tipo (Fijo/Variable)","")&amp;IF($D229=""," · SIN CATEGORÍA","")&amp;IF($E229=""," · Falta descripción","")&amp;IF(OR($G229="",NOT(ISNUMBER($G229)),$G229&lt;=0)," · Monto inválido","")&amp;IF(AND($I229="Pagado",$J229="")," · Pago sin fecha","")&amp;IF(AND(ISNUMBER($K229),ISNUMBER($G229),$K229&gt;N($G229)+0.01)," · Pagado &gt; monto","")&amp;IF(AND(ISNUMBER($K229),$K229&gt;0,$J229="")," · Monto pagado sin fecha","")="","OK",MID(IF($B229=""," · Falta fecha","")&amp;IF($C229=""," · Falta tipo (Fijo/Variable)","")&amp;IF($D229=""," · SIN CATEGORÍA","")&amp;IF($E229=""," · Falta descripción","")&amp;IF(OR($G229="",NOT(ISNUMBER($G229)),$G229&lt;=0)," · Monto inválido","")&amp;IF(AND($I229="Pagado",$J229="")," · Pago sin fecha","")&amp;IF(AND(ISNUMBER($K229),ISNUMBER($G229),$K229&gt;N($G229)+0.01)," · Pagado &gt; monto","")&amp;IF(AND(ISNUMBER($K229),$K229&gt;0,$J229="")," · Monto pagado sin fecha",""),4,900)))</f>
        <v/>
      </c>
    </row>
    <row r="230">
      <c r="A230" s="51">
        <f>IF(COUNTA($B230,$C230,$D230,$E230,$G230)=0,"","G-"&amp;TEXT(ROW()-6,"0000"))</f>
        <v/>
      </c>
      <c r="B230" s="41" t="n"/>
      <c r="C230" s="33" t="n"/>
      <c r="D230" s="33" t="n"/>
      <c r="E230" s="33" t="n"/>
      <c r="F230" s="33" t="n"/>
      <c r="G230" s="36" t="n"/>
      <c r="H230" s="33" t="n"/>
      <c r="I230" s="33" t="n"/>
      <c r="J230" s="41" t="n"/>
      <c r="K230" s="36" t="n"/>
      <c r="L230" s="37">
        <f>IF(NOT(ISNUMBER($G230)),"",$G230-IF(ISNUMBER($K230),$K230,0))</f>
        <v/>
      </c>
      <c r="M230" s="33" t="n"/>
      <c r="N230" s="33" t="n"/>
      <c r="O230" s="51">
        <f>IF(COUNTA($B230,$C230,$D230,$E230,$G230)=0,"",IF(IF($B230=""," · Falta fecha","")&amp;IF($C230=""," · Falta tipo (Fijo/Variable)","")&amp;IF($D230=""," · SIN CATEGORÍA","")&amp;IF($E230=""," · Falta descripción","")&amp;IF(OR($G230="",NOT(ISNUMBER($G230)),$G230&lt;=0)," · Monto inválido","")&amp;IF(AND($I230="Pagado",$J230="")," · Pago sin fecha","")&amp;IF(AND(ISNUMBER($K230),ISNUMBER($G230),$K230&gt;N($G230)+0.01)," · Pagado &gt; monto","")&amp;IF(AND(ISNUMBER($K230),$K230&gt;0,$J230="")," · Monto pagado sin fecha","")="","OK",MID(IF($B230=""," · Falta fecha","")&amp;IF($C230=""," · Falta tipo (Fijo/Variable)","")&amp;IF($D230=""," · SIN CATEGORÍA","")&amp;IF($E230=""," · Falta descripción","")&amp;IF(OR($G230="",NOT(ISNUMBER($G230)),$G230&lt;=0)," · Monto inválido","")&amp;IF(AND($I230="Pagado",$J230="")," · Pago sin fecha","")&amp;IF(AND(ISNUMBER($K230),ISNUMBER($G230),$K230&gt;N($G230)+0.01)," · Pagado &gt; monto","")&amp;IF(AND(ISNUMBER($K230),$K230&gt;0,$J230="")," · Monto pagado sin fecha",""),4,900)))</f>
        <v/>
      </c>
    </row>
    <row r="231">
      <c r="A231" s="51">
        <f>IF(COUNTA($B231,$C231,$D231,$E231,$G231)=0,"","G-"&amp;TEXT(ROW()-6,"0000"))</f>
        <v/>
      </c>
      <c r="B231" s="41" t="n"/>
      <c r="C231" s="33" t="n"/>
      <c r="D231" s="33" t="n"/>
      <c r="E231" s="33" t="n"/>
      <c r="F231" s="33" t="n"/>
      <c r="G231" s="36" t="n"/>
      <c r="H231" s="33" t="n"/>
      <c r="I231" s="33" t="n"/>
      <c r="J231" s="41" t="n"/>
      <c r="K231" s="36" t="n"/>
      <c r="L231" s="37">
        <f>IF(NOT(ISNUMBER($G231)),"",$G231-IF(ISNUMBER($K231),$K231,0))</f>
        <v/>
      </c>
      <c r="M231" s="33" t="n"/>
      <c r="N231" s="33" t="n"/>
      <c r="O231" s="51">
        <f>IF(COUNTA($B231,$C231,$D231,$E231,$G231)=0,"",IF(IF($B231=""," · Falta fecha","")&amp;IF($C231=""," · Falta tipo (Fijo/Variable)","")&amp;IF($D231=""," · SIN CATEGORÍA","")&amp;IF($E231=""," · Falta descripción","")&amp;IF(OR($G231="",NOT(ISNUMBER($G231)),$G231&lt;=0)," · Monto inválido","")&amp;IF(AND($I231="Pagado",$J231="")," · Pago sin fecha","")&amp;IF(AND(ISNUMBER($K231),ISNUMBER($G231),$K231&gt;N($G231)+0.01)," · Pagado &gt; monto","")&amp;IF(AND(ISNUMBER($K231),$K231&gt;0,$J231="")," · Monto pagado sin fecha","")="","OK",MID(IF($B231=""," · Falta fecha","")&amp;IF($C231=""," · Falta tipo (Fijo/Variable)","")&amp;IF($D231=""," · SIN CATEGORÍA","")&amp;IF($E231=""," · Falta descripción","")&amp;IF(OR($G231="",NOT(ISNUMBER($G231)),$G231&lt;=0)," · Monto inválido","")&amp;IF(AND($I231="Pagado",$J231="")," · Pago sin fecha","")&amp;IF(AND(ISNUMBER($K231),ISNUMBER($G231),$K231&gt;N($G231)+0.01)," · Pagado &gt; monto","")&amp;IF(AND(ISNUMBER($K231),$K231&gt;0,$J231="")," · Monto pagado sin fecha",""),4,900)))</f>
        <v/>
      </c>
    </row>
    <row r="232">
      <c r="A232" s="51">
        <f>IF(COUNTA($B232,$C232,$D232,$E232,$G232)=0,"","G-"&amp;TEXT(ROW()-6,"0000"))</f>
        <v/>
      </c>
      <c r="B232" s="41" t="n"/>
      <c r="C232" s="33" t="n"/>
      <c r="D232" s="33" t="n"/>
      <c r="E232" s="33" t="n"/>
      <c r="F232" s="33" t="n"/>
      <c r="G232" s="36" t="n"/>
      <c r="H232" s="33" t="n"/>
      <c r="I232" s="33" t="n"/>
      <c r="J232" s="41" t="n"/>
      <c r="K232" s="36" t="n"/>
      <c r="L232" s="37">
        <f>IF(NOT(ISNUMBER($G232)),"",$G232-IF(ISNUMBER($K232),$K232,0))</f>
        <v/>
      </c>
      <c r="M232" s="33" t="n"/>
      <c r="N232" s="33" t="n"/>
      <c r="O232" s="51">
        <f>IF(COUNTA($B232,$C232,$D232,$E232,$G232)=0,"",IF(IF($B232=""," · Falta fecha","")&amp;IF($C232=""," · Falta tipo (Fijo/Variable)","")&amp;IF($D232=""," · SIN CATEGORÍA","")&amp;IF($E232=""," · Falta descripción","")&amp;IF(OR($G232="",NOT(ISNUMBER($G232)),$G232&lt;=0)," · Monto inválido","")&amp;IF(AND($I232="Pagado",$J232="")," · Pago sin fecha","")&amp;IF(AND(ISNUMBER($K232),ISNUMBER($G232),$K232&gt;N($G232)+0.01)," · Pagado &gt; monto","")&amp;IF(AND(ISNUMBER($K232),$K232&gt;0,$J232="")," · Monto pagado sin fecha","")="","OK",MID(IF($B232=""," · Falta fecha","")&amp;IF($C232=""," · Falta tipo (Fijo/Variable)","")&amp;IF($D232=""," · SIN CATEGORÍA","")&amp;IF($E232=""," · Falta descripción","")&amp;IF(OR($G232="",NOT(ISNUMBER($G232)),$G232&lt;=0)," · Monto inválido","")&amp;IF(AND($I232="Pagado",$J232="")," · Pago sin fecha","")&amp;IF(AND(ISNUMBER($K232),ISNUMBER($G232),$K232&gt;N($G232)+0.01)," · Pagado &gt; monto","")&amp;IF(AND(ISNUMBER($K232),$K232&gt;0,$J232="")," · Monto pagado sin fecha",""),4,900)))</f>
        <v/>
      </c>
    </row>
    <row r="233">
      <c r="A233" s="51">
        <f>IF(COUNTA($B233,$C233,$D233,$E233,$G233)=0,"","G-"&amp;TEXT(ROW()-6,"0000"))</f>
        <v/>
      </c>
      <c r="B233" s="41" t="n"/>
      <c r="C233" s="33" t="n"/>
      <c r="D233" s="33" t="n"/>
      <c r="E233" s="33" t="n"/>
      <c r="F233" s="33" t="n"/>
      <c r="G233" s="36" t="n"/>
      <c r="H233" s="33" t="n"/>
      <c r="I233" s="33" t="n"/>
      <c r="J233" s="41" t="n"/>
      <c r="K233" s="36" t="n"/>
      <c r="L233" s="37">
        <f>IF(NOT(ISNUMBER($G233)),"",$G233-IF(ISNUMBER($K233),$K233,0))</f>
        <v/>
      </c>
      <c r="M233" s="33" t="n"/>
      <c r="N233" s="33" t="n"/>
      <c r="O233" s="51">
        <f>IF(COUNTA($B233,$C233,$D233,$E233,$G233)=0,"",IF(IF($B233=""," · Falta fecha","")&amp;IF($C233=""," · Falta tipo (Fijo/Variable)","")&amp;IF($D233=""," · SIN CATEGORÍA","")&amp;IF($E233=""," · Falta descripción","")&amp;IF(OR($G233="",NOT(ISNUMBER($G233)),$G233&lt;=0)," · Monto inválido","")&amp;IF(AND($I233="Pagado",$J233="")," · Pago sin fecha","")&amp;IF(AND(ISNUMBER($K233),ISNUMBER($G233),$K233&gt;N($G233)+0.01)," · Pagado &gt; monto","")&amp;IF(AND(ISNUMBER($K233),$K233&gt;0,$J233="")," · Monto pagado sin fecha","")="","OK",MID(IF($B233=""," · Falta fecha","")&amp;IF($C233=""," · Falta tipo (Fijo/Variable)","")&amp;IF($D233=""," · SIN CATEGORÍA","")&amp;IF($E233=""," · Falta descripción","")&amp;IF(OR($G233="",NOT(ISNUMBER($G233)),$G233&lt;=0)," · Monto inválido","")&amp;IF(AND($I233="Pagado",$J233="")," · Pago sin fecha","")&amp;IF(AND(ISNUMBER($K233),ISNUMBER($G233),$K233&gt;N($G233)+0.01)," · Pagado &gt; monto","")&amp;IF(AND(ISNUMBER($K233),$K233&gt;0,$J233="")," · Monto pagado sin fecha",""),4,900)))</f>
        <v/>
      </c>
    </row>
    <row r="234">
      <c r="A234" s="51">
        <f>IF(COUNTA($B234,$C234,$D234,$E234,$G234)=0,"","G-"&amp;TEXT(ROW()-6,"0000"))</f>
        <v/>
      </c>
      <c r="B234" s="41" t="n"/>
      <c r="C234" s="33" t="n"/>
      <c r="D234" s="33" t="n"/>
      <c r="E234" s="33" t="n"/>
      <c r="F234" s="33" t="n"/>
      <c r="G234" s="36" t="n"/>
      <c r="H234" s="33" t="n"/>
      <c r="I234" s="33" t="n"/>
      <c r="J234" s="41" t="n"/>
      <c r="K234" s="36" t="n"/>
      <c r="L234" s="37">
        <f>IF(NOT(ISNUMBER($G234)),"",$G234-IF(ISNUMBER($K234),$K234,0))</f>
        <v/>
      </c>
      <c r="M234" s="33" t="n"/>
      <c r="N234" s="33" t="n"/>
      <c r="O234" s="51">
        <f>IF(COUNTA($B234,$C234,$D234,$E234,$G234)=0,"",IF(IF($B234=""," · Falta fecha","")&amp;IF($C234=""," · Falta tipo (Fijo/Variable)","")&amp;IF($D234=""," · SIN CATEGORÍA","")&amp;IF($E234=""," · Falta descripción","")&amp;IF(OR($G234="",NOT(ISNUMBER($G234)),$G234&lt;=0)," · Monto inválido","")&amp;IF(AND($I234="Pagado",$J234="")," · Pago sin fecha","")&amp;IF(AND(ISNUMBER($K234),ISNUMBER($G234),$K234&gt;N($G234)+0.01)," · Pagado &gt; monto","")&amp;IF(AND(ISNUMBER($K234),$K234&gt;0,$J234="")," · Monto pagado sin fecha","")="","OK",MID(IF($B234=""," · Falta fecha","")&amp;IF($C234=""," · Falta tipo (Fijo/Variable)","")&amp;IF($D234=""," · SIN CATEGORÍA","")&amp;IF($E234=""," · Falta descripción","")&amp;IF(OR($G234="",NOT(ISNUMBER($G234)),$G234&lt;=0)," · Monto inválido","")&amp;IF(AND($I234="Pagado",$J234="")," · Pago sin fecha","")&amp;IF(AND(ISNUMBER($K234),ISNUMBER($G234),$K234&gt;N($G234)+0.01)," · Pagado &gt; monto","")&amp;IF(AND(ISNUMBER($K234),$K234&gt;0,$J234="")," · Monto pagado sin fecha",""),4,900)))</f>
        <v/>
      </c>
    </row>
    <row r="235">
      <c r="A235" s="51">
        <f>IF(COUNTA($B235,$C235,$D235,$E235,$G235)=0,"","G-"&amp;TEXT(ROW()-6,"0000"))</f>
        <v/>
      </c>
      <c r="B235" s="41" t="n"/>
      <c r="C235" s="33" t="n"/>
      <c r="D235" s="33" t="n"/>
      <c r="E235" s="33" t="n"/>
      <c r="F235" s="33" t="n"/>
      <c r="G235" s="36" t="n"/>
      <c r="H235" s="33" t="n"/>
      <c r="I235" s="33" t="n"/>
      <c r="J235" s="41" t="n"/>
      <c r="K235" s="36" t="n"/>
      <c r="L235" s="37">
        <f>IF(NOT(ISNUMBER($G235)),"",$G235-IF(ISNUMBER($K235),$K235,0))</f>
        <v/>
      </c>
      <c r="M235" s="33" t="n"/>
      <c r="N235" s="33" t="n"/>
      <c r="O235" s="51">
        <f>IF(COUNTA($B235,$C235,$D235,$E235,$G235)=0,"",IF(IF($B235=""," · Falta fecha","")&amp;IF($C235=""," · Falta tipo (Fijo/Variable)","")&amp;IF($D235=""," · SIN CATEGORÍA","")&amp;IF($E235=""," · Falta descripción","")&amp;IF(OR($G235="",NOT(ISNUMBER($G235)),$G235&lt;=0)," · Monto inválido","")&amp;IF(AND($I235="Pagado",$J235="")," · Pago sin fecha","")&amp;IF(AND(ISNUMBER($K235),ISNUMBER($G235),$K235&gt;N($G235)+0.01)," · Pagado &gt; monto","")&amp;IF(AND(ISNUMBER($K235),$K235&gt;0,$J235="")," · Monto pagado sin fecha","")="","OK",MID(IF($B235=""," · Falta fecha","")&amp;IF($C235=""," · Falta tipo (Fijo/Variable)","")&amp;IF($D235=""," · SIN CATEGORÍA","")&amp;IF($E235=""," · Falta descripción","")&amp;IF(OR($G235="",NOT(ISNUMBER($G235)),$G235&lt;=0)," · Monto inválido","")&amp;IF(AND($I235="Pagado",$J235="")," · Pago sin fecha","")&amp;IF(AND(ISNUMBER($K235),ISNUMBER($G235),$K235&gt;N($G235)+0.01)," · Pagado &gt; monto","")&amp;IF(AND(ISNUMBER($K235),$K235&gt;0,$J235="")," · Monto pagado sin fecha",""),4,900)))</f>
        <v/>
      </c>
    </row>
    <row r="236">
      <c r="A236" s="51">
        <f>IF(COUNTA($B236,$C236,$D236,$E236,$G236)=0,"","G-"&amp;TEXT(ROW()-6,"0000"))</f>
        <v/>
      </c>
      <c r="B236" s="41" t="n"/>
      <c r="C236" s="33" t="n"/>
      <c r="D236" s="33" t="n"/>
      <c r="E236" s="33" t="n"/>
      <c r="F236" s="33" t="n"/>
      <c r="G236" s="36" t="n"/>
      <c r="H236" s="33" t="n"/>
      <c r="I236" s="33" t="n"/>
      <c r="J236" s="41" t="n"/>
      <c r="K236" s="36" t="n"/>
      <c r="L236" s="37">
        <f>IF(NOT(ISNUMBER($G236)),"",$G236-IF(ISNUMBER($K236),$K236,0))</f>
        <v/>
      </c>
      <c r="M236" s="33" t="n"/>
      <c r="N236" s="33" t="n"/>
      <c r="O236" s="51">
        <f>IF(COUNTA($B236,$C236,$D236,$E236,$G236)=0,"",IF(IF($B236=""," · Falta fecha","")&amp;IF($C236=""," · Falta tipo (Fijo/Variable)","")&amp;IF($D236=""," · SIN CATEGORÍA","")&amp;IF($E236=""," · Falta descripción","")&amp;IF(OR($G236="",NOT(ISNUMBER($G236)),$G236&lt;=0)," · Monto inválido","")&amp;IF(AND($I236="Pagado",$J236="")," · Pago sin fecha","")&amp;IF(AND(ISNUMBER($K236),ISNUMBER($G236),$K236&gt;N($G236)+0.01)," · Pagado &gt; monto","")&amp;IF(AND(ISNUMBER($K236),$K236&gt;0,$J236="")," · Monto pagado sin fecha","")="","OK",MID(IF($B236=""," · Falta fecha","")&amp;IF($C236=""," · Falta tipo (Fijo/Variable)","")&amp;IF($D236=""," · SIN CATEGORÍA","")&amp;IF($E236=""," · Falta descripción","")&amp;IF(OR($G236="",NOT(ISNUMBER($G236)),$G236&lt;=0)," · Monto inválido","")&amp;IF(AND($I236="Pagado",$J236="")," · Pago sin fecha","")&amp;IF(AND(ISNUMBER($K236),ISNUMBER($G236),$K236&gt;N($G236)+0.01)," · Pagado &gt; monto","")&amp;IF(AND(ISNUMBER($K236),$K236&gt;0,$J236="")," · Monto pagado sin fecha",""),4,900)))</f>
        <v/>
      </c>
    </row>
    <row r="237">
      <c r="A237" s="51">
        <f>IF(COUNTA($B237,$C237,$D237,$E237,$G237)=0,"","G-"&amp;TEXT(ROW()-6,"0000"))</f>
        <v/>
      </c>
      <c r="B237" s="41" t="n"/>
      <c r="C237" s="33" t="n"/>
      <c r="D237" s="33" t="n"/>
      <c r="E237" s="33" t="n"/>
      <c r="F237" s="33" t="n"/>
      <c r="G237" s="36" t="n"/>
      <c r="H237" s="33" t="n"/>
      <c r="I237" s="33" t="n"/>
      <c r="J237" s="41" t="n"/>
      <c r="K237" s="36" t="n"/>
      <c r="L237" s="37">
        <f>IF(NOT(ISNUMBER($G237)),"",$G237-IF(ISNUMBER($K237),$K237,0))</f>
        <v/>
      </c>
      <c r="M237" s="33" t="n"/>
      <c r="N237" s="33" t="n"/>
      <c r="O237" s="51">
        <f>IF(COUNTA($B237,$C237,$D237,$E237,$G237)=0,"",IF(IF($B237=""," · Falta fecha","")&amp;IF($C237=""," · Falta tipo (Fijo/Variable)","")&amp;IF($D237=""," · SIN CATEGORÍA","")&amp;IF($E237=""," · Falta descripción","")&amp;IF(OR($G237="",NOT(ISNUMBER($G237)),$G237&lt;=0)," · Monto inválido","")&amp;IF(AND($I237="Pagado",$J237="")," · Pago sin fecha","")&amp;IF(AND(ISNUMBER($K237),ISNUMBER($G237),$K237&gt;N($G237)+0.01)," · Pagado &gt; monto","")&amp;IF(AND(ISNUMBER($K237),$K237&gt;0,$J237="")," · Monto pagado sin fecha","")="","OK",MID(IF($B237=""," · Falta fecha","")&amp;IF($C237=""," · Falta tipo (Fijo/Variable)","")&amp;IF($D237=""," · SIN CATEGORÍA","")&amp;IF($E237=""," · Falta descripción","")&amp;IF(OR($G237="",NOT(ISNUMBER($G237)),$G237&lt;=0)," · Monto inválido","")&amp;IF(AND($I237="Pagado",$J237="")," · Pago sin fecha","")&amp;IF(AND(ISNUMBER($K237),ISNUMBER($G237),$K237&gt;N($G237)+0.01)," · Pagado &gt; monto","")&amp;IF(AND(ISNUMBER($K237),$K237&gt;0,$J237="")," · Monto pagado sin fecha",""),4,900)))</f>
        <v/>
      </c>
    </row>
    <row r="238">
      <c r="A238" s="51">
        <f>IF(COUNTA($B238,$C238,$D238,$E238,$G238)=0,"","G-"&amp;TEXT(ROW()-6,"0000"))</f>
        <v/>
      </c>
      <c r="B238" s="41" t="n"/>
      <c r="C238" s="33" t="n"/>
      <c r="D238" s="33" t="n"/>
      <c r="E238" s="33" t="n"/>
      <c r="F238" s="33" t="n"/>
      <c r="G238" s="36" t="n"/>
      <c r="H238" s="33" t="n"/>
      <c r="I238" s="33" t="n"/>
      <c r="J238" s="41" t="n"/>
      <c r="K238" s="36" t="n"/>
      <c r="L238" s="37">
        <f>IF(NOT(ISNUMBER($G238)),"",$G238-IF(ISNUMBER($K238),$K238,0))</f>
        <v/>
      </c>
      <c r="M238" s="33" t="n"/>
      <c r="N238" s="33" t="n"/>
      <c r="O238" s="51">
        <f>IF(COUNTA($B238,$C238,$D238,$E238,$G238)=0,"",IF(IF($B238=""," · Falta fecha","")&amp;IF($C238=""," · Falta tipo (Fijo/Variable)","")&amp;IF($D238=""," · SIN CATEGORÍA","")&amp;IF($E238=""," · Falta descripción","")&amp;IF(OR($G238="",NOT(ISNUMBER($G238)),$G238&lt;=0)," · Monto inválido","")&amp;IF(AND($I238="Pagado",$J238="")," · Pago sin fecha","")&amp;IF(AND(ISNUMBER($K238),ISNUMBER($G238),$K238&gt;N($G238)+0.01)," · Pagado &gt; monto","")&amp;IF(AND(ISNUMBER($K238),$K238&gt;0,$J238="")," · Monto pagado sin fecha","")="","OK",MID(IF($B238=""," · Falta fecha","")&amp;IF($C238=""," · Falta tipo (Fijo/Variable)","")&amp;IF($D238=""," · SIN CATEGORÍA","")&amp;IF($E238=""," · Falta descripción","")&amp;IF(OR($G238="",NOT(ISNUMBER($G238)),$G238&lt;=0)," · Monto inválido","")&amp;IF(AND($I238="Pagado",$J238="")," · Pago sin fecha","")&amp;IF(AND(ISNUMBER($K238),ISNUMBER($G238),$K238&gt;N($G238)+0.01)," · Pagado &gt; monto","")&amp;IF(AND(ISNUMBER($K238),$K238&gt;0,$J238="")," · Monto pagado sin fecha",""),4,900)))</f>
        <v/>
      </c>
    </row>
    <row r="239">
      <c r="A239" s="51">
        <f>IF(COUNTA($B239,$C239,$D239,$E239,$G239)=0,"","G-"&amp;TEXT(ROW()-6,"0000"))</f>
        <v/>
      </c>
      <c r="B239" s="41" t="n"/>
      <c r="C239" s="33" t="n"/>
      <c r="D239" s="33" t="n"/>
      <c r="E239" s="33" t="n"/>
      <c r="F239" s="33" t="n"/>
      <c r="G239" s="36" t="n"/>
      <c r="H239" s="33" t="n"/>
      <c r="I239" s="33" t="n"/>
      <c r="J239" s="41" t="n"/>
      <c r="K239" s="36" t="n"/>
      <c r="L239" s="37">
        <f>IF(NOT(ISNUMBER($G239)),"",$G239-IF(ISNUMBER($K239),$K239,0))</f>
        <v/>
      </c>
      <c r="M239" s="33" t="n"/>
      <c r="N239" s="33" t="n"/>
      <c r="O239" s="51">
        <f>IF(COUNTA($B239,$C239,$D239,$E239,$G239)=0,"",IF(IF($B239=""," · Falta fecha","")&amp;IF($C239=""," · Falta tipo (Fijo/Variable)","")&amp;IF($D239=""," · SIN CATEGORÍA","")&amp;IF($E239=""," · Falta descripción","")&amp;IF(OR($G239="",NOT(ISNUMBER($G239)),$G239&lt;=0)," · Monto inválido","")&amp;IF(AND($I239="Pagado",$J239="")," · Pago sin fecha","")&amp;IF(AND(ISNUMBER($K239),ISNUMBER($G239),$K239&gt;N($G239)+0.01)," · Pagado &gt; monto","")&amp;IF(AND(ISNUMBER($K239),$K239&gt;0,$J239="")," · Monto pagado sin fecha","")="","OK",MID(IF($B239=""," · Falta fecha","")&amp;IF($C239=""," · Falta tipo (Fijo/Variable)","")&amp;IF($D239=""," · SIN CATEGORÍA","")&amp;IF($E239=""," · Falta descripción","")&amp;IF(OR($G239="",NOT(ISNUMBER($G239)),$G239&lt;=0)," · Monto inválido","")&amp;IF(AND($I239="Pagado",$J239="")," · Pago sin fecha","")&amp;IF(AND(ISNUMBER($K239),ISNUMBER($G239),$K239&gt;N($G239)+0.01)," · Pagado &gt; monto","")&amp;IF(AND(ISNUMBER($K239),$K239&gt;0,$J239="")," · Monto pagado sin fecha",""),4,900)))</f>
        <v/>
      </c>
    </row>
    <row r="240">
      <c r="A240" s="51">
        <f>IF(COUNTA($B240,$C240,$D240,$E240,$G240)=0,"","G-"&amp;TEXT(ROW()-6,"0000"))</f>
        <v/>
      </c>
      <c r="B240" s="41" t="n"/>
      <c r="C240" s="33" t="n"/>
      <c r="D240" s="33" t="n"/>
      <c r="E240" s="33" t="n"/>
      <c r="F240" s="33" t="n"/>
      <c r="G240" s="36" t="n"/>
      <c r="H240" s="33" t="n"/>
      <c r="I240" s="33" t="n"/>
      <c r="J240" s="41" t="n"/>
      <c r="K240" s="36" t="n"/>
      <c r="L240" s="37">
        <f>IF(NOT(ISNUMBER($G240)),"",$G240-IF(ISNUMBER($K240),$K240,0))</f>
        <v/>
      </c>
      <c r="M240" s="33" t="n"/>
      <c r="N240" s="33" t="n"/>
      <c r="O240" s="51">
        <f>IF(COUNTA($B240,$C240,$D240,$E240,$G240)=0,"",IF(IF($B240=""," · Falta fecha","")&amp;IF($C240=""," · Falta tipo (Fijo/Variable)","")&amp;IF($D240=""," · SIN CATEGORÍA","")&amp;IF($E240=""," · Falta descripción","")&amp;IF(OR($G240="",NOT(ISNUMBER($G240)),$G240&lt;=0)," · Monto inválido","")&amp;IF(AND($I240="Pagado",$J240="")," · Pago sin fecha","")&amp;IF(AND(ISNUMBER($K240),ISNUMBER($G240),$K240&gt;N($G240)+0.01)," · Pagado &gt; monto","")&amp;IF(AND(ISNUMBER($K240),$K240&gt;0,$J240="")," · Monto pagado sin fecha","")="","OK",MID(IF($B240=""," · Falta fecha","")&amp;IF($C240=""," · Falta tipo (Fijo/Variable)","")&amp;IF($D240=""," · SIN CATEGORÍA","")&amp;IF($E240=""," · Falta descripción","")&amp;IF(OR($G240="",NOT(ISNUMBER($G240)),$G240&lt;=0)," · Monto inválido","")&amp;IF(AND($I240="Pagado",$J240="")," · Pago sin fecha","")&amp;IF(AND(ISNUMBER($K240),ISNUMBER($G240),$K240&gt;N($G240)+0.01)," · Pagado &gt; monto","")&amp;IF(AND(ISNUMBER($K240),$K240&gt;0,$J240="")," · Monto pagado sin fecha",""),4,900)))</f>
        <v/>
      </c>
    </row>
    <row r="241">
      <c r="A241" s="51">
        <f>IF(COUNTA($B241,$C241,$D241,$E241,$G241)=0,"","G-"&amp;TEXT(ROW()-6,"0000"))</f>
        <v/>
      </c>
      <c r="B241" s="41" t="n"/>
      <c r="C241" s="33" t="n"/>
      <c r="D241" s="33" t="n"/>
      <c r="E241" s="33" t="n"/>
      <c r="F241" s="33" t="n"/>
      <c r="G241" s="36" t="n"/>
      <c r="H241" s="33" t="n"/>
      <c r="I241" s="33" t="n"/>
      <c r="J241" s="41" t="n"/>
      <c r="K241" s="36" t="n"/>
      <c r="L241" s="37">
        <f>IF(NOT(ISNUMBER($G241)),"",$G241-IF(ISNUMBER($K241),$K241,0))</f>
        <v/>
      </c>
      <c r="M241" s="33" t="n"/>
      <c r="N241" s="33" t="n"/>
      <c r="O241" s="51">
        <f>IF(COUNTA($B241,$C241,$D241,$E241,$G241)=0,"",IF(IF($B241=""," · Falta fecha","")&amp;IF($C241=""," · Falta tipo (Fijo/Variable)","")&amp;IF($D241=""," · SIN CATEGORÍA","")&amp;IF($E241=""," · Falta descripción","")&amp;IF(OR($G241="",NOT(ISNUMBER($G241)),$G241&lt;=0)," · Monto inválido","")&amp;IF(AND($I241="Pagado",$J241="")," · Pago sin fecha","")&amp;IF(AND(ISNUMBER($K241),ISNUMBER($G241),$K241&gt;N($G241)+0.01)," · Pagado &gt; monto","")&amp;IF(AND(ISNUMBER($K241),$K241&gt;0,$J241="")," · Monto pagado sin fecha","")="","OK",MID(IF($B241=""," · Falta fecha","")&amp;IF($C241=""," · Falta tipo (Fijo/Variable)","")&amp;IF($D241=""," · SIN CATEGORÍA","")&amp;IF($E241=""," · Falta descripción","")&amp;IF(OR($G241="",NOT(ISNUMBER($G241)),$G241&lt;=0)," · Monto inválido","")&amp;IF(AND($I241="Pagado",$J241="")," · Pago sin fecha","")&amp;IF(AND(ISNUMBER($K241),ISNUMBER($G241),$K241&gt;N($G241)+0.01)," · Pagado &gt; monto","")&amp;IF(AND(ISNUMBER($K241),$K241&gt;0,$J241="")," · Monto pagado sin fecha",""),4,900)))</f>
        <v/>
      </c>
    </row>
    <row r="242">
      <c r="A242" s="51">
        <f>IF(COUNTA($B242,$C242,$D242,$E242,$G242)=0,"","G-"&amp;TEXT(ROW()-6,"0000"))</f>
        <v/>
      </c>
      <c r="B242" s="41" t="n"/>
      <c r="C242" s="33" t="n"/>
      <c r="D242" s="33" t="n"/>
      <c r="E242" s="33" t="n"/>
      <c r="F242" s="33" t="n"/>
      <c r="G242" s="36" t="n"/>
      <c r="H242" s="33" t="n"/>
      <c r="I242" s="33" t="n"/>
      <c r="J242" s="41" t="n"/>
      <c r="K242" s="36" t="n"/>
      <c r="L242" s="37">
        <f>IF(NOT(ISNUMBER($G242)),"",$G242-IF(ISNUMBER($K242),$K242,0))</f>
        <v/>
      </c>
      <c r="M242" s="33" t="n"/>
      <c r="N242" s="33" t="n"/>
      <c r="O242" s="51">
        <f>IF(COUNTA($B242,$C242,$D242,$E242,$G242)=0,"",IF(IF($B242=""," · Falta fecha","")&amp;IF($C242=""," · Falta tipo (Fijo/Variable)","")&amp;IF($D242=""," · SIN CATEGORÍA","")&amp;IF($E242=""," · Falta descripción","")&amp;IF(OR($G242="",NOT(ISNUMBER($G242)),$G242&lt;=0)," · Monto inválido","")&amp;IF(AND($I242="Pagado",$J242="")," · Pago sin fecha","")&amp;IF(AND(ISNUMBER($K242),ISNUMBER($G242),$K242&gt;N($G242)+0.01)," · Pagado &gt; monto","")&amp;IF(AND(ISNUMBER($K242),$K242&gt;0,$J242="")," · Monto pagado sin fecha","")="","OK",MID(IF($B242=""," · Falta fecha","")&amp;IF($C242=""," · Falta tipo (Fijo/Variable)","")&amp;IF($D242=""," · SIN CATEGORÍA","")&amp;IF($E242=""," · Falta descripción","")&amp;IF(OR($G242="",NOT(ISNUMBER($G242)),$G242&lt;=0)," · Monto inválido","")&amp;IF(AND($I242="Pagado",$J242="")," · Pago sin fecha","")&amp;IF(AND(ISNUMBER($K242),ISNUMBER($G242),$K242&gt;N($G242)+0.01)," · Pagado &gt; monto","")&amp;IF(AND(ISNUMBER($K242),$K242&gt;0,$J242="")," · Monto pagado sin fecha",""),4,900)))</f>
        <v/>
      </c>
    </row>
    <row r="243">
      <c r="A243" s="51">
        <f>IF(COUNTA($B243,$C243,$D243,$E243,$G243)=0,"","G-"&amp;TEXT(ROW()-6,"0000"))</f>
        <v/>
      </c>
      <c r="B243" s="41" t="n"/>
      <c r="C243" s="33" t="n"/>
      <c r="D243" s="33" t="n"/>
      <c r="E243" s="33" t="n"/>
      <c r="F243" s="33" t="n"/>
      <c r="G243" s="36" t="n"/>
      <c r="H243" s="33" t="n"/>
      <c r="I243" s="33" t="n"/>
      <c r="J243" s="41" t="n"/>
      <c r="K243" s="36" t="n"/>
      <c r="L243" s="37">
        <f>IF(NOT(ISNUMBER($G243)),"",$G243-IF(ISNUMBER($K243),$K243,0))</f>
        <v/>
      </c>
      <c r="M243" s="33" t="n"/>
      <c r="N243" s="33" t="n"/>
      <c r="O243" s="51">
        <f>IF(COUNTA($B243,$C243,$D243,$E243,$G243)=0,"",IF(IF($B243=""," · Falta fecha","")&amp;IF($C243=""," · Falta tipo (Fijo/Variable)","")&amp;IF($D243=""," · SIN CATEGORÍA","")&amp;IF($E243=""," · Falta descripción","")&amp;IF(OR($G243="",NOT(ISNUMBER($G243)),$G243&lt;=0)," · Monto inválido","")&amp;IF(AND($I243="Pagado",$J243="")," · Pago sin fecha","")&amp;IF(AND(ISNUMBER($K243),ISNUMBER($G243),$K243&gt;N($G243)+0.01)," · Pagado &gt; monto","")&amp;IF(AND(ISNUMBER($K243),$K243&gt;0,$J243="")," · Monto pagado sin fecha","")="","OK",MID(IF($B243=""," · Falta fecha","")&amp;IF($C243=""," · Falta tipo (Fijo/Variable)","")&amp;IF($D243=""," · SIN CATEGORÍA","")&amp;IF($E243=""," · Falta descripción","")&amp;IF(OR($G243="",NOT(ISNUMBER($G243)),$G243&lt;=0)," · Monto inválido","")&amp;IF(AND($I243="Pagado",$J243="")," · Pago sin fecha","")&amp;IF(AND(ISNUMBER($K243),ISNUMBER($G243),$K243&gt;N($G243)+0.01)," · Pagado &gt; monto","")&amp;IF(AND(ISNUMBER($K243),$K243&gt;0,$J243="")," · Monto pagado sin fecha",""),4,900)))</f>
        <v/>
      </c>
    </row>
    <row r="244">
      <c r="A244" s="51">
        <f>IF(COUNTA($B244,$C244,$D244,$E244,$G244)=0,"","G-"&amp;TEXT(ROW()-6,"0000"))</f>
        <v/>
      </c>
      <c r="B244" s="41" t="n"/>
      <c r="C244" s="33" t="n"/>
      <c r="D244" s="33" t="n"/>
      <c r="E244" s="33" t="n"/>
      <c r="F244" s="33" t="n"/>
      <c r="G244" s="36" t="n"/>
      <c r="H244" s="33" t="n"/>
      <c r="I244" s="33" t="n"/>
      <c r="J244" s="41" t="n"/>
      <c r="K244" s="36" t="n"/>
      <c r="L244" s="37">
        <f>IF(NOT(ISNUMBER($G244)),"",$G244-IF(ISNUMBER($K244),$K244,0))</f>
        <v/>
      </c>
      <c r="M244" s="33" t="n"/>
      <c r="N244" s="33" t="n"/>
      <c r="O244" s="51">
        <f>IF(COUNTA($B244,$C244,$D244,$E244,$G244)=0,"",IF(IF($B244=""," · Falta fecha","")&amp;IF($C244=""," · Falta tipo (Fijo/Variable)","")&amp;IF($D244=""," · SIN CATEGORÍA","")&amp;IF($E244=""," · Falta descripción","")&amp;IF(OR($G244="",NOT(ISNUMBER($G244)),$G244&lt;=0)," · Monto inválido","")&amp;IF(AND($I244="Pagado",$J244="")," · Pago sin fecha","")&amp;IF(AND(ISNUMBER($K244),ISNUMBER($G244),$K244&gt;N($G244)+0.01)," · Pagado &gt; monto","")&amp;IF(AND(ISNUMBER($K244),$K244&gt;0,$J244="")," · Monto pagado sin fecha","")="","OK",MID(IF($B244=""," · Falta fecha","")&amp;IF($C244=""," · Falta tipo (Fijo/Variable)","")&amp;IF($D244=""," · SIN CATEGORÍA","")&amp;IF($E244=""," · Falta descripción","")&amp;IF(OR($G244="",NOT(ISNUMBER($G244)),$G244&lt;=0)," · Monto inválido","")&amp;IF(AND($I244="Pagado",$J244="")," · Pago sin fecha","")&amp;IF(AND(ISNUMBER($K244),ISNUMBER($G244),$K244&gt;N($G244)+0.01)," · Pagado &gt; monto","")&amp;IF(AND(ISNUMBER($K244),$K244&gt;0,$J244="")," · Monto pagado sin fecha",""),4,900)))</f>
        <v/>
      </c>
    </row>
    <row r="245">
      <c r="A245" s="51">
        <f>IF(COUNTA($B245,$C245,$D245,$E245,$G245)=0,"","G-"&amp;TEXT(ROW()-6,"0000"))</f>
        <v/>
      </c>
      <c r="B245" s="41" t="n"/>
      <c r="C245" s="33" t="n"/>
      <c r="D245" s="33" t="n"/>
      <c r="E245" s="33" t="n"/>
      <c r="F245" s="33" t="n"/>
      <c r="G245" s="36" t="n"/>
      <c r="H245" s="33" t="n"/>
      <c r="I245" s="33" t="n"/>
      <c r="J245" s="41" t="n"/>
      <c r="K245" s="36" t="n"/>
      <c r="L245" s="37">
        <f>IF(NOT(ISNUMBER($G245)),"",$G245-IF(ISNUMBER($K245),$K245,0))</f>
        <v/>
      </c>
      <c r="M245" s="33" t="n"/>
      <c r="N245" s="33" t="n"/>
      <c r="O245" s="51">
        <f>IF(COUNTA($B245,$C245,$D245,$E245,$G245)=0,"",IF(IF($B245=""," · Falta fecha","")&amp;IF($C245=""," · Falta tipo (Fijo/Variable)","")&amp;IF($D245=""," · SIN CATEGORÍA","")&amp;IF($E245=""," · Falta descripción","")&amp;IF(OR($G245="",NOT(ISNUMBER($G245)),$G245&lt;=0)," · Monto inválido","")&amp;IF(AND($I245="Pagado",$J245="")," · Pago sin fecha","")&amp;IF(AND(ISNUMBER($K245),ISNUMBER($G245),$K245&gt;N($G245)+0.01)," · Pagado &gt; monto","")&amp;IF(AND(ISNUMBER($K245),$K245&gt;0,$J245="")," · Monto pagado sin fecha","")="","OK",MID(IF($B245=""," · Falta fecha","")&amp;IF($C245=""," · Falta tipo (Fijo/Variable)","")&amp;IF($D245=""," · SIN CATEGORÍA","")&amp;IF($E245=""," · Falta descripción","")&amp;IF(OR($G245="",NOT(ISNUMBER($G245)),$G245&lt;=0)," · Monto inválido","")&amp;IF(AND($I245="Pagado",$J245="")," · Pago sin fecha","")&amp;IF(AND(ISNUMBER($K245),ISNUMBER($G245),$K245&gt;N($G245)+0.01)," · Pagado &gt; monto","")&amp;IF(AND(ISNUMBER($K245),$K245&gt;0,$J245="")," · Monto pagado sin fecha",""),4,900)))</f>
        <v/>
      </c>
    </row>
    <row r="246">
      <c r="A246" s="51">
        <f>IF(COUNTA($B246,$C246,$D246,$E246,$G246)=0,"","G-"&amp;TEXT(ROW()-6,"0000"))</f>
        <v/>
      </c>
      <c r="B246" s="41" t="n"/>
      <c r="C246" s="33" t="n"/>
      <c r="D246" s="33" t="n"/>
      <c r="E246" s="33" t="n"/>
      <c r="F246" s="33" t="n"/>
      <c r="G246" s="36" t="n"/>
      <c r="H246" s="33" t="n"/>
      <c r="I246" s="33" t="n"/>
      <c r="J246" s="41" t="n"/>
      <c r="K246" s="36" t="n"/>
      <c r="L246" s="37">
        <f>IF(NOT(ISNUMBER($G246)),"",$G246-IF(ISNUMBER($K246),$K246,0))</f>
        <v/>
      </c>
      <c r="M246" s="33" t="n"/>
      <c r="N246" s="33" t="n"/>
      <c r="O246" s="51">
        <f>IF(COUNTA($B246,$C246,$D246,$E246,$G246)=0,"",IF(IF($B246=""," · Falta fecha","")&amp;IF($C246=""," · Falta tipo (Fijo/Variable)","")&amp;IF($D246=""," · SIN CATEGORÍA","")&amp;IF($E246=""," · Falta descripción","")&amp;IF(OR($G246="",NOT(ISNUMBER($G246)),$G246&lt;=0)," · Monto inválido","")&amp;IF(AND($I246="Pagado",$J246="")," · Pago sin fecha","")&amp;IF(AND(ISNUMBER($K246),ISNUMBER($G246),$K246&gt;N($G246)+0.01)," · Pagado &gt; monto","")&amp;IF(AND(ISNUMBER($K246),$K246&gt;0,$J246="")," · Monto pagado sin fecha","")="","OK",MID(IF($B246=""," · Falta fecha","")&amp;IF($C246=""," · Falta tipo (Fijo/Variable)","")&amp;IF($D246=""," · SIN CATEGORÍA","")&amp;IF($E246=""," · Falta descripción","")&amp;IF(OR($G246="",NOT(ISNUMBER($G246)),$G246&lt;=0)," · Monto inválido","")&amp;IF(AND($I246="Pagado",$J246="")," · Pago sin fecha","")&amp;IF(AND(ISNUMBER($K246),ISNUMBER($G246),$K246&gt;N($G246)+0.01)," · Pagado &gt; monto","")&amp;IF(AND(ISNUMBER($K246),$K246&gt;0,$J246="")," · Monto pagado sin fecha",""),4,900)))</f>
        <v/>
      </c>
    </row>
    <row r="247">
      <c r="A247" s="51">
        <f>IF(COUNTA($B247,$C247,$D247,$E247,$G247)=0,"","G-"&amp;TEXT(ROW()-6,"0000"))</f>
        <v/>
      </c>
      <c r="B247" s="41" t="n"/>
      <c r="C247" s="33" t="n"/>
      <c r="D247" s="33" t="n"/>
      <c r="E247" s="33" t="n"/>
      <c r="F247" s="33" t="n"/>
      <c r="G247" s="36" t="n"/>
      <c r="H247" s="33" t="n"/>
      <c r="I247" s="33" t="n"/>
      <c r="J247" s="41" t="n"/>
      <c r="K247" s="36" t="n"/>
      <c r="L247" s="37">
        <f>IF(NOT(ISNUMBER($G247)),"",$G247-IF(ISNUMBER($K247),$K247,0))</f>
        <v/>
      </c>
      <c r="M247" s="33" t="n"/>
      <c r="N247" s="33" t="n"/>
      <c r="O247" s="51">
        <f>IF(COUNTA($B247,$C247,$D247,$E247,$G247)=0,"",IF(IF($B247=""," · Falta fecha","")&amp;IF($C247=""," · Falta tipo (Fijo/Variable)","")&amp;IF($D247=""," · SIN CATEGORÍA","")&amp;IF($E247=""," · Falta descripción","")&amp;IF(OR($G247="",NOT(ISNUMBER($G247)),$G247&lt;=0)," · Monto inválido","")&amp;IF(AND($I247="Pagado",$J247="")," · Pago sin fecha","")&amp;IF(AND(ISNUMBER($K247),ISNUMBER($G247),$K247&gt;N($G247)+0.01)," · Pagado &gt; monto","")&amp;IF(AND(ISNUMBER($K247),$K247&gt;0,$J247="")," · Monto pagado sin fecha","")="","OK",MID(IF($B247=""," · Falta fecha","")&amp;IF($C247=""," · Falta tipo (Fijo/Variable)","")&amp;IF($D247=""," · SIN CATEGORÍA","")&amp;IF($E247=""," · Falta descripción","")&amp;IF(OR($G247="",NOT(ISNUMBER($G247)),$G247&lt;=0)," · Monto inválido","")&amp;IF(AND($I247="Pagado",$J247="")," · Pago sin fecha","")&amp;IF(AND(ISNUMBER($K247),ISNUMBER($G247),$K247&gt;N($G247)+0.01)," · Pagado &gt; monto","")&amp;IF(AND(ISNUMBER($K247),$K247&gt;0,$J247="")," · Monto pagado sin fecha",""),4,900)))</f>
        <v/>
      </c>
    </row>
    <row r="248">
      <c r="A248" s="51">
        <f>IF(COUNTA($B248,$C248,$D248,$E248,$G248)=0,"","G-"&amp;TEXT(ROW()-6,"0000"))</f>
        <v/>
      </c>
      <c r="B248" s="41" t="n"/>
      <c r="C248" s="33" t="n"/>
      <c r="D248" s="33" t="n"/>
      <c r="E248" s="33" t="n"/>
      <c r="F248" s="33" t="n"/>
      <c r="G248" s="36" t="n"/>
      <c r="H248" s="33" t="n"/>
      <c r="I248" s="33" t="n"/>
      <c r="J248" s="41" t="n"/>
      <c r="K248" s="36" t="n"/>
      <c r="L248" s="37">
        <f>IF(NOT(ISNUMBER($G248)),"",$G248-IF(ISNUMBER($K248),$K248,0))</f>
        <v/>
      </c>
      <c r="M248" s="33" t="n"/>
      <c r="N248" s="33" t="n"/>
      <c r="O248" s="51">
        <f>IF(COUNTA($B248,$C248,$D248,$E248,$G248)=0,"",IF(IF($B248=""," · Falta fecha","")&amp;IF($C248=""," · Falta tipo (Fijo/Variable)","")&amp;IF($D248=""," · SIN CATEGORÍA","")&amp;IF($E248=""," · Falta descripción","")&amp;IF(OR($G248="",NOT(ISNUMBER($G248)),$G248&lt;=0)," · Monto inválido","")&amp;IF(AND($I248="Pagado",$J248="")," · Pago sin fecha","")&amp;IF(AND(ISNUMBER($K248),ISNUMBER($G248),$K248&gt;N($G248)+0.01)," · Pagado &gt; monto","")&amp;IF(AND(ISNUMBER($K248),$K248&gt;0,$J248="")," · Monto pagado sin fecha","")="","OK",MID(IF($B248=""," · Falta fecha","")&amp;IF($C248=""," · Falta tipo (Fijo/Variable)","")&amp;IF($D248=""," · SIN CATEGORÍA","")&amp;IF($E248=""," · Falta descripción","")&amp;IF(OR($G248="",NOT(ISNUMBER($G248)),$G248&lt;=0)," · Monto inválido","")&amp;IF(AND($I248="Pagado",$J248="")," · Pago sin fecha","")&amp;IF(AND(ISNUMBER($K248),ISNUMBER($G248),$K248&gt;N($G248)+0.01)," · Pagado &gt; monto","")&amp;IF(AND(ISNUMBER($K248),$K248&gt;0,$J248="")," · Monto pagado sin fecha",""),4,900)))</f>
        <v/>
      </c>
    </row>
    <row r="249">
      <c r="A249" s="51">
        <f>IF(COUNTA($B249,$C249,$D249,$E249,$G249)=0,"","G-"&amp;TEXT(ROW()-6,"0000"))</f>
        <v/>
      </c>
      <c r="B249" s="41" t="n"/>
      <c r="C249" s="33" t="n"/>
      <c r="D249" s="33" t="n"/>
      <c r="E249" s="33" t="n"/>
      <c r="F249" s="33" t="n"/>
      <c r="G249" s="36" t="n"/>
      <c r="H249" s="33" t="n"/>
      <c r="I249" s="33" t="n"/>
      <c r="J249" s="41" t="n"/>
      <c r="K249" s="36" t="n"/>
      <c r="L249" s="37">
        <f>IF(NOT(ISNUMBER($G249)),"",$G249-IF(ISNUMBER($K249),$K249,0))</f>
        <v/>
      </c>
      <c r="M249" s="33" t="n"/>
      <c r="N249" s="33" t="n"/>
      <c r="O249" s="51">
        <f>IF(COUNTA($B249,$C249,$D249,$E249,$G249)=0,"",IF(IF($B249=""," · Falta fecha","")&amp;IF($C249=""," · Falta tipo (Fijo/Variable)","")&amp;IF($D249=""," · SIN CATEGORÍA","")&amp;IF($E249=""," · Falta descripción","")&amp;IF(OR($G249="",NOT(ISNUMBER($G249)),$G249&lt;=0)," · Monto inválido","")&amp;IF(AND($I249="Pagado",$J249="")," · Pago sin fecha","")&amp;IF(AND(ISNUMBER($K249),ISNUMBER($G249),$K249&gt;N($G249)+0.01)," · Pagado &gt; monto","")&amp;IF(AND(ISNUMBER($K249),$K249&gt;0,$J249="")," · Monto pagado sin fecha","")="","OK",MID(IF($B249=""," · Falta fecha","")&amp;IF($C249=""," · Falta tipo (Fijo/Variable)","")&amp;IF($D249=""," · SIN CATEGORÍA","")&amp;IF($E249=""," · Falta descripción","")&amp;IF(OR($G249="",NOT(ISNUMBER($G249)),$G249&lt;=0)," · Monto inválido","")&amp;IF(AND($I249="Pagado",$J249="")," · Pago sin fecha","")&amp;IF(AND(ISNUMBER($K249),ISNUMBER($G249),$K249&gt;N($G249)+0.01)," · Pagado &gt; monto","")&amp;IF(AND(ISNUMBER($K249),$K249&gt;0,$J249="")," · Monto pagado sin fecha",""),4,900)))</f>
        <v/>
      </c>
    </row>
    <row r="250">
      <c r="A250" s="51">
        <f>IF(COUNTA($B250,$C250,$D250,$E250,$G250)=0,"","G-"&amp;TEXT(ROW()-6,"0000"))</f>
        <v/>
      </c>
      <c r="B250" s="41" t="n"/>
      <c r="C250" s="33" t="n"/>
      <c r="D250" s="33" t="n"/>
      <c r="E250" s="33" t="n"/>
      <c r="F250" s="33" t="n"/>
      <c r="G250" s="36" t="n"/>
      <c r="H250" s="33" t="n"/>
      <c r="I250" s="33" t="n"/>
      <c r="J250" s="41" t="n"/>
      <c r="K250" s="36" t="n"/>
      <c r="L250" s="37">
        <f>IF(NOT(ISNUMBER($G250)),"",$G250-IF(ISNUMBER($K250),$K250,0))</f>
        <v/>
      </c>
      <c r="M250" s="33" t="n"/>
      <c r="N250" s="33" t="n"/>
      <c r="O250" s="51">
        <f>IF(COUNTA($B250,$C250,$D250,$E250,$G250)=0,"",IF(IF($B250=""," · Falta fecha","")&amp;IF($C250=""," · Falta tipo (Fijo/Variable)","")&amp;IF($D250=""," · SIN CATEGORÍA","")&amp;IF($E250=""," · Falta descripción","")&amp;IF(OR($G250="",NOT(ISNUMBER($G250)),$G250&lt;=0)," · Monto inválido","")&amp;IF(AND($I250="Pagado",$J250="")," · Pago sin fecha","")&amp;IF(AND(ISNUMBER($K250),ISNUMBER($G250),$K250&gt;N($G250)+0.01)," · Pagado &gt; monto","")&amp;IF(AND(ISNUMBER($K250),$K250&gt;0,$J250="")," · Monto pagado sin fecha","")="","OK",MID(IF($B250=""," · Falta fecha","")&amp;IF($C250=""," · Falta tipo (Fijo/Variable)","")&amp;IF($D250=""," · SIN CATEGORÍA","")&amp;IF($E250=""," · Falta descripción","")&amp;IF(OR($G250="",NOT(ISNUMBER($G250)),$G250&lt;=0)," · Monto inválido","")&amp;IF(AND($I250="Pagado",$J250="")," · Pago sin fecha","")&amp;IF(AND(ISNUMBER($K250),ISNUMBER($G250),$K250&gt;N($G250)+0.01)," · Pagado &gt; monto","")&amp;IF(AND(ISNUMBER($K250),$K250&gt;0,$J250="")," · Monto pagado sin fecha",""),4,900)))</f>
        <v/>
      </c>
    </row>
    <row r="251">
      <c r="A251" s="51">
        <f>IF(COUNTA($B251,$C251,$D251,$E251,$G251)=0,"","G-"&amp;TEXT(ROW()-6,"0000"))</f>
        <v/>
      </c>
      <c r="B251" s="41" t="n"/>
      <c r="C251" s="33" t="n"/>
      <c r="D251" s="33" t="n"/>
      <c r="E251" s="33" t="n"/>
      <c r="F251" s="33" t="n"/>
      <c r="G251" s="36" t="n"/>
      <c r="H251" s="33" t="n"/>
      <c r="I251" s="33" t="n"/>
      <c r="J251" s="41" t="n"/>
      <c r="K251" s="36" t="n"/>
      <c r="L251" s="37">
        <f>IF(NOT(ISNUMBER($G251)),"",$G251-IF(ISNUMBER($K251),$K251,0))</f>
        <v/>
      </c>
      <c r="M251" s="33" t="n"/>
      <c r="N251" s="33" t="n"/>
      <c r="O251" s="51">
        <f>IF(COUNTA($B251,$C251,$D251,$E251,$G251)=0,"",IF(IF($B251=""," · Falta fecha","")&amp;IF($C251=""," · Falta tipo (Fijo/Variable)","")&amp;IF($D251=""," · SIN CATEGORÍA","")&amp;IF($E251=""," · Falta descripción","")&amp;IF(OR($G251="",NOT(ISNUMBER($G251)),$G251&lt;=0)," · Monto inválido","")&amp;IF(AND($I251="Pagado",$J251="")," · Pago sin fecha","")&amp;IF(AND(ISNUMBER($K251),ISNUMBER($G251),$K251&gt;N($G251)+0.01)," · Pagado &gt; monto","")&amp;IF(AND(ISNUMBER($K251),$K251&gt;0,$J251="")," · Monto pagado sin fecha","")="","OK",MID(IF($B251=""," · Falta fecha","")&amp;IF($C251=""," · Falta tipo (Fijo/Variable)","")&amp;IF($D251=""," · SIN CATEGORÍA","")&amp;IF($E251=""," · Falta descripción","")&amp;IF(OR($G251="",NOT(ISNUMBER($G251)),$G251&lt;=0)," · Monto inválido","")&amp;IF(AND($I251="Pagado",$J251="")," · Pago sin fecha","")&amp;IF(AND(ISNUMBER($K251),ISNUMBER($G251),$K251&gt;N($G251)+0.01)," · Pagado &gt; monto","")&amp;IF(AND(ISNUMBER($K251),$K251&gt;0,$J251="")," · Monto pagado sin fecha",""),4,900)))</f>
        <v/>
      </c>
    </row>
    <row r="252">
      <c r="A252" s="51">
        <f>IF(COUNTA($B252,$C252,$D252,$E252,$G252)=0,"","G-"&amp;TEXT(ROW()-6,"0000"))</f>
        <v/>
      </c>
      <c r="B252" s="41" t="n"/>
      <c r="C252" s="33" t="n"/>
      <c r="D252" s="33" t="n"/>
      <c r="E252" s="33" t="n"/>
      <c r="F252" s="33" t="n"/>
      <c r="G252" s="36" t="n"/>
      <c r="H252" s="33" t="n"/>
      <c r="I252" s="33" t="n"/>
      <c r="J252" s="41" t="n"/>
      <c r="K252" s="36" t="n"/>
      <c r="L252" s="37">
        <f>IF(NOT(ISNUMBER($G252)),"",$G252-IF(ISNUMBER($K252),$K252,0))</f>
        <v/>
      </c>
      <c r="M252" s="33" t="n"/>
      <c r="N252" s="33" t="n"/>
      <c r="O252" s="51">
        <f>IF(COUNTA($B252,$C252,$D252,$E252,$G252)=0,"",IF(IF($B252=""," · Falta fecha","")&amp;IF($C252=""," · Falta tipo (Fijo/Variable)","")&amp;IF($D252=""," · SIN CATEGORÍA","")&amp;IF($E252=""," · Falta descripción","")&amp;IF(OR($G252="",NOT(ISNUMBER($G252)),$G252&lt;=0)," · Monto inválido","")&amp;IF(AND($I252="Pagado",$J252="")," · Pago sin fecha","")&amp;IF(AND(ISNUMBER($K252),ISNUMBER($G252),$K252&gt;N($G252)+0.01)," · Pagado &gt; monto","")&amp;IF(AND(ISNUMBER($K252),$K252&gt;0,$J252="")," · Monto pagado sin fecha","")="","OK",MID(IF($B252=""," · Falta fecha","")&amp;IF($C252=""," · Falta tipo (Fijo/Variable)","")&amp;IF($D252=""," · SIN CATEGORÍA","")&amp;IF($E252=""," · Falta descripción","")&amp;IF(OR($G252="",NOT(ISNUMBER($G252)),$G252&lt;=0)," · Monto inválido","")&amp;IF(AND($I252="Pagado",$J252="")," · Pago sin fecha","")&amp;IF(AND(ISNUMBER($K252),ISNUMBER($G252),$K252&gt;N($G252)+0.01)," · Pagado &gt; monto","")&amp;IF(AND(ISNUMBER($K252),$K252&gt;0,$J252="")," · Monto pagado sin fecha",""),4,900)))</f>
        <v/>
      </c>
    </row>
    <row r="253">
      <c r="A253" s="51">
        <f>IF(COUNTA($B253,$C253,$D253,$E253,$G253)=0,"","G-"&amp;TEXT(ROW()-6,"0000"))</f>
        <v/>
      </c>
      <c r="B253" s="41" t="n"/>
      <c r="C253" s="33" t="n"/>
      <c r="D253" s="33" t="n"/>
      <c r="E253" s="33" t="n"/>
      <c r="F253" s="33" t="n"/>
      <c r="G253" s="36" t="n"/>
      <c r="H253" s="33" t="n"/>
      <c r="I253" s="33" t="n"/>
      <c r="J253" s="41" t="n"/>
      <c r="K253" s="36" t="n"/>
      <c r="L253" s="37">
        <f>IF(NOT(ISNUMBER($G253)),"",$G253-IF(ISNUMBER($K253),$K253,0))</f>
        <v/>
      </c>
      <c r="M253" s="33" t="n"/>
      <c r="N253" s="33" t="n"/>
      <c r="O253" s="51">
        <f>IF(COUNTA($B253,$C253,$D253,$E253,$G253)=0,"",IF(IF($B253=""," · Falta fecha","")&amp;IF($C253=""," · Falta tipo (Fijo/Variable)","")&amp;IF($D253=""," · SIN CATEGORÍA","")&amp;IF($E253=""," · Falta descripción","")&amp;IF(OR($G253="",NOT(ISNUMBER($G253)),$G253&lt;=0)," · Monto inválido","")&amp;IF(AND($I253="Pagado",$J253="")," · Pago sin fecha","")&amp;IF(AND(ISNUMBER($K253),ISNUMBER($G253),$K253&gt;N($G253)+0.01)," · Pagado &gt; monto","")&amp;IF(AND(ISNUMBER($K253),$K253&gt;0,$J253="")," · Monto pagado sin fecha","")="","OK",MID(IF($B253=""," · Falta fecha","")&amp;IF($C253=""," · Falta tipo (Fijo/Variable)","")&amp;IF($D253=""," · SIN CATEGORÍA","")&amp;IF($E253=""," · Falta descripción","")&amp;IF(OR($G253="",NOT(ISNUMBER($G253)),$G253&lt;=0)," · Monto inválido","")&amp;IF(AND($I253="Pagado",$J253="")," · Pago sin fecha","")&amp;IF(AND(ISNUMBER($K253),ISNUMBER($G253),$K253&gt;N($G253)+0.01)," · Pagado &gt; monto","")&amp;IF(AND(ISNUMBER($K253),$K253&gt;0,$J253="")," · Monto pagado sin fecha",""),4,900)))</f>
        <v/>
      </c>
    </row>
    <row r="254">
      <c r="A254" s="51">
        <f>IF(COUNTA($B254,$C254,$D254,$E254,$G254)=0,"","G-"&amp;TEXT(ROW()-6,"0000"))</f>
        <v/>
      </c>
      <c r="B254" s="41" t="n"/>
      <c r="C254" s="33" t="n"/>
      <c r="D254" s="33" t="n"/>
      <c r="E254" s="33" t="n"/>
      <c r="F254" s="33" t="n"/>
      <c r="G254" s="36" t="n"/>
      <c r="H254" s="33" t="n"/>
      <c r="I254" s="33" t="n"/>
      <c r="J254" s="41" t="n"/>
      <c r="K254" s="36" t="n"/>
      <c r="L254" s="37">
        <f>IF(NOT(ISNUMBER($G254)),"",$G254-IF(ISNUMBER($K254),$K254,0))</f>
        <v/>
      </c>
      <c r="M254" s="33" t="n"/>
      <c r="N254" s="33" t="n"/>
      <c r="O254" s="51">
        <f>IF(COUNTA($B254,$C254,$D254,$E254,$G254)=0,"",IF(IF($B254=""," · Falta fecha","")&amp;IF($C254=""," · Falta tipo (Fijo/Variable)","")&amp;IF($D254=""," · SIN CATEGORÍA","")&amp;IF($E254=""," · Falta descripción","")&amp;IF(OR($G254="",NOT(ISNUMBER($G254)),$G254&lt;=0)," · Monto inválido","")&amp;IF(AND($I254="Pagado",$J254="")," · Pago sin fecha","")&amp;IF(AND(ISNUMBER($K254),ISNUMBER($G254),$K254&gt;N($G254)+0.01)," · Pagado &gt; monto","")&amp;IF(AND(ISNUMBER($K254),$K254&gt;0,$J254="")," · Monto pagado sin fecha","")="","OK",MID(IF($B254=""," · Falta fecha","")&amp;IF($C254=""," · Falta tipo (Fijo/Variable)","")&amp;IF($D254=""," · SIN CATEGORÍA","")&amp;IF($E254=""," · Falta descripción","")&amp;IF(OR($G254="",NOT(ISNUMBER($G254)),$G254&lt;=0)," · Monto inválido","")&amp;IF(AND($I254="Pagado",$J254="")," · Pago sin fecha","")&amp;IF(AND(ISNUMBER($K254),ISNUMBER($G254),$K254&gt;N($G254)+0.01)," · Pagado &gt; monto","")&amp;IF(AND(ISNUMBER($K254),$K254&gt;0,$J254="")," · Monto pagado sin fecha",""),4,900)))</f>
        <v/>
      </c>
    </row>
    <row r="255">
      <c r="A255" s="51">
        <f>IF(COUNTA($B255,$C255,$D255,$E255,$G255)=0,"","G-"&amp;TEXT(ROW()-6,"0000"))</f>
        <v/>
      </c>
      <c r="B255" s="41" t="n"/>
      <c r="C255" s="33" t="n"/>
      <c r="D255" s="33" t="n"/>
      <c r="E255" s="33" t="n"/>
      <c r="F255" s="33" t="n"/>
      <c r="G255" s="36" t="n"/>
      <c r="H255" s="33" t="n"/>
      <c r="I255" s="33" t="n"/>
      <c r="J255" s="41" t="n"/>
      <c r="K255" s="36" t="n"/>
      <c r="L255" s="37">
        <f>IF(NOT(ISNUMBER($G255)),"",$G255-IF(ISNUMBER($K255),$K255,0))</f>
        <v/>
      </c>
      <c r="M255" s="33" t="n"/>
      <c r="N255" s="33" t="n"/>
      <c r="O255" s="51">
        <f>IF(COUNTA($B255,$C255,$D255,$E255,$G255)=0,"",IF(IF($B255=""," · Falta fecha","")&amp;IF($C255=""," · Falta tipo (Fijo/Variable)","")&amp;IF($D255=""," · SIN CATEGORÍA","")&amp;IF($E255=""," · Falta descripción","")&amp;IF(OR($G255="",NOT(ISNUMBER($G255)),$G255&lt;=0)," · Monto inválido","")&amp;IF(AND($I255="Pagado",$J255="")," · Pago sin fecha","")&amp;IF(AND(ISNUMBER($K255),ISNUMBER($G255),$K255&gt;N($G255)+0.01)," · Pagado &gt; monto","")&amp;IF(AND(ISNUMBER($K255),$K255&gt;0,$J255="")," · Monto pagado sin fecha","")="","OK",MID(IF($B255=""," · Falta fecha","")&amp;IF($C255=""," · Falta tipo (Fijo/Variable)","")&amp;IF($D255=""," · SIN CATEGORÍA","")&amp;IF($E255=""," · Falta descripción","")&amp;IF(OR($G255="",NOT(ISNUMBER($G255)),$G255&lt;=0)," · Monto inválido","")&amp;IF(AND($I255="Pagado",$J255="")," · Pago sin fecha","")&amp;IF(AND(ISNUMBER($K255),ISNUMBER($G255),$K255&gt;N($G255)+0.01)," · Pagado &gt; monto","")&amp;IF(AND(ISNUMBER($K255),$K255&gt;0,$J255="")," · Monto pagado sin fecha",""),4,900)))</f>
        <v/>
      </c>
    </row>
    <row r="256">
      <c r="A256" s="51">
        <f>IF(COUNTA($B256,$C256,$D256,$E256,$G256)=0,"","G-"&amp;TEXT(ROW()-6,"0000"))</f>
        <v/>
      </c>
      <c r="B256" s="41" t="n"/>
      <c r="C256" s="33" t="n"/>
      <c r="D256" s="33" t="n"/>
      <c r="E256" s="33" t="n"/>
      <c r="F256" s="33" t="n"/>
      <c r="G256" s="36" t="n"/>
      <c r="H256" s="33" t="n"/>
      <c r="I256" s="33" t="n"/>
      <c r="J256" s="41" t="n"/>
      <c r="K256" s="36" t="n"/>
      <c r="L256" s="37">
        <f>IF(NOT(ISNUMBER($G256)),"",$G256-IF(ISNUMBER($K256),$K256,0))</f>
        <v/>
      </c>
      <c r="M256" s="33" t="n"/>
      <c r="N256" s="33" t="n"/>
      <c r="O256" s="51">
        <f>IF(COUNTA($B256,$C256,$D256,$E256,$G256)=0,"",IF(IF($B256=""," · Falta fecha","")&amp;IF($C256=""," · Falta tipo (Fijo/Variable)","")&amp;IF($D256=""," · SIN CATEGORÍA","")&amp;IF($E256=""," · Falta descripción","")&amp;IF(OR($G256="",NOT(ISNUMBER($G256)),$G256&lt;=0)," · Monto inválido","")&amp;IF(AND($I256="Pagado",$J256="")," · Pago sin fecha","")&amp;IF(AND(ISNUMBER($K256),ISNUMBER($G256),$K256&gt;N($G256)+0.01)," · Pagado &gt; monto","")&amp;IF(AND(ISNUMBER($K256),$K256&gt;0,$J256="")," · Monto pagado sin fecha","")="","OK",MID(IF($B256=""," · Falta fecha","")&amp;IF($C256=""," · Falta tipo (Fijo/Variable)","")&amp;IF($D256=""," · SIN CATEGORÍA","")&amp;IF($E256=""," · Falta descripción","")&amp;IF(OR($G256="",NOT(ISNUMBER($G256)),$G256&lt;=0)," · Monto inválido","")&amp;IF(AND($I256="Pagado",$J256="")," · Pago sin fecha","")&amp;IF(AND(ISNUMBER($K256),ISNUMBER($G256),$K256&gt;N($G256)+0.01)," · Pagado &gt; monto","")&amp;IF(AND(ISNUMBER($K256),$K256&gt;0,$J256="")," · Monto pagado sin fecha",""),4,900)))</f>
        <v/>
      </c>
    </row>
    <row r="257">
      <c r="A257" s="51">
        <f>IF(COUNTA($B257,$C257,$D257,$E257,$G257)=0,"","G-"&amp;TEXT(ROW()-6,"0000"))</f>
        <v/>
      </c>
      <c r="B257" s="41" t="n"/>
      <c r="C257" s="33" t="n"/>
      <c r="D257" s="33" t="n"/>
      <c r="E257" s="33" t="n"/>
      <c r="F257" s="33" t="n"/>
      <c r="G257" s="36" t="n"/>
      <c r="H257" s="33" t="n"/>
      <c r="I257" s="33" t="n"/>
      <c r="J257" s="41" t="n"/>
      <c r="K257" s="36" t="n"/>
      <c r="L257" s="37">
        <f>IF(NOT(ISNUMBER($G257)),"",$G257-IF(ISNUMBER($K257),$K257,0))</f>
        <v/>
      </c>
      <c r="M257" s="33" t="n"/>
      <c r="N257" s="33" t="n"/>
      <c r="O257" s="51">
        <f>IF(COUNTA($B257,$C257,$D257,$E257,$G257)=0,"",IF(IF($B257=""," · Falta fecha","")&amp;IF($C257=""," · Falta tipo (Fijo/Variable)","")&amp;IF($D257=""," · SIN CATEGORÍA","")&amp;IF($E257=""," · Falta descripción","")&amp;IF(OR($G257="",NOT(ISNUMBER($G257)),$G257&lt;=0)," · Monto inválido","")&amp;IF(AND($I257="Pagado",$J257="")," · Pago sin fecha","")&amp;IF(AND(ISNUMBER($K257),ISNUMBER($G257),$K257&gt;N($G257)+0.01)," · Pagado &gt; monto","")&amp;IF(AND(ISNUMBER($K257),$K257&gt;0,$J257="")," · Monto pagado sin fecha","")="","OK",MID(IF($B257=""," · Falta fecha","")&amp;IF($C257=""," · Falta tipo (Fijo/Variable)","")&amp;IF($D257=""," · SIN CATEGORÍA","")&amp;IF($E257=""," · Falta descripción","")&amp;IF(OR($G257="",NOT(ISNUMBER($G257)),$G257&lt;=0)," · Monto inválido","")&amp;IF(AND($I257="Pagado",$J257="")," · Pago sin fecha","")&amp;IF(AND(ISNUMBER($K257),ISNUMBER($G257),$K257&gt;N($G257)+0.01)," · Pagado &gt; monto","")&amp;IF(AND(ISNUMBER($K257),$K257&gt;0,$J257="")," · Monto pagado sin fecha",""),4,900)))</f>
        <v/>
      </c>
    </row>
    <row r="258">
      <c r="A258" s="51">
        <f>IF(COUNTA($B258,$C258,$D258,$E258,$G258)=0,"","G-"&amp;TEXT(ROW()-6,"0000"))</f>
        <v/>
      </c>
      <c r="B258" s="41" t="n"/>
      <c r="C258" s="33" t="n"/>
      <c r="D258" s="33" t="n"/>
      <c r="E258" s="33" t="n"/>
      <c r="F258" s="33" t="n"/>
      <c r="G258" s="36" t="n"/>
      <c r="H258" s="33" t="n"/>
      <c r="I258" s="33" t="n"/>
      <c r="J258" s="41" t="n"/>
      <c r="K258" s="36" t="n"/>
      <c r="L258" s="37">
        <f>IF(NOT(ISNUMBER($G258)),"",$G258-IF(ISNUMBER($K258),$K258,0))</f>
        <v/>
      </c>
      <c r="M258" s="33" t="n"/>
      <c r="N258" s="33" t="n"/>
      <c r="O258" s="51">
        <f>IF(COUNTA($B258,$C258,$D258,$E258,$G258)=0,"",IF(IF($B258=""," · Falta fecha","")&amp;IF($C258=""," · Falta tipo (Fijo/Variable)","")&amp;IF($D258=""," · SIN CATEGORÍA","")&amp;IF($E258=""," · Falta descripción","")&amp;IF(OR($G258="",NOT(ISNUMBER($G258)),$G258&lt;=0)," · Monto inválido","")&amp;IF(AND($I258="Pagado",$J258="")," · Pago sin fecha","")&amp;IF(AND(ISNUMBER($K258),ISNUMBER($G258),$K258&gt;N($G258)+0.01)," · Pagado &gt; monto","")&amp;IF(AND(ISNUMBER($K258),$K258&gt;0,$J258="")," · Monto pagado sin fecha","")="","OK",MID(IF($B258=""," · Falta fecha","")&amp;IF($C258=""," · Falta tipo (Fijo/Variable)","")&amp;IF($D258=""," · SIN CATEGORÍA","")&amp;IF($E258=""," · Falta descripción","")&amp;IF(OR($G258="",NOT(ISNUMBER($G258)),$G258&lt;=0)," · Monto inválido","")&amp;IF(AND($I258="Pagado",$J258="")," · Pago sin fecha","")&amp;IF(AND(ISNUMBER($K258),ISNUMBER($G258),$K258&gt;N($G258)+0.01)," · Pagado &gt; monto","")&amp;IF(AND(ISNUMBER($K258),$K258&gt;0,$J258="")," · Monto pagado sin fecha",""),4,900)))</f>
        <v/>
      </c>
    </row>
    <row r="259">
      <c r="A259" s="51">
        <f>IF(COUNTA($B259,$C259,$D259,$E259,$G259)=0,"","G-"&amp;TEXT(ROW()-6,"0000"))</f>
        <v/>
      </c>
      <c r="B259" s="41" t="n"/>
      <c r="C259" s="33" t="n"/>
      <c r="D259" s="33" t="n"/>
      <c r="E259" s="33" t="n"/>
      <c r="F259" s="33" t="n"/>
      <c r="G259" s="36" t="n"/>
      <c r="H259" s="33" t="n"/>
      <c r="I259" s="33" t="n"/>
      <c r="J259" s="41" t="n"/>
      <c r="K259" s="36" t="n"/>
      <c r="L259" s="37">
        <f>IF(NOT(ISNUMBER($G259)),"",$G259-IF(ISNUMBER($K259),$K259,0))</f>
        <v/>
      </c>
      <c r="M259" s="33" t="n"/>
      <c r="N259" s="33" t="n"/>
      <c r="O259" s="51">
        <f>IF(COUNTA($B259,$C259,$D259,$E259,$G259)=0,"",IF(IF($B259=""," · Falta fecha","")&amp;IF($C259=""," · Falta tipo (Fijo/Variable)","")&amp;IF($D259=""," · SIN CATEGORÍA","")&amp;IF($E259=""," · Falta descripción","")&amp;IF(OR($G259="",NOT(ISNUMBER($G259)),$G259&lt;=0)," · Monto inválido","")&amp;IF(AND($I259="Pagado",$J259="")," · Pago sin fecha","")&amp;IF(AND(ISNUMBER($K259),ISNUMBER($G259),$K259&gt;N($G259)+0.01)," · Pagado &gt; monto","")&amp;IF(AND(ISNUMBER($K259),$K259&gt;0,$J259="")," · Monto pagado sin fecha","")="","OK",MID(IF($B259=""," · Falta fecha","")&amp;IF($C259=""," · Falta tipo (Fijo/Variable)","")&amp;IF($D259=""," · SIN CATEGORÍA","")&amp;IF($E259=""," · Falta descripción","")&amp;IF(OR($G259="",NOT(ISNUMBER($G259)),$G259&lt;=0)," · Monto inválido","")&amp;IF(AND($I259="Pagado",$J259="")," · Pago sin fecha","")&amp;IF(AND(ISNUMBER($K259),ISNUMBER($G259),$K259&gt;N($G259)+0.01)," · Pagado &gt; monto","")&amp;IF(AND(ISNUMBER($K259),$K259&gt;0,$J259="")," · Monto pagado sin fecha",""),4,900)))</f>
        <v/>
      </c>
    </row>
    <row r="260">
      <c r="A260" s="51">
        <f>IF(COUNTA($B260,$C260,$D260,$E260,$G260)=0,"","G-"&amp;TEXT(ROW()-6,"0000"))</f>
        <v/>
      </c>
      <c r="B260" s="41" t="n"/>
      <c r="C260" s="33" t="n"/>
      <c r="D260" s="33" t="n"/>
      <c r="E260" s="33" t="n"/>
      <c r="F260" s="33" t="n"/>
      <c r="G260" s="36" t="n"/>
      <c r="H260" s="33" t="n"/>
      <c r="I260" s="33" t="n"/>
      <c r="J260" s="41" t="n"/>
      <c r="K260" s="36" t="n"/>
      <c r="L260" s="37">
        <f>IF(NOT(ISNUMBER($G260)),"",$G260-IF(ISNUMBER($K260),$K260,0))</f>
        <v/>
      </c>
      <c r="M260" s="33" t="n"/>
      <c r="N260" s="33" t="n"/>
      <c r="O260" s="51">
        <f>IF(COUNTA($B260,$C260,$D260,$E260,$G260)=0,"",IF(IF($B260=""," · Falta fecha","")&amp;IF($C260=""," · Falta tipo (Fijo/Variable)","")&amp;IF($D260=""," · SIN CATEGORÍA","")&amp;IF($E260=""," · Falta descripción","")&amp;IF(OR($G260="",NOT(ISNUMBER($G260)),$G260&lt;=0)," · Monto inválido","")&amp;IF(AND($I260="Pagado",$J260="")," · Pago sin fecha","")&amp;IF(AND(ISNUMBER($K260),ISNUMBER($G260),$K260&gt;N($G260)+0.01)," · Pagado &gt; monto","")&amp;IF(AND(ISNUMBER($K260),$K260&gt;0,$J260="")," · Monto pagado sin fecha","")="","OK",MID(IF($B260=""," · Falta fecha","")&amp;IF($C260=""," · Falta tipo (Fijo/Variable)","")&amp;IF($D260=""," · SIN CATEGORÍA","")&amp;IF($E260=""," · Falta descripción","")&amp;IF(OR($G260="",NOT(ISNUMBER($G260)),$G260&lt;=0)," · Monto inválido","")&amp;IF(AND($I260="Pagado",$J260="")," · Pago sin fecha","")&amp;IF(AND(ISNUMBER($K260),ISNUMBER($G260),$K260&gt;N($G260)+0.01)," · Pagado &gt; monto","")&amp;IF(AND(ISNUMBER($K260),$K260&gt;0,$J260="")," · Monto pagado sin fecha",""),4,900)))</f>
        <v/>
      </c>
    </row>
    <row r="261">
      <c r="A261" s="51">
        <f>IF(COUNTA($B261,$C261,$D261,$E261,$G261)=0,"","G-"&amp;TEXT(ROW()-6,"0000"))</f>
        <v/>
      </c>
      <c r="B261" s="41" t="n"/>
      <c r="C261" s="33" t="n"/>
      <c r="D261" s="33" t="n"/>
      <c r="E261" s="33" t="n"/>
      <c r="F261" s="33" t="n"/>
      <c r="G261" s="36" t="n"/>
      <c r="H261" s="33" t="n"/>
      <c r="I261" s="33" t="n"/>
      <c r="J261" s="41" t="n"/>
      <c r="K261" s="36" t="n"/>
      <c r="L261" s="37">
        <f>IF(NOT(ISNUMBER($G261)),"",$G261-IF(ISNUMBER($K261),$K261,0))</f>
        <v/>
      </c>
      <c r="M261" s="33" t="n"/>
      <c r="N261" s="33" t="n"/>
      <c r="O261" s="51">
        <f>IF(COUNTA($B261,$C261,$D261,$E261,$G261)=0,"",IF(IF($B261=""," · Falta fecha","")&amp;IF($C261=""," · Falta tipo (Fijo/Variable)","")&amp;IF($D261=""," · SIN CATEGORÍA","")&amp;IF($E261=""," · Falta descripción","")&amp;IF(OR($G261="",NOT(ISNUMBER($G261)),$G261&lt;=0)," · Monto inválido","")&amp;IF(AND($I261="Pagado",$J261="")," · Pago sin fecha","")&amp;IF(AND(ISNUMBER($K261),ISNUMBER($G261),$K261&gt;N($G261)+0.01)," · Pagado &gt; monto","")&amp;IF(AND(ISNUMBER($K261),$K261&gt;0,$J261="")," · Monto pagado sin fecha","")="","OK",MID(IF($B261=""," · Falta fecha","")&amp;IF($C261=""," · Falta tipo (Fijo/Variable)","")&amp;IF($D261=""," · SIN CATEGORÍA","")&amp;IF($E261=""," · Falta descripción","")&amp;IF(OR($G261="",NOT(ISNUMBER($G261)),$G261&lt;=0)," · Monto inválido","")&amp;IF(AND($I261="Pagado",$J261="")," · Pago sin fecha","")&amp;IF(AND(ISNUMBER($K261),ISNUMBER($G261),$K261&gt;N($G261)+0.01)," · Pagado &gt; monto","")&amp;IF(AND(ISNUMBER($K261),$K261&gt;0,$J261="")," · Monto pagado sin fecha",""),4,900)))</f>
        <v/>
      </c>
    </row>
    <row r="262">
      <c r="A262" s="51">
        <f>IF(COUNTA($B262,$C262,$D262,$E262,$G262)=0,"","G-"&amp;TEXT(ROW()-6,"0000"))</f>
        <v/>
      </c>
      <c r="B262" s="41" t="n"/>
      <c r="C262" s="33" t="n"/>
      <c r="D262" s="33" t="n"/>
      <c r="E262" s="33" t="n"/>
      <c r="F262" s="33" t="n"/>
      <c r="G262" s="36" t="n"/>
      <c r="H262" s="33" t="n"/>
      <c r="I262" s="33" t="n"/>
      <c r="J262" s="41" t="n"/>
      <c r="K262" s="36" t="n"/>
      <c r="L262" s="37">
        <f>IF(NOT(ISNUMBER($G262)),"",$G262-IF(ISNUMBER($K262),$K262,0))</f>
        <v/>
      </c>
      <c r="M262" s="33" t="n"/>
      <c r="N262" s="33" t="n"/>
      <c r="O262" s="51">
        <f>IF(COUNTA($B262,$C262,$D262,$E262,$G262)=0,"",IF(IF($B262=""," · Falta fecha","")&amp;IF($C262=""," · Falta tipo (Fijo/Variable)","")&amp;IF($D262=""," · SIN CATEGORÍA","")&amp;IF($E262=""," · Falta descripción","")&amp;IF(OR($G262="",NOT(ISNUMBER($G262)),$G262&lt;=0)," · Monto inválido","")&amp;IF(AND($I262="Pagado",$J262="")," · Pago sin fecha","")&amp;IF(AND(ISNUMBER($K262),ISNUMBER($G262),$K262&gt;N($G262)+0.01)," · Pagado &gt; monto","")&amp;IF(AND(ISNUMBER($K262),$K262&gt;0,$J262="")," · Monto pagado sin fecha","")="","OK",MID(IF($B262=""," · Falta fecha","")&amp;IF($C262=""," · Falta tipo (Fijo/Variable)","")&amp;IF($D262=""," · SIN CATEGORÍA","")&amp;IF($E262=""," · Falta descripción","")&amp;IF(OR($G262="",NOT(ISNUMBER($G262)),$G262&lt;=0)," · Monto inválido","")&amp;IF(AND($I262="Pagado",$J262="")," · Pago sin fecha","")&amp;IF(AND(ISNUMBER($K262),ISNUMBER($G262),$K262&gt;N($G262)+0.01)," · Pagado &gt; monto","")&amp;IF(AND(ISNUMBER($K262),$K262&gt;0,$J262="")," · Monto pagado sin fecha",""),4,900)))</f>
        <v/>
      </c>
    </row>
    <row r="263">
      <c r="A263" s="51">
        <f>IF(COUNTA($B263,$C263,$D263,$E263,$G263)=0,"","G-"&amp;TEXT(ROW()-6,"0000"))</f>
        <v/>
      </c>
      <c r="B263" s="41" t="n"/>
      <c r="C263" s="33" t="n"/>
      <c r="D263" s="33" t="n"/>
      <c r="E263" s="33" t="n"/>
      <c r="F263" s="33" t="n"/>
      <c r="G263" s="36" t="n"/>
      <c r="H263" s="33" t="n"/>
      <c r="I263" s="33" t="n"/>
      <c r="J263" s="41" t="n"/>
      <c r="K263" s="36" t="n"/>
      <c r="L263" s="37">
        <f>IF(NOT(ISNUMBER($G263)),"",$G263-IF(ISNUMBER($K263),$K263,0))</f>
        <v/>
      </c>
      <c r="M263" s="33" t="n"/>
      <c r="N263" s="33" t="n"/>
      <c r="O263" s="51">
        <f>IF(COUNTA($B263,$C263,$D263,$E263,$G263)=0,"",IF(IF($B263=""," · Falta fecha","")&amp;IF($C263=""," · Falta tipo (Fijo/Variable)","")&amp;IF($D263=""," · SIN CATEGORÍA","")&amp;IF($E263=""," · Falta descripción","")&amp;IF(OR($G263="",NOT(ISNUMBER($G263)),$G263&lt;=0)," · Monto inválido","")&amp;IF(AND($I263="Pagado",$J263="")," · Pago sin fecha","")&amp;IF(AND(ISNUMBER($K263),ISNUMBER($G263),$K263&gt;N($G263)+0.01)," · Pagado &gt; monto","")&amp;IF(AND(ISNUMBER($K263),$K263&gt;0,$J263="")," · Monto pagado sin fecha","")="","OK",MID(IF($B263=""," · Falta fecha","")&amp;IF($C263=""," · Falta tipo (Fijo/Variable)","")&amp;IF($D263=""," · SIN CATEGORÍA","")&amp;IF($E263=""," · Falta descripción","")&amp;IF(OR($G263="",NOT(ISNUMBER($G263)),$G263&lt;=0)," · Monto inválido","")&amp;IF(AND($I263="Pagado",$J263="")," · Pago sin fecha","")&amp;IF(AND(ISNUMBER($K263),ISNUMBER($G263),$K263&gt;N($G263)+0.01)," · Pagado &gt; monto","")&amp;IF(AND(ISNUMBER($K263),$K263&gt;0,$J263="")," · Monto pagado sin fecha",""),4,900)))</f>
        <v/>
      </c>
    </row>
    <row r="264">
      <c r="A264" s="51">
        <f>IF(COUNTA($B264,$C264,$D264,$E264,$G264)=0,"","G-"&amp;TEXT(ROW()-6,"0000"))</f>
        <v/>
      </c>
      <c r="B264" s="41" t="n"/>
      <c r="C264" s="33" t="n"/>
      <c r="D264" s="33" t="n"/>
      <c r="E264" s="33" t="n"/>
      <c r="F264" s="33" t="n"/>
      <c r="G264" s="36" t="n"/>
      <c r="H264" s="33" t="n"/>
      <c r="I264" s="33" t="n"/>
      <c r="J264" s="41" t="n"/>
      <c r="K264" s="36" t="n"/>
      <c r="L264" s="37">
        <f>IF(NOT(ISNUMBER($G264)),"",$G264-IF(ISNUMBER($K264),$K264,0))</f>
        <v/>
      </c>
      <c r="M264" s="33" t="n"/>
      <c r="N264" s="33" t="n"/>
      <c r="O264" s="51">
        <f>IF(COUNTA($B264,$C264,$D264,$E264,$G264)=0,"",IF(IF($B264=""," · Falta fecha","")&amp;IF($C264=""," · Falta tipo (Fijo/Variable)","")&amp;IF($D264=""," · SIN CATEGORÍA","")&amp;IF($E264=""," · Falta descripción","")&amp;IF(OR($G264="",NOT(ISNUMBER($G264)),$G264&lt;=0)," · Monto inválido","")&amp;IF(AND($I264="Pagado",$J264="")," · Pago sin fecha","")&amp;IF(AND(ISNUMBER($K264),ISNUMBER($G264),$K264&gt;N($G264)+0.01)," · Pagado &gt; monto","")&amp;IF(AND(ISNUMBER($K264),$K264&gt;0,$J264="")," · Monto pagado sin fecha","")="","OK",MID(IF($B264=""," · Falta fecha","")&amp;IF($C264=""," · Falta tipo (Fijo/Variable)","")&amp;IF($D264=""," · SIN CATEGORÍA","")&amp;IF($E264=""," · Falta descripción","")&amp;IF(OR($G264="",NOT(ISNUMBER($G264)),$G264&lt;=0)," · Monto inválido","")&amp;IF(AND($I264="Pagado",$J264="")," · Pago sin fecha","")&amp;IF(AND(ISNUMBER($K264),ISNUMBER($G264),$K264&gt;N($G264)+0.01)," · Pagado &gt; monto","")&amp;IF(AND(ISNUMBER($K264),$K264&gt;0,$J264="")," · Monto pagado sin fecha",""),4,900)))</f>
        <v/>
      </c>
    </row>
    <row r="265">
      <c r="A265" s="51">
        <f>IF(COUNTA($B265,$C265,$D265,$E265,$G265)=0,"","G-"&amp;TEXT(ROW()-6,"0000"))</f>
        <v/>
      </c>
      <c r="B265" s="41" t="n"/>
      <c r="C265" s="33" t="n"/>
      <c r="D265" s="33" t="n"/>
      <c r="E265" s="33" t="n"/>
      <c r="F265" s="33" t="n"/>
      <c r="G265" s="36" t="n"/>
      <c r="H265" s="33" t="n"/>
      <c r="I265" s="33" t="n"/>
      <c r="J265" s="41" t="n"/>
      <c r="K265" s="36" t="n"/>
      <c r="L265" s="37">
        <f>IF(NOT(ISNUMBER($G265)),"",$G265-IF(ISNUMBER($K265),$K265,0))</f>
        <v/>
      </c>
      <c r="M265" s="33" t="n"/>
      <c r="N265" s="33" t="n"/>
      <c r="O265" s="51">
        <f>IF(COUNTA($B265,$C265,$D265,$E265,$G265)=0,"",IF(IF($B265=""," · Falta fecha","")&amp;IF($C265=""," · Falta tipo (Fijo/Variable)","")&amp;IF($D265=""," · SIN CATEGORÍA","")&amp;IF($E265=""," · Falta descripción","")&amp;IF(OR($G265="",NOT(ISNUMBER($G265)),$G265&lt;=0)," · Monto inválido","")&amp;IF(AND($I265="Pagado",$J265="")," · Pago sin fecha","")&amp;IF(AND(ISNUMBER($K265),ISNUMBER($G265),$K265&gt;N($G265)+0.01)," · Pagado &gt; monto","")&amp;IF(AND(ISNUMBER($K265),$K265&gt;0,$J265="")," · Monto pagado sin fecha","")="","OK",MID(IF($B265=""," · Falta fecha","")&amp;IF($C265=""," · Falta tipo (Fijo/Variable)","")&amp;IF($D265=""," · SIN CATEGORÍA","")&amp;IF($E265=""," · Falta descripción","")&amp;IF(OR($G265="",NOT(ISNUMBER($G265)),$G265&lt;=0)," · Monto inválido","")&amp;IF(AND($I265="Pagado",$J265="")," · Pago sin fecha","")&amp;IF(AND(ISNUMBER($K265),ISNUMBER($G265),$K265&gt;N($G265)+0.01)," · Pagado &gt; monto","")&amp;IF(AND(ISNUMBER($K265),$K265&gt;0,$J265="")," · Monto pagado sin fecha",""),4,900)))</f>
        <v/>
      </c>
    </row>
    <row r="266">
      <c r="A266" s="51">
        <f>IF(COUNTA($B266,$C266,$D266,$E266,$G266)=0,"","G-"&amp;TEXT(ROW()-6,"0000"))</f>
        <v/>
      </c>
      <c r="B266" s="41" t="n"/>
      <c r="C266" s="33" t="n"/>
      <c r="D266" s="33" t="n"/>
      <c r="E266" s="33" t="n"/>
      <c r="F266" s="33" t="n"/>
      <c r="G266" s="36" t="n"/>
      <c r="H266" s="33" t="n"/>
      <c r="I266" s="33" t="n"/>
      <c r="J266" s="41" t="n"/>
      <c r="K266" s="36" t="n"/>
      <c r="L266" s="37">
        <f>IF(NOT(ISNUMBER($G266)),"",$G266-IF(ISNUMBER($K266),$K266,0))</f>
        <v/>
      </c>
      <c r="M266" s="33" t="n"/>
      <c r="N266" s="33" t="n"/>
      <c r="O266" s="51">
        <f>IF(COUNTA($B266,$C266,$D266,$E266,$G266)=0,"",IF(IF($B266=""," · Falta fecha","")&amp;IF($C266=""," · Falta tipo (Fijo/Variable)","")&amp;IF($D266=""," · SIN CATEGORÍA","")&amp;IF($E266=""," · Falta descripción","")&amp;IF(OR($G266="",NOT(ISNUMBER($G266)),$G266&lt;=0)," · Monto inválido","")&amp;IF(AND($I266="Pagado",$J266="")," · Pago sin fecha","")&amp;IF(AND(ISNUMBER($K266),ISNUMBER($G266),$K266&gt;N($G266)+0.01)," · Pagado &gt; monto","")&amp;IF(AND(ISNUMBER($K266),$K266&gt;0,$J266="")," · Monto pagado sin fecha","")="","OK",MID(IF($B266=""," · Falta fecha","")&amp;IF($C266=""," · Falta tipo (Fijo/Variable)","")&amp;IF($D266=""," · SIN CATEGORÍA","")&amp;IF($E266=""," · Falta descripción","")&amp;IF(OR($G266="",NOT(ISNUMBER($G266)),$G266&lt;=0)," · Monto inválido","")&amp;IF(AND($I266="Pagado",$J266="")," · Pago sin fecha","")&amp;IF(AND(ISNUMBER($K266),ISNUMBER($G266),$K266&gt;N($G266)+0.01)," · Pagado &gt; monto","")&amp;IF(AND(ISNUMBER($K266),$K266&gt;0,$J266="")," · Monto pagado sin fecha",""),4,900)))</f>
        <v/>
      </c>
    </row>
    <row r="267">
      <c r="A267" s="51">
        <f>IF(COUNTA($B267,$C267,$D267,$E267,$G267)=0,"","G-"&amp;TEXT(ROW()-6,"0000"))</f>
        <v/>
      </c>
      <c r="B267" s="41" t="n"/>
      <c r="C267" s="33" t="n"/>
      <c r="D267" s="33" t="n"/>
      <c r="E267" s="33" t="n"/>
      <c r="F267" s="33" t="n"/>
      <c r="G267" s="36" t="n"/>
      <c r="H267" s="33" t="n"/>
      <c r="I267" s="33" t="n"/>
      <c r="J267" s="41" t="n"/>
      <c r="K267" s="36" t="n"/>
      <c r="L267" s="37">
        <f>IF(NOT(ISNUMBER($G267)),"",$G267-IF(ISNUMBER($K267),$K267,0))</f>
        <v/>
      </c>
      <c r="M267" s="33" t="n"/>
      <c r="N267" s="33" t="n"/>
      <c r="O267" s="51">
        <f>IF(COUNTA($B267,$C267,$D267,$E267,$G267)=0,"",IF(IF($B267=""," · Falta fecha","")&amp;IF($C267=""," · Falta tipo (Fijo/Variable)","")&amp;IF($D267=""," · SIN CATEGORÍA","")&amp;IF($E267=""," · Falta descripción","")&amp;IF(OR($G267="",NOT(ISNUMBER($G267)),$G267&lt;=0)," · Monto inválido","")&amp;IF(AND($I267="Pagado",$J267="")," · Pago sin fecha","")&amp;IF(AND(ISNUMBER($K267),ISNUMBER($G267),$K267&gt;N($G267)+0.01)," · Pagado &gt; monto","")&amp;IF(AND(ISNUMBER($K267),$K267&gt;0,$J267="")," · Monto pagado sin fecha","")="","OK",MID(IF($B267=""," · Falta fecha","")&amp;IF($C267=""," · Falta tipo (Fijo/Variable)","")&amp;IF($D267=""," · SIN CATEGORÍA","")&amp;IF($E267=""," · Falta descripción","")&amp;IF(OR($G267="",NOT(ISNUMBER($G267)),$G267&lt;=0)," · Monto inválido","")&amp;IF(AND($I267="Pagado",$J267="")," · Pago sin fecha","")&amp;IF(AND(ISNUMBER($K267),ISNUMBER($G267),$K267&gt;N($G267)+0.01)," · Pagado &gt; monto","")&amp;IF(AND(ISNUMBER($K267),$K267&gt;0,$J267="")," · Monto pagado sin fecha",""),4,900)))</f>
        <v/>
      </c>
    </row>
    <row r="268">
      <c r="A268" s="51">
        <f>IF(COUNTA($B268,$C268,$D268,$E268,$G268)=0,"","G-"&amp;TEXT(ROW()-6,"0000"))</f>
        <v/>
      </c>
      <c r="B268" s="41" t="n"/>
      <c r="C268" s="33" t="n"/>
      <c r="D268" s="33" t="n"/>
      <c r="E268" s="33" t="n"/>
      <c r="F268" s="33" t="n"/>
      <c r="G268" s="36" t="n"/>
      <c r="H268" s="33" t="n"/>
      <c r="I268" s="33" t="n"/>
      <c r="J268" s="41" t="n"/>
      <c r="K268" s="36" t="n"/>
      <c r="L268" s="37">
        <f>IF(NOT(ISNUMBER($G268)),"",$G268-IF(ISNUMBER($K268),$K268,0))</f>
        <v/>
      </c>
      <c r="M268" s="33" t="n"/>
      <c r="N268" s="33" t="n"/>
      <c r="O268" s="51">
        <f>IF(COUNTA($B268,$C268,$D268,$E268,$G268)=0,"",IF(IF($B268=""," · Falta fecha","")&amp;IF($C268=""," · Falta tipo (Fijo/Variable)","")&amp;IF($D268=""," · SIN CATEGORÍA","")&amp;IF($E268=""," · Falta descripción","")&amp;IF(OR($G268="",NOT(ISNUMBER($G268)),$G268&lt;=0)," · Monto inválido","")&amp;IF(AND($I268="Pagado",$J268="")," · Pago sin fecha","")&amp;IF(AND(ISNUMBER($K268),ISNUMBER($G268),$K268&gt;N($G268)+0.01)," · Pagado &gt; monto","")&amp;IF(AND(ISNUMBER($K268),$K268&gt;0,$J268="")," · Monto pagado sin fecha","")="","OK",MID(IF($B268=""," · Falta fecha","")&amp;IF($C268=""," · Falta tipo (Fijo/Variable)","")&amp;IF($D268=""," · SIN CATEGORÍA","")&amp;IF($E268=""," · Falta descripción","")&amp;IF(OR($G268="",NOT(ISNUMBER($G268)),$G268&lt;=0)," · Monto inválido","")&amp;IF(AND($I268="Pagado",$J268="")," · Pago sin fecha","")&amp;IF(AND(ISNUMBER($K268),ISNUMBER($G268),$K268&gt;N($G268)+0.01)," · Pagado &gt; monto","")&amp;IF(AND(ISNUMBER($K268),$K268&gt;0,$J268="")," · Monto pagado sin fecha",""),4,900)))</f>
        <v/>
      </c>
    </row>
    <row r="269">
      <c r="A269" s="51">
        <f>IF(COUNTA($B269,$C269,$D269,$E269,$G269)=0,"","G-"&amp;TEXT(ROW()-6,"0000"))</f>
        <v/>
      </c>
      <c r="B269" s="41" t="n"/>
      <c r="C269" s="33" t="n"/>
      <c r="D269" s="33" t="n"/>
      <c r="E269" s="33" t="n"/>
      <c r="F269" s="33" t="n"/>
      <c r="G269" s="36" t="n"/>
      <c r="H269" s="33" t="n"/>
      <c r="I269" s="33" t="n"/>
      <c r="J269" s="41" t="n"/>
      <c r="K269" s="36" t="n"/>
      <c r="L269" s="37">
        <f>IF(NOT(ISNUMBER($G269)),"",$G269-IF(ISNUMBER($K269),$K269,0))</f>
        <v/>
      </c>
      <c r="M269" s="33" t="n"/>
      <c r="N269" s="33" t="n"/>
      <c r="O269" s="51">
        <f>IF(COUNTA($B269,$C269,$D269,$E269,$G269)=0,"",IF(IF($B269=""," · Falta fecha","")&amp;IF($C269=""," · Falta tipo (Fijo/Variable)","")&amp;IF($D269=""," · SIN CATEGORÍA","")&amp;IF($E269=""," · Falta descripción","")&amp;IF(OR($G269="",NOT(ISNUMBER($G269)),$G269&lt;=0)," · Monto inválido","")&amp;IF(AND($I269="Pagado",$J269="")," · Pago sin fecha","")&amp;IF(AND(ISNUMBER($K269),ISNUMBER($G269),$K269&gt;N($G269)+0.01)," · Pagado &gt; monto","")&amp;IF(AND(ISNUMBER($K269),$K269&gt;0,$J269="")," · Monto pagado sin fecha","")="","OK",MID(IF($B269=""," · Falta fecha","")&amp;IF($C269=""," · Falta tipo (Fijo/Variable)","")&amp;IF($D269=""," · SIN CATEGORÍA","")&amp;IF($E269=""," · Falta descripción","")&amp;IF(OR($G269="",NOT(ISNUMBER($G269)),$G269&lt;=0)," · Monto inválido","")&amp;IF(AND($I269="Pagado",$J269="")," · Pago sin fecha","")&amp;IF(AND(ISNUMBER($K269),ISNUMBER($G269),$K269&gt;N($G269)+0.01)," · Pagado &gt; monto","")&amp;IF(AND(ISNUMBER($K269),$K269&gt;0,$J269="")," · Monto pagado sin fecha",""),4,900)))</f>
        <v/>
      </c>
    </row>
    <row r="270">
      <c r="A270" s="51">
        <f>IF(COUNTA($B270,$C270,$D270,$E270,$G270)=0,"","G-"&amp;TEXT(ROW()-6,"0000"))</f>
        <v/>
      </c>
      <c r="B270" s="41" t="n"/>
      <c r="C270" s="33" t="n"/>
      <c r="D270" s="33" t="n"/>
      <c r="E270" s="33" t="n"/>
      <c r="F270" s="33" t="n"/>
      <c r="G270" s="36" t="n"/>
      <c r="H270" s="33" t="n"/>
      <c r="I270" s="33" t="n"/>
      <c r="J270" s="41" t="n"/>
      <c r="K270" s="36" t="n"/>
      <c r="L270" s="37">
        <f>IF(NOT(ISNUMBER($G270)),"",$G270-IF(ISNUMBER($K270),$K270,0))</f>
        <v/>
      </c>
      <c r="M270" s="33" t="n"/>
      <c r="N270" s="33" t="n"/>
      <c r="O270" s="51">
        <f>IF(COUNTA($B270,$C270,$D270,$E270,$G270)=0,"",IF(IF($B270=""," · Falta fecha","")&amp;IF($C270=""," · Falta tipo (Fijo/Variable)","")&amp;IF($D270=""," · SIN CATEGORÍA","")&amp;IF($E270=""," · Falta descripción","")&amp;IF(OR($G270="",NOT(ISNUMBER($G270)),$G270&lt;=0)," · Monto inválido","")&amp;IF(AND($I270="Pagado",$J270="")," · Pago sin fecha","")&amp;IF(AND(ISNUMBER($K270),ISNUMBER($G270),$K270&gt;N($G270)+0.01)," · Pagado &gt; monto","")&amp;IF(AND(ISNUMBER($K270),$K270&gt;0,$J270="")," · Monto pagado sin fecha","")="","OK",MID(IF($B270=""," · Falta fecha","")&amp;IF($C270=""," · Falta tipo (Fijo/Variable)","")&amp;IF($D270=""," · SIN CATEGORÍA","")&amp;IF($E270=""," · Falta descripción","")&amp;IF(OR($G270="",NOT(ISNUMBER($G270)),$G270&lt;=0)," · Monto inválido","")&amp;IF(AND($I270="Pagado",$J270="")," · Pago sin fecha","")&amp;IF(AND(ISNUMBER($K270),ISNUMBER($G270),$K270&gt;N($G270)+0.01)," · Pagado &gt; monto","")&amp;IF(AND(ISNUMBER($K270),$K270&gt;0,$J270="")," · Monto pagado sin fecha",""),4,900)))</f>
        <v/>
      </c>
    </row>
    <row r="271">
      <c r="A271" s="51">
        <f>IF(COUNTA($B271,$C271,$D271,$E271,$G271)=0,"","G-"&amp;TEXT(ROW()-6,"0000"))</f>
        <v/>
      </c>
      <c r="B271" s="41" t="n"/>
      <c r="C271" s="33" t="n"/>
      <c r="D271" s="33" t="n"/>
      <c r="E271" s="33" t="n"/>
      <c r="F271" s="33" t="n"/>
      <c r="G271" s="36" t="n"/>
      <c r="H271" s="33" t="n"/>
      <c r="I271" s="33" t="n"/>
      <c r="J271" s="41" t="n"/>
      <c r="K271" s="36" t="n"/>
      <c r="L271" s="37">
        <f>IF(NOT(ISNUMBER($G271)),"",$G271-IF(ISNUMBER($K271),$K271,0))</f>
        <v/>
      </c>
      <c r="M271" s="33" t="n"/>
      <c r="N271" s="33" t="n"/>
      <c r="O271" s="51">
        <f>IF(COUNTA($B271,$C271,$D271,$E271,$G271)=0,"",IF(IF($B271=""," · Falta fecha","")&amp;IF($C271=""," · Falta tipo (Fijo/Variable)","")&amp;IF($D271=""," · SIN CATEGORÍA","")&amp;IF($E271=""," · Falta descripción","")&amp;IF(OR($G271="",NOT(ISNUMBER($G271)),$G271&lt;=0)," · Monto inválido","")&amp;IF(AND($I271="Pagado",$J271="")," · Pago sin fecha","")&amp;IF(AND(ISNUMBER($K271),ISNUMBER($G271),$K271&gt;N($G271)+0.01)," · Pagado &gt; monto","")&amp;IF(AND(ISNUMBER($K271),$K271&gt;0,$J271="")," · Monto pagado sin fecha","")="","OK",MID(IF($B271=""," · Falta fecha","")&amp;IF($C271=""," · Falta tipo (Fijo/Variable)","")&amp;IF($D271=""," · SIN CATEGORÍA","")&amp;IF($E271=""," · Falta descripción","")&amp;IF(OR($G271="",NOT(ISNUMBER($G271)),$G271&lt;=0)," · Monto inválido","")&amp;IF(AND($I271="Pagado",$J271="")," · Pago sin fecha","")&amp;IF(AND(ISNUMBER($K271),ISNUMBER($G271),$K271&gt;N($G271)+0.01)," · Pagado &gt; monto","")&amp;IF(AND(ISNUMBER($K271),$K271&gt;0,$J271="")," · Monto pagado sin fecha",""),4,900)))</f>
        <v/>
      </c>
    </row>
    <row r="272">
      <c r="A272" s="51">
        <f>IF(COUNTA($B272,$C272,$D272,$E272,$G272)=0,"","G-"&amp;TEXT(ROW()-6,"0000"))</f>
        <v/>
      </c>
      <c r="B272" s="41" t="n"/>
      <c r="C272" s="33" t="n"/>
      <c r="D272" s="33" t="n"/>
      <c r="E272" s="33" t="n"/>
      <c r="F272" s="33" t="n"/>
      <c r="G272" s="36" t="n"/>
      <c r="H272" s="33" t="n"/>
      <c r="I272" s="33" t="n"/>
      <c r="J272" s="41" t="n"/>
      <c r="K272" s="36" t="n"/>
      <c r="L272" s="37">
        <f>IF(NOT(ISNUMBER($G272)),"",$G272-IF(ISNUMBER($K272),$K272,0))</f>
        <v/>
      </c>
      <c r="M272" s="33" t="n"/>
      <c r="N272" s="33" t="n"/>
      <c r="O272" s="51">
        <f>IF(COUNTA($B272,$C272,$D272,$E272,$G272)=0,"",IF(IF($B272=""," · Falta fecha","")&amp;IF($C272=""," · Falta tipo (Fijo/Variable)","")&amp;IF($D272=""," · SIN CATEGORÍA","")&amp;IF($E272=""," · Falta descripción","")&amp;IF(OR($G272="",NOT(ISNUMBER($G272)),$G272&lt;=0)," · Monto inválido","")&amp;IF(AND($I272="Pagado",$J272="")," · Pago sin fecha","")&amp;IF(AND(ISNUMBER($K272),ISNUMBER($G272),$K272&gt;N($G272)+0.01)," · Pagado &gt; monto","")&amp;IF(AND(ISNUMBER($K272),$K272&gt;0,$J272="")," · Monto pagado sin fecha","")="","OK",MID(IF($B272=""," · Falta fecha","")&amp;IF($C272=""," · Falta tipo (Fijo/Variable)","")&amp;IF($D272=""," · SIN CATEGORÍA","")&amp;IF($E272=""," · Falta descripción","")&amp;IF(OR($G272="",NOT(ISNUMBER($G272)),$G272&lt;=0)," · Monto inválido","")&amp;IF(AND($I272="Pagado",$J272="")," · Pago sin fecha","")&amp;IF(AND(ISNUMBER($K272),ISNUMBER($G272),$K272&gt;N($G272)+0.01)," · Pagado &gt; monto","")&amp;IF(AND(ISNUMBER($K272),$K272&gt;0,$J272="")," · Monto pagado sin fecha",""),4,900)))</f>
        <v/>
      </c>
    </row>
    <row r="273">
      <c r="A273" s="51">
        <f>IF(COUNTA($B273,$C273,$D273,$E273,$G273)=0,"","G-"&amp;TEXT(ROW()-6,"0000"))</f>
        <v/>
      </c>
      <c r="B273" s="41" t="n"/>
      <c r="C273" s="33" t="n"/>
      <c r="D273" s="33" t="n"/>
      <c r="E273" s="33" t="n"/>
      <c r="F273" s="33" t="n"/>
      <c r="G273" s="36" t="n"/>
      <c r="H273" s="33" t="n"/>
      <c r="I273" s="33" t="n"/>
      <c r="J273" s="41" t="n"/>
      <c r="K273" s="36" t="n"/>
      <c r="L273" s="37">
        <f>IF(NOT(ISNUMBER($G273)),"",$G273-IF(ISNUMBER($K273),$K273,0))</f>
        <v/>
      </c>
      <c r="M273" s="33" t="n"/>
      <c r="N273" s="33" t="n"/>
      <c r="O273" s="51">
        <f>IF(COUNTA($B273,$C273,$D273,$E273,$G273)=0,"",IF(IF($B273=""," · Falta fecha","")&amp;IF($C273=""," · Falta tipo (Fijo/Variable)","")&amp;IF($D273=""," · SIN CATEGORÍA","")&amp;IF($E273=""," · Falta descripción","")&amp;IF(OR($G273="",NOT(ISNUMBER($G273)),$G273&lt;=0)," · Monto inválido","")&amp;IF(AND($I273="Pagado",$J273="")," · Pago sin fecha","")&amp;IF(AND(ISNUMBER($K273),ISNUMBER($G273),$K273&gt;N($G273)+0.01)," · Pagado &gt; monto","")&amp;IF(AND(ISNUMBER($K273),$K273&gt;0,$J273="")," · Monto pagado sin fecha","")="","OK",MID(IF($B273=""," · Falta fecha","")&amp;IF($C273=""," · Falta tipo (Fijo/Variable)","")&amp;IF($D273=""," · SIN CATEGORÍA","")&amp;IF($E273=""," · Falta descripción","")&amp;IF(OR($G273="",NOT(ISNUMBER($G273)),$G273&lt;=0)," · Monto inválido","")&amp;IF(AND($I273="Pagado",$J273="")," · Pago sin fecha","")&amp;IF(AND(ISNUMBER($K273),ISNUMBER($G273),$K273&gt;N($G273)+0.01)," · Pagado &gt; monto","")&amp;IF(AND(ISNUMBER($K273),$K273&gt;0,$J273="")," · Monto pagado sin fecha",""),4,900)))</f>
        <v/>
      </c>
    </row>
    <row r="274">
      <c r="A274" s="51">
        <f>IF(COUNTA($B274,$C274,$D274,$E274,$G274)=0,"","G-"&amp;TEXT(ROW()-6,"0000"))</f>
        <v/>
      </c>
      <c r="B274" s="41" t="n"/>
      <c r="C274" s="33" t="n"/>
      <c r="D274" s="33" t="n"/>
      <c r="E274" s="33" t="n"/>
      <c r="F274" s="33" t="n"/>
      <c r="G274" s="36" t="n"/>
      <c r="H274" s="33" t="n"/>
      <c r="I274" s="33" t="n"/>
      <c r="J274" s="41" t="n"/>
      <c r="K274" s="36" t="n"/>
      <c r="L274" s="37">
        <f>IF(NOT(ISNUMBER($G274)),"",$G274-IF(ISNUMBER($K274),$K274,0))</f>
        <v/>
      </c>
      <c r="M274" s="33" t="n"/>
      <c r="N274" s="33" t="n"/>
      <c r="O274" s="51">
        <f>IF(COUNTA($B274,$C274,$D274,$E274,$G274)=0,"",IF(IF($B274=""," · Falta fecha","")&amp;IF($C274=""," · Falta tipo (Fijo/Variable)","")&amp;IF($D274=""," · SIN CATEGORÍA","")&amp;IF($E274=""," · Falta descripción","")&amp;IF(OR($G274="",NOT(ISNUMBER($G274)),$G274&lt;=0)," · Monto inválido","")&amp;IF(AND($I274="Pagado",$J274="")," · Pago sin fecha","")&amp;IF(AND(ISNUMBER($K274),ISNUMBER($G274),$K274&gt;N($G274)+0.01)," · Pagado &gt; monto","")&amp;IF(AND(ISNUMBER($K274),$K274&gt;0,$J274="")," · Monto pagado sin fecha","")="","OK",MID(IF($B274=""," · Falta fecha","")&amp;IF($C274=""," · Falta tipo (Fijo/Variable)","")&amp;IF($D274=""," · SIN CATEGORÍA","")&amp;IF($E274=""," · Falta descripción","")&amp;IF(OR($G274="",NOT(ISNUMBER($G274)),$G274&lt;=0)," · Monto inválido","")&amp;IF(AND($I274="Pagado",$J274="")," · Pago sin fecha","")&amp;IF(AND(ISNUMBER($K274),ISNUMBER($G274),$K274&gt;N($G274)+0.01)," · Pagado &gt; monto","")&amp;IF(AND(ISNUMBER($K274),$K274&gt;0,$J274="")," · Monto pagado sin fecha",""),4,900)))</f>
        <v/>
      </c>
    </row>
    <row r="275">
      <c r="A275" s="51">
        <f>IF(COUNTA($B275,$C275,$D275,$E275,$G275)=0,"","G-"&amp;TEXT(ROW()-6,"0000"))</f>
        <v/>
      </c>
      <c r="B275" s="41" t="n"/>
      <c r="C275" s="33" t="n"/>
      <c r="D275" s="33" t="n"/>
      <c r="E275" s="33" t="n"/>
      <c r="F275" s="33" t="n"/>
      <c r="G275" s="36" t="n"/>
      <c r="H275" s="33" t="n"/>
      <c r="I275" s="33" t="n"/>
      <c r="J275" s="41" t="n"/>
      <c r="K275" s="36" t="n"/>
      <c r="L275" s="37">
        <f>IF(NOT(ISNUMBER($G275)),"",$G275-IF(ISNUMBER($K275),$K275,0))</f>
        <v/>
      </c>
      <c r="M275" s="33" t="n"/>
      <c r="N275" s="33" t="n"/>
      <c r="O275" s="51">
        <f>IF(COUNTA($B275,$C275,$D275,$E275,$G275)=0,"",IF(IF($B275=""," · Falta fecha","")&amp;IF($C275=""," · Falta tipo (Fijo/Variable)","")&amp;IF($D275=""," · SIN CATEGORÍA","")&amp;IF($E275=""," · Falta descripción","")&amp;IF(OR($G275="",NOT(ISNUMBER($G275)),$G275&lt;=0)," · Monto inválido","")&amp;IF(AND($I275="Pagado",$J275="")," · Pago sin fecha","")&amp;IF(AND(ISNUMBER($K275),ISNUMBER($G275),$K275&gt;N($G275)+0.01)," · Pagado &gt; monto","")&amp;IF(AND(ISNUMBER($K275),$K275&gt;0,$J275="")," · Monto pagado sin fecha","")="","OK",MID(IF($B275=""," · Falta fecha","")&amp;IF($C275=""," · Falta tipo (Fijo/Variable)","")&amp;IF($D275=""," · SIN CATEGORÍA","")&amp;IF($E275=""," · Falta descripción","")&amp;IF(OR($G275="",NOT(ISNUMBER($G275)),$G275&lt;=0)," · Monto inválido","")&amp;IF(AND($I275="Pagado",$J275="")," · Pago sin fecha","")&amp;IF(AND(ISNUMBER($K275),ISNUMBER($G275),$K275&gt;N($G275)+0.01)," · Pagado &gt; monto","")&amp;IF(AND(ISNUMBER($K275),$K275&gt;0,$J275="")," · Monto pagado sin fecha",""),4,900)))</f>
        <v/>
      </c>
    </row>
    <row r="276">
      <c r="A276" s="51">
        <f>IF(COUNTA($B276,$C276,$D276,$E276,$G276)=0,"","G-"&amp;TEXT(ROW()-6,"0000"))</f>
        <v/>
      </c>
      <c r="B276" s="41" t="n"/>
      <c r="C276" s="33" t="n"/>
      <c r="D276" s="33" t="n"/>
      <c r="E276" s="33" t="n"/>
      <c r="F276" s="33" t="n"/>
      <c r="G276" s="36" t="n"/>
      <c r="H276" s="33" t="n"/>
      <c r="I276" s="33" t="n"/>
      <c r="J276" s="41" t="n"/>
      <c r="K276" s="36" t="n"/>
      <c r="L276" s="37">
        <f>IF(NOT(ISNUMBER($G276)),"",$G276-IF(ISNUMBER($K276),$K276,0))</f>
        <v/>
      </c>
      <c r="M276" s="33" t="n"/>
      <c r="N276" s="33" t="n"/>
      <c r="O276" s="51">
        <f>IF(COUNTA($B276,$C276,$D276,$E276,$G276)=0,"",IF(IF($B276=""," · Falta fecha","")&amp;IF($C276=""," · Falta tipo (Fijo/Variable)","")&amp;IF($D276=""," · SIN CATEGORÍA","")&amp;IF($E276=""," · Falta descripción","")&amp;IF(OR($G276="",NOT(ISNUMBER($G276)),$G276&lt;=0)," · Monto inválido","")&amp;IF(AND($I276="Pagado",$J276="")," · Pago sin fecha","")&amp;IF(AND(ISNUMBER($K276),ISNUMBER($G276),$K276&gt;N($G276)+0.01)," · Pagado &gt; monto","")&amp;IF(AND(ISNUMBER($K276),$K276&gt;0,$J276="")," · Monto pagado sin fecha","")="","OK",MID(IF($B276=""," · Falta fecha","")&amp;IF($C276=""," · Falta tipo (Fijo/Variable)","")&amp;IF($D276=""," · SIN CATEGORÍA","")&amp;IF($E276=""," · Falta descripción","")&amp;IF(OR($G276="",NOT(ISNUMBER($G276)),$G276&lt;=0)," · Monto inválido","")&amp;IF(AND($I276="Pagado",$J276="")," · Pago sin fecha","")&amp;IF(AND(ISNUMBER($K276),ISNUMBER($G276),$K276&gt;N($G276)+0.01)," · Pagado &gt; monto","")&amp;IF(AND(ISNUMBER($K276),$K276&gt;0,$J276="")," · Monto pagado sin fecha",""),4,900)))</f>
        <v/>
      </c>
    </row>
    <row r="277">
      <c r="A277" s="51">
        <f>IF(COUNTA($B277,$C277,$D277,$E277,$G277)=0,"","G-"&amp;TEXT(ROW()-6,"0000"))</f>
        <v/>
      </c>
      <c r="B277" s="41" t="n"/>
      <c r="C277" s="33" t="n"/>
      <c r="D277" s="33" t="n"/>
      <c r="E277" s="33" t="n"/>
      <c r="F277" s="33" t="n"/>
      <c r="G277" s="36" t="n"/>
      <c r="H277" s="33" t="n"/>
      <c r="I277" s="33" t="n"/>
      <c r="J277" s="41" t="n"/>
      <c r="K277" s="36" t="n"/>
      <c r="L277" s="37">
        <f>IF(NOT(ISNUMBER($G277)),"",$G277-IF(ISNUMBER($K277),$K277,0))</f>
        <v/>
      </c>
      <c r="M277" s="33" t="n"/>
      <c r="N277" s="33" t="n"/>
      <c r="O277" s="51">
        <f>IF(COUNTA($B277,$C277,$D277,$E277,$G277)=0,"",IF(IF($B277=""," · Falta fecha","")&amp;IF($C277=""," · Falta tipo (Fijo/Variable)","")&amp;IF($D277=""," · SIN CATEGORÍA","")&amp;IF($E277=""," · Falta descripción","")&amp;IF(OR($G277="",NOT(ISNUMBER($G277)),$G277&lt;=0)," · Monto inválido","")&amp;IF(AND($I277="Pagado",$J277="")," · Pago sin fecha","")&amp;IF(AND(ISNUMBER($K277),ISNUMBER($G277),$K277&gt;N($G277)+0.01)," · Pagado &gt; monto","")&amp;IF(AND(ISNUMBER($K277),$K277&gt;0,$J277="")," · Monto pagado sin fecha","")="","OK",MID(IF($B277=""," · Falta fecha","")&amp;IF($C277=""," · Falta tipo (Fijo/Variable)","")&amp;IF($D277=""," · SIN CATEGORÍA","")&amp;IF($E277=""," · Falta descripción","")&amp;IF(OR($G277="",NOT(ISNUMBER($G277)),$G277&lt;=0)," · Monto inválido","")&amp;IF(AND($I277="Pagado",$J277="")," · Pago sin fecha","")&amp;IF(AND(ISNUMBER($K277),ISNUMBER($G277),$K277&gt;N($G277)+0.01)," · Pagado &gt; monto","")&amp;IF(AND(ISNUMBER($K277),$K277&gt;0,$J277="")," · Monto pagado sin fecha",""),4,900)))</f>
        <v/>
      </c>
    </row>
    <row r="278">
      <c r="A278" s="51">
        <f>IF(COUNTA($B278,$C278,$D278,$E278,$G278)=0,"","G-"&amp;TEXT(ROW()-6,"0000"))</f>
        <v/>
      </c>
      <c r="B278" s="41" t="n"/>
      <c r="C278" s="33" t="n"/>
      <c r="D278" s="33" t="n"/>
      <c r="E278" s="33" t="n"/>
      <c r="F278" s="33" t="n"/>
      <c r="G278" s="36" t="n"/>
      <c r="H278" s="33" t="n"/>
      <c r="I278" s="33" t="n"/>
      <c r="J278" s="41" t="n"/>
      <c r="K278" s="36" t="n"/>
      <c r="L278" s="37">
        <f>IF(NOT(ISNUMBER($G278)),"",$G278-IF(ISNUMBER($K278),$K278,0))</f>
        <v/>
      </c>
      <c r="M278" s="33" t="n"/>
      <c r="N278" s="33" t="n"/>
      <c r="O278" s="51">
        <f>IF(COUNTA($B278,$C278,$D278,$E278,$G278)=0,"",IF(IF($B278=""," · Falta fecha","")&amp;IF($C278=""," · Falta tipo (Fijo/Variable)","")&amp;IF($D278=""," · SIN CATEGORÍA","")&amp;IF($E278=""," · Falta descripción","")&amp;IF(OR($G278="",NOT(ISNUMBER($G278)),$G278&lt;=0)," · Monto inválido","")&amp;IF(AND($I278="Pagado",$J278="")," · Pago sin fecha","")&amp;IF(AND(ISNUMBER($K278),ISNUMBER($G278),$K278&gt;N($G278)+0.01)," · Pagado &gt; monto","")&amp;IF(AND(ISNUMBER($K278),$K278&gt;0,$J278="")," · Monto pagado sin fecha","")="","OK",MID(IF($B278=""," · Falta fecha","")&amp;IF($C278=""," · Falta tipo (Fijo/Variable)","")&amp;IF($D278=""," · SIN CATEGORÍA","")&amp;IF($E278=""," · Falta descripción","")&amp;IF(OR($G278="",NOT(ISNUMBER($G278)),$G278&lt;=0)," · Monto inválido","")&amp;IF(AND($I278="Pagado",$J278="")," · Pago sin fecha","")&amp;IF(AND(ISNUMBER($K278),ISNUMBER($G278),$K278&gt;N($G278)+0.01)," · Pagado &gt; monto","")&amp;IF(AND(ISNUMBER($K278),$K278&gt;0,$J278="")," · Monto pagado sin fecha",""),4,900)))</f>
        <v/>
      </c>
    </row>
    <row r="279">
      <c r="A279" s="51">
        <f>IF(COUNTA($B279,$C279,$D279,$E279,$G279)=0,"","G-"&amp;TEXT(ROW()-6,"0000"))</f>
        <v/>
      </c>
      <c r="B279" s="41" t="n"/>
      <c r="C279" s="33" t="n"/>
      <c r="D279" s="33" t="n"/>
      <c r="E279" s="33" t="n"/>
      <c r="F279" s="33" t="n"/>
      <c r="G279" s="36" t="n"/>
      <c r="H279" s="33" t="n"/>
      <c r="I279" s="33" t="n"/>
      <c r="J279" s="41" t="n"/>
      <c r="K279" s="36" t="n"/>
      <c r="L279" s="37">
        <f>IF(NOT(ISNUMBER($G279)),"",$G279-IF(ISNUMBER($K279),$K279,0))</f>
        <v/>
      </c>
      <c r="M279" s="33" t="n"/>
      <c r="N279" s="33" t="n"/>
      <c r="O279" s="51">
        <f>IF(COUNTA($B279,$C279,$D279,$E279,$G279)=0,"",IF(IF($B279=""," · Falta fecha","")&amp;IF($C279=""," · Falta tipo (Fijo/Variable)","")&amp;IF($D279=""," · SIN CATEGORÍA","")&amp;IF($E279=""," · Falta descripción","")&amp;IF(OR($G279="",NOT(ISNUMBER($G279)),$G279&lt;=0)," · Monto inválido","")&amp;IF(AND($I279="Pagado",$J279="")," · Pago sin fecha","")&amp;IF(AND(ISNUMBER($K279),ISNUMBER($G279),$K279&gt;N($G279)+0.01)," · Pagado &gt; monto","")&amp;IF(AND(ISNUMBER($K279),$K279&gt;0,$J279="")," · Monto pagado sin fecha","")="","OK",MID(IF($B279=""," · Falta fecha","")&amp;IF($C279=""," · Falta tipo (Fijo/Variable)","")&amp;IF($D279=""," · SIN CATEGORÍA","")&amp;IF($E279=""," · Falta descripción","")&amp;IF(OR($G279="",NOT(ISNUMBER($G279)),$G279&lt;=0)," · Monto inválido","")&amp;IF(AND($I279="Pagado",$J279="")," · Pago sin fecha","")&amp;IF(AND(ISNUMBER($K279),ISNUMBER($G279),$K279&gt;N($G279)+0.01)," · Pagado &gt; monto","")&amp;IF(AND(ISNUMBER($K279),$K279&gt;0,$J279="")," · Monto pagado sin fecha",""),4,900)))</f>
        <v/>
      </c>
    </row>
    <row r="280">
      <c r="A280" s="51">
        <f>IF(COUNTA($B280,$C280,$D280,$E280,$G280)=0,"","G-"&amp;TEXT(ROW()-6,"0000"))</f>
        <v/>
      </c>
      <c r="B280" s="41" t="n"/>
      <c r="C280" s="33" t="n"/>
      <c r="D280" s="33" t="n"/>
      <c r="E280" s="33" t="n"/>
      <c r="F280" s="33" t="n"/>
      <c r="G280" s="36" t="n"/>
      <c r="H280" s="33" t="n"/>
      <c r="I280" s="33" t="n"/>
      <c r="J280" s="41" t="n"/>
      <c r="K280" s="36" t="n"/>
      <c r="L280" s="37">
        <f>IF(NOT(ISNUMBER($G280)),"",$G280-IF(ISNUMBER($K280),$K280,0))</f>
        <v/>
      </c>
      <c r="M280" s="33" t="n"/>
      <c r="N280" s="33" t="n"/>
      <c r="O280" s="51">
        <f>IF(COUNTA($B280,$C280,$D280,$E280,$G280)=0,"",IF(IF($B280=""," · Falta fecha","")&amp;IF($C280=""," · Falta tipo (Fijo/Variable)","")&amp;IF($D280=""," · SIN CATEGORÍA","")&amp;IF($E280=""," · Falta descripción","")&amp;IF(OR($G280="",NOT(ISNUMBER($G280)),$G280&lt;=0)," · Monto inválido","")&amp;IF(AND($I280="Pagado",$J280="")," · Pago sin fecha","")&amp;IF(AND(ISNUMBER($K280),ISNUMBER($G280),$K280&gt;N($G280)+0.01)," · Pagado &gt; monto","")&amp;IF(AND(ISNUMBER($K280),$K280&gt;0,$J280="")," · Monto pagado sin fecha","")="","OK",MID(IF($B280=""," · Falta fecha","")&amp;IF($C280=""," · Falta tipo (Fijo/Variable)","")&amp;IF($D280=""," · SIN CATEGORÍA","")&amp;IF($E280=""," · Falta descripción","")&amp;IF(OR($G280="",NOT(ISNUMBER($G280)),$G280&lt;=0)," · Monto inválido","")&amp;IF(AND($I280="Pagado",$J280="")," · Pago sin fecha","")&amp;IF(AND(ISNUMBER($K280),ISNUMBER($G280),$K280&gt;N($G280)+0.01)," · Pagado &gt; monto","")&amp;IF(AND(ISNUMBER($K280),$K280&gt;0,$J280="")," · Monto pagado sin fecha",""),4,900)))</f>
        <v/>
      </c>
    </row>
    <row r="281">
      <c r="A281" s="51">
        <f>IF(COUNTA($B281,$C281,$D281,$E281,$G281)=0,"","G-"&amp;TEXT(ROW()-6,"0000"))</f>
        <v/>
      </c>
      <c r="B281" s="41" t="n"/>
      <c r="C281" s="33" t="n"/>
      <c r="D281" s="33" t="n"/>
      <c r="E281" s="33" t="n"/>
      <c r="F281" s="33" t="n"/>
      <c r="G281" s="36" t="n"/>
      <c r="H281" s="33" t="n"/>
      <c r="I281" s="33" t="n"/>
      <c r="J281" s="41" t="n"/>
      <c r="K281" s="36" t="n"/>
      <c r="L281" s="37">
        <f>IF(NOT(ISNUMBER($G281)),"",$G281-IF(ISNUMBER($K281),$K281,0))</f>
        <v/>
      </c>
      <c r="M281" s="33" t="n"/>
      <c r="N281" s="33" t="n"/>
      <c r="O281" s="51">
        <f>IF(COUNTA($B281,$C281,$D281,$E281,$G281)=0,"",IF(IF($B281=""," · Falta fecha","")&amp;IF($C281=""," · Falta tipo (Fijo/Variable)","")&amp;IF($D281=""," · SIN CATEGORÍA","")&amp;IF($E281=""," · Falta descripción","")&amp;IF(OR($G281="",NOT(ISNUMBER($G281)),$G281&lt;=0)," · Monto inválido","")&amp;IF(AND($I281="Pagado",$J281="")," · Pago sin fecha","")&amp;IF(AND(ISNUMBER($K281),ISNUMBER($G281),$K281&gt;N($G281)+0.01)," · Pagado &gt; monto","")&amp;IF(AND(ISNUMBER($K281),$K281&gt;0,$J281="")," · Monto pagado sin fecha","")="","OK",MID(IF($B281=""," · Falta fecha","")&amp;IF($C281=""," · Falta tipo (Fijo/Variable)","")&amp;IF($D281=""," · SIN CATEGORÍA","")&amp;IF($E281=""," · Falta descripción","")&amp;IF(OR($G281="",NOT(ISNUMBER($G281)),$G281&lt;=0)," · Monto inválido","")&amp;IF(AND($I281="Pagado",$J281="")," · Pago sin fecha","")&amp;IF(AND(ISNUMBER($K281),ISNUMBER($G281),$K281&gt;N($G281)+0.01)," · Pagado &gt; monto","")&amp;IF(AND(ISNUMBER($K281),$K281&gt;0,$J281="")," · Monto pagado sin fecha",""),4,900)))</f>
        <v/>
      </c>
    </row>
    <row r="282">
      <c r="A282" s="51">
        <f>IF(COUNTA($B282,$C282,$D282,$E282,$G282)=0,"","G-"&amp;TEXT(ROW()-6,"0000"))</f>
        <v/>
      </c>
      <c r="B282" s="41" t="n"/>
      <c r="C282" s="33" t="n"/>
      <c r="D282" s="33" t="n"/>
      <c r="E282" s="33" t="n"/>
      <c r="F282" s="33" t="n"/>
      <c r="G282" s="36" t="n"/>
      <c r="H282" s="33" t="n"/>
      <c r="I282" s="33" t="n"/>
      <c r="J282" s="41" t="n"/>
      <c r="K282" s="36" t="n"/>
      <c r="L282" s="37">
        <f>IF(NOT(ISNUMBER($G282)),"",$G282-IF(ISNUMBER($K282),$K282,0))</f>
        <v/>
      </c>
      <c r="M282" s="33" t="n"/>
      <c r="N282" s="33" t="n"/>
      <c r="O282" s="51">
        <f>IF(COUNTA($B282,$C282,$D282,$E282,$G282)=0,"",IF(IF($B282=""," · Falta fecha","")&amp;IF($C282=""," · Falta tipo (Fijo/Variable)","")&amp;IF($D282=""," · SIN CATEGORÍA","")&amp;IF($E282=""," · Falta descripción","")&amp;IF(OR($G282="",NOT(ISNUMBER($G282)),$G282&lt;=0)," · Monto inválido","")&amp;IF(AND($I282="Pagado",$J282="")," · Pago sin fecha","")&amp;IF(AND(ISNUMBER($K282),ISNUMBER($G282),$K282&gt;N($G282)+0.01)," · Pagado &gt; monto","")&amp;IF(AND(ISNUMBER($K282),$K282&gt;0,$J282="")," · Monto pagado sin fecha","")="","OK",MID(IF($B282=""," · Falta fecha","")&amp;IF($C282=""," · Falta tipo (Fijo/Variable)","")&amp;IF($D282=""," · SIN CATEGORÍA","")&amp;IF($E282=""," · Falta descripción","")&amp;IF(OR($G282="",NOT(ISNUMBER($G282)),$G282&lt;=0)," · Monto inválido","")&amp;IF(AND($I282="Pagado",$J282="")," · Pago sin fecha","")&amp;IF(AND(ISNUMBER($K282),ISNUMBER($G282),$K282&gt;N($G282)+0.01)," · Pagado &gt; monto","")&amp;IF(AND(ISNUMBER($K282),$K282&gt;0,$J282="")," · Monto pagado sin fecha",""),4,900)))</f>
        <v/>
      </c>
    </row>
    <row r="283">
      <c r="A283" s="51">
        <f>IF(COUNTA($B283,$C283,$D283,$E283,$G283)=0,"","G-"&amp;TEXT(ROW()-6,"0000"))</f>
        <v/>
      </c>
      <c r="B283" s="41" t="n"/>
      <c r="C283" s="33" t="n"/>
      <c r="D283" s="33" t="n"/>
      <c r="E283" s="33" t="n"/>
      <c r="F283" s="33" t="n"/>
      <c r="G283" s="36" t="n"/>
      <c r="H283" s="33" t="n"/>
      <c r="I283" s="33" t="n"/>
      <c r="J283" s="41" t="n"/>
      <c r="K283" s="36" t="n"/>
      <c r="L283" s="37">
        <f>IF(NOT(ISNUMBER($G283)),"",$G283-IF(ISNUMBER($K283),$K283,0))</f>
        <v/>
      </c>
      <c r="M283" s="33" t="n"/>
      <c r="N283" s="33" t="n"/>
      <c r="O283" s="51">
        <f>IF(COUNTA($B283,$C283,$D283,$E283,$G283)=0,"",IF(IF($B283=""," · Falta fecha","")&amp;IF($C283=""," · Falta tipo (Fijo/Variable)","")&amp;IF($D283=""," · SIN CATEGORÍA","")&amp;IF($E283=""," · Falta descripción","")&amp;IF(OR($G283="",NOT(ISNUMBER($G283)),$G283&lt;=0)," · Monto inválido","")&amp;IF(AND($I283="Pagado",$J283="")," · Pago sin fecha","")&amp;IF(AND(ISNUMBER($K283),ISNUMBER($G283),$K283&gt;N($G283)+0.01)," · Pagado &gt; monto","")&amp;IF(AND(ISNUMBER($K283),$K283&gt;0,$J283="")," · Monto pagado sin fecha","")="","OK",MID(IF($B283=""," · Falta fecha","")&amp;IF($C283=""," · Falta tipo (Fijo/Variable)","")&amp;IF($D283=""," · SIN CATEGORÍA","")&amp;IF($E283=""," · Falta descripción","")&amp;IF(OR($G283="",NOT(ISNUMBER($G283)),$G283&lt;=0)," · Monto inválido","")&amp;IF(AND($I283="Pagado",$J283="")," · Pago sin fecha","")&amp;IF(AND(ISNUMBER($K283),ISNUMBER($G283),$K283&gt;N($G283)+0.01)," · Pagado &gt; monto","")&amp;IF(AND(ISNUMBER($K283),$K283&gt;0,$J283="")," · Monto pagado sin fecha",""),4,900)))</f>
        <v/>
      </c>
    </row>
    <row r="284">
      <c r="A284" s="51">
        <f>IF(COUNTA($B284,$C284,$D284,$E284,$G284)=0,"","G-"&amp;TEXT(ROW()-6,"0000"))</f>
        <v/>
      </c>
      <c r="B284" s="41" t="n"/>
      <c r="C284" s="33" t="n"/>
      <c r="D284" s="33" t="n"/>
      <c r="E284" s="33" t="n"/>
      <c r="F284" s="33" t="n"/>
      <c r="G284" s="36" t="n"/>
      <c r="H284" s="33" t="n"/>
      <c r="I284" s="33" t="n"/>
      <c r="J284" s="41" t="n"/>
      <c r="K284" s="36" t="n"/>
      <c r="L284" s="37">
        <f>IF(NOT(ISNUMBER($G284)),"",$G284-IF(ISNUMBER($K284),$K284,0))</f>
        <v/>
      </c>
      <c r="M284" s="33" t="n"/>
      <c r="N284" s="33" t="n"/>
      <c r="O284" s="51">
        <f>IF(COUNTA($B284,$C284,$D284,$E284,$G284)=0,"",IF(IF($B284=""," · Falta fecha","")&amp;IF($C284=""," · Falta tipo (Fijo/Variable)","")&amp;IF($D284=""," · SIN CATEGORÍA","")&amp;IF($E284=""," · Falta descripción","")&amp;IF(OR($G284="",NOT(ISNUMBER($G284)),$G284&lt;=0)," · Monto inválido","")&amp;IF(AND($I284="Pagado",$J284="")," · Pago sin fecha","")&amp;IF(AND(ISNUMBER($K284),ISNUMBER($G284),$K284&gt;N($G284)+0.01)," · Pagado &gt; monto","")&amp;IF(AND(ISNUMBER($K284),$K284&gt;0,$J284="")," · Monto pagado sin fecha","")="","OK",MID(IF($B284=""," · Falta fecha","")&amp;IF($C284=""," · Falta tipo (Fijo/Variable)","")&amp;IF($D284=""," · SIN CATEGORÍA","")&amp;IF($E284=""," · Falta descripción","")&amp;IF(OR($G284="",NOT(ISNUMBER($G284)),$G284&lt;=0)," · Monto inválido","")&amp;IF(AND($I284="Pagado",$J284="")," · Pago sin fecha","")&amp;IF(AND(ISNUMBER($K284),ISNUMBER($G284),$K284&gt;N($G284)+0.01)," · Pagado &gt; monto","")&amp;IF(AND(ISNUMBER($K284),$K284&gt;0,$J284="")," · Monto pagado sin fecha",""),4,900)))</f>
        <v/>
      </c>
    </row>
    <row r="285">
      <c r="A285" s="51">
        <f>IF(COUNTA($B285,$C285,$D285,$E285,$G285)=0,"","G-"&amp;TEXT(ROW()-6,"0000"))</f>
        <v/>
      </c>
      <c r="B285" s="41" t="n"/>
      <c r="C285" s="33" t="n"/>
      <c r="D285" s="33" t="n"/>
      <c r="E285" s="33" t="n"/>
      <c r="F285" s="33" t="n"/>
      <c r="G285" s="36" t="n"/>
      <c r="H285" s="33" t="n"/>
      <c r="I285" s="33" t="n"/>
      <c r="J285" s="41" t="n"/>
      <c r="K285" s="36" t="n"/>
      <c r="L285" s="37">
        <f>IF(NOT(ISNUMBER($G285)),"",$G285-IF(ISNUMBER($K285),$K285,0))</f>
        <v/>
      </c>
      <c r="M285" s="33" t="n"/>
      <c r="N285" s="33" t="n"/>
      <c r="O285" s="51">
        <f>IF(COUNTA($B285,$C285,$D285,$E285,$G285)=0,"",IF(IF($B285=""," · Falta fecha","")&amp;IF($C285=""," · Falta tipo (Fijo/Variable)","")&amp;IF($D285=""," · SIN CATEGORÍA","")&amp;IF($E285=""," · Falta descripción","")&amp;IF(OR($G285="",NOT(ISNUMBER($G285)),$G285&lt;=0)," · Monto inválido","")&amp;IF(AND($I285="Pagado",$J285="")," · Pago sin fecha","")&amp;IF(AND(ISNUMBER($K285),ISNUMBER($G285),$K285&gt;N($G285)+0.01)," · Pagado &gt; monto","")&amp;IF(AND(ISNUMBER($K285),$K285&gt;0,$J285="")," · Monto pagado sin fecha","")="","OK",MID(IF($B285=""," · Falta fecha","")&amp;IF($C285=""," · Falta tipo (Fijo/Variable)","")&amp;IF($D285=""," · SIN CATEGORÍA","")&amp;IF($E285=""," · Falta descripción","")&amp;IF(OR($G285="",NOT(ISNUMBER($G285)),$G285&lt;=0)," · Monto inválido","")&amp;IF(AND($I285="Pagado",$J285="")," · Pago sin fecha","")&amp;IF(AND(ISNUMBER($K285),ISNUMBER($G285),$K285&gt;N($G285)+0.01)," · Pagado &gt; monto","")&amp;IF(AND(ISNUMBER($K285),$K285&gt;0,$J285="")," · Monto pagado sin fecha",""),4,900)))</f>
        <v/>
      </c>
    </row>
    <row r="286">
      <c r="A286" s="51">
        <f>IF(COUNTA($B286,$C286,$D286,$E286,$G286)=0,"","G-"&amp;TEXT(ROW()-6,"0000"))</f>
        <v/>
      </c>
      <c r="B286" s="41" t="n"/>
      <c r="C286" s="33" t="n"/>
      <c r="D286" s="33" t="n"/>
      <c r="E286" s="33" t="n"/>
      <c r="F286" s="33" t="n"/>
      <c r="G286" s="36" t="n"/>
      <c r="H286" s="33" t="n"/>
      <c r="I286" s="33" t="n"/>
      <c r="J286" s="41" t="n"/>
      <c r="K286" s="36" t="n"/>
      <c r="L286" s="37">
        <f>IF(NOT(ISNUMBER($G286)),"",$G286-IF(ISNUMBER($K286),$K286,0))</f>
        <v/>
      </c>
      <c r="M286" s="33" t="n"/>
      <c r="N286" s="33" t="n"/>
      <c r="O286" s="51">
        <f>IF(COUNTA($B286,$C286,$D286,$E286,$G286)=0,"",IF(IF($B286=""," · Falta fecha","")&amp;IF($C286=""," · Falta tipo (Fijo/Variable)","")&amp;IF($D286=""," · SIN CATEGORÍA","")&amp;IF($E286=""," · Falta descripción","")&amp;IF(OR($G286="",NOT(ISNUMBER($G286)),$G286&lt;=0)," · Monto inválido","")&amp;IF(AND($I286="Pagado",$J286="")," · Pago sin fecha","")&amp;IF(AND(ISNUMBER($K286),ISNUMBER($G286),$K286&gt;N($G286)+0.01)," · Pagado &gt; monto","")&amp;IF(AND(ISNUMBER($K286),$K286&gt;0,$J286="")," · Monto pagado sin fecha","")="","OK",MID(IF($B286=""," · Falta fecha","")&amp;IF($C286=""," · Falta tipo (Fijo/Variable)","")&amp;IF($D286=""," · SIN CATEGORÍA","")&amp;IF($E286=""," · Falta descripción","")&amp;IF(OR($G286="",NOT(ISNUMBER($G286)),$G286&lt;=0)," · Monto inválido","")&amp;IF(AND($I286="Pagado",$J286="")," · Pago sin fecha","")&amp;IF(AND(ISNUMBER($K286),ISNUMBER($G286),$K286&gt;N($G286)+0.01)," · Pagado &gt; monto","")&amp;IF(AND(ISNUMBER($K286),$K286&gt;0,$J286="")," · Monto pagado sin fecha",""),4,900)))</f>
        <v/>
      </c>
    </row>
    <row r="287">
      <c r="A287" s="51">
        <f>IF(COUNTA($B287,$C287,$D287,$E287,$G287)=0,"","G-"&amp;TEXT(ROW()-6,"0000"))</f>
        <v/>
      </c>
      <c r="B287" s="41" t="n"/>
      <c r="C287" s="33" t="n"/>
      <c r="D287" s="33" t="n"/>
      <c r="E287" s="33" t="n"/>
      <c r="F287" s="33" t="n"/>
      <c r="G287" s="36" t="n"/>
      <c r="H287" s="33" t="n"/>
      <c r="I287" s="33" t="n"/>
      <c r="J287" s="41" t="n"/>
      <c r="K287" s="36" t="n"/>
      <c r="L287" s="37">
        <f>IF(NOT(ISNUMBER($G287)),"",$G287-IF(ISNUMBER($K287),$K287,0))</f>
        <v/>
      </c>
      <c r="M287" s="33" t="n"/>
      <c r="N287" s="33" t="n"/>
      <c r="O287" s="51">
        <f>IF(COUNTA($B287,$C287,$D287,$E287,$G287)=0,"",IF(IF($B287=""," · Falta fecha","")&amp;IF($C287=""," · Falta tipo (Fijo/Variable)","")&amp;IF($D287=""," · SIN CATEGORÍA","")&amp;IF($E287=""," · Falta descripción","")&amp;IF(OR($G287="",NOT(ISNUMBER($G287)),$G287&lt;=0)," · Monto inválido","")&amp;IF(AND($I287="Pagado",$J287="")," · Pago sin fecha","")&amp;IF(AND(ISNUMBER($K287),ISNUMBER($G287),$K287&gt;N($G287)+0.01)," · Pagado &gt; monto","")&amp;IF(AND(ISNUMBER($K287),$K287&gt;0,$J287="")," · Monto pagado sin fecha","")="","OK",MID(IF($B287=""," · Falta fecha","")&amp;IF($C287=""," · Falta tipo (Fijo/Variable)","")&amp;IF($D287=""," · SIN CATEGORÍA","")&amp;IF($E287=""," · Falta descripción","")&amp;IF(OR($G287="",NOT(ISNUMBER($G287)),$G287&lt;=0)," · Monto inválido","")&amp;IF(AND($I287="Pagado",$J287="")," · Pago sin fecha","")&amp;IF(AND(ISNUMBER($K287),ISNUMBER($G287),$K287&gt;N($G287)+0.01)," · Pagado &gt; monto","")&amp;IF(AND(ISNUMBER($K287),$K287&gt;0,$J287="")," · Monto pagado sin fecha",""),4,900)))</f>
        <v/>
      </c>
    </row>
    <row r="288">
      <c r="A288" s="51">
        <f>IF(COUNTA($B288,$C288,$D288,$E288,$G288)=0,"","G-"&amp;TEXT(ROW()-6,"0000"))</f>
        <v/>
      </c>
      <c r="B288" s="41" t="n"/>
      <c r="C288" s="33" t="n"/>
      <c r="D288" s="33" t="n"/>
      <c r="E288" s="33" t="n"/>
      <c r="F288" s="33" t="n"/>
      <c r="G288" s="36" t="n"/>
      <c r="H288" s="33" t="n"/>
      <c r="I288" s="33" t="n"/>
      <c r="J288" s="41" t="n"/>
      <c r="K288" s="36" t="n"/>
      <c r="L288" s="37">
        <f>IF(NOT(ISNUMBER($G288)),"",$G288-IF(ISNUMBER($K288),$K288,0))</f>
        <v/>
      </c>
      <c r="M288" s="33" t="n"/>
      <c r="N288" s="33" t="n"/>
      <c r="O288" s="51">
        <f>IF(COUNTA($B288,$C288,$D288,$E288,$G288)=0,"",IF(IF($B288=""," · Falta fecha","")&amp;IF($C288=""," · Falta tipo (Fijo/Variable)","")&amp;IF($D288=""," · SIN CATEGORÍA","")&amp;IF($E288=""," · Falta descripción","")&amp;IF(OR($G288="",NOT(ISNUMBER($G288)),$G288&lt;=0)," · Monto inválido","")&amp;IF(AND($I288="Pagado",$J288="")," · Pago sin fecha","")&amp;IF(AND(ISNUMBER($K288),ISNUMBER($G288),$K288&gt;N($G288)+0.01)," · Pagado &gt; monto","")&amp;IF(AND(ISNUMBER($K288),$K288&gt;0,$J288="")," · Monto pagado sin fecha","")="","OK",MID(IF($B288=""," · Falta fecha","")&amp;IF($C288=""," · Falta tipo (Fijo/Variable)","")&amp;IF($D288=""," · SIN CATEGORÍA","")&amp;IF($E288=""," · Falta descripción","")&amp;IF(OR($G288="",NOT(ISNUMBER($G288)),$G288&lt;=0)," · Monto inválido","")&amp;IF(AND($I288="Pagado",$J288="")," · Pago sin fecha","")&amp;IF(AND(ISNUMBER($K288),ISNUMBER($G288),$K288&gt;N($G288)+0.01)," · Pagado &gt; monto","")&amp;IF(AND(ISNUMBER($K288),$K288&gt;0,$J288="")," · Monto pagado sin fecha",""),4,900)))</f>
        <v/>
      </c>
    </row>
    <row r="289">
      <c r="A289" s="51">
        <f>IF(COUNTA($B289,$C289,$D289,$E289,$G289)=0,"","G-"&amp;TEXT(ROW()-6,"0000"))</f>
        <v/>
      </c>
      <c r="B289" s="41" t="n"/>
      <c r="C289" s="33" t="n"/>
      <c r="D289" s="33" t="n"/>
      <c r="E289" s="33" t="n"/>
      <c r="F289" s="33" t="n"/>
      <c r="G289" s="36" t="n"/>
      <c r="H289" s="33" t="n"/>
      <c r="I289" s="33" t="n"/>
      <c r="J289" s="41" t="n"/>
      <c r="K289" s="36" t="n"/>
      <c r="L289" s="37">
        <f>IF(NOT(ISNUMBER($G289)),"",$G289-IF(ISNUMBER($K289),$K289,0))</f>
        <v/>
      </c>
      <c r="M289" s="33" t="n"/>
      <c r="N289" s="33" t="n"/>
      <c r="O289" s="51">
        <f>IF(COUNTA($B289,$C289,$D289,$E289,$G289)=0,"",IF(IF($B289=""," · Falta fecha","")&amp;IF($C289=""," · Falta tipo (Fijo/Variable)","")&amp;IF($D289=""," · SIN CATEGORÍA","")&amp;IF($E289=""," · Falta descripción","")&amp;IF(OR($G289="",NOT(ISNUMBER($G289)),$G289&lt;=0)," · Monto inválido","")&amp;IF(AND($I289="Pagado",$J289="")," · Pago sin fecha","")&amp;IF(AND(ISNUMBER($K289),ISNUMBER($G289),$K289&gt;N($G289)+0.01)," · Pagado &gt; monto","")&amp;IF(AND(ISNUMBER($K289),$K289&gt;0,$J289="")," · Monto pagado sin fecha","")="","OK",MID(IF($B289=""," · Falta fecha","")&amp;IF($C289=""," · Falta tipo (Fijo/Variable)","")&amp;IF($D289=""," · SIN CATEGORÍA","")&amp;IF($E289=""," · Falta descripción","")&amp;IF(OR($G289="",NOT(ISNUMBER($G289)),$G289&lt;=0)," · Monto inválido","")&amp;IF(AND($I289="Pagado",$J289="")," · Pago sin fecha","")&amp;IF(AND(ISNUMBER($K289),ISNUMBER($G289),$K289&gt;N($G289)+0.01)," · Pagado &gt; monto","")&amp;IF(AND(ISNUMBER($K289),$K289&gt;0,$J289="")," · Monto pagado sin fecha",""),4,900)))</f>
        <v/>
      </c>
    </row>
    <row r="290">
      <c r="A290" s="51">
        <f>IF(COUNTA($B290,$C290,$D290,$E290,$G290)=0,"","G-"&amp;TEXT(ROW()-6,"0000"))</f>
        <v/>
      </c>
      <c r="B290" s="41" t="n"/>
      <c r="C290" s="33" t="n"/>
      <c r="D290" s="33" t="n"/>
      <c r="E290" s="33" t="n"/>
      <c r="F290" s="33" t="n"/>
      <c r="G290" s="36" t="n"/>
      <c r="H290" s="33" t="n"/>
      <c r="I290" s="33" t="n"/>
      <c r="J290" s="41" t="n"/>
      <c r="K290" s="36" t="n"/>
      <c r="L290" s="37">
        <f>IF(NOT(ISNUMBER($G290)),"",$G290-IF(ISNUMBER($K290),$K290,0))</f>
        <v/>
      </c>
      <c r="M290" s="33" t="n"/>
      <c r="N290" s="33" t="n"/>
      <c r="O290" s="51">
        <f>IF(COUNTA($B290,$C290,$D290,$E290,$G290)=0,"",IF(IF($B290=""," · Falta fecha","")&amp;IF($C290=""," · Falta tipo (Fijo/Variable)","")&amp;IF($D290=""," · SIN CATEGORÍA","")&amp;IF($E290=""," · Falta descripción","")&amp;IF(OR($G290="",NOT(ISNUMBER($G290)),$G290&lt;=0)," · Monto inválido","")&amp;IF(AND($I290="Pagado",$J290="")," · Pago sin fecha","")&amp;IF(AND(ISNUMBER($K290),ISNUMBER($G290),$K290&gt;N($G290)+0.01)," · Pagado &gt; monto","")&amp;IF(AND(ISNUMBER($K290),$K290&gt;0,$J290="")," · Monto pagado sin fecha","")="","OK",MID(IF($B290=""," · Falta fecha","")&amp;IF($C290=""," · Falta tipo (Fijo/Variable)","")&amp;IF($D290=""," · SIN CATEGORÍA","")&amp;IF($E290=""," · Falta descripción","")&amp;IF(OR($G290="",NOT(ISNUMBER($G290)),$G290&lt;=0)," · Monto inválido","")&amp;IF(AND($I290="Pagado",$J290="")," · Pago sin fecha","")&amp;IF(AND(ISNUMBER($K290),ISNUMBER($G290),$K290&gt;N($G290)+0.01)," · Pagado &gt; monto","")&amp;IF(AND(ISNUMBER($K290),$K290&gt;0,$J290="")," · Monto pagado sin fecha",""),4,900)))</f>
        <v/>
      </c>
    </row>
    <row r="291">
      <c r="A291" s="51">
        <f>IF(COUNTA($B291,$C291,$D291,$E291,$G291)=0,"","G-"&amp;TEXT(ROW()-6,"0000"))</f>
        <v/>
      </c>
      <c r="B291" s="41" t="n"/>
      <c r="C291" s="33" t="n"/>
      <c r="D291" s="33" t="n"/>
      <c r="E291" s="33" t="n"/>
      <c r="F291" s="33" t="n"/>
      <c r="G291" s="36" t="n"/>
      <c r="H291" s="33" t="n"/>
      <c r="I291" s="33" t="n"/>
      <c r="J291" s="41" t="n"/>
      <c r="K291" s="36" t="n"/>
      <c r="L291" s="37">
        <f>IF(NOT(ISNUMBER($G291)),"",$G291-IF(ISNUMBER($K291),$K291,0))</f>
        <v/>
      </c>
      <c r="M291" s="33" t="n"/>
      <c r="N291" s="33" t="n"/>
      <c r="O291" s="51">
        <f>IF(COUNTA($B291,$C291,$D291,$E291,$G291)=0,"",IF(IF($B291=""," · Falta fecha","")&amp;IF($C291=""," · Falta tipo (Fijo/Variable)","")&amp;IF($D291=""," · SIN CATEGORÍA","")&amp;IF($E291=""," · Falta descripción","")&amp;IF(OR($G291="",NOT(ISNUMBER($G291)),$G291&lt;=0)," · Monto inválido","")&amp;IF(AND($I291="Pagado",$J291="")," · Pago sin fecha","")&amp;IF(AND(ISNUMBER($K291),ISNUMBER($G291),$K291&gt;N($G291)+0.01)," · Pagado &gt; monto","")&amp;IF(AND(ISNUMBER($K291),$K291&gt;0,$J291="")," · Monto pagado sin fecha","")="","OK",MID(IF($B291=""," · Falta fecha","")&amp;IF($C291=""," · Falta tipo (Fijo/Variable)","")&amp;IF($D291=""," · SIN CATEGORÍA","")&amp;IF($E291=""," · Falta descripción","")&amp;IF(OR($G291="",NOT(ISNUMBER($G291)),$G291&lt;=0)," · Monto inválido","")&amp;IF(AND($I291="Pagado",$J291="")," · Pago sin fecha","")&amp;IF(AND(ISNUMBER($K291),ISNUMBER($G291),$K291&gt;N($G291)+0.01)," · Pagado &gt; monto","")&amp;IF(AND(ISNUMBER($K291),$K291&gt;0,$J291="")," · Monto pagado sin fecha",""),4,900)))</f>
        <v/>
      </c>
    </row>
    <row r="292">
      <c r="A292" s="51">
        <f>IF(COUNTA($B292,$C292,$D292,$E292,$G292)=0,"","G-"&amp;TEXT(ROW()-6,"0000"))</f>
        <v/>
      </c>
      <c r="B292" s="41" t="n"/>
      <c r="C292" s="33" t="n"/>
      <c r="D292" s="33" t="n"/>
      <c r="E292" s="33" t="n"/>
      <c r="F292" s="33" t="n"/>
      <c r="G292" s="36" t="n"/>
      <c r="H292" s="33" t="n"/>
      <c r="I292" s="33" t="n"/>
      <c r="J292" s="41" t="n"/>
      <c r="K292" s="36" t="n"/>
      <c r="L292" s="37">
        <f>IF(NOT(ISNUMBER($G292)),"",$G292-IF(ISNUMBER($K292),$K292,0))</f>
        <v/>
      </c>
      <c r="M292" s="33" t="n"/>
      <c r="N292" s="33" t="n"/>
      <c r="O292" s="51">
        <f>IF(COUNTA($B292,$C292,$D292,$E292,$G292)=0,"",IF(IF($B292=""," · Falta fecha","")&amp;IF($C292=""," · Falta tipo (Fijo/Variable)","")&amp;IF($D292=""," · SIN CATEGORÍA","")&amp;IF($E292=""," · Falta descripción","")&amp;IF(OR($G292="",NOT(ISNUMBER($G292)),$G292&lt;=0)," · Monto inválido","")&amp;IF(AND($I292="Pagado",$J292="")," · Pago sin fecha","")&amp;IF(AND(ISNUMBER($K292),ISNUMBER($G292),$K292&gt;N($G292)+0.01)," · Pagado &gt; monto","")&amp;IF(AND(ISNUMBER($K292),$K292&gt;0,$J292="")," · Monto pagado sin fecha","")="","OK",MID(IF($B292=""," · Falta fecha","")&amp;IF($C292=""," · Falta tipo (Fijo/Variable)","")&amp;IF($D292=""," · SIN CATEGORÍA","")&amp;IF($E292=""," · Falta descripción","")&amp;IF(OR($G292="",NOT(ISNUMBER($G292)),$G292&lt;=0)," · Monto inválido","")&amp;IF(AND($I292="Pagado",$J292="")," · Pago sin fecha","")&amp;IF(AND(ISNUMBER($K292),ISNUMBER($G292),$K292&gt;N($G292)+0.01)," · Pagado &gt; monto","")&amp;IF(AND(ISNUMBER($K292),$K292&gt;0,$J292="")," · Monto pagado sin fecha",""),4,900)))</f>
        <v/>
      </c>
    </row>
    <row r="293">
      <c r="A293" s="51">
        <f>IF(COUNTA($B293,$C293,$D293,$E293,$G293)=0,"","G-"&amp;TEXT(ROW()-6,"0000"))</f>
        <v/>
      </c>
      <c r="B293" s="41" t="n"/>
      <c r="C293" s="33" t="n"/>
      <c r="D293" s="33" t="n"/>
      <c r="E293" s="33" t="n"/>
      <c r="F293" s="33" t="n"/>
      <c r="G293" s="36" t="n"/>
      <c r="H293" s="33" t="n"/>
      <c r="I293" s="33" t="n"/>
      <c r="J293" s="41" t="n"/>
      <c r="K293" s="36" t="n"/>
      <c r="L293" s="37">
        <f>IF(NOT(ISNUMBER($G293)),"",$G293-IF(ISNUMBER($K293),$K293,0))</f>
        <v/>
      </c>
      <c r="M293" s="33" t="n"/>
      <c r="N293" s="33" t="n"/>
      <c r="O293" s="51">
        <f>IF(COUNTA($B293,$C293,$D293,$E293,$G293)=0,"",IF(IF($B293=""," · Falta fecha","")&amp;IF($C293=""," · Falta tipo (Fijo/Variable)","")&amp;IF($D293=""," · SIN CATEGORÍA","")&amp;IF($E293=""," · Falta descripción","")&amp;IF(OR($G293="",NOT(ISNUMBER($G293)),$G293&lt;=0)," · Monto inválido","")&amp;IF(AND($I293="Pagado",$J293="")," · Pago sin fecha","")&amp;IF(AND(ISNUMBER($K293),ISNUMBER($G293),$K293&gt;N($G293)+0.01)," · Pagado &gt; monto","")&amp;IF(AND(ISNUMBER($K293),$K293&gt;0,$J293="")," · Monto pagado sin fecha","")="","OK",MID(IF($B293=""," · Falta fecha","")&amp;IF($C293=""," · Falta tipo (Fijo/Variable)","")&amp;IF($D293=""," · SIN CATEGORÍA","")&amp;IF($E293=""," · Falta descripción","")&amp;IF(OR($G293="",NOT(ISNUMBER($G293)),$G293&lt;=0)," · Monto inválido","")&amp;IF(AND($I293="Pagado",$J293="")," · Pago sin fecha","")&amp;IF(AND(ISNUMBER($K293),ISNUMBER($G293),$K293&gt;N($G293)+0.01)," · Pagado &gt; monto","")&amp;IF(AND(ISNUMBER($K293),$K293&gt;0,$J293="")," · Monto pagado sin fecha",""),4,900)))</f>
        <v/>
      </c>
    </row>
    <row r="294">
      <c r="A294" s="51">
        <f>IF(COUNTA($B294,$C294,$D294,$E294,$G294)=0,"","G-"&amp;TEXT(ROW()-6,"0000"))</f>
        <v/>
      </c>
      <c r="B294" s="41" t="n"/>
      <c r="C294" s="33" t="n"/>
      <c r="D294" s="33" t="n"/>
      <c r="E294" s="33" t="n"/>
      <c r="F294" s="33" t="n"/>
      <c r="G294" s="36" t="n"/>
      <c r="H294" s="33" t="n"/>
      <c r="I294" s="33" t="n"/>
      <c r="J294" s="41" t="n"/>
      <c r="K294" s="36" t="n"/>
      <c r="L294" s="37">
        <f>IF(NOT(ISNUMBER($G294)),"",$G294-IF(ISNUMBER($K294),$K294,0))</f>
        <v/>
      </c>
      <c r="M294" s="33" t="n"/>
      <c r="N294" s="33" t="n"/>
      <c r="O294" s="51">
        <f>IF(COUNTA($B294,$C294,$D294,$E294,$G294)=0,"",IF(IF($B294=""," · Falta fecha","")&amp;IF($C294=""," · Falta tipo (Fijo/Variable)","")&amp;IF($D294=""," · SIN CATEGORÍA","")&amp;IF($E294=""," · Falta descripción","")&amp;IF(OR($G294="",NOT(ISNUMBER($G294)),$G294&lt;=0)," · Monto inválido","")&amp;IF(AND($I294="Pagado",$J294="")," · Pago sin fecha","")&amp;IF(AND(ISNUMBER($K294),ISNUMBER($G294),$K294&gt;N($G294)+0.01)," · Pagado &gt; monto","")&amp;IF(AND(ISNUMBER($K294),$K294&gt;0,$J294="")," · Monto pagado sin fecha","")="","OK",MID(IF($B294=""," · Falta fecha","")&amp;IF($C294=""," · Falta tipo (Fijo/Variable)","")&amp;IF($D294=""," · SIN CATEGORÍA","")&amp;IF($E294=""," · Falta descripción","")&amp;IF(OR($G294="",NOT(ISNUMBER($G294)),$G294&lt;=0)," · Monto inválido","")&amp;IF(AND($I294="Pagado",$J294="")," · Pago sin fecha","")&amp;IF(AND(ISNUMBER($K294),ISNUMBER($G294),$K294&gt;N($G294)+0.01)," · Pagado &gt; monto","")&amp;IF(AND(ISNUMBER($K294),$K294&gt;0,$J294="")," · Monto pagado sin fecha",""),4,900)))</f>
        <v/>
      </c>
    </row>
    <row r="295">
      <c r="A295" s="51">
        <f>IF(COUNTA($B295,$C295,$D295,$E295,$G295)=0,"","G-"&amp;TEXT(ROW()-6,"0000"))</f>
        <v/>
      </c>
      <c r="B295" s="41" t="n"/>
      <c r="C295" s="33" t="n"/>
      <c r="D295" s="33" t="n"/>
      <c r="E295" s="33" t="n"/>
      <c r="F295" s="33" t="n"/>
      <c r="G295" s="36" t="n"/>
      <c r="H295" s="33" t="n"/>
      <c r="I295" s="33" t="n"/>
      <c r="J295" s="41" t="n"/>
      <c r="K295" s="36" t="n"/>
      <c r="L295" s="37">
        <f>IF(NOT(ISNUMBER($G295)),"",$G295-IF(ISNUMBER($K295),$K295,0))</f>
        <v/>
      </c>
      <c r="M295" s="33" t="n"/>
      <c r="N295" s="33" t="n"/>
      <c r="O295" s="51">
        <f>IF(COUNTA($B295,$C295,$D295,$E295,$G295)=0,"",IF(IF($B295=""," · Falta fecha","")&amp;IF($C295=""," · Falta tipo (Fijo/Variable)","")&amp;IF($D295=""," · SIN CATEGORÍA","")&amp;IF($E295=""," · Falta descripción","")&amp;IF(OR($G295="",NOT(ISNUMBER($G295)),$G295&lt;=0)," · Monto inválido","")&amp;IF(AND($I295="Pagado",$J295="")," · Pago sin fecha","")&amp;IF(AND(ISNUMBER($K295),ISNUMBER($G295),$K295&gt;N($G295)+0.01)," · Pagado &gt; monto","")&amp;IF(AND(ISNUMBER($K295),$K295&gt;0,$J295="")," · Monto pagado sin fecha","")="","OK",MID(IF($B295=""," · Falta fecha","")&amp;IF($C295=""," · Falta tipo (Fijo/Variable)","")&amp;IF($D295=""," · SIN CATEGORÍA","")&amp;IF($E295=""," · Falta descripción","")&amp;IF(OR($G295="",NOT(ISNUMBER($G295)),$G295&lt;=0)," · Monto inválido","")&amp;IF(AND($I295="Pagado",$J295="")," · Pago sin fecha","")&amp;IF(AND(ISNUMBER($K295),ISNUMBER($G295),$K295&gt;N($G295)+0.01)," · Pagado &gt; monto","")&amp;IF(AND(ISNUMBER($K295),$K295&gt;0,$J295="")," · Monto pagado sin fecha",""),4,900)))</f>
        <v/>
      </c>
    </row>
    <row r="296">
      <c r="A296" s="51">
        <f>IF(COUNTA($B296,$C296,$D296,$E296,$G296)=0,"","G-"&amp;TEXT(ROW()-6,"0000"))</f>
        <v/>
      </c>
      <c r="B296" s="41" t="n"/>
      <c r="C296" s="33" t="n"/>
      <c r="D296" s="33" t="n"/>
      <c r="E296" s="33" t="n"/>
      <c r="F296" s="33" t="n"/>
      <c r="G296" s="36" t="n"/>
      <c r="H296" s="33" t="n"/>
      <c r="I296" s="33" t="n"/>
      <c r="J296" s="41" t="n"/>
      <c r="K296" s="36" t="n"/>
      <c r="L296" s="37">
        <f>IF(NOT(ISNUMBER($G296)),"",$G296-IF(ISNUMBER($K296),$K296,0))</f>
        <v/>
      </c>
      <c r="M296" s="33" t="n"/>
      <c r="N296" s="33" t="n"/>
      <c r="O296" s="51">
        <f>IF(COUNTA($B296,$C296,$D296,$E296,$G296)=0,"",IF(IF($B296=""," · Falta fecha","")&amp;IF($C296=""," · Falta tipo (Fijo/Variable)","")&amp;IF($D296=""," · SIN CATEGORÍA","")&amp;IF($E296=""," · Falta descripción","")&amp;IF(OR($G296="",NOT(ISNUMBER($G296)),$G296&lt;=0)," · Monto inválido","")&amp;IF(AND($I296="Pagado",$J296="")," · Pago sin fecha","")&amp;IF(AND(ISNUMBER($K296),ISNUMBER($G296),$K296&gt;N($G296)+0.01)," · Pagado &gt; monto","")&amp;IF(AND(ISNUMBER($K296),$K296&gt;0,$J296="")," · Monto pagado sin fecha","")="","OK",MID(IF($B296=""," · Falta fecha","")&amp;IF($C296=""," · Falta tipo (Fijo/Variable)","")&amp;IF($D296=""," · SIN CATEGORÍA","")&amp;IF($E296=""," · Falta descripción","")&amp;IF(OR($G296="",NOT(ISNUMBER($G296)),$G296&lt;=0)," · Monto inválido","")&amp;IF(AND($I296="Pagado",$J296="")," · Pago sin fecha","")&amp;IF(AND(ISNUMBER($K296),ISNUMBER($G296),$K296&gt;N($G296)+0.01)," · Pagado &gt; monto","")&amp;IF(AND(ISNUMBER($K296),$K296&gt;0,$J296="")," · Monto pagado sin fecha",""),4,900)))</f>
        <v/>
      </c>
    </row>
    <row r="297">
      <c r="A297" s="51">
        <f>IF(COUNTA($B297,$C297,$D297,$E297,$G297)=0,"","G-"&amp;TEXT(ROW()-6,"0000"))</f>
        <v/>
      </c>
      <c r="B297" s="41" t="n"/>
      <c r="C297" s="33" t="n"/>
      <c r="D297" s="33" t="n"/>
      <c r="E297" s="33" t="n"/>
      <c r="F297" s="33" t="n"/>
      <c r="G297" s="36" t="n"/>
      <c r="H297" s="33" t="n"/>
      <c r="I297" s="33" t="n"/>
      <c r="J297" s="41" t="n"/>
      <c r="K297" s="36" t="n"/>
      <c r="L297" s="37">
        <f>IF(NOT(ISNUMBER($G297)),"",$G297-IF(ISNUMBER($K297),$K297,0))</f>
        <v/>
      </c>
      <c r="M297" s="33" t="n"/>
      <c r="N297" s="33" t="n"/>
      <c r="O297" s="51">
        <f>IF(COUNTA($B297,$C297,$D297,$E297,$G297)=0,"",IF(IF($B297=""," · Falta fecha","")&amp;IF($C297=""," · Falta tipo (Fijo/Variable)","")&amp;IF($D297=""," · SIN CATEGORÍA","")&amp;IF($E297=""," · Falta descripción","")&amp;IF(OR($G297="",NOT(ISNUMBER($G297)),$G297&lt;=0)," · Monto inválido","")&amp;IF(AND($I297="Pagado",$J297="")," · Pago sin fecha","")&amp;IF(AND(ISNUMBER($K297),ISNUMBER($G297),$K297&gt;N($G297)+0.01)," · Pagado &gt; monto","")&amp;IF(AND(ISNUMBER($K297),$K297&gt;0,$J297="")," · Monto pagado sin fecha","")="","OK",MID(IF($B297=""," · Falta fecha","")&amp;IF($C297=""," · Falta tipo (Fijo/Variable)","")&amp;IF($D297=""," · SIN CATEGORÍA","")&amp;IF($E297=""," · Falta descripción","")&amp;IF(OR($G297="",NOT(ISNUMBER($G297)),$G297&lt;=0)," · Monto inválido","")&amp;IF(AND($I297="Pagado",$J297="")," · Pago sin fecha","")&amp;IF(AND(ISNUMBER($K297),ISNUMBER($G297),$K297&gt;N($G297)+0.01)," · Pagado &gt; monto","")&amp;IF(AND(ISNUMBER($K297),$K297&gt;0,$J297="")," · Monto pagado sin fecha",""),4,900)))</f>
        <v/>
      </c>
    </row>
    <row r="298">
      <c r="A298" s="51">
        <f>IF(COUNTA($B298,$C298,$D298,$E298,$G298)=0,"","G-"&amp;TEXT(ROW()-6,"0000"))</f>
        <v/>
      </c>
      <c r="B298" s="41" t="n"/>
      <c r="C298" s="33" t="n"/>
      <c r="D298" s="33" t="n"/>
      <c r="E298" s="33" t="n"/>
      <c r="F298" s="33" t="n"/>
      <c r="G298" s="36" t="n"/>
      <c r="H298" s="33" t="n"/>
      <c r="I298" s="33" t="n"/>
      <c r="J298" s="41" t="n"/>
      <c r="K298" s="36" t="n"/>
      <c r="L298" s="37">
        <f>IF(NOT(ISNUMBER($G298)),"",$G298-IF(ISNUMBER($K298),$K298,0))</f>
        <v/>
      </c>
      <c r="M298" s="33" t="n"/>
      <c r="N298" s="33" t="n"/>
      <c r="O298" s="51">
        <f>IF(COUNTA($B298,$C298,$D298,$E298,$G298)=0,"",IF(IF($B298=""," · Falta fecha","")&amp;IF($C298=""," · Falta tipo (Fijo/Variable)","")&amp;IF($D298=""," · SIN CATEGORÍA","")&amp;IF($E298=""," · Falta descripción","")&amp;IF(OR($G298="",NOT(ISNUMBER($G298)),$G298&lt;=0)," · Monto inválido","")&amp;IF(AND($I298="Pagado",$J298="")," · Pago sin fecha","")&amp;IF(AND(ISNUMBER($K298),ISNUMBER($G298),$K298&gt;N($G298)+0.01)," · Pagado &gt; monto","")&amp;IF(AND(ISNUMBER($K298),$K298&gt;0,$J298="")," · Monto pagado sin fecha","")="","OK",MID(IF($B298=""," · Falta fecha","")&amp;IF($C298=""," · Falta tipo (Fijo/Variable)","")&amp;IF($D298=""," · SIN CATEGORÍA","")&amp;IF($E298=""," · Falta descripción","")&amp;IF(OR($G298="",NOT(ISNUMBER($G298)),$G298&lt;=0)," · Monto inválido","")&amp;IF(AND($I298="Pagado",$J298="")," · Pago sin fecha","")&amp;IF(AND(ISNUMBER($K298),ISNUMBER($G298),$K298&gt;N($G298)+0.01)," · Pagado &gt; monto","")&amp;IF(AND(ISNUMBER($K298),$K298&gt;0,$J298="")," · Monto pagado sin fecha",""),4,900)))</f>
        <v/>
      </c>
    </row>
    <row r="299">
      <c r="A299" s="51">
        <f>IF(COUNTA($B299,$C299,$D299,$E299,$G299)=0,"","G-"&amp;TEXT(ROW()-6,"0000"))</f>
        <v/>
      </c>
      <c r="B299" s="41" t="n"/>
      <c r="C299" s="33" t="n"/>
      <c r="D299" s="33" t="n"/>
      <c r="E299" s="33" t="n"/>
      <c r="F299" s="33" t="n"/>
      <c r="G299" s="36" t="n"/>
      <c r="H299" s="33" t="n"/>
      <c r="I299" s="33" t="n"/>
      <c r="J299" s="41" t="n"/>
      <c r="K299" s="36" t="n"/>
      <c r="L299" s="37">
        <f>IF(NOT(ISNUMBER($G299)),"",$G299-IF(ISNUMBER($K299),$K299,0))</f>
        <v/>
      </c>
      <c r="M299" s="33" t="n"/>
      <c r="N299" s="33" t="n"/>
      <c r="O299" s="51">
        <f>IF(COUNTA($B299,$C299,$D299,$E299,$G299)=0,"",IF(IF($B299=""," · Falta fecha","")&amp;IF($C299=""," · Falta tipo (Fijo/Variable)","")&amp;IF($D299=""," · SIN CATEGORÍA","")&amp;IF($E299=""," · Falta descripción","")&amp;IF(OR($G299="",NOT(ISNUMBER($G299)),$G299&lt;=0)," · Monto inválido","")&amp;IF(AND($I299="Pagado",$J299="")," · Pago sin fecha","")&amp;IF(AND(ISNUMBER($K299),ISNUMBER($G299),$K299&gt;N($G299)+0.01)," · Pagado &gt; monto","")&amp;IF(AND(ISNUMBER($K299),$K299&gt;0,$J299="")," · Monto pagado sin fecha","")="","OK",MID(IF($B299=""," · Falta fecha","")&amp;IF($C299=""," · Falta tipo (Fijo/Variable)","")&amp;IF($D299=""," · SIN CATEGORÍA","")&amp;IF($E299=""," · Falta descripción","")&amp;IF(OR($G299="",NOT(ISNUMBER($G299)),$G299&lt;=0)," · Monto inválido","")&amp;IF(AND($I299="Pagado",$J299="")," · Pago sin fecha","")&amp;IF(AND(ISNUMBER($K299),ISNUMBER($G299),$K299&gt;N($G299)+0.01)," · Pagado &gt; monto","")&amp;IF(AND(ISNUMBER($K299),$K299&gt;0,$J299="")," · Monto pagado sin fecha",""),4,900)))</f>
        <v/>
      </c>
    </row>
    <row r="300">
      <c r="A300" s="51">
        <f>IF(COUNTA($B300,$C300,$D300,$E300,$G300)=0,"","G-"&amp;TEXT(ROW()-6,"0000"))</f>
        <v/>
      </c>
      <c r="B300" s="41" t="n"/>
      <c r="C300" s="33" t="n"/>
      <c r="D300" s="33" t="n"/>
      <c r="E300" s="33" t="n"/>
      <c r="F300" s="33" t="n"/>
      <c r="G300" s="36" t="n"/>
      <c r="H300" s="33" t="n"/>
      <c r="I300" s="33" t="n"/>
      <c r="J300" s="41" t="n"/>
      <c r="K300" s="36" t="n"/>
      <c r="L300" s="37">
        <f>IF(NOT(ISNUMBER($G300)),"",$G300-IF(ISNUMBER($K300),$K300,0))</f>
        <v/>
      </c>
      <c r="M300" s="33" t="n"/>
      <c r="N300" s="33" t="n"/>
      <c r="O300" s="51">
        <f>IF(COUNTA($B300,$C300,$D300,$E300,$G300)=0,"",IF(IF($B300=""," · Falta fecha","")&amp;IF($C300=""," · Falta tipo (Fijo/Variable)","")&amp;IF($D300=""," · SIN CATEGORÍA","")&amp;IF($E300=""," · Falta descripción","")&amp;IF(OR($G300="",NOT(ISNUMBER($G300)),$G300&lt;=0)," · Monto inválido","")&amp;IF(AND($I300="Pagado",$J300="")," · Pago sin fecha","")&amp;IF(AND(ISNUMBER($K300),ISNUMBER($G300),$K300&gt;N($G300)+0.01)," · Pagado &gt; monto","")&amp;IF(AND(ISNUMBER($K300),$K300&gt;0,$J300="")," · Monto pagado sin fecha","")="","OK",MID(IF($B300=""," · Falta fecha","")&amp;IF($C300=""," · Falta tipo (Fijo/Variable)","")&amp;IF($D300=""," · SIN CATEGORÍA","")&amp;IF($E300=""," · Falta descripción","")&amp;IF(OR($G300="",NOT(ISNUMBER($G300)),$G300&lt;=0)," · Monto inválido","")&amp;IF(AND($I300="Pagado",$J300="")," · Pago sin fecha","")&amp;IF(AND(ISNUMBER($K300),ISNUMBER($G300),$K300&gt;N($G300)+0.01)," · Pagado &gt; monto","")&amp;IF(AND(ISNUMBER($K300),$K300&gt;0,$J300="")," · Monto pagado sin fecha",""),4,900)))</f>
        <v/>
      </c>
    </row>
    <row r="301">
      <c r="A301" s="51">
        <f>IF(COUNTA($B301,$C301,$D301,$E301,$G301)=0,"","G-"&amp;TEXT(ROW()-6,"0000"))</f>
        <v/>
      </c>
      <c r="B301" s="41" t="n"/>
      <c r="C301" s="33" t="n"/>
      <c r="D301" s="33" t="n"/>
      <c r="E301" s="33" t="n"/>
      <c r="F301" s="33" t="n"/>
      <c r="G301" s="36" t="n"/>
      <c r="H301" s="33" t="n"/>
      <c r="I301" s="33" t="n"/>
      <c r="J301" s="41" t="n"/>
      <c r="K301" s="36" t="n"/>
      <c r="L301" s="37">
        <f>IF(NOT(ISNUMBER($G301)),"",$G301-IF(ISNUMBER($K301),$K301,0))</f>
        <v/>
      </c>
      <c r="M301" s="33" t="n"/>
      <c r="N301" s="33" t="n"/>
      <c r="O301" s="51">
        <f>IF(COUNTA($B301,$C301,$D301,$E301,$G301)=0,"",IF(IF($B301=""," · Falta fecha","")&amp;IF($C301=""," · Falta tipo (Fijo/Variable)","")&amp;IF($D301=""," · SIN CATEGORÍA","")&amp;IF($E301=""," · Falta descripción","")&amp;IF(OR($G301="",NOT(ISNUMBER($G301)),$G301&lt;=0)," · Monto inválido","")&amp;IF(AND($I301="Pagado",$J301="")," · Pago sin fecha","")&amp;IF(AND(ISNUMBER($K301),ISNUMBER($G301),$K301&gt;N($G301)+0.01)," · Pagado &gt; monto","")&amp;IF(AND(ISNUMBER($K301),$K301&gt;0,$J301="")," · Monto pagado sin fecha","")="","OK",MID(IF($B301=""," · Falta fecha","")&amp;IF($C301=""," · Falta tipo (Fijo/Variable)","")&amp;IF($D301=""," · SIN CATEGORÍA","")&amp;IF($E301=""," · Falta descripción","")&amp;IF(OR($G301="",NOT(ISNUMBER($G301)),$G301&lt;=0)," · Monto inválido","")&amp;IF(AND($I301="Pagado",$J301="")," · Pago sin fecha","")&amp;IF(AND(ISNUMBER($K301),ISNUMBER($G301),$K301&gt;N($G301)+0.01)," · Pagado &gt; monto","")&amp;IF(AND(ISNUMBER($K301),$K301&gt;0,$J301="")," · Monto pagado sin fecha",""),4,900)))</f>
        <v/>
      </c>
    </row>
    <row r="302">
      <c r="A302" s="51">
        <f>IF(COUNTA($B302,$C302,$D302,$E302,$G302)=0,"","G-"&amp;TEXT(ROW()-6,"0000"))</f>
        <v/>
      </c>
      <c r="B302" s="41" t="n"/>
      <c r="C302" s="33" t="n"/>
      <c r="D302" s="33" t="n"/>
      <c r="E302" s="33" t="n"/>
      <c r="F302" s="33" t="n"/>
      <c r="G302" s="36" t="n"/>
      <c r="H302" s="33" t="n"/>
      <c r="I302" s="33" t="n"/>
      <c r="J302" s="41" t="n"/>
      <c r="K302" s="36" t="n"/>
      <c r="L302" s="37">
        <f>IF(NOT(ISNUMBER($G302)),"",$G302-IF(ISNUMBER($K302),$K302,0))</f>
        <v/>
      </c>
      <c r="M302" s="33" t="n"/>
      <c r="N302" s="33" t="n"/>
      <c r="O302" s="51">
        <f>IF(COUNTA($B302,$C302,$D302,$E302,$G302)=0,"",IF(IF($B302=""," · Falta fecha","")&amp;IF($C302=""," · Falta tipo (Fijo/Variable)","")&amp;IF($D302=""," · SIN CATEGORÍA","")&amp;IF($E302=""," · Falta descripción","")&amp;IF(OR($G302="",NOT(ISNUMBER($G302)),$G302&lt;=0)," · Monto inválido","")&amp;IF(AND($I302="Pagado",$J302="")," · Pago sin fecha","")&amp;IF(AND(ISNUMBER($K302),ISNUMBER($G302),$K302&gt;N($G302)+0.01)," · Pagado &gt; monto","")&amp;IF(AND(ISNUMBER($K302),$K302&gt;0,$J302="")," · Monto pagado sin fecha","")="","OK",MID(IF($B302=""," · Falta fecha","")&amp;IF($C302=""," · Falta tipo (Fijo/Variable)","")&amp;IF($D302=""," · SIN CATEGORÍA","")&amp;IF($E302=""," · Falta descripción","")&amp;IF(OR($G302="",NOT(ISNUMBER($G302)),$G302&lt;=0)," · Monto inválido","")&amp;IF(AND($I302="Pagado",$J302="")," · Pago sin fecha","")&amp;IF(AND(ISNUMBER($K302),ISNUMBER($G302),$K302&gt;N($G302)+0.01)," · Pagado &gt; monto","")&amp;IF(AND(ISNUMBER($K302),$K302&gt;0,$J302="")," · Monto pagado sin fecha",""),4,900)))</f>
        <v/>
      </c>
    </row>
    <row r="303">
      <c r="A303" s="51">
        <f>IF(COUNTA($B303,$C303,$D303,$E303,$G303)=0,"","G-"&amp;TEXT(ROW()-6,"0000"))</f>
        <v/>
      </c>
      <c r="B303" s="41" t="n"/>
      <c r="C303" s="33" t="n"/>
      <c r="D303" s="33" t="n"/>
      <c r="E303" s="33" t="n"/>
      <c r="F303" s="33" t="n"/>
      <c r="G303" s="36" t="n"/>
      <c r="H303" s="33" t="n"/>
      <c r="I303" s="33" t="n"/>
      <c r="J303" s="41" t="n"/>
      <c r="K303" s="36" t="n"/>
      <c r="L303" s="37">
        <f>IF(NOT(ISNUMBER($G303)),"",$G303-IF(ISNUMBER($K303),$K303,0))</f>
        <v/>
      </c>
      <c r="M303" s="33" t="n"/>
      <c r="N303" s="33" t="n"/>
      <c r="O303" s="51">
        <f>IF(COUNTA($B303,$C303,$D303,$E303,$G303)=0,"",IF(IF($B303=""," · Falta fecha","")&amp;IF($C303=""," · Falta tipo (Fijo/Variable)","")&amp;IF($D303=""," · SIN CATEGORÍA","")&amp;IF($E303=""," · Falta descripción","")&amp;IF(OR($G303="",NOT(ISNUMBER($G303)),$G303&lt;=0)," · Monto inválido","")&amp;IF(AND($I303="Pagado",$J303="")," · Pago sin fecha","")&amp;IF(AND(ISNUMBER($K303),ISNUMBER($G303),$K303&gt;N($G303)+0.01)," · Pagado &gt; monto","")&amp;IF(AND(ISNUMBER($K303),$K303&gt;0,$J303="")," · Monto pagado sin fecha","")="","OK",MID(IF($B303=""," · Falta fecha","")&amp;IF($C303=""," · Falta tipo (Fijo/Variable)","")&amp;IF($D303=""," · SIN CATEGORÍA","")&amp;IF($E303=""," · Falta descripción","")&amp;IF(OR($G303="",NOT(ISNUMBER($G303)),$G303&lt;=0)," · Monto inválido","")&amp;IF(AND($I303="Pagado",$J303="")," · Pago sin fecha","")&amp;IF(AND(ISNUMBER($K303),ISNUMBER($G303),$K303&gt;N($G303)+0.01)," · Pagado &gt; monto","")&amp;IF(AND(ISNUMBER($K303),$K303&gt;0,$J303="")," · Monto pagado sin fecha",""),4,900)))</f>
        <v/>
      </c>
    </row>
    <row r="304">
      <c r="A304" s="51">
        <f>IF(COUNTA($B304,$C304,$D304,$E304,$G304)=0,"","G-"&amp;TEXT(ROW()-6,"0000"))</f>
        <v/>
      </c>
      <c r="B304" s="41" t="n"/>
      <c r="C304" s="33" t="n"/>
      <c r="D304" s="33" t="n"/>
      <c r="E304" s="33" t="n"/>
      <c r="F304" s="33" t="n"/>
      <c r="G304" s="36" t="n"/>
      <c r="H304" s="33" t="n"/>
      <c r="I304" s="33" t="n"/>
      <c r="J304" s="41" t="n"/>
      <c r="K304" s="36" t="n"/>
      <c r="L304" s="37">
        <f>IF(NOT(ISNUMBER($G304)),"",$G304-IF(ISNUMBER($K304),$K304,0))</f>
        <v/>
      </c>
      <c r="M304" s="33" t="n"/>
      <c r="N304" s="33" t="n"/>
      <c r="O304" s="51">
        <f>IF(COUNTA($B304,$C304,$D304,$E304,$G304)=0,"",IF(IF($B304=""," · Falta fecha","")&amp;IF($C304=""," · Falta tipo (Fijo/Variable)","")&amp;IF($D304=""," · SIN CATEGORÍA","")&amp;IF($E304=""," · Falta descripción","")&amp;IF(OR($G304="",NOT(ISNUMBER($G304)),$G304&lt;=0)," · Monto inválido","")&amp;IF(AND($I304="Pagado",$J304="")," · Pago sin fecha","")&amp;IF(AND(ISNUMBER($K304),ISNUMBER($G304),$K304&gt;N($G304)+0.01)," · Pagado &gt; monto","")&amp;IF(AND(ISNUMBER($K304),$K304&gt;0,$J304="")," · Monto pagado sin fecha","")="","OK",MID(IF($B304=""," · Falta fecha","")&amp;IF($C304=""," · Falta tipo (Fijo/Variable)","")&amp;IF($D304=""," · SIN CATEGORÍA","")&amp;IF($E304=""," · Falta descripción","")&amp;IF(OR($G304="",NOT(ISNUMBER($G304)),$G304&lt;=0)," · Monto inválido","")&amp;IF(AND($I304="Pagado",$J304="")," · Pago sin fecha","")&amp;IF(AND(ISNUMBER($K304),ISNUMBER($G304),$K304&gt;N($G304)+0.01)," · Pagado &gt; monto","")&amp;IF(AND(ISNUMBER($K304),$K304&gt;0,$J304="")," · Monto pagado sin fecha",""),4,900)))</f>
        <v/>
      </c>
    </row>
    <row r="305">
      <c r="A305" s="51">
        <f>IF(COUNTA($B305,$C305,$D305,$E305,$G305)=0,"","G-"&amp;TEXT(ROW()-6,"0000"))</f>
        <v/>
      </c>
      <c r="B305" s="41" t="n"/>
      <c r="C305" s="33" t="n"/>
      <c r="D305" s="33" t="n"/>
      <c r="E305" s="33" t="n"/>
      <c r="F305" s="33" t="n"/>
      <c r="G305" s="36" t="n"/>
      <c r="H305" s="33" t="n"/>
      <c r="I305" s="33" t="n"/>
      <c r="J305" s="41" t="n"/>
      <c r="K305" s="36" t="n"/>
      <c r="L305" s="37">
        <f>IF(NOT(ISNUMBER($G305)),"",$G305-IF(ISNUMBER($K305),$K305,0))</f>
        <v/>
      </c>
      <c r="M305" s="33" t="n"/>
      <c r="N305" s="33" t="n"/>
      <c r="O305" s="51">
        <f>IF(COUNTA($B305,$C305,$D305,$E305,$G305)=0,"",IF(IF($B305=""," · Falta fecha","")&amp;IF($C305=""," · Falta tipo (Fijo/Variable)","")&amp;IF($D305=""," · SIN CATEGORÍA","")&amp;IF($E305=""," · Falta descripción","")&amp;IF(OR($G305="",NOT(ISNUMBER($G305)),$G305&lt;=0)," · Monto inválido","")&amp;IF(AND($I305="Pagado",$J305="")," · Pago sin fecha","")&amp;IF(AND(ISNUMBER($K305),ISNUMBER($G305),$K305&gt;N($G305)+0.01)," · Pagado &gt; monto","")&amp;IF(AND(ISNUMBER($K305),$K305&gt;0,$J305="")," · Monto pagado sin fecha","")="","OK",MID(IF($B305=""," · Falta fecha","")&amp;IF($C305=""," · Falta tipo (Fijo/Variable)","")&amp;IF($D305=""," · SIN CATEGORÍA","")&amp;IF($E305=""," · Falta descripción","")&amp;IF(OR($G305="",NOT(ISNUMBER($G305)),$G305&lt;=0)," · Monto inválido","")&amp;IF(AND($I305="Pagado",$J305="")," · Pago sin fecha","")&amp;IF(AND(ISNUMBER($K305),ISNUMBER($G305),$K305&gt;N($G305)+0.01)," · Pagado &gt; monto","")&amp;IF(AND(ISNUMBER($K305),$K305&gt;0,$J305="")," · Monto pagado sin fecha",""),4,900)))</f>
        <v/>
      </c>
    </row>
    <row r="306">
      <c r="A306" s="51">
        <f>IF(COUNTA($B306,$C306,$D306,$E306,$G306)=0,"","G-"&amp;TEXT(ROW()-6,"0000"))</f>
        <v/>
      </c>
      <c r="B306" s="41" t="n"/>
      <c r="C306" s="33" t="n"/>
      <c r="D306" s="33" t="n"/>
      <c r="E306" s="33" t="n"/>
      <c r="F306" s="33" t="n"/>
      <c r="G306" s="36" t="n"/>
      <c r="H306" s="33" t="n"/>
      <c r="I306" s="33" t="n"/>
      <c r="J306" s="41" t="n"/>
      <c r="K306" s="36" t="n"/>
      <c r="L306" s="37">
        <f>IF(NOT(ISNUMBER($G306)),"",$G306-IF(ISNUMBER($K306),$K306,0))</f>
        <v/>
      </c>
      <c r="M306" s="33" t="n"/>
      <c r="N306" s="33" t="n"/>
      <c r="O306" s="51">
        <f>IF(COUNTA($B306,$C306,$D306,$E306,$G306)=0,"",IF(IF($B306=""," · Falta fecha","")&amp;IF($C306=""," · Falta tipo (Fijo/Variable)","")&amp;IF($D306=""," · SIN CATEGORÍA","")&amp;IF($E306=""," · Falta descripción","")&amp;IF(OR($G306="",NOT(ISNUMBER($G306)),$G306&lt;=0)," · Monto inválido","")&amp;IF(AND($I306="Pagado",$J306="")," · Pago sin fecha","")&amp;IF(AND(ISNUMBER($K306),ISNUMBER($G306),$K306&gt;N($G306)+0.01)," · Pagado &gt; monto","")&amp;IF(AND(ISNUMBER($K306),$K306&gt;0,$J306="")," · Monto pagado sin fecha","")="","OK",MID(IF($B306=""," · Falta fecha","")&amp;IF($C306=""," · Falta tipo (Fijo/Variable)","")&amp;IF($D306=""," · SIN CATEGORÍA","")&amp;IF($E306=""," · Falta descripción","")&amp;IF(OR($G306="",NOT(ISNUMBER($G306)),$G306&lt;=0)," · Monto inválido","")&amp;IF(AND($I306="Pagado",$J306="")," · Pago sin fecha","")&amp;IF(AND(ISNUMBER($K306),ISNUMBER($G306),$K306&gt;N($G306)+0.01)," · Pagado &gt; monto","")&amp;IF(AND(ISNUMBER($K306),$K306&gt;0,$J306="")," · Monto pagado sin fecha",""),4,900)))</f>
        <v/>
      </c>
    </row>
  </sheetData>
  <mergeCells count="1">
    <mergeCell ref="A3:L4"/>
  </mergeCells>
  <conditionalFormatting sqref="O7:O306">
    <cfRule type="expression" priority="1" dxfId="5">
      <formula>AND($O7&lt;&gt;"",$O7&lt;&gt;"OK")</formula>
    </cfRule>
    <cfRule type="expression" priority="2" dxfId="7">
      <formula>$O7="OK"</formula>
    </cfRule>
  </conditionalFormatting>
  <dataValidations count="9">
    <dataValidation sqref="C7:C306" showDropDown="0" showInputMessage="0" showErrorMessage="0" allowBlank="1" errorTitle="Valor fuera de la lista" error="Ese valor no está en la lista. Agréguelo en la hoja CONFIG si es nuevo." type="list" errorStyle="stop">
      <formula1>=LISTA_TIPO_GASTO</formula1>
    </dataValidation>
    <dataValidation sqref="D7:D306" showDropDown="0" showInputMessage="0" showErrorMessage="0" allowBlank="1" errorTitle="Valor fuera de la lista" error="Ese valor no está en la lista. Agréguelo en la hoja CONFIG si es nuevo." type="list" errorStyle="warning">
      <formula1>=LISTA_CAT_GASTO</formula1>
    </dataValidation>
    <dataValidation sqref="H7:H306" showDropDown="0" showInputMessage="0" showErrorMessage="0" allowBlank="1" errorTitle="Valor fuera de la lista" error="Ese valor no está en la lista. Agréguelo en la hoja CONFIG si es nuevo." type="list" errorStyle="warning">
      <formula1>=LISTA_METODOS_PAGO</formula1>
    </dataValidation>
    <dataValidation sqref="I7:I306" showDropDown="0" showInputMessage="0" showErrorMessage="0" allowBlank="1" errorTitle="Valor fuera de la lista" error="Ese valor no está en la lista. Agréguelo en la hoja CONFIG si es nuevo." type="list" errorStyle="warning">
      <formula1>=LISTA_ESTADO_PAGO</formula1>
    </dataValidation>
    <dataValidation sqref="M7:M306" showDropDown="0" showInputMessage="0" showErrorMessage="0" allowBlank="1" errorTitle="Valor fuera de la lista" error="Ese valor no está en la lista. Agréguelo en la hoja CONFIG si es nuevo." type="list" errorStyle="warning">
      <formula1>=LISTA_CANALES</formula1>
    </dataValidation>
    <dataValidation sqref="G7:G306" showDropDown="0" showInputMessage="0" showErrorMessage="0" allowBlank="1" errorTitle="Número inválido" error="Escriba un número mayor o igual a 0." type="decimal" errorStyle="stop" operator="greaterThanOrEqual">
      <formula1>0</formula1>
    </dataValidation>
    <dataValidation sqref="K7:K306" showDropDown="0" showInputMessage="0" showErrorMessage="0" allowBlank="1" errorTitle="Número inválido" error="Escriba un número mayor o igual a 0." type="decimal" errorStyle="stop" operator="greaterThanOrEqual">
      <formula1>0</formula1>
    </dataValidation>
    <dataValidation sqref="B7:B306" showDropDown="0" showInputMessage="0" showErrorMessage="0" allowBlank="1" errorTitle="Fecha inválida" error="Escriba una fecha válida (dd/mm/aaaa)." type="date" errorStyle="stop" operator="greaterThan">
      <formula1>DATE(2000,1,1)</formula1>
    </dataValidation>
    <dataValidation sqref="J7:J306" showDropDown="0" showInputMessage="0" showErrorMessage="0" allowBlank="1" errorTitle="Fecha inválida" error="Escriba una fecha válida (dd/mm/aaaa)." type="date" errorStyle="stop" operator="greaterThan">
      <formula1>DATE(2000,1,1)</formula1>
    </dataValidation>
  </dataValidations>
  <printOptions horizontalCentered="1"/>
  <pageMargins left="0.4" right="0.4" top="0.5" bottom="0.5" header="0.5" footer="0.5"/>
  <pageSetup orientation="landscape"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tabColor rgb="002E5C8A"/>
    <outlinePr summaryBelow="1" summaryRight="1"/>
    <pageSetUpPr fitToPage="1"/>
  </sheetPr>
  <dimension ref="A1:AC206"/>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3" customWidth="1" min="4" max="4"/>
    <col width="13" customWidth="1" min="5" max="5"/>
    <col width="13" customWidth="1" min="6" max="6"/>
    <col width="15" customWidth="1" min="7" max="7"/>
    <col width="14" customWidth="1" min="8" max="8"/>
    <col width="14" customWidth="1" min="9" max="9"/>
    <col width="13" customWidth="1" min="10" max="10"/>
    <col width="13" customWidth="1" min="11" max="11"/>
    <col width="13"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4" customWidth="1" min="21" max="21"/>
    <col width="12" customWidth="1" min="22" max="22"/>
    <col width="12" customWidth="1" min="23" max="23"/>
    <col width="22" customWidth="1" min="24" max="24"/>
    <col width="34" customWidth="1" min="25" max="25"/>
    <col width="14" customWidth="1" min="26" max="26"/>
    <col width="15" customWidth="1" min="27" max="27"/>
    <col width="24" customWidth="1" min="28" max="28"/>
    <col width="26" customWidth="1" min="29" max="29"/>
  </cols>
  <sheetData>
    <row r="1">
      <c r="A1" s="1" t="inlineStr">
        <is>
          <t>CAJA — Flujo de efectivo</t>
        </is>
      </c>
    </row>
    <row r="2">
      <c r="A2" s="2" t="inlineStr">
        <is>
          <t>Aquí SOLO se mueve dinero real. Una venta entra a caja cuando se cobra; una compra o gasto sale de caja cuando se paga. Por eso la utilidad del mes casi nunca es igual al flujo del mes.</t>
        </is>
      </c>
    </row>
    <row r="3">
      <c r="A3" s="16" t="inlineStr">
        <is>
          <t>Columna «Diferencia utilidad − flujo»: si es positiva, usted ganó en papel más de lo que entró en efectivo (le deben, o compró inventario). Si es negativa, entró más efectivo del que ganó (cobró ventas de meses anteriores o recibió aportes).</t>
        </is>
      </c>
    </row>
    <row r="5">
      <c r="A5" s="3" t="inlineStr">
        <is>
          <t>FLUJO DE EFECTIVO MENSUAL  ·  calculado automáticamente</t>
        </is>
      </c>
      <c r="B5" s="4" t="n"/>
      <c r="C5" s="4" t="n"/>
      <c r="D5" s="4" t="n"/>
      <c r="E5" s="4" t="n"/>
      <c r="F5" s="4" t="n"/>
      <c r="G5" s="4" t="n"/>
      <c r="H5" s="4" t="n"/>
      <c r="I5" s="4" t="n"/>
      <c r="J5" s="4" t="n"/>
      <c r="K5" s="4" t="n"/>
      <c r="L5" s="4" t="n"/>
      <c r="M5" s="4" t="n"/>
      <c r="N5" s="4" t="n"/>
      <c r="O5" s="4" t="n"/>
      <c r="P5" s="4" t="n"/>
      <c r="Q5" s="4" t="n"/>
      <c r="R5" s="4" t="n"/>
      <c r="S5" s="4" t="n"/>
      <c r="U5" s="3" t="inlineStr">
        <is>
          <t>MOVIMIENTOS DE EFECTIVO QUE NO SON VENTAS, COMPRAS NI GASTOS</t>
        </is>
      </c>
      <c r="V5" s="4" t="n"/>
      <c r="W5" s="4" t="n"/>
      <c r="X5" s="4" t="n"/>
      <c r="Y5" s="4" t="n"/>
      <c r="Z5" s="4" t="n"/>
      <c r="AA5" s="4" t="n"/>
      <c r="AB5" s="4" t="n"/>
      <c r="AC5" s="4" t="n"/>
    </row>
    <row r="6" ht="32" customHeight="1">
      <c r="A6" s="11" t="inlineStr">
        <is>
          <t>Mes</t>
        </is>
      </c>
      <c r="B6" s="11" t="inlineStr">
        <is>
          <t>Saldo inicial</t>
        </is>
      </c>
      <c r="C6" s="11" t="inlineStr">
        <is>
          <t>Cobros de clientes</t>
        </is>
      </c>
      <c r="D6" s="11" t="inlineStr">
        <is>
          <t>Aportes de capital</t>
        </is>
      </c>
      <c r="E6" s="11" t="inlineStr">
        <is>
          <t>Préstamos recibidos</t>
        </is>
      </c>
      <c r="F6" s="11" t="inlineStr">
        <is>
          <t>Otros ingresos</t>
        </is>
      </c>
      <c r="G6" s="11" t="inlineStr">
        <is>
          <t>TOTAL ENTRADAS</t>
        </is>
      </c>
      <c r="H6" s="11" t="inlineStr">
        <is>
          <t>Pagos a proveedores</t>
        </is>
      </c>
      <c r="I6" s="11" t="inlineStr">
        <is>
          <t>Pagos de gastos</t>
        </is>
      </c>
      <c r="J6" s="11" t="inlineStr">
        <is>
          <t>Retiros del propietario</t>
        </is>
      </c>
      <c r="K6" s="11" t="inlineStr">
        <is>
          <t>Pago de préstamos</t>
        </is>
      </c>
      <c r="L6" s="11" t="inlineStr">
        <is>
          <t>Otros egresos</t>
        </is>
      </c>
      <c r="M6" s="11" t="inlineStr">
        <is>
          <t>TOTAL SALIDAS</t>
        </is>
      </c>
      <c r="N6" s="11" t="inlineStr">
        <is>
          <t>FLUJO NETO DEL MES</t>
        </is>
      </c>
      <c r="O6" s="11" t="inlineStr">
        <is>
          <t>SALDO FINAL</t>
        </is>
      </c>
      <c r="P6" s="11" t="inlineStr">
        <is>
          <t>Utilidad neta del mes</t>
        </is>
      </c>
      <c r="Q6" s="11" t="inlineStr">
        <is>
          <t>Diferencia utilidad − flujo</t>
        </is>
      </c>
      <c r="R6" s="11" t="inlineStr">
        <is>
          <t>Cuentas por cobrar al cierre</t>
        </is>
      </c>
      <c r="S6" s="11" t="inlineStr">
        <is>
          <t>Cuentas por pagar al cierre</t>
        </is>
      </c>
      <c r="U6" s="11" t="inlineStr">
        <is>
          <t>ID de movimiento</t>
        </is>
      </c>
      <c r="V6" s="11" t="inlineStr">
        <is>
          <t>Fecha</t>
        </is>
      </c>
      <c r="W6" s="11" t="inlineStr">
        <is>
          <t>Tipo</t>
        </is>
      </c>
      <c r="X6" s="11" t="inlineStr">
        <is>
          <t>Concepto</t>
        </is>
      </c>
      <c r="Y6" s="11" t="inlineStr">
        <is>
          <t>Descripción</t>
        </is>
      </c>
      <c r="Z6" s="11" t="inlineStr">
        <is>
          <t>Monto</t>
        </is>
      </c>
      <c r="AA6" s="11" t="inlineStr">
        <is>
          <t>Método de pago</t>
        </is>
      </c>
      <c r="AB6" s="11" t="inlineStr">
        <is>
          <t>Observaciones</t>
        </is>
      </c>
      <c r="AC6" s="11" t="inlineStr">
        <is>
          <t>ALERTA</t>
        </is>
      </c>
    </row>
    <row r="7">
      <c r="A7" s="55">
        <f>IF(NOT(ISNUMBER(PAR_FECHA_INICIO)),"",DATE(YEAR(PAR_FECHA_INICIO),MONTH(PAR_FECHA_INICIO)+0,1))</f>
        <v/>
      </c>
      <c r="B7" s="37">
        <f>IF(ISNUMBER(PAR_SALDO_CAJA),PAR_SALDO_CAJA,0)</f>
        <v/>
      </c>
      <c r="C7" s="37">
        <f>IF($A7="","",SUMIFS(tblVentas[Monto cobrado],tblVentas[Fecha de cobro],"&gt;="&amp;$A7,tblVentas[Fecha de cobro],"&lt;"&amp;DATE(YEAR($A7),MONTH($A7)+1,1)))</f>
        <v/>
      </c>
      <c r="D7" s="37">
        <f>IF($A7="","",SUMIFS(tblCajaMov[Monto],tblCajaMov[Concepto],"Aporte de capital",tblCajaMov[Fecha],"&gt;="&amp;$A7,tblCajaMov[Fecha],"&lt;"&amp;DATE(YEAR($A7),MONTH($A7)+1,1)))</f>
        <v/>
      </c>
      <c r="E7" s="37">
        <f>IF($A7="","",SUMIFS(tblCajaMov[Monto],tblCajaMov[Concepto],"Préstamo recibido",tblCajaMov[Fecha],"&gt;="&amp;$A7,tblCajaMov[Fecha],"&lt;"&amp;DATE(YEAR($A7),MONTH($A7)+1,1)))</f>
        <v/>
      </c>
      <c r="F7" s="37">
        <f>IF($A7="","",SUMIFS(tblCajaMov[Monto],tblCajaMov[Concepto],"Otro ingreso",tblCajaMov[Fecha],"&gt;="&amp;$A7,tblCajaMov[Fecha],"&lt;"&amp;DATE(YEAR($A7),MONTH($A7)+1,1)))</f>
        <v/>
      </c>
      <c r="G7" s="49">
        <f>IF($A7="","",SUM($C7:$F7))</f>
        <v/>
      </c>
      <c r="H7" s="37">
        <f>IF($A7="","",SUMIFS(tblCompras[Monto pagado],tblCompras[Fecha de pago],"&gt;="&amp;$A7,tblCompras[Fecha de pago],"&lt;"&amp;DATE(YEAR($A7),MONTH($A7)+1,1)))</f>
        <v/>
      </c>
      <c r="I7" s="37">
        <f>IF($A7="","",SUMIFS(tblGastos[Monto pagado],tblGastos[Fecha de pago],"&gt;="&amp;$A7,tblGastos[Fecha de pago],"&lt;"&amp;DATE(YEAR($A7),MONTH($A7)+1,1)))</f>
        <v/>
      </c>
      <c r="J7" s="37">
        <f>IF($A7="","",SUMIFS(tblCajaMov[Monto],tblCajaMov[Concepto],"Retiro del propietario",tblCajaMov[Fecha],"&gt;="&amp;$A7,tblCajaMov[Fecha],"&lt;"&amp;DATE(YEAR($A7),MONTH($A7)+1,1)))</f>
        <v/>
      </c>
      <c r="K7" s="37">
        <f>IF($A7="","",SUMIFS(tblCajaMov[Monto],tblCajaMov[Concepto],"Pago de préstamo",tblCajaMov[Fecha],"&gt;="&amp;$A7,tblCajaMov[Fecha],"&lt;"&amp;DATE(YEAR($A7),MONTH($A7)+1,1)))</f>
        <v/>
      </c>
      <c r="L7" s="37">
        <f>IF($A7="","",SUMIFS(tblCajaMov[Monto],tblCajaMov[Concepto],"Otro egreso",tblCajaMov[Fecha],"&gt;="&amp;$A7,tblCajaMov[Fecha],"&lt;"&amp;DATE(YEAR($A7),MONTH($A7)+1,1)))</f>
        <v/>
      </c>
      <c r="M7" s="49">
        <f>IF($A7="","",SUM($H7:$L7))</f>
        <v/>
      </c>
      <c r="N7" s="49">
        <f>IF($A7="","",$G7-$M7)</f>
        <v/>
      </c>
      <c r="O7" s="49">
        <f>IF($A7="","",$B7+$N7)</f>
        <v/>
      </c>
      <c r="P7" s="37">
        <f>IF($A7="","",RENTABILIDAD!$O$8)</f>
        <v/>
      </c>
      <c r="Q7" s="37">
        <f>IF($A7="","",$P7-$N7)</f>
        <v/>
      </c>
      <c r="R7" s="37">
        <f>IF($A7="","",SUMIFS(tblVentas[Venta neta],tblVentas[Fecha],"&lt;"&amp;DATE(YEAR($A7),MONTH($A7)+1,1))-SUMIFS(tblVentas[Monto cobrado],tblVentas[Fecha de cobro],"&lt;"&amp;DATE(YEAR($A7),MONTH($A7)+1,1)))</f>
        <v/>
      </c>
      <c r="S7" s="37">
        <f>IF($A7="","",SUMIFS(tblCompras[Costo total de adquisición],tblCompras[Fecha],"&lt;"&amp;DATE(YEAR($A7),MONTH($A7)+1,1))+SUMIFS(tblGastos[Monto],tblGastos[Fecha],"&lt;"&amp;DATE(YEAR($A7),MONTH($A7)+1,1))-SUMIFS(tblCompras[Monto pagado],tblCompras[Fecha de pago],"&lt;"&amp;DATE(YEAR($A7),MONTH($A7)+1,1))-SUMIFS(tblGastos[Monto pagado],tblGastos[Fecha de pago],"&lt;"&amp;DATE(YEAR($A7),MONTH($A7)+1,1)))</f>
        <v/>
      </c>
      <c r="U7" s="51">
        <f>IF(COUNTA($V7:$Z7)=0,"","M-"&amp;TEXT(ROW()-6,"0000"))</f>
        <v/>
      </c>
      <c r="V7" s="41" t="n"/>
      <c r="W7" s="33" t="n"/>
      <c r="X7" s="33" t="n"/>
      <c r="Y7" s="33" t="n"/>
      <c r="Z7" s="36" t="n"/>
      <c r="AA7" s="33" t="n"/>
      <c r="AB7" s="33" t="n"/>
      <c r="AC7" s="51">
        <f>IF(COUNTA($V7,$W7,$X7,$Y7,$Z7)=0,"",IF(IF($V7=""," · Falta fecha","")&amp;IF($W7=""," · Falta tipo","")&amp;IF($X7=""," · Falta concepto","")&amp;IF(OR($Z7="",NOT(ISNUMBER($Z7)),$Z7&lt;=0)," · Monto inválido","")&amp;IF(AND($W7="Entrada",OR($X7="Retiro del propietario",$X7="Pago de préstamo",$X7="Otro egreso"))," · Tipo no coincide con el concepto","")&amp;IF(AND($W7="Salida",OR($X7="Aporte de capital",$X7="Préstamo recibido",$X7="Otro ingreso"))," · Tipo no coincide con el concepto","")="","OK",MID(IF($V7=""," · Falta fecha","")&amp;IF($W7=""," · Falta tipo","")&amp;IF($X7=""," · Falta concepto","")&amp;IF(OR($Z7="",NOT(ISNUMBER($Z7)),$Z7&lt;=0)," · Monto inválido","")&amp;IF(AND($W7="Entrada",OR($X7="Retiro del propietario",$X7="Pago de préstamo",$X7="Otro egreso"))," · Tipo no coincide con el concepto","")&amp;IF(AND($W7="Salida",OR($X7="Aporte de capital",$X7="Préstamo recibido",$X7="Otro ingreso"))," · Tipo no coincide con el concepto",""),4,900)))</f>
        <v/>
      </c>
    </row>
    <row r="8">
      <c r="A8" s="55">
        <f>IF(NOT(ISNUMBER(PAR_FECHA_INICIO)),"",DATE(YEAR(PAR_FECHA_INICIO),MONTH(PAR_FECHA_INICIO)+1,1))</f>
        <v/>
      </c>
      <c r="B8" s="37">
        <f>IF($A8="","",$O7)</f>
        <v/>
      </c>
      <c r="C8" s="37">
        <f>IF($A8="","",SUMIFS(tblVentas[Monto cobrado],tblVentas[Fecha de cobro],"&gt;="&amp;$A8,tblVentas[Fecha de cobro],"&lt;"&amp;DATE(YEAR($A8),MONTH($A8)+1,1)))</f>
        <v/>
      </c>
      <c r="D8" s="37">
        <f>IF($A8="","",SUMIFS(tblCajaMov[Monto],tblCajaMov[Concepto],"Aporte de capital",tblCajaMov[Fecha],"&gt;="&amp;$A8,tblCajaMov[Fecha],"&lt;"&amp;DATE(YEAR($A8),MONTH($A8)+1,1)))</f>
        <v/>
      </c>
      <c r="E8" s="37">
        <f>IF($A8="","",SUMIFS(tblCajaMov[Monto],tblCajaMov[Concepto],"Préstamo recibido",tblCajaMov[Fecha],"&gt;="&amp;$A8,tblCajaMov[Fecha],"&lt;"&amp;DATE(YEAR($A8),MONTH($A8)+1,1)))</f>
        <v/>
      </c>
      <c r="F8" s="37">
        <f>IF($A8="","",SUMIFS(tblCajaMov[Monto],tblCajaMov[Concepto],"Otro ingreso",tblCajaMov[Fecha],"&gt;="&amp;$A8,tblCajaMov[Fecha],"&lt;"&amp;DATE(YEAR($A8),MONTH($A8)+1,1)))</f>
        <v/>
      </c>
      <c r="G8" s="49">
        <f>IF($A8="","",SUM($C8:$F8))</f>
        <v/>
      </c>
      <c r="H8" s="37">
        <f>IF($A8="","",SUMIFS(tblCompras[Monto pagado],tblCompras[Fecha de pago],"&gt;="&amp;$A8,tblCompras[Fecha de pago],"&lt;"&amp;DATE(YEAR($A8),MONTH($A8)+1,1)))</f>
        <v/>
      </c>
      <c r="I8" s="37">
        <f>IF($A8="","",SUMIFS(tblGastos[Monto pagado],tblGastos[Fecha de pago],"&gt;="&amp;$A8,tblGastos[Fecha de pago],"&lt;"&amp;DATE(YEAR($A8),MONTH($A8)+1,1)))</f>
        <v/>
      </c>
      <c r="J8" s="37">
        <f>IF($A8="","",SUMIFS(tblCajaMov[Monto],tblCajaMov[Concepto],"Retiro del propietario",tblCajaMov[Fecha],"&gt;="&amp;$A8,tblCajaMov[Fecha],"&lt;"&amp;DATE(YEAR($A8),MONTH($A8)+1,1)))</f>
        <v/>
      </c>
      <c r="K8" s="37">
        <f>IF($A8="","",SUMIFS(tblCajaMov[Monto],tblCajaMov[Concepto],"Pago de préstamo",tblCajaMov[Fecha],"&gt;="&amp;$A8,tblCajaMov[Fecha],"&lt;"&amp;DATE(YEAR($A8),MONTH($A8)+1,1)))</f>
        <v/>
      </c>
      <c r="L8" s="37">
        <f>IF($A8="","",SUMIFS(tblCajaMov[Monto],tblCajaMov[Concepto],"Otro egreso",tblCajaMov[Fecha],"&gt;="&amp;$A8,tblCajaMov[Fecha],"&lt;"&amp;DATE(YEAR($A8),MONTH($A8)+1,1)))</f>
        <v/>
      </c>
      <c r="M8" s="49">
        <f>IF($A8="","",SUM($H8:$L8))</f>
        <v/>
      </c>
      <c r="N8" s="49">
        <f>IF($A8="","",$G8-$M8)</f>
        <v/>
      </c>
      <c r="O8" s="49">
        <f>IF($A8="","",$B8+$N8)</f>
        <v/>
      </c>
      <c r="P8" s="37">
        <f>IF($A8="","",RENTABILIDAD!$O$9)</f>
        <v/>
      </c>
      <c r="Q8" s="37">
        <f>IF($A8="","",$P8-$N8)</f>
        <v/>
      </c>
      <c r="R8" s="37">
        <f>IF($A8="","",SUMIFS(tblVentas[Venta neta],tblVentas[Fecha],"&lt;"&amp;DATE(YEAR($A8),MONTH($A8)+1,1))-SUMIFS(tblVentas[Monto cobrado],tblVentas[Fecha de cobro],"&lt;"&amp;DATE(YEAR($A8),MONTH($A8)+1,1)))</f>
        <v/>
      </c>
      <c r="S8" s="37">
        <f>IF($A8="","",SUMIFS(tblCompras[Costo total de adquisición],tblCompras[Fecha],"&lt;"&amp;DATE(YEAR($A8),MONTH($A8)+1,1))+SUMIFS(tblGastos[Monto],tblGastos[Fecha],"&lt;"&amp;DATE(YEAR($A8),MONTH($A8)+1,1))-SUMIFS(tblCompras[Monto pagado],tblCompras[Fecha de pago],"&lt;"&amp;DATE(YEAR($A8),MONTH($A8)+1,1))-SUMIFS(tblGastos[Monto pagado],tblGastos[Fecha de pago],"&lt;"&amp;DATE(YEAR($A8),MONTH($A8)+1,1)))</f>
        <v/>
      </c>
      <c r="U8" s="51">
        <f>IF(COUNTA($V8:$Z8)=0,"","M-"&amp;TEXT(ROW()-6,"0000"))</f>
        <v/>
      </c>
      <c r="V8" s="41" t="n"/>
      <c r="W8" s="33" t="n"/>
      <c r="X8" s="33" t="n"/>
      <c r="Y8" s="33" t="n"/>
      <c r="Z8" s="36" t="n"/>
      <c r="AA8" s="33" t="n"/>
      <c r="AB8" s="33" t="n"/>
      <c r="AC8" s="51">
        <f>IF(COUNTA($V8,$W8,$X8,$Y8,$Z8)=0,"",IF(IF($V8=""," · Falta fecha","")&amp;IF($W8=""," · Falta tipo","")&amp;IF($X8=""," · Falta concepto","")&amp;IF(OR($Z8="",NOT(ISNUMBER($Z8)),$Z8&lt;=0)," · Monto inválido","")&amp;IF(AND($W8="Entrada",OR($X8="Retiro del propietario",$X8="Pago de préstamo",$X8="Otro egreso"))," · Tipo no coincide con el concepto","")&amp;IF(AND($W8="Salida",OR($X8="Aporte de capital",$X8="Préstamo recibido",$X8="Otro ingreso"))," · Tipo no coincide con el concepto","")="","OK",MID(IF($V8=""," · Falta fecha","")&amp;IF($W8=""," · Falta tipo","")&amp;IF($X8=""," · Falta concepto","")&amp;IF(OR($Z8="",NOT(ISNUMBER($Z8)),$Z8&lt;=0)," · Monto inválido","")&amp;IF(AND($W8="Entrada",OR($X8="Retiro del propietario",$X8="Pago de préstamo",$X8="Otro egreso"))," · Tipo no coincide con el concepto","")&amp;IF(AND($W8="Salida",OR($X8="Aporte de capital",$X8="Préstamo recibido",$X8="Otro ingreso"))," · Tipo no coincide con el concepto",""),4,900)))</f>
        <v/>
      </c>
    </row>
    <row r="9">
      <c r="A9" s="55">
        <f>IF(NOT(ISNUMBER(PAR_FECHA_INICIO)),"",DATE(YEAR(PAR_FECHA_INICIO),MONTH(PAR_FECHA_INICIO)+2,1))</f>
        <v/>
      </c>
      <c r="B9" s="37">
        <f>IF($A9="","",$O8)</f>
        <v/>
      </c>
      <c r="C9" s="37">
        <f>IF($A9="","",SUMIFS(tblVentas[Monto cobrado],tblVentas[Fecha de cobro],"&gt;="&amp;$A9,tblVentas[Fecha de cobro],"&lt;"&amp;DATE(YEAR($A9),MONTH($A9)+1,1)))</f>
        <v/>
      </c>
      <c r="D9" s="37">
        <f>IF($A9="","",SUMIFS(tblCajaMov[Monto],tblCajaMov[Concepto],"Aporte de capital",tblCajaMov[Fecha],"&gt;="&amp;$A9,tblCajaMov[Fecha],"&lt;"&amp;DATE(YEAR($A9),MONTH($A9)+1,1)))</f>
        <v/>
      </c>
      <c r="E9" s="37">
        <f>IF($A9="","",SUMIFS(tblCajaMov[Monto],tblCajaMov[Concepto],"Préstamo recibido",tblCajaMov[Fecha],"&gt;="&amp;$A9,tblCajaMov[Fecha],"&lt;"&amp;DATE(YEAR($A9),MONTH($A9)+1,1)))</f>
        <v/>
      </c>
      <c r="F9" s="37">
        <f>IF($A9="","",SUMIFS(tblCajaMov[Monto],tblCajaMov[Concepto],"Otro ingreso",tblCajaMov[Fecha],"&gt;="&amp;$A9,tblCajaMov[Fecha],"&lt;"&amp;DATE(YEAR($A9),MONTH($A9)+1,1)))</f>
        <v/>
      </c>
      <c r="G9" s="49">
        <f>IF($A9="","",SUM($C9:$F9))</f>
        <v/>
      </c>
      <c r="H9" s="37">
        <f>IF($A9="","",SUMIFS(tblCompras[Monto pagado],tblCompras[Fecha de pago],"&gt;="&amp;$A9,tblCompras[Fecha de pago],"&lt;"&amp;DATE(YEAR($A9),MONTH($A9)+1,1)))</f>
        <v/>
      </c>
      <c r="I9" s="37">
        <f>IF($A9="","",SUMIFS(tblGastos[Monto pagado],tblGastos[Fecha de pago],"&gt;="&amp;$A9,tblGastos[Fecha de pago],"&lt;"&amp;DATE(YEAR($A9),MONTH($A9)+1,1)))</f>
        <v/>
      </c>
      <c r="J9" s="37">
        <f>IF($A9="","",SUMIFS(tblCajaMov[Monto],tblCajaMov[Concepto],"Retiro del propietario",tblCajaMov[Fecha],"&gt;="&amp;$A9,tblCajaMov[Fecha],"&lt;"&amp;DATE(YEAR($A9),MONTH($A9)+1,1)))</f>
        <v/>
      </c>
      <c r="K9" s="37">
        <f>IF($A9="","",SUMIFS(tblCajaMov[Monto],tblCajaMov[Concepto],"Pago de préstamo",tblCajaMov[Fecha],"&gt;="&amp;$A9,tblCajaMov[Fecha],"&lt;"&amp;DATE(YEAR($A9),MONTH($A9)+1,1)))</f>
        <v/>
      </c>
      <c r="L9" s="37">
        <f>IF($A9="","",SUMIFS(tblCajaMov[Monto],tblCajaMov[Concepto],"Otro egreso",tblCajaMov[Fecha],"&gt;="&amp;$A9,tblCajaMov[Fecha],"&lt;"&amp;DATE(YEAR($A9),MONTH($A9)+1,1)))</f>
        <v/>
      </c>
      <c r="M9" s="49">
        <f>IF($A9="","",SUM($H9:$L9))</f>
        <v/>
      </c>
      <c r="N9" s="49">
        <f>IF($A9="","",$G9-$M9)</f>
        <v/>
      </c>
      <c r="O9" s="49">
        <f>IF($A9="","",$B9+$N9)</f>
        <v/>
      </c>
      <c r="P9" s="37">
        <f>IF($A9="","",RENTABILIDAD!$O$10)</f>
        <v/>
      </c>
      <c r="Q9" s="37">
        <f>IF($A9="","",$P9-$N9)</f>
        <v/>
      </c>
      <c r="R9" s="37">
        <f>IF($A9="","",SUMIFS(tblVentas[Venta neta],tblVentas[Fecha],"&lt;"&amp;DATE(YEAR($A9),MONTH($A9)+1,1))-SUMIFS(tblVentas[Monto cobrado],tblVentas[Fecha de cobro],"&lt;"&amp;DATE(YEAR($A9),MONTH($A9)+1,1)))</f>
        <v/>
      </c>
      <c r="S9" s="37">
        <f>IF($A9="","",SUMIFS(tblCompras[Costo total de adquisición],tblCompras[Fecha],"&lt;"&amp;DATE(YEAR($A9),MONTH($A9)+1,1))+SUMIFS(tblGastos[Monto],tblGastos[Fecha],"&lt;"&amp;DATE(YEAR($A9),MONTH($A9)+1,1))-SUMIFS(tblCompras[Monto pagado],tblCompras[Fecha de pago],"&lt;"&amp;DATE(YEAR($A9),MONTH($A9)+1,1))-SUMIFS(tblGastos[Monto pagado],tblGastos[Fecha de pago],"&lt;"&amp;DATE(YEAR($A9),MONTH($A9)+1,1)))</f>
        <v/>
      </c>
      <c r="U9" s="51">
        <f>IF(COUNTA($V9:$Z9)=0,"","M-"&amp;TEXT(ROW()-6,"0000"))</f>
        <v/>
      </c>
      <c r="V9" s="41" t="n"/>
      <c r="W9" s="33" t="n"/>
      <c r="X9" s="33" t="n"/>
      <c r="Y9" s="33" t="n"/>
      <c r="Z9" s="36" t="n"/>
      <c r="AA9" s="33" t="n"/>
      <c r="AB9" s="33" t="n"/>
      <c r="AC9" s="51">
        <f>IF(COUNTA($V9,$W9,$X9,$Y9,$Z9)=0,"",IF(IF($V9=""," · Falta fecha","")&amp;IF($W9=""," · Falta tipo","")&amp;IF($X9=""," · Falta concepto","")&amp;IF(OR($Z9="",NOT(ISNUMBER($Z9)),$Z9&lt;=0)," · Monto inválido","")&amp;IF(AND($W9="Entrada",OR($X9="Retiro del propietario",$X9="Pago de préstamo",$X9="Otro egreso"))," · Tipo no coincide con el concepto","")&amp;IF(AND($W9="Salida",OR($X9="Aporte de capital",$X9="Préstamo recibido",$X9="Otro ingreso"))," · Tipo no coincide con el concepto","")="","OK",MID(IF($V9=""," · Falta fecha","")&amp;IF($W9=""," · Falta tipo","")&amp;IF($X9=""," · Falta concepto","")&amp;IF(OR($Z9="",NOT(ISNUMBER($Z9)),$Z9&lt;=0)," · Monto inválido","")&amp;IF(AND($W9="Entrada",OR($X9="Retiro del propietario",$X9="Pago de préstamo",$X9="Otro egreso"))," · Tipo no coincide con el concepto","")&amp;IF(AND($W9="Salida",OR($X9="Aporte de capital",$X9="Préstamo recibido",$X9="Otro ingreso"))," · Tipo no coincide con el concepto",""),4,900)))</f>
        <v/>
      </c>
    </row>
    <row r="10">
      <c r="A10" s="55">
        <f>IF(NOT(ISNUMBER(PAR_FECHA_INICIO)),"",DATE(YEAR(PAR_FECHA_INICIO),MONTH(PAR_FECHA_INICIO)+3,1))</f>
        <v/>
      </c>
      <c r="B10" s="37">
        <f>IF($A10="","",$O9)</f>
        <v/>
      </c>
      <c r="C10" s="37">
        <f>IF($A10="","",SUMIFS(tblVentas[Monto cobrado],tblVentas[Fecha de cobro],"&gt;="&amp;$A10,tblVentas[Fecha de cobro],"&lt;"&amp;DATE(YEAR($A10),MONTH($A10)+1,1)))</f>
        <v/>
      </c>
      <c r="D10" s="37">
        <f>IF($A10="","",SUMIFS(tblCajaMov[Monto],tblCajaMov[Concepto],"Aporte de capital",tblCajaMov[Fecha],"&gt;="&amp;$A10,tblCajaMov[Fecha],"&lt;"&amp;DATE(YEAR($A10),MONTH($A10)+1,1)))</f>
        <v/>
      </c>
      <c r="E10" s="37">
        <f>IF($A10="","",SUMIFS(tblCajaMov[Monto],tblCajaMov[Concepto],"Préstamo recibido",tblCajaMov[Fecha],"&gt;="&amp;$A10,tblCajaMov[Fecha],"&lt;"&amp;DATE(YEAR($A10),MONTH($A10)+1,1)))</f>
        <v/>
      </c>
      <c r="F10" s="37">
        <f>IF($A10="","",SUMIFS(tblCajaMov[Monto],tblCajaMov[Concepto],"Otro ingreso",tblCajaMov[Fecha],"&gt;="&amp;$A10,tblCajaMov[Fecha],"&lt;"&amp;DATE(YEAR($A10),MONTH($A10)+1,1)))</f>
        <v/>
      </c>
      <c r="G10" s="49">
        <f>IF($A10="","",SUM($C10:$F10))</f>
        <v/>
      </c>
      <c r="H10" s="37">
        <f>IF($A10="","",SUMIFS(tblCompras[Monto pagado],tblCompras[Fecha de pago],"&gt;="&amp;$A10,tblCompras[Fecha de pago],"&lt;"&amp;DATE(YEAR($A10),MONTH($A10)+1,1)))</f>
        <v/>
      </c>
      <c r="I10" s="37">
        <f>IF($A10="","",SUMIFS(tblGastos[Monto pagado],tblGastos[Fecha de pago],"&gt;="&amp;$A10,tblGastos[Fecha de pago],"&lt;"&amp;DATE(YEAR($A10),MONTH($A10)+1,1)))</f>
        <v/>
      </c>
      <c r="J10" s="37">
        <f>IF($A10="","",SUMIFS(tblCajaMov[Monto],tblCajaMov[Concepto],"Retiro del propietario",tblCajaMov[Fecha],"&gt;="&amp;$A10,tblCajaMov[Fecha],"&lt;"&amp;DATE(YEAR($A10),MONTH($A10)+1,1)))</f>
        <v/>
      </c>
      <c r="K10" s="37">
        <f>IF($A10="","",SUMIFS(tblCajaMov[Monto],tblCajaMov[Concepto],"Pago de préstamo",tblCajaMov[Fecha],"&gt;="&amp;$A10,tblCajaMov[Fecha],"&lt;"&amp;DATE(YEAR($A10),MONTH($A10)+1,1)))</f>
        <v/>
      </c>
      <c r="L10" s="37">
        <f>IF($A10="","",SUMIFS(tblCajaMov[Monto],tblCajaMov[Concepto],"Otro egreso",tblCajaMov[Fecha],"&gt;="&amp;$A10,tblCajaMov[Fecha],"&lt;"&amp;DATE(YEAR($A10),MONTH($A10)+1,1)))</f>
        <v/>
      </c>
      <c r="M10" s="49">
        <f>IF($A10="","",SUM($H10:$L10))</f>
        <v/>
      </c>
      <c r="N10" s="49">
        <f>IF($A10="","",$G10-$M10)</f>
        <v/>
      </c>
      <c r="O10" s="49">
        <f>IF($A10="","",$B10+$N10)</f>
        <v/>
      </c>
      <c r="P10" s="37">
        <f>IF($A10="","",RENTABILIDAD!$O$11)</f>
        <v/>
      </c>
      <c r="Q10" s="37">
        <f>IF($A10="","",$P10-$N10)</f>
        <v/>
      </c>
      <c r="R10" s="37">
        <f>IF($A10="","",SUMIFS(tblVentas[Venta neta],tblVentas[Fecha],"&lt;"&amp;DATE(YEAR($A10),MONTH($A10)+1,1))-SUMIFS(tblVentas[Monto cobrado],tblVentas[Fecha de cobro],"&lt;"&amp;DATE(YEAR($A10),MONTH($A10)+1,1)))</f>
        <v/>
      </c>
      <c r="S10" s="37">
        <f>IF($A10="","",SUMIFS(tblCompras[Costo total de adquisición],tblCompras[Fecha],"&lt;"&amp;DATE(YEAR($A10),MONTH($A10)+1,1))+SUMIFS(tblGastos[Monto],tblGastos[Fecha],"&lt;"&amp;DATE(YEAR($A10),MONTH($A10)+1,1))-SUMIFS(tblCompras[Monto pagado],tblCompras[Fecha de pago],"&lt;"&amp;DATE(YEAR($A10),MONTH($A10)+1,1))-SUMIFS(tblGastos[Monto pagado],tblGastos[Fecha de pago],"&lt;"&amp;DATE(YEAR($A10),MONTH($A10)+1,1)))</f>
        <v/>
      </c>
      <c r="U10" s="51">
        <f>IF(COUNTA($V10:$Z10)=0,"","M-"&amp;TEXT(ROW()-6,"0000"))</f>
        <v/>
      </c>
      <c r="V10" s="41" t="n"/>
      <c r="W10" s="33" t="n"/>
      <c r="X10" s="33" t="n"/>
      <c r="Y10" s="33" t="n"/>
      <c r="Z10" s="36" t="n"/>
      <c r="AA10" s="33" t="n"/>
      <c r="AB10" s="33" t="n"/>
      <c r="AC10" s="51">
        <f>IF(COUNTA($V10,$W10,$X10,$Y10,$Z10)=0,"",IF(IF($V10=""," · Falta fecha","")&amp;IF($W10=""," · Falta tipo","")&amp;IF($X10=""," · Falta concepto","")&amp;IF(OR($Z10="",NOT(ISNUMBER($Z10)),$Z10&lt;=0)," · Monto inválido","")&amp;IF(AND($W10="Entrada",OR($X10="Retiro del propietario",$X10="Pago de préstamo",$X10="Otro egreso"))," · Tipo no coincide con el concepto","")&amp;IF(AND($W10="Salida",OR($X10="Aporte de capital",$X10="Préstamo recibido",$X10="Otro ingreso"))," · Tipo no coincide con el concepto","")="","OK",MID(IF($V10=""," · Falta fecha","")&amp;IF($W10=""," · Falta tipo","")&amp;IF($X10=""," · Falta concepto","")&amp;IF(OR($Z10="",NOT(ISNUMBER($Z10)),$Z10&lt;=0)," · Monto inválido","")&amp;IF(AND($W10="Entrada",OR($X10="Retiro del propietario",$X10="Pago de préstamo",$X10="Otro egreso"))," · Tipo no coincide con el concepto","")&amp;IF(AND($W10="Salida",OR($X10="Aporte de capital",$X10="Préstamo recibido",$X10="Otro ingreso"))," · Tipo no coincide con el concepto",""),4,900)))</f>
        <v/>
      </c>
    </row>
    <row r="11">
      <c r="A11" s="55">
        <f>IF(NOT(ISNUMBER(PAR_FECHA_INICIO)),"",DATE(YEAR(PAR_FECHA_INICIO),MONTH(PAR_FECHA_INICIO)+4,1))</f>
        <v/>
      </c>
      <c r="B11" s="37">
        <f>IF($A11="","",$O10)</f>
        <v/>
      </c>
      <c r="C11" s="37">
        <f>IF($A11="","",SUMIFS(tblVentas[Monto cobrado],tblVentas[Fecha de cobro],"&gt;="&amp;$A11,tblVentas[Fecha de cobro],"&lt;"&amp;DATE(YEAR($A11),MONTH($A11)+1,1)))</f>
        <v/>
      </c>
      <c r="D11" s="37">
        <f>IF($A11="","",SUMIFS(tblCajaMov[Monto],tblCajaMov[Concepto],"Aporte de capital",tblCajaMov[Fecha],"&gt;="&amp;$A11,tblCajaMov[Fecha],"&lt;"&amp;DATE(YEAR($A11),MONTH($A11)+1,1)))</f>
        <v/>
      </c>
      <c r="E11" s="37">
        <f>IF($A11="","",SUMIFS(tblCajaMov[Monto],tblCajaMov[Concepto],"Préstamo recibido",tblCajaMov[Fecha],"&gt;="&amp;$A11,tblCajaMov[Fecha],"&lt;"&amp;DATE(YEAR($A11),MONTH($A11)+1,1)))</f>
        <v/>
      </c>
      <c r="F11" s="37">
        <f>IF($A11="","",SUMIFS(tblCajaMov[Monto],tblCajaMov[Concepto],"Otro ingreso",tblCajaMov[Fecha],"&gt;="&amp;$A11,tblCajaMov[Fecha],"&lt;"&amp;DATE(YEAR($A11),MONTH($A11)+1,1)))</f>
        <v/>
      </c>
      <c r="G11" s="49">
        <f>IF($A11="","",SUM($C11:$F11))</f>
        <v/>
      </c>
      <c r="H11" s="37">
        <f>IF($A11="","",SUMIFS(tblCompras[Monto pagado],tblCompras[Fecha de pago],"&gt;="&amp;$A11,tblCompras[Fecha de pago],"&lt;"&amp;DATE(YEAR($A11),MONTH($A11)+1,1)))</f>
        <v/>
      </c>
      <c r="I11" s="37">
        <f>IF($A11="","",SUMIFS(tblGastos[Monto pagado],tblGastos[Fecha de pago],"&gt;="&amp;$A11,tblGastos[Fecha de pago],"&lt;"&amp;DATE(YEAR($A11),MONTH($A11)+1,1)))</f>
        <v/>
      </c>
      <c r="J11" s="37">
        <f>IF($A11="","",SUMIFS(tblCajaMov[Monto],tblCajaMov[Concepto],"Retiro del propietario",tblCajaMov[Fecha],"&gt;="&amp;$A11,tblCajaMov[Fecha],"&lt;"&amp;DATE(YEAR($A11),MONTH($A11)+1,1)))</f>
        <v/>
      </c>
      <c r="K11" s="37">
        <f>IF($A11="","",SUMIFS(tblCajaMov[Monto],tblCajaMov[Concepto],"Pago de préstamo",tblCajaMov[Fecha],"&gt;="&amp;$A11,tblCajaMov[Fecha],"&lt;"&amp;DATE(YEAR($A11),MONTH($A11)+1,1)))</f>
        <v/>
      </c>
      <c r="L11" s="37">
        <f>IF($A11="","",SUMIFS(tblCajaMov[Monto],tblCajaMov[Concepto],"Otro egreso",tblCajaMov[Fecha],"&gt;="&amp;$A11,tblCajaMov[Fecha],"&lt;"&amp;DATE(YEAR($A11),MONTH($A11)+1,1)))</f>
        <v/>
      </c>
      <c r="M11" s="49">
        <f>IF($A11="","",SUM($H11:$L11))</f>
        <v/>
      </c>
      <c r="N11" s="49">
        <f>IF($A11="","",$G11-$M11)</f>
        <v/>
      </c>
      <c r="O11" s="49">
        <f>IF($A11="","",$B11+$N11)</f>
        <v/>
      </c>
      <c r="P11" s="37">
        <f>IF($A11="","",RENTABILIDAD!$O$12)</f>
        <v/>
      </c>
      <c r="Q11" s="37">
        <f>IF($A11="","",$P11-$N11)</f>
        <v/>
      </c>
      <c r="R11" s="37">
        <f>IF($A11="","",SUMIFS(tblVentas[Venta neta],tblVentas[Fecha],"&lt;"&amp;DATE(YEAR($A11),MONTH($A11)+1,1))-SUMIFS(tblVentas[Monto cobrado],tblVentas[Fecha de cobro],"&lt;"&amp;DATE(YEAR($A11),MONTH($A11)+1,1)))</f>
        <v/>
      </c>
      <c r="S11" s="37">
        <f>IF($A11="","",SUMIFS(tblCompras[Costo total de adquisición],tblCompras[Fecha],"&lt;"&amp;DATE(YEAR($A11),MONTH($A11)+1,1))+SUMIFS(tblGastos[Monto],tblGastos[Fecha],"&lt;"&amp;DATE(YEAR($A11),MONTH($A11)+1,1))-SUMIFS(tblCompras[Monto pagado],tblCompras[Fecha de pago],"&lt;"&amp;DATE(YEAR($A11),MONTH($A11)+1,1))-SUMIFS(tblGastos[Monto pagado],tblGastos[Fecha de pago],"&lt;"&amp;DATE(YEAR($A11),MONTH($A11)+1,1)))</f>
        <v/>
      </c>
      <c r="U11" s="51">
        <f>IF(COUNTA($V11:$Z11)=0,"","M-"&amp;TEXT(ROW()-6,"0000"))</f>
        <v/>
      </c>
      <c r="V11" s="41" t="n"/>
      <c r="W11" s="33" t="n"/>
      <c r="X11" s="33" t="n"/>
      <c r="Y11" s="33" t="n"/>
      <c r="Z11" s="36" t="n"/>
      <c r="AA11" s="33" t="n"/>
      <c r="AB11" s="33" t="n"/>
      <c r="AC11" s="51">
        <f>IF(COUNTA($V11,$W11,$X11,$Y11,$Z11)=0,"",IF(IF($V11=""," · Falta fecha","")&amp;IF($W11=""," · Falta tipo","")&amp;IF($X11=""," · Falta concepto","")&amp;IF(OR($Z11="",NOT(ISNUMBER($Z11)),$Z11&lt;=0)," · Monto inválido","")&amp;IF(AND($W11="Entrada",OR($X11="Retiro del propietario",$X11="Pago de préstamo",$X11="Otro egreso"))," · Tipo no coincide con el concepto","")&amp;IF(AND($W11="Salida",OR($X11="Aporte de capital",$X11="Préstamo recibido",$X11="Otro ingreso"))," · Tipo no coincide con el concepto","")="","OK",MID(IF($V11=""," · Falta fecha","")&amp;IF($W11=""," · Falta tipo","")&amp;IF($X11=""," · Falta concepto","")&amp;IF(OR($Z11="",NOT(ISNUMBER($Z11)),$Z11&lt;=0)," · Monto inválido","")&amp;IF(AND($W11="Entrada",OR($X11="Retiro del propietario",$X11="Pago de préstamo",$X11="Otro egreso"))," · Tipo no coincide con el concepto","")&amp;IF(AND($W11="Salida",OR($X11="Aporte de capital",$X11="Préstamo recibido",$X11="Otro ingreso"))," · Tipo no coincide con el concepto",""),4,900)))</f>
        <v/>
      </c>
    </row>
    <row r="12">
      <c r="A12" s="55">
        <f>IF(NOT(ISNUMBER(PAR_FECHA_INICIO)),"",DATE(YEAR(PAR_FECHA_INICIO),MONTH(PAR_FECHA_INICIO)+5,1))</f>
        <v/>
      </c>
      <c r="B12" s="37">
        <f>IF($A12="","",$O11)</f>
        <v/>
      </c>
      <c r="C12" s="37">
        <f>IF($A12="","",SUMIFS(tblVentas[Monto cobrado],tblVentas[Fecha de cobro],"&gt;="&amp;$A12,tblVentas[Fecha de cobro],"&lt;"&amp;DATE(YEAR($A12),MONTH($A12)+1,1)))</f>
        <v/>
      </c>
      <c r="D12" s="37">
        <f>IF($A12="","",SUMIFS(tblCajaMov[Monto],tblCajaMov[Concepto],"Aporte de capital",tblCajaMov[Fecha],"&gt;="&amp;$A12,tblCajaMov[Fecha],"&lt;"&amp;DATE(YEAR($A12),MONTH($A12)+1,1)))</f>
        <v/>
      </c>
      <c r="E12" s="37">
        <f>IF($A12="","",SUMIFS(tblCajaMov[Monto],tblCajaMov[Concepto],"Préstamo recibido",tblCajaMov[Fecha],"&gt;="&amp;$A12,tblCajaMov[Fecha],"&lt;"&amp;DATE(YEAR($A12),MONTH($A12)+1,1)))</f>
        <v/>
      </c>
      <c r="F12" s="37">
        <f>IF($A12="","",SUMIFS(tblCajaMov[Monto],tblCajaMov[Concepto],"Otro ingreso",tblCajaMov[Fecha],"&gt;="&amp;$A12,tblCajaMov[Fecha],"&lt;"&amp;DATE(YEAR($A12),MONTH($A12)+1,1)))</f>
        <v/>
      </c>
      <c r="G12" s="49">
        <f>IF($A12="","",SUM($C12:$F12))</f>
        <v/>
      </c>
      <c r="H12" s="37">
        <f>IF($A12="","",SUMIFS(tblCompras[Monto pagado],tblCompras[Fecha de pago],"&gt;="&amp;$A12,tblCompras[Fecha de pago],"&lt;"&amp;DATE(YEAR($A12),MONTH($A12)+1,1)))</f>
        <v/>
      </c>
      <c r="I12" s="37">
        <f>IF($A12="","",SUMIFS(tblGastos[Monto pagado],tblGastos[Fecha de pago],"&gt;="&amp;$A12,tblGastos[Fecha de pago],"&lt;"&amp;DATE(YEAR($A12),MONTH($A12)+1,1)))</f>
        <v/>
      </c>
      <c r="J12" s="37">
        <f>IF($A12="","",SUMIFS(tblCajaMov[Monto],tblCajaMov[Concepto],"Retiro del propietario",tblCajaMov[Fecha],"&gt;="&amp;$A12,tblCajaMov[Fecha],"&lt;"&amp;DATE(YEAR($A12),MONTH($A12)+1,1)))</f>
        <v/>
      </c>
      <c r="K12" s="37">
        <f>IF($A12="","",SUMIFS(tblCajaMov[Monto],tblCajaMov[Concepto],"Pago de préstamo",tblCajaMov[Fecha],"&gt;="&amp;$A12,tblCajaMov[Fecha],"&lt;"&amp;DATE(YEAR($A12),MONTH($A12)+1,1)))</f>
        <v/>
      </c>
      <c r="L12" s="37">
        <f>IF($A12="","",SUMIFS(tblCajaMov[Monto],tblCajaMov[Concepto],"Otro egreso",tblCajaMov[Fecha],"&gt;="&amp;$A12,tblCajaMov[Fecha],"&lt;"&amp;DATE(YEAR($A12),MONTH($A12)+1,1)))</f>
        <v/>
      </c>
      <c r="M12" s="49">
        <f>IF($A12="","",SUM($H12:$L12))</f>
        <v/>
      </c>
      <c r="N12" s="49">
        <f>IF($A12="","",$G12-$M12)</f>
        <v/>
      </c>
      <c r="O12" s="49">
        <f>IF($A12="","",$B12+$N12)</f>
        <v/>
      </c>
      <c r="P12" s="37">
        <f>IF($A12="","",RENTABILIDAD!$O$13)</f>
        <v/>
      </c>
      <c r="Q12" s="37">
        <f>IF($A12="","",$P12-$N12)</f>
        <v/>
      </c>
      <c r="R12" s="37">
        <f>IF($A12="","",SUMIFS(tblVentas[Venta neta],tblVentas[Fecha],"&lt;"&amp;DATE(YEAR($A12),MONTH($A12)+1,1))-SUMIFS(tblVentas[Monto cobrado],tblVentas[Fecha de cobro],"&lt;"&amp;DATE(YEAR($A12),MONTH($A12)+1,1)))</f>
        <v/>
      </c>
      <c r="S12" s="37">
        <f>IF($A12="","",SUMIFS(tblCompras[Costo total de adquisición],tblCompras[Fecha],"&lt;"&amp;DATE(YEAR($A12),MONTH($A12)+1,1))+SUMIFS(tblGastos[Monto],tblGastos[Fecha],"&lt;"&amp;DATE(YEAR($A12),MONTH($A12)+1,1))-SUMIFS(tblCompras[Monto pagado],tblCompras[Fecha de pago],"&lt;"&amp;DATE(YEAR($A12),MONTH($A12)+1,1))-SUMIFS(tblGastos[Monto pagado],tblGastos[Fecha de pago],"&lt;"&amp;DATE(YEAR($A12),MONTH($A12)+1,1)))</f>
        <v/>
      </c>
      <c r="U12" s="51">
        <f>IF(COUNTA($V12:$Z12)=0,"","M-"&amp;TEXT(ROW()-6,"0000"))</f>
        <v/>
      </c>
      <c r="V12" s="41" t="n"/>
      <c r="W12" s="33" t="n"/>
      <c r="X12" s="33" t="n"/>
      <c r="Y12" s="33" t="n"/>
      <c r="Z12" s="36" t="n"/>
      <c r="AA12" s="33" t="n"/>
      <c r="AB12" s="33" t="n"/>
      <c r="AC12" s="51">
        <f>IF(COUNTA($V12,$W12,$X12,$Y12,$Z12)=0,"",IF(IF($V12=""," · Falta fecha","")&amp;IF($W12=""," · Falta tipo","")&amp;IF($X12=""," · Falta concepto","")&amp;IF(OR($Z12="",NOT(ISNUMBER($Z12)),$Z12&lt;=0)," · Monto inválido","")&amp;IF(AND($W12="Entrada",OR($X12="Retiro del propietario",$X12="Pago de préstamo",$X12="Otro egreso"))," · Tipo no coincide con el concepto","")&amp;IF(AND($W12="Salida",OR($X12="Aporte de capital",$X12="Préstamo recibido",$X12="Otro ingreso"))," · Tipo no coincide con el concepto","")="","OK",MID(IF($V12=""," · Falta fecha","")&amp;IF($W12=""," · Falta tipo","")&amp;IF($X12=""," · Falta concepto","")&amp;IF(OR($Z12="",NOT(ISNUMBER($Z12)),$Z12&lt;=0)," · Monto inválido","")&amp;IF(AND($W12="Entrada",OR($X12="Retiro del propietario",$X12="Pago de préstamo",$X12="Otro egreso"))," · Tipo no coincide con el concepto","")&amp;IF(AND($W12="Salida",OR($X12="Aporte de capital",$X12="Préstamo recibido",$X12="Otro ingreso"))," · Tipo no coincide con el concepto",""),4,900)))</f>
        <v/>
      </c>
    </row>
    <row r="13">
      <c r="A13" s="55">
        <f>IF(NOT(ISNUMBER(PAR_FECHA_INICIO)),"",DATE(YEAR(PAR_FECHA_INICIO),MONTH(PAR_FECHA_INICIO)+6,1))</f>
        <v/>
      </c>
      <c r="B13" s="37">
        <f>IF($A13="","",$O12)</f>
        <v/>
      </c>
      <c r="C13" s="37">
        <f>IF($A13="","",SUMIFS(tblVentas[Monto cobrado],tblVentas[Fecha de cobro],"&gt;="&amp;$A13,tblVentas[Fecha de cobro],"&lt;"&amp;DATE(YEAR($A13),MONTH($A13)+1,1)))</f>
        <v/>
      </c>
      <c r="D13" s="37">
        <f>IF($A13="","",SUMIFS(tblCajaMov[Monto],tblCajaMov[Concepto],"Aporte de capital",tblCajaMov[Fecha],"&gt;="&amp;$A13,tblCajaMov[Fecha],"&lt;"&amp;DATE(YEAR($A13),MONTH($A13)+1,1)))</f>
        <v/>
      </c>
      <c r="E13" s="37">
        <f>IF($A13="","",SUMIFS(tblCajaMov[Monto],tblCajaMov[Concepto],"Préstamo recibido",tblCajaMov[Fecha],"&gt;="&amp;$A13,tblCajaMov[Fecha],"&lt;"&amp;DATE(YEAR($A13),MONTH($A13)+1,1)))</f>
        <v/>
      </c>
      <c r="F13" s="37">
        <f>IF($A13="","",SUMIFS(tblCajaMov[Monto],tblCajaMov[Concepto],"Otro ingreso",tblCajaMov[Fecha],"&gt;="&amp;$A13,tblCajaMov[Fecha],"&lt;"&amp;DATE(YEAR($A13),MONTH($A13)+1,1)))</f>
        <v/>
      </c>
      <c r="G13" s="49">
        <f>IF($A13="","",SUM($C13:$F13))</f>
        <v/>
      </c>
      <c r="H13" s="37">
        <f>IF($A13="","",SUMIFS(tblCompras[Monto pagado],tblCompras[Fecha de pago],"&gt;="&amp;$A13,tblCompras[Fecha de pago],"&lt;"&amp;DATE(YEAR($A13),MONTH($A13)+1,1)))</f>
        <v/>
      </c>
      <c r="I13" s="37">
        <f>IF($A13="","",SUMIFS(tblGastos[Monto pagado],tblGastos[Fecha de pago],"&gt;="&amp;$A13,tblGastos[Fecha de pago],"&lt;"&amp;DATE(YEAR($A13),MONTH($A13)+1,1)))</f>
        <v/>
      </c>
      <c r="J13" s="37">
        <f>IF($A13="","",SUMIFS(tblCajaMov[Monto],tblCajaMov[Concepto],"Retiro del propietario",tblCajaMov[Fecha],"&gt;="&amp;$A13,tblCajaMov[Fecha],"&lt;"&amp;DATE(YEAR($A13),MONTH($A13)+1,1)))</f>
        <v/>
      </c>
      <c r="K13" s="37">
        <f>IF($A13="","",SUMIFS(tblCajaMov[Monto],tblCajaMov[Concepto],"Pago de préstamo",tblCajaMov[Fecha],"&gt;="&amp;$A13,tblCajaMov[Fecha],"&lt;"&amp;DATE(YEAR($A13),MONTH($A13)+1,1)))</f>
        <v/>
      </c>
      <c r="L13" s="37">
        <f>IF($A13="","",SUMIFS(tblCajaMov[Monto],tblCajaMov[Concepto],"Otro egreso",tblCajaMov[Fecha],"&gt;="&amp;$A13,tblCajaMov[Fecha],"&lt;"&amp;DATE(YEAR($A13),MONTH($A13)+1,1)))</f>
        <v/>
      </c>
      <c r="M13" s="49">
        <f>IF($A13="","",SUM($H13:$L13))</f>
        <v/>
      </c>
      <c r="N13" s="49">
        <f>IF($A13="","",$G13-$M13)</f>
        <v/>
      </c>
      <c r="O13" s="49">
        <f>IF($A13="","",$B13+$N13)</f>
        <v/>
      </c>
      <c r="P13" s="37">
        <f>IF($A13="","",RENTABILIDAD!$O$14)</f>
        <v/>
      </c>
      <c r="Q13" s="37">
        <f>IF($A13="","",$P13-$N13)</f>
        <v/>
      </c>
      <c r="R13" s="37">
        <f>IF($A13="","",SUMIFS(tblVentas[Venta neta],tblVentas[Fecha],"&lt;"&amp;DATE(YEAR($A13),MONTH($A13)+1,1))-SUMIFS(tblVentas[Monto cobrado],tblVentas[Fecha de cobro],"&lt;"&amp;DATE(YEAR($A13),MONTH($A13)+1,1)))</f>
        <v/>
      </c>
      <c r="S13" s="37">
        <f>IF($A13="","",SUMIFS(tblCompras[Costo total de adquisición],tblCompras[Fecha],"&lt;"&amp;DATE(YEAR($A13),MONTH($A13)+1,1))+SUMIFS(tblGastos[Monto],tblGastos[Fecha],"&lt;"&amp;DATE(YEAR($A13),MONTH($A13)+1,1))-SUMIFS(tblCompras[Monto pagado],tblCompras[Fecha de pago],"&lt;"&amp;DATE(YEAR($A13),MONTH($A13)+1,1))-SUMIFS(tblGastos[Monto pagado],tblGastos[Fecha de pago],"&lt;"&amp;DATE(YEAR($A13),MONTH($A13)+1,1)))</f>
        <v/>
      </c>
      <c r="U13" s="51">
        <f>IF(COUNTA($V13:$Z13)=0,"","M-"&amp;TEXT(ROW()-6,"0000"))</f>
        <v/>
      </c>
      <c r="V13" s="41" t="n"/>
      <c r="W13" s="33" t="n"/>
      <c r="X13" s="33" t="n"/>
      <c r="Y13" s="33" t="n"/>
      <c r="Z13" s="36" t="n"/>
      <c r="AA13" s="33" t="n"/>
      <c r="AB13" s="33" t="n"/>
      <c r="AC13" s="51">
        <f>IF(COUNTA($V13,$W13,$X13,$Y13,$Z13)=0,"",IF(IF($V13=""," · Falta fecha","")&amp;IF($W13=""," · Falta tipo","")&amp;IF($X13=""," · Falta concepto","")&amp;IF(OR($Z13="",NOT(ISNUMBER($Z13)),$Z13&lt;=0)," · Monto inválido","")&amp;IF(AND($W13="Entrada",OR($X13="Retiro del propietario",$X13="Pago de préstamo",$X13="Otro egreso"))," · Tipo no coincide con el concepto","")&amp;IF(AND($W13="Salida",OR($X13="Aporte de capital",$X13="Préstamo recibido",$X13="Otro ingreso"))," · Tipo no coincide con el concepto","")="","OK",MID(IF($V13=""," · Falta fecha","")&amp;IF($W13=""," · Falta tipo","")&amp;IF($X13=""," · Falta concepto","")&amp;IF(OR($Z13="",NOT(ISNUMBER($Z13)),$Z13&lt;=0)," · Monto inválido","")&amp;IF(AND($W13="Entrada",OR($X13="Retiro del propietario",$X13="Pago de préstamo",$X13="Otro egreso"))," · Tipo no coincide con el concepto","")&amp;IF(AND($W13="Salida",OR($X13="Aporte de capital",$X13="Préstamo recibido",$X13="Otro ingreso"))," · Tipo no coincide con el concepto",""),4,900)))</f>
        <v/>
      </c>
    </row>
    <row r="14">
      <c r="A14" s="55">
        <f>IF(NOT(ISNUMBER(PAR_FECHA_INICIO)),"",DATE(YEAR(PAR_FECHA_INICIO),MONTH(PAR_FECHA_INICIO)+7,1))</f>
        <v/>
      </c>
      <c r="B14" s="37">
        <f>IF($A14="","",$O13)</f>
        <v/>
      </c>
      <c r="C14" s="37">
        <f>IF($A14="","",SUMIFS(tblVentas[Monto cobrado],tblVentas[Fecha de cobro],"&gt;="&amp;$A14,tblVentas[Fecha de cobro],"&lt;"&amp;DATE(YEAR($A14),MONTH($A14)+1,1)))</f>
        <v/>
      </c>
      <c r="D14" s="37">
        <f>IF($A14="","",SUMIFS(tblCajaMov[Monto],tblCajaMov[Concepto],"Aporte de capital",tblCajaMov[Fecha],"&gt;="&amp;$A14,tblCajaMov[Fecha],"&lt;"&amp;DATE(YEAR($A14),MONTH($A14)+1,1)))</f>
        <v/>
      </c>
      <c r="E14" s="37">
        <f>IF($A14="","",SUMIFS(tblCajaMov[Monto],tblCajaMov[Concepto],"Préstamo recibido",tblCajaMov[Fecha],"&gt;="&amp;$A14,tblCajaMov[Fecha],"&lt;"&amp;DATE(YEAR($A14),MONTH($A14)+1,1)))</f>
        <v/>
      </c>
      <c r="F14" s="37">
        <f>IF($A14="","",SUMIFS(tblCajaMov[Monto],tblCajaMov[Concepto],"Otro ingreso",tblCajaMov[Fecha],"&gt;="&amp;$A14,tblCajaMov[Fecha],"&lt;"&amp;DATE(YEAR($A14),MONTH($A14)+1,1)))</f>
        <v/>
      </c>
      <c r="G14" s="49">
        <f>IF($A14="","",SUM($C14:$F14))</f>
        <v/>
      </c>
      <c r="H14" s="37">
        <f>IF($A14="","",SUMIFS(tblCompras[Monto pagado],tblCompras[Fecha de pago],"&gt;="&amp;$A14,tblCompras[Fecha de pago],"&lt;"&amp;DATE(YEAR($A14),MONTH($A14)+1,1)))</f>
        <v/>
      </c>
      <c r="I14" s="37">
        <f>IF($A14="","",SUMIFS(tblGastos[Monto pagado],tblGastos[Fecha de pago],"&gt;="&amp;$A14,tblGastos[Fecha de pago],"&lt;"&amp;DATE(YEAR($A14),MONTH($A14)+1,1)))</f>
        <v/>
      </c>
      <c r="J14" s="37">
        <f>IF($A14="","",SUMIFS(tblCajaMov[Monto],tblCajaMov[Concepto],"Retiro del propietario",tblCajaMov[Fecha],"&gt;="&amp;$A14,tblCajaMov[Fecha],"&lt;"&amp;DATE(YEAR($A14),MONTH($A14)+1,1)))</f>
        <v/>
      </c>
      <c r="K14" s="37">
        <f>IF($A14="","",SUMIFS(tblCajaMov[Monto],tblCajaMov[Concepto],"Pago de préstamo",tblCajaMov[Fecha],"&gt;="&amp;$A14,tblCajaMov[Fecha],"&lt;"&amp;DATE(YEAR($A14),MONTH($A14)+1,1)))</f>
        <v/>
      </c>
      <c r="L14" s="37">
        <f>IF($A14="","",SUMIFS(tblCajaMov[Monto],tblCajaMov[Concepto],"Otro egreso",tblCajaMov[Fecha],"&gt;="&amp;$A14,tblCajaMov[Fecha],"&lt;"&amp;DATE(YEAR($A14),MONTH($A14)+1,1)))</f>
        <v/>
      </c>
      <c r="M14" s="49">
        <f>IF($A14="","",SUM($H14:$L14))</f>
        <v/>
      </c>
      <c r="N14" s="49">
        <f>IF($A14="","",$G14-$M14)</f>
        <v/>
      </c>
      <c r="O14" s="49">
        <f>IF($A14="","",$B14+$N14)</f>
        <v/>
      </c>
      <c r="P14" s="37">
        <f>IF($A14="","",RENTABILIDAD!$O$15)</f>
        <v/>
      </c>
      <c r="Q14" s="37">
        <f>IF($A14="","",$P14-$N14)</f>
        <v/>
      </c>
      <c r="R14" s="37">
        <f>IF($A14="","",SUMIFS(tblVentas[Venta neta],tblVentas[Fecha],"&lt;"&amp;DATE(YEAR($A14),MONTH($A14)+1,1))-SUMIFS(tblVentas[Monto cobrado],tblVentas[Fecha de cobro],"&lt;"&amp;DATE(YEAR($A14),MONTH($A14)+1,1)))</f>
        <v/>
      </c>
      <c r="S14" s="37">
        <f>IF($A14="","",SUMIFS(tblCompras[Costo total de adquisición],tblCompras[Fecha],"&lt;"&amp;DATE(YEAR($A14),MONTH($A14)+1,1))+SUMIFS(tblGastos[Monto],tblGastos[Fecha],"&lt;"&amp;DATE(YEAR($A14),MONTH($A14)+1,1))-SUMIFS(tblCompras[Monto pagado],tblCompras[Fecha de pago],"&lt;"&amp;DATE(YEAR($A14),MONTH($A14)+1,1))-SUMIFS(tblGastos[Monto pagado],tblGastos[Fecha de pago],"&lt;"&amp;DATE(YEAR($A14),MONTH($A14)+1,1)))</f>
        <v/>
      </c>
      <c r="U14" s="51">
        <f>IF(COUNTA($V14:$Z14)=0,"","M-"&amp;TEXT(ROW()-6,"0000"))</f>
        <v/>
      </c>
      <c r="V14" s="41" t="n"/>
      <c r="W14" s="33" t="n"/>
      <c r="X14" s="33" t="n"/>
      <c r="Y14" s="33" t="n"/>
      <c r="Z14" s="36" t="n"/>
      <c r="AA14" s="33" t="n"/>
      <c r="AB14" s="33" t="n"/>
      <c r="AC14" s="51">
        <f>IF(COUNTA($V14,$W14,$X14,$Y14,$Z14)=0,"",IF(IF($V14=""," · Falta fecha","")&amp;IF($W14=""," · Falta tipo","")&amp;IF($X14=""," · Falta concepto","")&amp;IF(OR($Z14="",NOT(ISNUMBER($Z14)),$Z14&lt;=0)," · Monto inválido","")&amp;IF(AND($W14="Entrada",OR($X14="Retiro del propietario",$X14="Pago de préstamo",$X14="Otro egreso"))," · Tipo no coincide con el concepto","")&amp;IF(AND($W14="Salida",OR($X14="Aporte de capital",$X14="Préstamo recibido",$X14="Otro ingreso"))," · Tipo no coincide con el concepto","")="","OK",MID(IF($V14=""," · Falta fecha","")&amp;IF($W14=""," · Falta tipo","")&amp;IF($X14=""," · Falta concepto","")&amp;IF(OR($Z14="",NOT(ISNUMBER($Z14)),$Z14&lt;=0)," · Monto inválido","")&amp;IF(AND($W14="Entrada",OR($X14="Retiro del propietario",$X14="Pago de préstamo",$X14="Otro egreso"))," · Tipo no coincide con el concepto","")&amp;IF(AND($W14="Salida",OR($X14="Aporte de capital",$X14="Préstamo recibido",$X14="Otro ingreso"))," · Tipo no coincide con el concepto",""),4,900)))</f>
        <v/>
      </c>
    </row>
    <row r="15">
      <c r="A15" s="55">
        <f>IF(NOT(ISNUMBER(PAR_FECHA_INICIO)),"",DATE(YEAR(PAR_FECHA_INICIO),MONTH(PAR_FECHA_INICIO)+8,1))</f>
        <v/>
      </c>
      <c r="B15" s="37">
        <f>IF($A15="","",$O14)</f>
        <v/>
      </c>
      <c r="C15" s="37">
        <f>IF($A15="","",SUMIFS(tblVentas[Monto cobrado],tblVentas[Fecha de cobro],"&gt;="&amp;$A15,tblVentas[Fecha de cobro],"&lt;"&amp;DATE(YEAR($A15),MONTH($A15)+1,1)))</f>
        <v/>
      </c>
      <c r="D15" s="37">
        <f>IF($A15="","",SUMIFS(tblCajaMov[Monto],tblCajaMov[Concepto],"Aporte de capital",tblCajaMov[Fecha],"&gt;="&amp;$A15,tblCajaMov[Fecha],"&lt;"&amp;DATE(YEAR($A15),MONTH($A15)+1,1)))</f>
        <v/>
      </c>
      <c r="E15" s="37">
        <f>IF($A15="","",SUMIFS(tblCajaMov[Monto],tblCajaMov[Concepto],"Préstamo recibido",tblCajaMov[Fecha],"&gt;="&amp;$A15,tblCajaMov[Fecha],"&lt;"&amp;DATE(YEAR($A15),MONTH($A15)+1,1)))</f>
        <v/>
      </c>
      <c r="F15" s="37">
        <f>IF($A15="","",SUMIFS(tblCajaMov[Monto],tblCajaMov[Concepto],"Otro ingreso",tblCajaMov[Fecha],"&gt;="&amp;$A15,tblCajaMov[Fecha],"&lt;"&amp;DATE(YEAR($A15),MONTH($A15)+1,1)))</f>
        <v/>
      </c>
      <c r="G15" s="49">
        <f>IF($A15="","",SUM($C15:$F15))</f>
        <v/>
      </c>
      <c r="H15" s="37">
        <f>IF($A15="","",SUMIFS(tblCompras[Monto pagado],tblCompras[Fecha de pago],"&gt;="&amp;$A15,tblCompras[Fecha de pago],"&lt;"&amp;DATE(YEAR($A15),MONTH($A15)+1,1)))</f>
        <v/>
      </c>
      <c r="I15" s="37">
        <f>IF($A15="","",SUMIFS(tblGastos[Monto pagado],tblGastos[Fecha de pago],"&gt;="&amp;$A15,tblGastos[Fecha de pago],"&lt;"&amp;DATE(YEAR($A15),MONTH($A15)+1,1)))</f>
        <v/>
      </c>
      <c r="J15" s="37">
        <f>IF($A15="","",SUMIFS(tblCajaMov[Monto],tblCajaMov[Concepto],"Retiro del propietario",tblCajaMov[Fecha],"&gt;="&amp;$A15,tblCajaMov[Fecha],"&lt;"&amp;DATE(YEAR($A15),MONTH($A15)+1,1)))</f>
        <v/>
      </c>
      <c r="K15" s="37">
        <f>IF($A15="","",SUMIFS(tblCajaMov[Monto],tblCajaMov[Concepto],"Pago de préstamo",tblCajaMov[Fecha],"&gt;="&amp;$A15,tblCajaMov[Fecha],"&lt;"&amp;DATE(YEAR($A15),MONTH($A15)+1,1)))</f>
        <v/>
      </c>
      <c r="L15" s="37">
        <f>IF($A15="","",SUMIFS(tblCajaMov[Monto],tblCajaMov[Concepto],"Otro egreso",tblCajaMov[Fecha],"&gt;="&amp;$A15,tblCajaMov[Fecha],"&lt;"&amp;DATE(YEAR($A15),MONTH($A15)+1,1)))</f>
        <v/>
      </c>
      <c r="M15" s="49">
        <f>IF($A15="","",SUM($H15:$L15))</f>
        <v/>
      </c>
      <c r="N15" s="49">
        <f>IF($A15="","",$G15-$M15)</f>
        <v/>
      </c>
      <c r="O15" s="49">
        <f>IF($A15="","",$B15+$N15)</f>
        <v/>
      </c>
      <c r="P15" s="37">
        <f>IF($A15="","",RENTABILIDAD!$O$16)</f>
        <v/>
      </c>
      <c r="Q15" s="37">
        <f>IF($A15="","",$P15-$N15)</f>
        <v/>
      </c>
      <c r="R15" s="37">
        <f>IF($A15="","",SUMIFS(tblVentas[Venta neta],tblVentas[Fecha],"&lt;"&amp;DATE(YEAR($A15),MONTH($A15)+1,1))-SUMIFS(tblVentas[Monto cobrado],tblVentas[Fecha de cobro],"&lt;"&amp;DATE(YEAR($A15),MONTH($A15)+1,1)))</f>
        <v/>
      </c>
      <c r="S15" s="37">
        <f>IF($A15="","",SUMIFS(tblCompras[Costo total de adquisición],tblCompras[Fecha],"&lt;"&amp;DATE(YEAR($A15),MONTH($A15)+1,1))+SUMIFS(tblGastos[Monto],tblGastos[Fecha],"&lt;"&amp;DATE(YEAR($A15),MONTH($A15)+1,1))-SUMIFS(tblCompras[Monto pagado],tblCompras[Fecha de pago],"&lt;"&amp;DATE(YEAR($A15),MONTH($A15)+1,1))-SUMIFS(tblGastos[Monto pagado],tblGastos[Fecha de pago],"&lt;"&amp;DATE(YEAR($A15),MONTH($A15)+1,1)))</f>
        <v/>
      </c>
      <c r="U15" s="51">
        <f>IF(COUNTA($V15:$Z15)=0,"","M-"&amp;TEXT(ROW()-6,"0000"))</f>
        <v/>
      </c>
      <c r="V15" s="41" t="n"/>
      <c r="W15" s="33" t="n"/>
      <c r="X15" s="33" t="n"/>
      <c r="Y15" s="33" t="n"/>
      <c r="Z15" s="36" t="n"/>
      <c r="AA15" s="33" t="n"/>
      <c r="AB15" s="33" t="n"/>
      <c r="AC15" s="51">
        <f>IF(COUNTA($V15,$W15,$X15,$Y15,$Z15)=0,"",IF(IF($V15=""," · Falta fecha","")&amp;IF($W15=""," · Falta tipo","")&amp;IF($X15=""," · Falta concepto","")&amp;IF(OR($Z15="",NOT(ISNUMBER($Z15)),$Z15&lt;=0)," · Monto inválido","")&amp;IF(AND($W15="Entrada",OR($X15="Retiro del propietario",$X15="Pago de préstamo",$X15="Otro egreso"))," · Tipo no coincide con el concepto","")&amp;IF(AND($W15="Salida",OR($X15="Aporte de capital",$X15="Préstamo recibido",$X15="Otro ingreso"))," · Tipo no coincide con el concepto","")="","OK",MID(IF($V15=""," · Falta fecha","")&amp;IF($W15=""," · Falta tipo","")&amp;IF($X15=""," · Falta concepto","")&amp;IF(OR($Z15="",NOT(ISNUMBER($Z15)),$Z15&lt;=0)," · Monto inválido","")&amp;IF(AND($W15="Entrada",OR($X15="Retiro del propietario",$X15="Pago de préstamo",$X15="Otro egreso"))," · Tipo no coincide con el concepto","")&amp;IF(AND($W15="Salida",OR($X15="Aporte de capital",$X15="Préstamo recibido",$X15="Otro ingreso"))," · Tipo no coincide con el concepto",""),4,900)))</f>
        <v/>
      </c>
    </row>
    <row r="16">
      <c r="A16" s="55">
        <f>IF(NOT(ISNUMBER(PAR_FECHA_INICIO)),"",DATE(YEAR(PAR_FECHA_INICIO),MONTH(PAR_FECHA_INICIO)+9,1))</f>
        <v/>
      </c>
      <c r="B16" s="37">
        <f>IF($A16="","",$O15)</f>
        <v/>
      </c>
      <c r="C16" s="37">
        <f>IF($A16="","",SUMIFS(tblVentas[Monto cobrado],tblVentas[Fecha de cobro],"&gt;="&amp;$A16,tblVentas[Fecha de cobro],"&lt;"&amp;DATE(YEAR($A16),MONTH($A16)+1,1)))</f>
        <v/>
      </c>
      <c r="D16" s="37">
        <f>IF($A16="","",SUMIFS(tblCajaMov[Monto],tblCajaMov[Concepto],"Aporte de capital",tblCajaMov[Fecha],"&gt;="&amp;$A16,tblCajaMov[Fecha],"&lt;"&amp;DATE(YEAR($A16),MONTH($A16)+1,1)))</f>
        <v/>
      </c>
      <c r="E16" s="37">
        <f>IF($A16="","",SUMIFS(tblCajaMov[Monto],tblCajaMov[Concepto],"Préstamo recibido",tblCajaMov[Fecha],"&gt;="&amp;$A16,tblCajaMov[Fecha],"&lt;"&amp;DATE(YEAR($A16),MONTH($A16)+1,1)))</f>
        <v/>
      </c>
      <c r="F16" s="37">
        <f>IF($A16="","",SUMIFS(tblCajaMov[Monto],tblCajaMov[Concepto],"Otro ingreso",tblCajaMov[Fecha],"&gt;="&amp;$A16,tblCajaMov[Fecha],"&lt;"&amp;DATE(YEAR($A16),MONTH($A16)+1,1)))</f>
        <v/>
      </c>
      <c r="G16" s="49">
        <f>IF($A16="","",SUM($C16:$F16))</f>
        <v/>
      </c>
      <c r="H16" s="37">
        <f>IF($A16="","",SUMIFS(tblCompras[Monto pagado],tblCompras[Fecha de pago],"&gt;="&amp;$A16,tblCompras[Fecha de pago],"&lt;"&amp;DATE(YEAR($A16),MONTH($A16)+1,1)))</f>
        <v/>
      </c>
      <c r="I16" s="37">
        <f>IF($A16="","",SUMIFS(tblGastos[Monto pagado],tblGastos[Fecha de pago],"&gt;="&amp;$A16,tblGastos[Fecha de pago],"&lt;"&amp;DATE(YEAR($A16),MONTH($A16)+1,1)))</f>
        <v/>
      </c>
      <c r="J16" s="37">
        <f>IF($A16="","",SUMIFS(tblCajaMov[Monto],tblCajaMov[Concepto],"Retiro del propietario",tblCajaMov[Fecha],"&gt;="&amp;$A16,tblCajaMov[Fecha],"&lt;"&amp;DATE(YEAR($A16),MONTH($A16)+1,1)))</f>
        <v/>
      </c>
      <c r="K16" s="37">
        <f>IF($A16="","",SUMIFS(tblCajaMov[Monto],tblCajaMov[Concepto],"Pago de préstamo",tblCajaMov[Fecha],"&gt;="&amp;$A16,tblCajaMov[Fecha],"&lt;"&amp;DATE(YEAR($A16),MONTH($A16)+1,1)))</f>
        <v/>
      </c>
      <c r="L16" s="37">
        <f>IF($A16="","",SUMIFS(tblCajaMov[Monto],tblCajaMov[Concepto],"Otro egreso",tblCajaMov[Fecha],"&gt;="&amp;$A16,tblCajaMov[Fecha],"&lt;"&amp;DATE(YEAR($A16),MONTH($A16)+1,1)))</f>
        <v/>
      </c>
      <c r="M16" s="49">
        <f>IF($A16="","",SUM($H16:$L16))</f>
        <v/>
      </c>
      <c r="N16" s="49">
        <f>IF($A16="","",$G16-$M16)</f>
        <v/>
      </c>
      <c r="O16" s="49">
        <f>IF($A16="","",$B16+$N16)</f>
        <v/>
      </c>
      <c r="P16" s="37">
        <f>IF($A16="","",RENTABILIDAD!$O$17)</f>
        <v/>
      </c>
      <c r="Q16" s="37">
        <f>IF($A16="","",$P16-$N16)</f>
        <v/>
      </c>
      <c r="R16" s="37">
        <f>IF($A16="","",SUMIFS(tblVentas[Venta neta],tblVentas[Fecha],"&lt;"&amp;DATE(YEAR($A16),MONTH($A16)+1,1))-SUMIFS(tblVentas[Monto cobrado],tblVentas[Fecha de cobro],"&lt;"&amp;DATE(YEAR($A16),MONTH($A16)+1,1)))</f>
        <v/>
      </c>
      <c r="S16" s="37">
        <f>IF($A16="","",SUMIFS(tblCompras[Costo total de adquisición],tblCompras[Fecha],"&lt;"&amp;DATE(YEAR($A16),MONTH($A16)+1,1))+SUMIFS(tblGastos[Monto],tblGastos[Fecha],"&lt;"&amp;DATE(YEAR($A16),MONTH($A16)+1,1))-SUMIFS(tblCompras[Monto pagado],tblCompras[Fecha de pago],"&lt;"&amp;DATE(YEAR($A16),MONTH($A16)+1,1))-SUMIFS(tblGastos[Monto pagado],tblGastos[Fecha de pago],"&lt;"&amp;DATE(YEAR($A16),MONTH($A16)+1,1)))</f>
        <v/>
      </c>
      <c r="U16" s="51">
        <f>IF(COUNTA($V16:$Z16)=0,"","M-"&amp;TEXT(ROW()-6,"0000"))</f>
        <v/>
      </c>
      <c r="V16" s="41" t="n"/>
      <c r="W16" s="33" t="n"/>
      <c r="X16" s="33" t="n"/>
      <c r="Y16" s="33" t="n"/>
      <c r="Z16" s="36" t="n"/>
      <c r="AA16" s="33" t="n"/>
      <c r="AB16" s="33" t="n"/>
      <c r="AC16" s="51">
        <f>IF(COUNTA($V16,$W16,$X16,$Y16,$Z16)=0,"",IF(IF($V16=""," · Falta fecha","")&amp;IF($W16=""," · Falta tipo","")&amp;IF($X16=""," · Falta concepto","")&amp;IF(OR($Z16="",NOT(ISNUMBER($Z16)),$Z16&lt;=0)," · Monto inválido","")&amp;IF(AND($W16="Entrada",OR($X16="Retiro del propietario",$X16="Pago de préstamo",$X16="Otro egreso"))," · Tipo no coincide con el concepto","")&amp;IF(AND($W16="Salida",OR($X16="Aporte de capital",$X16="Préstamo recibido",$X16="Otro ingreso"))," · Tipo no coincide con el concepto","")="","OK",MID(IF($V16=""," · Falta fecha","")&amp;IF($W16=""," · Falta tipo","")&amp;IF($X16=""," · Falta concepto","")&amp;IF(OR($Z16="",NOT(ISNUMBER($Z16)),$Z16&lt;=0)," · Monto inválido","")&amp;IF(AND($W16="Entrada",OR($X16="Retiro del propietario",$X16="Pago de préstamo",$X16="Otro egreso"))," · Tipo no coincide con el concepto","")&amp;IF(AND($W16="Salida",OR($X16="Aporte de capital",$X16="Préstamo recibido",$X16="Otro ingreso"))," · Tipo no coincide con el concepto",""),4,900)))</f>
        <v/>
      </c>
    </row>
    <row r="17">
      <c r="A17" s="55">
        <f>IF(NOT(ISNUMBER(PAR_FECHA_INICIO)),"",DATE(YEAR(PAR_FECHA_INICIO),MONTH(PAR_FECHA_INICIO)+10,1))</f>
        <v/>
      </c>
      <c r="B17" s="37">
        <f>IF($A17="","",$O16)</f>
        <v/>
      </c>
      <c r="C17" s="37">
        <f>IF($A17="","",SUMIFS(tblVentas[Monto cobrado],tblVentas[Fecha de cobro],"&gt;="&amp;$A17,tblVentas[Fecha de cobro],"&lt;"&amp;DATE(YEAR($A17),MONTH($A17)+1,1)))</f>
        <v/>
      </c>
      <c r="D17" s="37">
        <f>IF($A17="","",SUMIFS(tblCajaMov[Monto],tblCajaMov[Concepto],"Aporte de capital",tblCajaMov[Fecha],"&gt;="&amp;$A17,tblCajaMov[Fecha],"&lt;"&amp;DATE(YEAR($A17),MONTH($A17)+1,1)))</f>
        <v/>
      </c>
      <c r="E17" s="37">
        <f>IF($A17="","",SUMIFS(tblCajaMov[Monto],tblCajaMov[Concepto],"Préstamo recibido",tblCajaMov[Fecha],"&gt;="&amp;$A17,tblCajaMov[Fecha],"&lt;"&amp;DATE(YEAR($A17),MONTH($A17)+1,1)))</f>
        <v/>
      </c>
      <c r="F17" s="37">
        <f>IF($A17="","",SUMIFS(tblCajaMov[Monto],tblCajaMov[Concepto],"Otro ingreso",tblCajaMov[Fecha],"&gt;="&amp;$A17,tblCajaMov[Fecha],"&lt;"&amp;DATE(YEAR($A17),MONTH($A17)+1,1)))</f>
        <v/>
      </c>
      <c r="G17" s="49">
        <f>IF($A17="","",SUM($C17:$F17))</f>
        <v/>
      </c>
      <c r="H17" s="37">
        <f>IF($A17="","",SUMIFS(tblCompras[Monto pagado],tblCompras[Fecha de pago],"&gt;="&amp;$A17,tblCompras[Fecha de pago],"&lt;"&amp;DATE(YEAR($A17),MONTH($A17)+1,1)))</f>
        <v/>
      </c>
      <c r="I17" s="37">
        <f>IF($A17="","",SUMIFS(tblGastos[Monto pagado],tblGastos[Fecha de pago],"&gt;="&amp;$A17,tblGastos[Fecha de pago],"&lt;"&amp;DATE(YEAR($A17),MONTH($A17)+1,1)))</f>
        <v/>
      </c>
      <c r="J17" s="37">
        <f>IF($A17="","",SUMIFS(tblCajaMov[Monto],tblCajaMov[Concepto],"Retiro del propietario",tblCajaMov[Fecha],"&gt;="&amp;$A17,tblCajaMov[Fecha],"&lt;"&amp;DATE(YEAR($A17),MONTH($A17)+1,1)))</f>
        <v/>
      </c>
      <c r="K17" s="37">
        <f>IF($A17="","",SUMIFS(tblCajaMov[Monto],tblCajaMov[Concepto],"Pago de préstamo",tblCajaMov[Fecha],"&gt;="&amp;$A17,tblCajaMov[Fecha],"&lt;"&amp;DATE(YEAR($A17),MONTH($A17)+1,1)))</f>
        <v/>
      </c>
      <c r="L17" s="37">
        <f>IF($A17="","",SUMIFS(tblCajaMov[Monto],tblCajaMov[Concepto],"Otro egreso",tblCajaMov[Fecha],"&gt;="&amp;$A17,tblCajaMov[Fecha],"&lt;"&amp;DATE(YEAR($A17),MONTH($A17)+1,1)))</f>
        <v/>
      </c>
      <c r="M17" s="49">
        <f>IF($A17="","",SUM($H17:$L17))</f>
        <v/>
      </c>
      <c r="N17" s="49">
        <f>IF($A17="","",$G17-$M17)</f>
        <v/>
      </c>
      <c r="O17" s="49">
        <f>IF($A17="","",$B17+$N17)</f>
        <v/>
      </c>
      <c r="P17" s="37">
        <f>IF($A17="","",RENTABILIDAD!$O$18)</f>
        <v/>
      </c>
      <c r="Q17" s="37">
        <f>IF($A17="","",$P17-$N17)</f>
        <v/>
      </c>
      <c r="R17" s="37">
        <f>IF($A17="","",SUMIFS(tblVentas[Venta neta],tblVentas[Fecha],"&lt;"&amp;DATE(YEAR($A17),MONTH($A17)+1,1))-SUMIFS(tblVentas[Monto cobrado],tblVentas[Fecha de cobro],"&lt;"&amp;DATE(YEAR($A17),MONTH($A17)+1,1)))</f>
        <v/>
      </c>
      <c r="S17" s="37">
        <f>IF($A17="","",SUMIFS(tblCompras[Costo total de adquisición],tblCompras[Fecha],"&lt;"&amp;DATE(YEAR($A17),MONTH($A17)+1,1))+SUMIFS(tblGastos[Monto],tblGastos[Fecha],"&lt;"&amp;DATE(YEAR($A17),MONTH($A17)+1,1))-SUMIFS(tblCompras[Monto pagado],tblCompras[Fecha de pago],"&lt;"&amp;DATE(YEAR($A17),MONTH($A17)+1,1))-SUMIFS(tblGastos[Monto pagado],tblGastos[Fecha de pago],"&lt;"&amp;DATE(YEAR($A17),MONTH($A17)+1,1)))</f>
        <v/>
      </c>
      <c r="U17" s="51">
        <f>IF(COUNTA($V17:$Z17)=0,"","M-"&amp;TEXT(ROW()-6,"0000"))</f>
        <v/>
      </c>
      <c r="V17" s="41" t="n"/>
      <c r="W17" s="33" t="n"/>
      <c r="X17" s="33" t="n"/>
      <c r="Y17" s="33" t="n"/>
      <c r="Z17" s="36" t="n"/>
      <c r="AA17" s="33" t="n"/>
      <c r="AB17" s="33" t="n"/>
      <c r="AC17" s="51">
        <f>IF(COUNTA($V17,$W17,$X17,$Y17,$Z17)=0,"",IF(IF($V17=""," · Falta fecha","")&amp;IF($W17=""," · Falta tipo","")&amp;IF($X17=""," · Falta concepto","")&amp;IF(OR($Z17="",NOT(ISNUMBER($Z17)),$Z17&lt;=0)," · Monto inválido","")&amp;IF(AND($W17="Entrada",OR($X17="Retiro del propietario",$X17="Pago de préstamo",$X17="Otro egreso"))," · Tipo no coincide con el concepto","")&amp;IF(AND($W17="Salida",OR($X17="Aporte de capital",$X17="Préstamo recibido",$X17="Otro ingreso"))," · Tipo no coincide con el concepto","")="","OK",MID(IF($V17=""," · Falta fecha","")&amp;IF($W17=""," · Falta tipo","")&amp;IF($X17=""," · Falta concepto","")&amp;IF(OR($Z17="",NOT(ISNUMBER($Z17)),$Z17&lt;=0)," · Monto inválido","")&amp;IF(AND($W17="Entrada",OR($X17="Retiro del propietario",$X17="Pago de préstamo",$X17="Otro egreso"))," · Tipo no coincide con el concepto","")&amp;IF(AND($W17="Salida",OR($X17="Aporte de capital",$X17="Préstamo recibido",$X17="Otro ingreso"))," · Tipo no coincide con el concepto",""),4,900)))</f>
        <v/>
      </c>
    </row>
    <row r="18">
      <c r="A18" s="55">
        <f>IF(NOT(ISNUMBER(PAR_FECHA_INICIO)),"",DATE(YEAR(PAR_FECHA_INICIO),MONTH(PAR_FECHA_INICIO)+11,1))</f>
        <v/>
      </c>
      <c r="B18" s="37">
        <f>IF($A18="","",$O17)</f>
        <v/>
      </c>
      <c r="C18" s="37">
        <f>IF($A18="","",SUMIFS(tblVentas[Monto cobrado],tblVentas[Fecha de cobro],"&gt;="&amp;$A18,tblVentas[Fecha de cobro],"&lt;"&amp;DATE(YEAR($A18),MONTH($A18)+1,1)))</f>
        <v/>
      </c>
      <c r="D18" s="37">
        <f>IF($A18="","",SUMIFS(tblCajaMov[Monto],tblCajaMov[Concepto],"Aporte de capital",tblCajaMov[Fecha],"&gt;="&amp;$A18,tblCajaMov[Fecha],"&lt;"&amp;DATE(YEAR($A18),MONTH($A18)+1,1)))</f>
        <v/>
      </c>
      <c r="E18" s="37">
        <f>IF($A18="","",SUMIFS(tblCajaMov[Monto],tblCajaMov[Concepto],"Préstamo recibido",tblCajaMov[Fecha],"&gt;="&amp;$A18,tblCajaMov[Fecha],"&lt;"&amp;DATE(YEAR($A18),MONTH($A18)+1,1)))</f>
        <v/>
      </c>
      <c r="F18" s="37">
        <f>IF($A18="","",SUMIFS(tblCajaMov[Monto],tblCajaMov[Concepto],"Otro ingreso",tblCajaMov[Fecha],"&gt;="&amp;$A18,tblCajaMov[Fecha],"&lt;"&amp;DATE(YEAR($A18),MONTH($A18)+1,1)))</f>
        <v/>
      </c>
      <c r="G18" s="49">
        <f>IF($A18="","",SUM($C18:$F18))</f>
        <v/>
      </c>
      <c r="H18" s="37">
        <f>IF($A18="","",SUMIFS(tblCompras[Monto pagado],tblCompras[Fecha de pago],"&gt;="&amp;$A18,tblCompras[Fecha de pago],"&lt;"&amp;DATE(YEAR($A18),MONTH($A18)+1,1)))</f>
        <v/>
      </c>
      <c r="I18" s="37">
        <f>IF($A18="","",SUMIFS(tblGastos[Monto pagado],tblGastos[Fecha de pago],"&gt;="&amp;$A18,tblGastos[Fecha de pago],"&lt;"&amp;DATE(YEAR($A18),MONTH($A18)+1,1)))</f>
        <v/>
      </c>
      <c r="J18" s="37">
        <f>IF($A18="","",SUMIFS(tblCajaMov[Monto],tblCajaMov[Concepto],"Retiro del propietario",tblCajaMov[Fecha],"&gt;="&amp;$A18,tblCajaMov[Fecha],"&lt;"&amp;DATE(YEAR($A18),MONTH($A18)+1,1)))</f>
        <v/>
      </c>
      <c r="K18" s="37">
        <f>IF($A18="","",SUMIFS(tblCajaMov[Monto],tblCajaMov[Concepto],"Pago de préstamo",tblCajaMov[Fecha],"&gt;="&amp;$A18,tblCajaMov[Fecha],"&lt;"&amp;DATE(YEAR($A18),MONTH($A18)+1,1)))</f>
        <v/>
      </c>
      <c r="L18" s="37">
        <f>IF($A18="","",SUMIFS(tblCajaMov[Monto],tblCajaMov[Concepto],"Otro egreso",tblCajaMov[Fecha],"&gt;="&amp;$A18,tblCajaMov[Fecha],"&lt;"&amp;DATE(YEAR($A18),MONTH($A18)+1,1)))</f>
        <v/>
      </c>
      <c r="M18" s="49">
        <f>IF($A18="","",SUM($H18:$L18))</f>
        <v/>
      </c>
      <c r="N18" s="49">
        <f>IF($A18="","",$G18-$M18)</f>
        <v/>
      </c>
      <c r="O18" s="49">
        <f>IF($A18="","",$B18+$N18)</f>
        <v/>
      </c>
      <c r="P18" s="37">
        <f>IF($A18="","",RENTABILIDAD!$O$19)</f>
        <v/>
      </c>
      <c r="Q18" s="37">
        <f>IF($A18="","",$P18-$N18)</f>
        <v/>
      </c>
      <c r="R18" s="37">
        <f>IF($A18="","",SUMIFS(tblVentas[Venta neta],tblVentas[Fecha],"&lt;"&amp;DATE(YEAR($A18),MONTH($A18)+1,1))-SUMIFS(tblVentas[Monto cobrado],tblVentas[Fecha de cobro],"&lt;"&amp;DATE(YEAR($A18),MONTH($A18)+1,1)))</f>
        <v/>
      </c>
      <c r="S18" s="37">
        <f>IF($A18="","",SUMIFS(tblCompras[Costo total de adquisición],tblCompras[Fecha],"&lt;"&amp;DATE(YEAR($A18),MONTH($A18)+1,1))+SUMIFS(tblGastos[Monto],tblGastos[Fecha],"&lt;"&amp;DATE(YEAR($A18),MONTH($A18)+1,1))-SUMIFS(tblCompras[Monto pagado],tblCompras[Fecha de pago],"&lt;"&amp;DATE(YEAR($A18),MONTH($A18)+1,1))-SUMIFS(tblGastos[Monto pagado],tblGastos[Fecha de pago],"&lt;"&amp;DATE(YEAR($A18),MONTH($A18)+1,1)))</f>
        <v/>
      </c>
      <c r="U18" s="51">
        <f>IF(COUNTA($V18:$Z18)=0,"","M-"&amp;TEXT(ROW()-6,"0000"))</f>
        <v/>
      </c>
      <c r="V18" s="41" t="n"/>
      <c r="W18" s="33" t="n"/>
      <c r="X18" s="33" t="n"/>
      <c r="Y18" s="33" t="n"/>
      <c r="Z18" s="36" t="n"/>
      <c r="AA18" s="33" t="n"/>
      <c r="AB18" s="33" t="n"/>
      <c r="AC18" s="51">
        <f>IF(COUNTA($V18,$W18,$X18,$Y18,$Z18)=0,"",IF(IF($V18=""," · Falta fecha","")&amp;IF($W18=""," · Falta tipo","")&amp;IF($X18=""," · Falta concepto","")&amp;IF(OR($Z18="",NOT(ISNUMBER($Z18)),$Z18&lt;=0)," · Monto inválido","")&amp;IF(AND($W18="Entrada",OR($X18="Retiro del propietario",$X18="Pago de préstamo",$X18="Otro egreso"))," · Tipo no coincide con el concepto","")&amp;IF(AND($W18="Salida",OR($X18="Aporte de capital",$X18="Préstamo recibido",$X18="Otro ingreso"))," · Tipo no coincide con el concepto","")="","OK",MID(IF($V18=""," · Falta fecha","")&amp;IF($W18=""," · Falta tipo","")&amp;IF($X18=""," · Falta concepto","")&amp;IF(OR($Z18="",NOT(ISNUMBER($Z18)),$Z18&lt;=0)," · Monto inválido","")&amp;IF(AND($W18="Entrada",OR($X18="Retiro del propietario",$X18="Pago de préstamo",$X18="Otro egreso"))," · Tipo no coincide con el concepto","")&amp;IF(AND($W18="Salida",OR($X18="Aporte de capital",$X18="Préstamo recibido",$X18="Otro ingreso"))," · Tipo no coincide con el concepto",""),4,900)))</f>
        <v/>
      </c>
    </row>
    <row r="19">
      <c r="A19" s="55">
        <f>IF(NOT(ISNUMBER(PAR_FECHA_INICIO)),"",DATE(YEAR(PAR_FECHA_INICIO),MONTH(PAR_FECHA_INICIO)+12,1))</f>
        <v/>
      </c>
      <c r="B19" s="37">
        <f>IF($A19="","",$O18)</f>
        <v/>
      </c>
      <c r="C19" s="37">
        <f>IF($A19="","",SUMIFS(tblVentas[Monto cobrado],tblVentas[Fecha de cobro],"&gt;="&amp;$A19,tblVentas[Fecha de cobro],"&lt;"&amp;DATE(YEAR($A19),MONTH($A19)+1,1)))</f>
        <v/>
      </c>
      <c r="D19" s="37">
        <f>IF($A19="","",SUMIFS(tblCajaMov[Monto],tblCajaMov[Concepto],"Aporte de capital",tblCajaMov[Fecha],"&gt;="&amp;$A19,tblCajaMov[Fecha],"&lt;"&amp;DATE(YEAR($A19),MONTH($A19)+1,1)))</f>
        <v/>
      </c>
      <c r="E19" s="37">
        <f>IF($A19="","",SUMIFS(tblCajaMov[Monto],tblCajaMov[Concepto],"Préstamo recibido",tblCajaMov[Fecha],"&gt;="&amp;$A19,tblCajaMov[Fecha],"&lt;"&amp;DATE(YEAR($A19),MONTH($A19)+1,1)))</f>
        <v/>
      </c>
      <c r="F19" s="37">
        <f>IF($A19="","",SUMIFS(tblCajaMov[Monto],tblCajaMov[Concepto],"Otro ingreso",tblCajaMov[Fecha],"&gt;="&amp;$A19,tblCajaMov[Fecha],"&lt;"&amp;DATE(YEAR($A19),MONTH($A19)+1,1)))</f>
        <v/>
      </c>
      <c r="G19" s="49">
        <f>IF($A19="","",SUM($C19:$F19))</f>
        <v/>
      </c>
      <c r="H19" s="37">
        <f>IF($A19="","",SUMIFS(tblCompras[Monto pagado],tblCompras[Fecha de pago],"&gt;="&amp;$A19,tblCompras[Fecha de pago],"&lt;"&amp;DATE(YEAR($A19),MONTH($A19)+1,1)))</f>
        <v/>
      </c>
      <c r="I19" s="37">
        <f>IF($A19="","",SUMIFS(tblGastos[Monto pagado],tblGastos[Fecha de pago],"&gt;="&amp;$A19,tblGastos[Fecha de pago],"&lt;"&amp;DATE(YEAR($A19),MONTH($A19)+1,1)))</f>
        <v/>
      </c>
      <c r="J19" s="37">
        <f>IF($A19="","",SUMIFS(tblCajaMov[Monto],tblCajaMov[Concepto],"Retiro del propietario",tblCajaMov[Fecha],"&gt;="&amp;$A19,tblCajaMov[Fecha],"&lt;"&amp;DATE(YEAR($A19),MONTH($A19)+1,1)))</f>
        <v/>
      </c>
      <c r="K19" s="37">
        <f>IF($A19="","",SUMIFS(tblCajaMov[Monto],tblCajaMov[Concepto],"Pago de préstamo",tblCajaMov[Fecha],"&gt;="&amp;$A19,tblCajaMov[Fecha],"&lt;"&amp;DATE(YEAR($A19),MONTH($A19)+1,1)))</f>
        <v/>
      </c>
      <c r="L19" s="37">
        <f>IF($A19="","",SUMIFS(tblCajaMov[Monto],tblCajaMov[Concepto],"Otro egreso",tblCajaMov[Fecha],"&gt;="&amp;$A19,tblCajaMov[Fecha],"&lt;"&amp;DATE(YEAR($A19),MONTH($A19)+1,1)))</f>
        <v/>
      </c>
      <c r="M19" s="49">
        <f>IF($A19="","",SUM($H19:$L19))</f>
        <v/>
      </c>
      <c r="N19" s="49">
        <f>IF($A19="","",$G19-$M19)</f>
        <v/>
      </c>
      <c r="O19" s="49">
        <f>IF($A19="","",$B19+$N19)</f>
        <v/>
      </c>
      <c r="P19" s="37">
        <f>IF($A19="","",RENTABILIDAD!$O$20)</f>
        <v/>
      </c>
      <c r="Q19" s="37">
        <f>IF($A19="","",$P19-$N19)</f>
        <v/>
      </c>
      <c r="R19" s="37">
        <f>IF($A19="","",SUMIFS(tblVentas[Venta neta],tblVentas[Fecha],"&lt;"&amp;DATE(YEAR($A19),MONTH($A19)+1,1))-SUMIFS(tblVentas[Monto cobrado],tblVentas[Fecha de cobro],"&lt;"&amp;DATE(YEAR($A19),MONTH($A19)+1,1)))</f>
        <v/>
      </c>
      <c r="S19" s="37">
        <f>IF($A19="","",SUMIFS(tblCompras[Costo total de adquisición],tblCompras[Fecha],"&lt;"&amp;DATE(YEAR($A19),MONTH($A19)+1,1))+SUMIFS(tblGastos[Monto],tblGastos[Fecha],"&lt;"&amp;DATE(YEAR($A19),MONTH($A19)+1,1))-SUMIFS(tblCompras[Monto pagado],tblCompras[Fecha de pago],"&lt;"&amp;DATE(YEAR($A19),MONTH($A19)+1,1))-SUMIFS(tblGastos[Monto pagado],tblGastos[Fecha de pago],"&lt;"&amp;DATE(YEAR($A19),MONTH($A19)+1,1)))</f>
        <v/>
      </c>
      <c r="U19" s="51">
        <f>IF(COUNTA($V19:$Z19)=0,"","M-"&amp;TEXT(ROW()-6,"0000"))</f>
        <v/>
      </c>
      <c r="V19" s="41" t="n"/>
      <c r="W19" s="33" t="n"/>
      <c r="X19" s="33" t="n"/>
      <c r="Y19" s="33" t="n"/>
      <c r="Z19" s="36" t="n"/>
      <c r="AA19" s="33" t="n"/>
      <c r="AB19" s="33" t="n"/>
      <c r="AC19" s="51">
        <f>IF(COUNTA($V19,$W19,$X19,$Y19,$Z19)=0,"",IF(IF($V19=""," · Falta fecha","")&amp;IF($W19=""," · Falta tipo","")&amp;IF($X19=""," · Falta concepto","")&amp;IF(OR($Z19="",NOT(ISNUMBER($Z19)),$Z19&lt;=0)," · Monto inválido","")&amp;IF(AND($W19="Entrada",OR($X19="Retiro del propietario",$X19="Pago de préstamo",$X19="Otro egreso"))," · Tipo no coincide con el concepto","")&amp;IF(AND($W19="Salida",OR($X19="Aporte de capital",$X19="Préstamo recibido",$X19="Otro ingreso"))," · Tipo no coincide con el concepto","")="","OK",MID(IF($V19=""," · Falta fecha","")&amp;IF($W19=""," · Falta tipo","")&amp;IF($X19=""," · Falta concepto","")&amp;IF(OR($Z19="",NOT(ISNUMBER($Z19)),$Z19&lt;=0)," · Monto inválido","")&amp;IF(AND($W19="Entrada",OR($X19="Retiro del propietario",$X19="Pago de préstamo",$X19="Otro egreso"))," · Tipo no coincide con el concepto","")&amp;IF(AND($W19="Salida",OR($X19="Aporte de capital",$X19="Préstamo recibido",$X19="Otro ingreso"))," · Tipo no coincide con el concepto",""),4,900)))</f>
        <v/>
      </c>
    </row>
    <row r="20">
      <c r="A20" s="55">
        <f>IF(NOT(ISNUMBER(PAR_FECHA_INICIO)),"",DATE(YEAR(PAR_FECHA_INICIO),MONTH(PAR_FECHA_INICIO)+13,1))</f>
        <v/>
      </c>
      <c r="B20" s="37">
        <f>IF($A20="","",$O19)</f>
        <v/>
      </c>
      <c r="C20" s="37">
        <f>IF($A20="","",SUMIFS(tblVentas[Monto cobrado],tblVentas[Fecha de cobro],"&gt;="&amp;$A20,tblVentas[Fecha de cobro],"&lt;"&amp;DATE(YEAR($A20),MONTH($A20)+1,1)))</f>
        <v/>
      </c>
      <c r="D20" s="37">
        <f>IF($A20="","",SUMIFS(tblCajaMov[Monto],tblCajaMov[Concepto],"Aporte de capital",tblCajaMov[Fecha],"&gt;="&amp;$A20,tblCajaMov[Fecha],"&lt;"&amp;DATE(YEAR($A20),MONTH($A20)+1,1)))</f>
        <v/>
      </c>
      <c r="E20" s="37">
        <f>IF($A20="","",SUMIFS(tblCajaMov[Monto],tblCajaMov[Concepto],"Préstamo recibido",tblCajaMov[Fecha],"&gt;="&amp;$A20,tblCajaMov[Fecha],"&lt;"&amp;DATE(YEAR($A20),MONTH($A20)+1,1)))</f>
        <v/>
      </c>
      <c r="F20" s="37">
        <f>IF($A20="","",SUMIFS(tblCajaMov[Monto],tblCajaMov[Concepto],"Otro ingreso",tblCajaMov[Fecha],"&gt;="&amp;$A20,tblCajaMov[Fecha],"&lt;"&amp;DATE(YEAR($A20),MONTH($A20)+1,1)))</f>
        <v/>
      </c>
      <c r="G20" s="49">
        <f>IF($A20="","",SUM($C20:$F20))</f>
        <v/>
      </c>
      <c r="H20" s="37">
        <f>IF($A20="","",SUMIFS(tblCompras[Monto pagado],tblCompras[Fecha de pago],"&gt;="&amp;$A20,tblCompras[Fecha de pago],"&lt;"&amp;DATE(YEAR($A20),MONTH($A20)+1,1)))</f>
        <v/>
      </c>
      <c r="I20" s="37">
        <f>IF($A20="","",SUMIFS(tblGastos[Monto pagado],tblGastos[Fecha de pago],"&gt;="&amp;$A20,tblGastos[Fecha de pago],"&lt;"&amp;DATE(YEAR($A20),MONTH($A20)+1,1)))</f>
        <v/>
      </c>
      <c r="J20" s="37">
        <f>IF($A20="","",SUMIFS(tblCajaMov[Monto],tblCajaMov[Concepto],"Retiro del propietario",tblCajaMov[Fecha],"&gt;="&amp;$A20,tblCajaMov[Fecha],"&lt;"&amp;DATE(YEAR($A20),MONTH($A20)+1,1)))</f>
        <v/>
      </c>
      <c r="K20" s="37">
        <f>IF($A20="","",SUMIFS(tblCajaMov[Monto],tblCajaMov[Concepto],"Pago de préstamo",tblCajaMov[Fecha],"&gt;="&amp;$A20,tblCajaMov[Fecha],"&lt;"&amp;DATE(YEAR($A20),MONTH($A20)+1,1)))</f>
        <v/>
      </c>
      <c r="L20" s="37">
        <f>IF($A20="","",SUMIFS(tblCajaMov[Monto],tblCajaMov[Concepto],"Otro egreso",tblCajaMov[Fecha],"&gt;="&amp;$A20,tblCajaMov[Fecha],"&lt;"&amp;DATE(YEAR($A20),MONTH($A20)+1,1)))</f>
        <v/>
      </c>
      <c r="M20" s="49">
        <f>IF($A20="","",SUM($H20:$L20))</f>
        <v/>
      </c>
      <c r="N20" s="49">
        <f>IF($A20="","",$G20-$M20)</f>
        <v/>
      </c>
      <c r="O20" s="49">
        <f>IF($A20="","",$B20+$N20)</f>
        <v/>
      </c>
      <c r="P20" s="37">
        <f>IF($A20="","",RENTABILIDAD!$O$21)</f>
        <v/>
      </c>
      <c r="Q20" s="37">
        <f>IF($A20="","",$P20-$N20)</f>
        <v/>
      </c>
      <c r="R20" s="37">
        <f>IF($A20="","",SUMIFS(tblVentas[Venta neta],tblVentas[Fecha],"&lt;"&amp;DATE(YEAR($A20),MONTH($A20)+1,1))-SUMIFS(tblVentas[Monto cobrado],tblVentas[Fecha de cobro],"&lt;"&amp;DATE(YEAR($A20),MONTH($A20)+1,1)))</f>
        <v/>
      </c>
      <c r="S20" s="37">
        <f>IF($A20="","",SUMIFS(tblCompras[Costo total de adquisición],tblCompras[Fecha],"&lt;"&amp;DATE(YEAR($A20),MONTH($A20)+1,1))+SUMIFS(tblGastos[Monto],tblGastos[Fecha],"&lt;"&amp;DATE(YEAR($A20),MONTH($A20)+1,1))-SUMIFS(tblCompras[Monto pagado],tblCompras[Fecha de pago],"&lt;"&amp;DATE(YEAR($A20),MONTH($A20)+1,1))-SUMIFS(tblGastos[Monto pagado],tblGastos[Fecha de pago],"&lt;"&amp;DATE(YEAR($A20),MONTH($A20)+1,1)))</f>
        <v/>
      </c>
      <c r="U20" s="51">
        <f>IF(COUNTA($V20:$Z20)=0,"","M-"&amp;TEXT(ROW()-6,"0000"))</f>
        <v/>
      </c>
      <c r="V20" s="41" t="n"/>
      <c r="W20" s="33" t="n"/>
      <c r="X20" s="33" t="n"/>
      <c r="Y20" s="33" t="n"/>
      <c r="Z20" s="36" t="n"/>
      <c r="AA20" s="33" t="n"/>
      <c r="AB20" s="33" t="n"/>
      <c r="AC20" s="51">
        <f>IF(COUNTA($V20,$W20,$X20,$Y20,$Z20)=0,"",IF(IF($V20=""," · Falta fecha","")&amp;IF($W20=""," · Falta tipo","")&amp;IF($X20=""," · Falta concepto","")&amp;IF(OR($Z20="",NOT(ISNUMBER($Z20)),$Z20&lt;=0)," · Monto inválido","")&amp;IF(AND($W20="Entrada",OR($X20="Retiro del propietario",$X20="Pago de préstamo",$X20="Otro egreso"))," · Tipo no coincide con el concepto","")&amp;IF(AND($W20="Salida",OR($X20="Aporte de capital",$X20="Préstamo recibido",$X20="Otro ingreso"))," · Tipo no coincide con el concepto","")="","OK",MID(IF($V20=""," · Falta fecha","")&amp;IF($W20=""," · Falta tipo","")&amp;IF($X20=""," · Falta concepto","")&amp;IF(OR($Z20="",NOT(ISNUMBER($Z20)),$Z20&lt;=0)," · Monto inválido","")&amp;IF(AND($W20="Entrada",OR($X20="Retiro del propietario",$X20="Pago de préstamo",$X20="Otro egreso"))," · Tipo no coincide con el concepto","")&amp;IF(AND($W20="Salida",OR($X20="Aporte de capital",$X20="Préstamo recibido",$X20="Otro ingreso"))," · Tipo no coincide con el concepto",""),4,900)))</f>
        <v/>
      </c>
    </row>
    <row r="21">
      <c r="A21" s="55">
        <f>IF(NOT(ISNUMBER(PAR_FECHA_INICIO)),"",DATE(YEAR(PAR_FECHA_INICIO),MONTH(PAR_FECHA_INICIO)+14,1))</f>
        <v/>
      </c>
      <c r="B21" s="37">
        <f>IF($A21="","",$O20)</f>
        <v/>
      </c>
      <c r="C21" s="37">
        <f>IF($A21="","",SUMIFS(tblVentas[Monto cobrado],tblVentas[Fecha de cobro],"&gt;="&amp;$A21,tblVentas[Fecha de cobro],"&lt;"&amp;DATE(YEAR($A21),MONTH($A21)+1,1)))</f>
        <v/>
      </c>
      <c r="D21" s="37">
        <f>IF($A21="","",SUMIFS(tblCajaMov[Monto],tblCajaMov[Concepto],"Aporte de capital",tblCajaMov[Fecha],"&gt;="&amp;$A21,tblCajaMov[Fecha],"&lt;"&amp;DATE(YEAR($A21),MONTH($A21)+1,1)))</f>
        <v/>
      </c>
      <c r="E21" s="37">
        <f>IF($A21="","",SUMIFS(tblCajaMov[Monto],tblCajaMov[Concepto],"Préstamo recibido",tblCajaMov[Fecha],"&gt;="&amp;$A21,tblCajaMov[Fecha],"&lt;"&amp;DATE(YEAR($A21),MONTH($A21)+1,1)))</f>
        <v/>
      </c>
      <c r="F21" s="37">
        <f>IF($A21="","",SUMIFS(tblCajaMov[Monto],tblCajaMov[Concepto],"Otro ingreso",tblCajaMov[Fecha],"&gt;="&amp;$A21,tblCajaMov[Fecha],"&lt;"&amp;DATE(YEAR($A21),MONTH($A21)+1,1)))</f>
        <v/>
      </c>
      <c r="G21" s="49">
        <f>IF($A21="","",SUM($C21:$F21))</f>
        <v/>
      </c>
      <c r="H21" s="37">
        <f>IF($A21="","",SUMIFS(tblCompras[Monto pagado],tblCompras[Fecha de pago],"&gt;="&amp;$A21,tblCompras[Fecha de pago],"&lt;"&amp;DATE(YEAR($A21),MONTH($A21)+1,1)))</f>
        <v/>
      </c>
      <c r="I21" s="37">
        <f>IF($A21="","",SUMIFS(tblGastos[Monto pagado],tblGastos[Fecha de pago],"&gt;="&amp;$A21,tblGastos[Fecha de pago],"&lt;"&amp;DATE(YEAR($A21),MONTH($A21)+1,1)))</f>
        <v/>
      </c>
      <c r="J21" s="37">
        <f>IF($A21="","",SUMIFS(tblCajaMov[Monto],tblCajaMov[Concepto],"Retiro del propietario",tblCajaMov[Fecha],"&gt;="&amp;$A21,tblCajaMov[Fecha],"&lt;"&amp;DATE(YEAR($A21),MONTH($A21)+1,1)))</f>
        <v/>
      </c>
      <c r="K21" s="37">
        <f>IF($A21="","",SUMIFS(tblCajaMov[Monto],tblCajaMov[Concepto],"Pago de préstamo",tblCajaMov[Fecha],"&gt;="&amp;$A21,tblCajaMov[Fecha],"&lt;"&amp;DATE(YEAR($A21),MONTH($A21)+1,1)))</f>
        <v/>
      </c>
      <c r="L21" s="37">
        <f>IF($A21="","",SUMIFS(tblCajaMov[Monto],tblCajaMov[Concepto],"Otro egreso",tblCajaMov[Fecha],"&gt;="&amp;$A21,tblCajaMov[Fecha],"&lt;"&amp;DATE(YEAR($A21),MONTH($A21)+1,1)))</f>
        <v/>
      </c>
      <c r="M21" s="49">
        <f>IF($A21="","",SUM($H21:$L21))</f>
        <v/>
      </c>
      <c r="N21" s="49">
        <f>IF($A21="","",$G21-$M21)</f>
        <v/>
      </c>
      <c r="O21" s="49">
        <f>IF($A21="","",$B21+$N21)</f>
        <v/>
      </c>
      <c r="P21" s="37">
        <f>IF($A21="","",RENTABILIDAD!$O$22)</f>
        <v/>
      </c>
      <c r="Q21" s="37">
        <f>IF($A21="","",$P21-$N21)</f>
        <v/>
      </c>
      <c r="R21" s="37">
        <f>IF($A21="","",SUMIFS(tblVentas[Venta neta],tblVentas[Fecha],"&lt;"&amp;DATE(YEAR($A21),MONTH($A21)+1,1))-SUMIFS(tblVentas[Monto cobrado],tblVentas[Fecha de cobro],"&lt;"&amp;DATE(YEAR($A21),MONTH($A21)+1,1)))</f>
        <v/>
      </c>
      <c r="S21" s="37">
        <f>IF($A21="","",SUMIFS(tblCompras[Costo total de adquisición],tblCompras[Fecha],"&lt;"&amp;DATE(YEAR($A21),MONTH($A21)+1,1))+SUMIFS(tblGastos[Monto],tblGastos[Fecha],"&lt;"&amp;DATE(YEAR($A21),MONTH($A21)+1,1))-SUMIFS(tblCompras[Monto pagado],tblCompras[Fecha de pago],"&lt;"&amp;DATE(YEAR($A21),MONTH($A21)+1,1))-SUMIFS(tblGastos[Monto pagado],tblGastos[Fecha de pago],"&lt;"&amp;DATE(YEAR($A21),MONTH($A21)+1,1)))</f>
        <v/>
      </c>
      <c r="U21" s="51">
        <f>IF(COUNTA($V21:$Z21)=0,"","M-"&amp;TEXT(ROW()-6,"0000"))</f>
        <v/>
      </c>
      <c r="V21" s="41" t="n"/>
      <c r="W21" s="33" t="n"/>
      <c r="X21" s="33" t="n"/>
      <c r="Y21" s="33" t="n"/>
      <c r="Z21" s="36" t="n"/>
      <c r="AA21" s="33" t="n"/>
      <c r="AB21" s="33" t="n"/>
      <c r="AC21" s="51">
        <f>IF(COUNTA($V21,$W21,$X21,$Y21,$Z21)=0,"",IF(IF($V21=""," · Falta fecha","")&amp;IF($W21=""," · Falta tipo","")&amp;IF($X21=""," · Falta concepto","")&amp;IF(OR($Z21="",NOT(ISNUMBER($Z21)),$Z21&lt;=0)," · Monto inválido","")&amp;IF(AND($W21="Entrada",OR($X21="Retiro del propietario",$X21="Pago de préstamo",$X21="Otro egreso"))," · Tipo no coincide con el concepto","")&amp;IF(AND($W21="Salida",OR($X21="Aporte de capital",$X21="Préstamo recibido",$X21="Otro ingreso"))," · Tipo no coincide con el concepto","")="","OK",MID(IF($V21=""," · Falta fecha","")&amp;IF($W21=""," · Falta tipo","")&amp;IF($X21=""," · Falta concepto","")&amp;IF(OR($Z21="",NOT(ISNUMBER($Z21)),$Z21&lt;=0)," · Monto inválido","")&amp;IF(AND($W21="Entrada",OR($X21="Retiro del propietario",$X21="Pago de préstamo",$X21="Otro egreso"))," · Tipo no coincide con el concepto","")&amp;IF(AND($W21="Salida",OR($X21="Aporte de capital",$X21="Préstamo recibido",$X21="Otro ingreso"))," · Tipo no coincide con el concepto",""),4,900)))</f>
        <v/>
      </c>
    </row>
    <row r="22">
      <c r="A22" s="55">
        <f>IF(NOT(ISNUMBER(PAR_FECHA_INICIO)),"",DATE(YEAR(PAR_FECHA_INICIO),MONTH(PAR_FECHA_INICIO)+15,1))</f>
        <v/>
      </c>
      <c r="B22" s="37">
        <f>IF($A22="","",$O21)</f>
        <v/>
      </c>
      <c r="C22" s="37">
        <f>IF($A22="","",SUMIFS(tblVentas[Monto cobrado],tblVentas[Fecha de cobro],"&gt;="&amp;$A22,tblVentas[Fecha de cobro],"&lt;"&amp;DATE(YEAR($A22),MONTH($A22)+1,1)))</f>
        <v/>
      </c>
      <c r="D22" s="37">
        <f>IF($A22="","",SUMIFS(tblCajaMov[Monto],tblCajaMov[Concepto],"Aporte de capital",tblCajaMov[Fecha],"&gt;="&amp;$A22,tblCajaMov[Fecha],"&lt;"&amp;DATE(YEAR($A22),MONTH($A22)+1,1)))</f>
        <v/>
      </c>
      <c r="E22" s="37">
        <f>IF($A22="","",SUMIFS(tblCajaMov[Monto],tblCajaMov[Concepto],"Préstamo recibido",tblCajaMov[Fecha],"&gt;="&amp;$A22,tblCajaMov[Fecha],"&lt;"&amp;DATE(YEAR($A22),MONTH($A22)+1,1)))</f>
        <v/>
      </c>
      <c r="F22" s="37">
        <f>IF($A22="","",SUMIFS(tblCajaMov[Monto],tblCajaMov[Concepto],"Otro ingreso",tblCajaMov[Fecha],"&gt;="&amp;$A22,tblCajaMov[Fecha],"&lt;"&amp;DATE(YEAR($A22),MONTH($A22)+1,1)))</f>
        <v/>
      </c>
      <c r="G22" s="49">
        <f>IF($A22="","",SUM($C22:$F22))</f>
        <v/>
      </c>
      <c r="H22" s="37">
        <f>IF($A22="","",SUMIFS(tblCompras[Monto pagado],tblCompras[Fecha de pago],"&gt;="&amp;$A22,tblCompras[Fecha de pago],"&lt;"&amp;DATE(YEAR($A22),MONTH($A22)+1,1)))</f>
        <v/>
      </c>
      <c r="I22" s="37">
        <f>IF($A22="","",SUMIFS(tblGastos[Monto pagado],tblGastos[Fecha de pago],"&gt;="&amp;$A22,tblGastos[Fecha de pago],"&lt;"&amp;DATE(YEAR($A22),MONTH($A22)+1,1)))</f>
        <v/>
      </c>
      <c r="J22" s="37">
        <f>IF($A22="","",SUMIFS(tblCajaMov[Monto],tblCajaMov[Concepto],"Retiro del propietario",tblCajaMov[Fecha],"&gt;="&amp;$A22,tblCajaMov[Fecha],"&lt;"&amp;DATE(YEAR($A22),MONTH($A22)+1,1)))</f>
        <v/>
      </c>
      <c r="K22" s="37">
        <f>IF($A22="","",SUMIFS(tblCajaMov[Monto],tblCajaMov[Concepto],"Pago de préstamo",tblCajaMov[Fecha],"&gt;="&amp;$A22,tblCajaMov[Fecha],"&lt;"&amp;DATE(YEAR($A22),MONTH($A22)+1,1)))</f>
        <v/>
      </c>
      <c r="L22" s="37">
        <f>IF($A22="","",SUMIFS(tblCajaMov[Monto],tblCajaMov[Concepto],"Otro egreso",tblCajaMov[Fecha],"&gt;="&amp;$A22,tblCajaMov[Fecha],"&lt;"&amp;DATE(YEAR($A22),MONTH($A22)+1,1)))</f>
        <v/>
      </c>
      <c r="M22" s="49">
        <f>IF($A22="","",SUM($H22:$L22))</f>
        <v/>
      </c>
      <c r="N22" s="49">
        <f>IF($A22="","",$G22-$M22)</f>
        <v/>
      </c>
      <c r="O22" s="49">
        <f>IF($A22="","",$B22+$N22)</f>
        <v/>
      </c>
      <c r="P22" s="37">
        <f>IF($A22="","",RENTABILIDAD!$O$23)</f>
        <v/>
      </c>
      <c r="Q22" s="37">
        <f>IF($A22="","",$P22-$N22)</f>
        <v/>
      </c>
      <c r="R22" s="37">
        <f>IF($A22="","",SUMIFS(tblVentas[Venta neta],tblVentas[Fecha],"&lt;"&amp;DATE(YEAR($A22),MONTH($A22)+1,1))-SUMIFS(tblVentas[Monto cobrado],tblVentas[Fecha de cobro],"&lt;"&amp;DATE(YEAR($A22),MONTH($A22)+1,1)))</f>
        <v/>
      </c>
      <c r="S22" s="37">
        <f>IF($A22="","",SUMIFS(tblCompras[Costo total de adquisición],tblCompras[Fecha],"&lt;"&amp;DATE(YEAR($A22),MONTH($A22)+1,1))+SUMIFS(tblGastos[Monto],tblGastos[Fecha],"&lt;"&amp;DATE(YEAR($A22),MONTH($A22)+1,1))-SUMIFS(tblCompras[Monto pagado],tblCompras[Fecha de pago],"&lt;"&amp;DATE(YEAR($A22),MONTH($A22)+1,1))-SUMIFS(tblGastos[Monto pagado],tblGastos[Fecha de pago],"&lt;"&amp;DATE(YEAR($A22),MONTH($A22)+1,1)))</f>
        <v/>
      </c>
      <c r="U22" s="51">
        <f>IF(COUNTA($V22:$Z22)=0,"","M-"&amp;TEXT(ROW()-6,"0000"))</f>
        <v/>
      </c>
      <c r="V22" s="41" t="n"/>
      <c r="W22" s="33" t="n"/>
      <c r="X22" s="33" t="n"/>
      <c r="Y22" s="33" t="n"/>
      <c r="Z22" s="36" t="n"/>
      <c r="AA22" s="33" t="n"/>
      <c r="AB22" s="33" t="n"/>
      <c r="AC22" s="51">
        <f>IF(COUNTA($V22,$W22,$X22,$Y22,$Z22)=0,"",IF(IF($V22=""," · Falta fecha","")&amp;IF($W22=""," · Falta tipo","")&amp;IF($X22=""," · Falta concepto","")&amp;IF(OR($Z22="",NOT(ISNUMBER($Z22)),$Z22&lt;=0)," · Monto inválido","")&amp;IF(AND($W22="Entrada",OR($X22="Retiro del propietario",$X22="Pago de préstamo",$X22="Otro egreso"))," · Tipo no coincide con el concepto","")&amp;IF(AND($W22="Salida",OR($X22="Aporte de capital",$X22="Préstamo recibido",$X22="Otro ingreso"))," · Tipo no coincide con el concepto","")="","OK",MID(IF($V22=""," · Falta fecha","")&amp;IF($W22=""," · Falta tipo","")&amp;IF($X22=""," · Falta concepto","")&amp;IF(OR($Z22="",NOT(ISNUMBER($Z22)),$Z22&lt;=0)," · Monto inválido","")&amp;IF(AND($W22="Entrada",OR($X22="Retiro del propietario",$X22="Pago de préstamo",$X22="Otro egreso"))," · Tipo no coincide con el concepto","")&amp;IF(AND($W22="Salida",OR($X22="Aporte de capital",$X22="Préstamo recibido",$X22="Otro ingreso"))," · Tipo no coincide con el concepto",""),4,900)))</f>
        <v/>
      </c>
    </row>
    <row r="23">
      <c r="A23" s="55">
        <f>IF(NOT(ISNUMBER(PAR_FECHA_INICIO)),"",DATE(YEAR(PAR_FECHA_INICIO),MONTH(PAR_FECHA_INICIO)+16,1))</f>
        <v/>
      </c>
      <c r="B23" s="37">
        <f>IF($A23="","",$O22)</f>
        <v/>
      </c>
      <c r="C23" s="37">
        <f>IF($A23="","",SUMIFS(tblVentas[Monto cobrado],tblVentas[Fecha de cobro],"&gt;="&amp;$A23,tblVentas[Fecha de cobro],"&lt;"&amp;DATE(YEAR($A23),MONTH($A23)+1,1)))</f>
        <v/>
      </c>
      <c r="D23" s="37">
        <f>IF($A23="","",SUMIFS(tblCajaMov[Monto],tblCajaMov[Concepto],"Aporte de capital",tblCajaMov[Fecha],"&gt;="&amp;$A23,tblCajaMov[Fecha],"&lt;"&amp;DATE(YEAR($A23),MONTH($A23)+1,1)))</f>
        <v/>
      </c>
      <c r="E23" s="37">
        <f>IF($A23="","",SUMIFS(tblCajaMov[Monto],tblCajaMov[Concepto],"Préstamo recibido",tblCajaMov[Fecha],"&gt;="&amp;$A23,tblCajaMov[Fecha],"&lt;"&amp;DATE(YEAR($A23),MONTH($A23)+1,1)))</f>
        <v/>
      </c>
      <c r="F23" s="37">
        <f>IF($A23="","",SUMIFS(tblCajaMov[Monto],tblCajaMov[Concepto],"Otro ingreso",tblCajaMov[Fecha],"&gt;="&amp;$A23,tblCajaMov[Fecha],"&lt;"&amp;DATE(YEAR($A23),MONTH($A23)+1,1)))</f>
        <v/>
      </c>
      <c r="G23" s="49">
        <f>IF($A23="","",SUM($C23:$F23))</f>
        <v/>
      </c>
      <c r="H23" s="37">
        <f>IF($A23="","",SUMIFS(tblCompras[Monto pagado],tblCompras[Fecha de pago],"&gt;="&amp;$A23,tblCompras[Fecha de pago],"&lt;"&amp;DATE(YEAR($A23),MONTH($A23)+1,1)))</f>
        <v/>
      </c>
      <c r="I23" s="37">
        <f>IF($A23="","",SUMIFS(tblGastos[Monto pagado],tblGastos[Fecha de pago],"&gt;="&amp;$A23,tblGastos[Fecha de pago],"&lt;"&amp;DATE(YEAR($A23),MONTH($A23)+1,1)))</f>
        <v/>
      </c>
      <c r="J23" s="37">
        <f>IF($A23="","",SUMIFS(tblCajaMov[Monto],tblCajaMov[Concepto],"Retiro del propietario",tblCajaMov[Fecha],"&gt;="&amp;$A23,tblCajaMov[Fecha],"&lt;"&amp;DATE(YEAR($A23),MONTH($A23)+1,1)))</f>
        <v/>
      </c>
      <c r="K23" s="37">
        <f>IF($A23="","",SUMIFS(tblCajaMov[Monto],tblCajaMov[Concepto],"Pago de préstamo",tblCajaMov[Fecha],"&gt;="&amp;$A23,tblCajaMov[Fecha],"&lt;"&amp;DATE(YEAR($A23),MONTH($A23)+1,1)))</f>
        <v/>
      </c>
      <c r="L23" s="37">
        <f>IF($A23="","",SUMIFS(tblCajaMov[Monto],tblCajaMov[Concepto],"Otro egreso",tblCajaMov[Fecha],"&gt;="&amp;$A23,tblCajaMov[Fecha],"&lt;"&amp;DATE(YEAR($A23),MONTH($A23)+1,1)))</f>
        <v/>
      </c>
      <c r="M23" s="49">
        <f>IF($A23="","",SUM($H23:$L23))</f>
        <v/>
      </c>
      <c r="N23" s="49">
        <f>IF($A23="","",$G23-$M23)</f>
        <v/>
      </c>
      <c r="O23" s="49">
        <f>IF($A23="","",$B23+$N23)</f>
        <v/>
      </c>
      <c r="P23" s="37">
        <f>IF($A23="","",RENTABILIDAD!$O$24)</f>
        <v/>
      </c>
      <c r="Q23" s="37">
        <f>IF($A23="","",$P23-$N23)</f>
        <v/>
      </c>
      <c r="R23" s="37">
        <f>IF($A23="","",SUMIFS(tblVentas[Venta neta],tblVentas[Fecha],"&lt;"&amp;DATE(YEAR($A23),MONTH($A23)+1,1))-SUMIFS(tblVentas[Monto cobrado],tblVentas[Fecha de cobro],"&lt;"&amp;DATE(YEAR($A23),MONTH($A23)+1,1)))</f>
        <v/>
      </c>
      <c r="S23" s="37">
        <f>IF($A23="","",SUMIFS(tblCompras[Costo total de adquisición],tblCompras[Fecha],"&lt;"&amp;DATE(YEAR($A23),MONTH($A23)+1,1))+SUMIFS(tblGastos[Monto],tblGastos[Fecha],"&lt;"&amp;DATE(YEAR($A23),MONTH($A23)+1,1))-SUMIFS(tblCompras[Monto pagado],tblCompras[Fecha de pago],"&lt;"&amp;DATE(YEAR($A23),MONTH($A23)+1,1))-SUMIFS(tblGastos[Monto pagado],tblGastos[Fecha de pago],"&lt;"&amp;DATE(YEAR($A23),MONTH($A23)+1,1)))</f>
        <v/>
      </c>
      <c r="U23" s="51">
        <f>IF(COUNTA($V23:$Z23)=0,"","M-"&amp;TEXT(ROW()-6,"0000"))</f>
        <v/>
      </c>
      <c r="V23" s="41" t="n"/>
      <c r="W23" s="33" t="n"/>
      <c r="X23" s="33" t="n"/>
      <c r="Y23" s="33" t="n"/>
      <c r="Z23" s="36" t="n"/>
      <c r="AA23" s="33" t="n"/>
      <c r="AB23" s="33" t="n"/>
      <c r="AC23" s="51">
        <f>IF(COUNTA($V23,$W23,$X23,$Y23,$Z23)=0,"",IF(IF($V23=""," · Falta fecha","")&amp;IF($W23=""," · Falta tipo","")&amp;IF($X23=""," · Falta concepto","")&amp;IF(OR($Z23="",NOT(ISNUMBER($Z23)),$Z23&lt;=0)," · Monto inválido","")&amp;IF(AND($W23="Entrada",OR($X23="Retiro del propietario",$X23="Pago de préstamo",$X23="Otro egreso"))," · Tipo no coincide con el concepto","")&amp;IF(AND($W23="Salida",OR($X23="Aporte de capital",$X23="Préstamo recibido",$X23="Otro ingreso"))," · Tipo no coincide con el concepto","")="","OK",MID(IF($V23=""," · Falta fecha","")&amp;IF($W23=""," · Falta tipo","")&amp;IF($X23=""," · Falta concepto","")&amp;IF(OR($Z23="",NOT(ISNUMBER($Z23)),$Z23&lt;=0)," · Monto inválido","")&amp;IF(AND($W23="Entrada",OR($X23="Retiro del propietario",$X23="Pago de préstamo",$X23="Otro egreso"))," · Tipo no coincide con el concepto","")&amp;IF(AND($W23="Salida",OR($X23="Aporte de capital",$X23="Préstamo recibido",$X23="Otro ingreso"))," · Tipo no coincide con el concepto",""),4,900)))</f>
        <v/>
      </c>
    </row>
    <row r="24">
      <c r="A24" s="55">
        <f>IF(NOT(ISNUMBER(PAR_FECHA_INICIO)),"",DATE(YEAR(PAR_FECHA_INICIO),MONTH(PAR_FECHA_INICIO)+17,1))</f>
        <v/>
      </c>
      <c r="B24" s="37">
        <f>IF($A24="","",$O23)</f>
        <v/>
      </c>
      <c r="C24" s="37">
        <f>IF($A24="","",SUMIFS(tblVentas[Monto cobrado],tblVentas[Fecha de cobro],"&gt;="&amp;$A24,tblVentas[Fecha de cobro],"&lt;"&amp;DATE(YEAR($A24),MONTH($A24)+1,1)))</f>
        <v/>
      </c>
      <c r="D24" s="37">
        <f>IF($A24="","",SUMIFS(tblCajaMov[Monto],tblCajaMov[Concepto],"Aporte de capital",tblCajaMov[Fecha],"&gt;="&amp;$A24,tblCajaMov[Fecha],"&lt;"&amp;DATE(YEAR($A24),MONTH($A24)+1,1)))</f>
        <v/>
      </c>
      <c r="E24" s="37">
        <f>IF($A24="","",SUMIFS(tblCajaMov[Monto],tblCajaMov[Concepto],"Préstamo recibido",tblCajaMov[Fecha],"&gt;="&amp;$A24,tblCajaMov[Fecha],"&lt;"&amp;DATE(YEAR($A24),MONTH($A24)+1,1)))</f>
        <v/>
      </c>
      <c r="F24" s="37">
        <f>IF($A24="","",SUMIFS(tblCajaMov[Monto],tblCajaMov[Concepto],"Otro ingreso",tblCajaMov[Fecha],"&gt;="&amp;$A24,tblCajaMov[Fecha],"&lt;"&amp;DATE(YEAR($A24),MONTH($A24)+1,1)))</f>
        <v/>
      </c>
      <c r="G24" s="49">
        <f>IF($A24="","",SUM($C24:$F24))</f>
        <v/>
      </c>
      <c r="H24" s="37">
        <f>IF($A24="","",SUMIFS(tblCompras[Monto pagado],tblCompras[Fecha de pago],"&gt;="&amp;$A24,tblCompras[Fecha de pago],"&lt;"&amp;DATE(YEAR($A24),MONTH($A24)+1,1)))</f>
        <v/>
      </c>
      <c r="I24" s="37">
        <f>IF($A24="","",SUMIFS(tblGastos[Monto pagado],tblGastos[Fecha de pago],"&gt;="&amp;$A24,tblGastos[Fecha de pago],"&lt;"&amp;DATE(YEAR($A24),MONTH($A24)+1,1)))</f>
        <v/>
      </c>
      <c r="J24" s="37">
        <f>IF($A24="","",SUMIFS(tblCajaMov[Monto],tblCajaMov[Concepto],"Retiro del propietario",tblCajaMov[Fecha],"&gt;="&amp;$A24,tblCajaMov[Fecha],"&lt;"&amp;DATE(YEAR($A24),MONTH($A24)+1,1)))</f>
        <v/>
      </c>
      <c r="K24" s="37">
        <f>IF($A24="","",SUMIFS(tblCajaMov[Monto],tblCajaMov[Concepto],"Pago de préstamo",tblCajaMov[Fecha],"&gt;="&amp;$A24,tblCajaMov[Fecha],"&lt;"&amp;DATE(YEAR($A24),MONTH($A24)+1,1)))</f>
        <v/>
      </c>
      <c r="L24" s="37">
        <f>IF($A24="","",SUMIFS(tblCajaMov[Monto],tblCajaMov[Concepto],"Otro egreso",tblCajaMov[Fecha],"&gt;="&amp;$A24,tblCajaMov[Fecha],"&lt;"&amp;DATE(YEAR($A24),MONTH($A24)+1,1)))</f>
        <v/>
      </c>
      <c r="M24" s="49">
        <f>IF($A24="","",SUM($H24:$L24))</f>
        <v/>
      </c>
      <c r="N24" s="49">
        <f>IF($A24="","",$G24-$M24)</f>
        <v/>
      </c>
      <c r="O24" s="49">
        <f>IF($A24="","",$B24+$N24)</f>
        <v/>
      </c>
      <c r="P24" s="37">
        <f>IF($A24="","",RENTABILIDAD!$O$25)</f>
        <v/>
      </c>
      <c r="Q24" s="37">
        <f>IF($A24="","",$P24-$N24)</f>
        <v/>
      </c>
      <c r="R24" s="37">
        <f>IF($A24="","",SUMIFS(tblVentas[Venta neta],tblVentas[Fecha],"&lt;"&amp;DATE(YEAR($A24),MONTH($A24)+1,1))-SUMIFS(tblVentas[Monto cobrado],tblVentas[Fecha de cobro],"&lt;"&amp;DATE(YEAR($A24),MONTH($A24)+1,1)))</f>
        <v/>
      </c>
      <c r="S24" s="37">
        <f>IF($A24="","",SUMIFS(tblCompras[Costo total de adquisición],tblCompras[Fecha],"&lt;"&amp;DATE(YEAR($A24),MONTH($A24)+1,1))+SUMIFS(tblGastos[Monto],tblGastos[Fecha],"&lt;"&amp;DATE(YEAR($A24),MONTH($A24)+1,1))-SUMIFS(tblCompras[Monto pagado],tblCompras[Fecha de pago],"&lt;"&amp;DATE(YEAR($A24),MONTH($A24)+1,1))-SUMIFS(tblGastos[Monto pagado],tblGastos[Fecha de pago],"&lt;"&amp;DATE(YEAR($A24),MONTH($A24)+1,1)))</f>
        <v/>
      </c>
      <c r="U24" s="51">
        <f>IF(COUNTA($V24:$Z24)=0,"","M-"&amp;TEXT(ROW()-6,"0000"))</f>
        <v/>
      </c>
      <c r="V24" s="41" t="n"/>
      <c r="W24" s="33" t="n"/>
      <c r="X24" s="33" t="n"/>
      <c r="Y24" s="33" t="n"/>
      <c r="Z24" s="36" t="n"/>
      <c r="AA24" s="33" t="n"/>
      <c r="AB24" s="33" t="n"/>
      <c r="AC24" s="51">
        <f>IF(COUNTA($V24,$W24,$X24,$Y24,$Z24)=0,"",IF(IF($V24=""," · Falta fecha","")&amp;IF($W24=""," · Falta tipo","")&amp;IF($X24=""," · Falta concepto","")&amp;IF(OR($Z24="",NOT(ISNUMBER($Z24)),$Z24&lt;=0)," · Monto inválido","")&amp;IF(AND($W24="Entrada",OR($X24="Retiro del propietario",$X24="Pago de préstamo",$X24="Otro egreso"))," · Tipo no coincide con el concepto","")&amp;IF(AND($W24="Salida",OR($X24="Aporte de capital",$X24="Préstamo recibido",$X24="Otro ingreso"))," · Tipo no coincide con el concepto","")="","OK",MID(IF($V24=""," · Falta fecha","")&amp;IF($W24=""," · Falta tipo","")&amp;IF($X24=""," · Falta concepto","")&amp;IF(OR($Z24="",NOT(ISNUMBER($Z24)),$Z24&lt;=0)," · Monto inválido","")&amp;IF(AND($W24="Entrada",OR($X24="Retiro del propietario",$X24="Pago de préstamo",$X24="Otro egreso"))," · Tipo no coincide con el concepto","")&amp;IF(AND($W24="Salida",OR($X24="Aporte de capital",$X24="Préstamo recibido",$X24="Otro ingreso"))," · Tipo no coincide con el concepto",""),4,900)))</f>
        <v/>
      </c>
    </row>
    <row r="25">
      <c r="A25" s="55">
        <f>IF(NOT(ISNUMBER(PAR_FECHA_INICIO)),"",DATE(YEAR(PAR_FECHA_INICIO),MONTH(PAR_FECHA_INICIO)+18,1))</f>
        <v/>
      </c>
      <c r="B25" s="37">
        <f>IF($A25="","",$O24)</f>
        <v/>
      </c>
      <c r="C25" s="37">
        <f>IF($A25="","",SUMIFS(tblVentas[Monto cobrado],tblVentas[Fecha de cobro],"&gt;="&amp;$A25,tblVentas[Fecha de cobro],"&lt;"&amp;DATE(YEAR($A25),MONTH($A25)+1,1)))</f>
        <v/>
      </c>
      <c r="D25" s="37">
        <f>IF($A25="","",SUMIFS(tblCajaMov[Monto],tblCajaMov[Concepto],"Aporte de capital",tblCajaMov[Fecha],"&gt;="&amp;$A25,tblCajaMov[Fecha],"&lt;"&amp;DATE(YEAR($A25),MONTH($A25)+1,1)))</f>
        <v/>
      </c>
      <c r="E25" s="37">
        <f>IF($A25="","",SUMIFS(tblCajaMov[Monto],tblCajaMov[Concepto],"Préstamo recibido",tblCajaMov[Fecha],"&gt;="&amp;$A25,tblCajaMov[Fecha],"&lt;"&amp;DATE(YEAR($A25),MONTH($A25)+1,1)))</f>
        <v/>
      </c>
      <c r="F25" s="37">
        <f>IF($A25="","",SUMIFS(tblCajaMov[Monto],tblCajaMov[Concepto],"Otro ingreso",tblCajaMov[Fecha],"&gt;="&amp;$A25,tblCajaMov[Fecha],"&lt;"&amp;DATE(YEAR($A25),MONTH($A25)+1,1)))</f>
        <v/>
      </c>
      <c r="G25" s="49">
        <f>IF($A25="","",SUM($C25:$F25))</f>
        <v/>
      </c>
      <c r="H25" s="37">
        <f>IF($A25="","",SUMIFS(tblCompras[Monto pagado],tblCompras[Fecha de pago],"&gt;="&amp;$A25,tblCompras[Fecha de pago],"&lt;"&amp;DATE(YEAR($A25),MONTH($A25)+1,1)))</f>
        <v/>
      </c>
      <c r="I25" s="37">
        <f>IF($A25="","",SUMIFS(tblGastos[Monto pagado],tblGastos[Fecha de pago],"&gt;="&amp;$A25,tblGastos[Fecha de pago],"&lt;"&amp;DATE(YEAR($A25),MONTH($A25)+1,1)))</f>
        <v/>
      </c>
      <c r="J25" s="37">
        <f>IF($A25="","",SUMIFS(tblCajaMov[Monto],tblCajaMov[Concepto],"Retiro del propietario",tblCajaMov[Fecha],"&gt;="&amp;$A25,tblCajaMov[Fecha],"&lt;"&amp;DATE(YEAR($A25),MONTH($A25)+1,1)))</f>
        <v/>
      </c>
      <c r="K25" s="37">
        <f>IF($A25="","",SUMIFS(tblCajaMov[Monto],tblCajaMov[Concepto],"Pago de préstamo",tblCajaMov[Fecha],"&gt;="&amp;$A25,tblCajaMov[Fecha],"&lt;"&amp;DATE(YEAR($A25),MONTH($A25)+1,1)))</f>
        <v/>
      </c>
      <c r="L25" s="37">
        <f>IF($A25="","",SUMIFS(tblCajaMov[Monto],tblCajaMov[Concepto],"Otro egreso",tblCajaMov[Fecha],"&gt;="&amp;$A25,tblCajaMov[Fecha],"&lt;"&amp;DATE(YEAR($A25),MONTH($A25)+1,1)))</f>
        <v/>
      </c>
      <c r="M25" s="49">
        <f>IF($A25="","",SUM($H25:$L25))</f>
        <v/>
      </c>
      <c r="N25" s="49">
        <f>IF($A25="","",$G25-$M25)</f>
        <v/>
      </c>
      <c r="O25" s="49">
        <f>IF($A25="","",$B25+$N25)</f>
        <v/>
      </c>
      <c r="P25" s="37">
        <f>IF($A25="","",RENTABILIDAD!$O$26)</f>
        <v/>
      </c>
      <c r="Q25" s="37">
        <f>IF($A25="","",$P25-$N25)</f>
        <v/>
      </c>
      <c r="R25" s="37">
        <f>IF($A25="","",SUMIFS(tblVentas[Venta neta],tblVentas[Fecha],"&lt;"&amp;DATE(YEAR($A25),MONTH($A25)+1,1))-SUMIFS(tblVentas[Monto cobrado],tblVentas[Fecha de cobro],"&lt;"&amp;DATE(YEAR($A25),MONTH($A25)+1,1)))</f>
        <v/>
      </c>
      <c r="S25" s="37">
        <f>IF($A25="","",SUMIFS(tblCompras[Costo total de adquisición],tblCompras[Fecha],"&lt;"&amp;DATE(YEAR($A25),MONTH($A25)+1,1))+SUMIFS(tblGastos[Monto],tblGastos[Fecha],"&lt;"&amp;DATE(YEAR($A25),MONTH($A25)+1,1))-SUMIFS(tblCompras[Monto pagado],tblCompras[Fecha de pago],"&lt;"&amp;DATE(YEAR($A25),MONTH($A25)+1,1))-SUMIFS(tblGastos[Monto pagado],tblGastos[Fecha de pago],"&lt;"&amp;DATE(YEAR($A25),MONTH($A25)+1,1)))</f>
        <v/>
      </c>
      <c r="U25" s="51">
        <f>IF(COUNTA($V25:$Z25)=0,"","M-"&amp;TEXT(ROW()-6,"0000"))</f>
        <v/>
      </c>
      <c r="V25" s="41" t="n"/>
      <c r="W25" s="33" t="n"/>
      <c r="X25" s="33" t="n"/>
      <c r="Y25" s="33" t="n"/>
      <c r="Z25" s="36" t="n"/>
      <c r="AA25" s="33" t="n"/>
      <c r="AB25" s="33" t="n"/>
      <c r="AC25" s="51">
        <f>IF(COUNTA($V25,$W25,$X25,$Y25,$Z25)=0,"",IF(IF($V25=""," · Falta fecha","")&amp;IF($W25=""," · Falta tipo","")&amp;IF($X25=""," · Falta concepto","")&amp;IF(OR($Z25="",NOT(ISNUMBER($Z25)),$Z25&lt;=0)," · Monto inválido","")&amp;IF(AND($W25="Entrada",OR($X25="Retiro del propietario",$X25="Pago de préstamo",$X25="Otro egreso"))," · Tipo no coincide con el concepto","")&amp;IF(AND($W25="Salida",OR($X25="Aporte de capital",$X25="Préstamo recibido",$X25="Otro ingreso"))," · Tipo no coincide con el concepto","")="","OK",MID(IF($V25=""," · Falta fecha","")&amp;IF($W25=""," · Falta tipo","")&amp;IF($X25=""," · Falta concepto","")&amp;IF(OR($Z25="",NOT(ISNUMBER($Z25)),$Z25&lt;=0)," · Monto inválido","")&amp;IF(AND($W25="Entrada",OR($X25="Retiro del propietario",$X25="Pago de préstamo",$X25="Otro egreso"))," · Tipo no coincide con el concepto","")&amp;IF(AND($W25="Salida",OR($X25="Aporte de capital",$X25="Préstamo recibido",$X25="Otro ingreso"))," · Tipo no coincide con el concepto",""),4,900)))</f>
        <v/>
      </c>
    </row>
    <row r="26">
      <c r="A26" s="55">
        <f>IF(NOT(ISNUMBER(PAR_FECHA_INICIO)),"",DATE(YEAR(PAR_FECHA_INICIO),MONTH(PAR_FECHA_INICIO)+19,1))</f>
        <v/>
      </c>
      <c r="B26" s="37">
        <f>IF($A26="","",$O25)</f>
        <v/>
      </c>
      <c r="C26" s="37">
        <f>IF($A26="","",SUMIFS(tblVentas[Monto cobrado],tblVentas[Fecha de cobro],"&gt;="&amp;$A26,tblVentas[Fecha de cobro],"&lt;"&amp;DATE(YEAR($A26),MONTH($A26)+1,1)))</f>
        <v/>
      </c>
      <c r="D26" s="37">
        <f>IF($A26="","",SUMIFS(tblCajaMov[Monto],tblCajaMov[Concepto],"Aporte de capital",tblCajaMov[Fecha],"&gt;="&amp;$A26,tblCajaMov[Fecha],"&lt;"&amp;DATE(YEAR($A26),MONTH($A26)+1,1)))</f>
        <v/>
      </c>
      <c r="E26" s="37">
        <f>IF($A26="","",SUMIFS(tblCajaMov[Monto],tblCajaMov[Concepto],"Préstamo recibido",tblCajaMov[Fecha],"&gt;="&amp;$A26,tblCajaMov[Fecha],"&lt;"&amp;DATE(YEAR($A26),MONTH($A26)+1,1)))</f>
        <v/>
      </c>
      <c r="F26" s="37">
        <f>IF($A26="","",SUMIFS(tblCajaMov[Monto],tblCajaMov[Concepto],"Otro ingreso",tblCajaMov[Fecha],"&gt;="&amp;$A26,tblCajaMov[Fecha],"&lt;"&amp;DATE(YEAR($A26),MONTH($A26)+1,1)))</f>
        <v/>
      </c>
      <c r="G26" s="49">
        <f>IF($A26="","",SUM($C26:$F26))</f>
        <v/>
      </c>
      <c r="H26" s="37">
        <f>IF($A26="","",SUMIFS(tblCompras[Monto pagado],tblCompras[Fecha de pago],"&gt;="&amp;$A26,tblCompras[Fecha de pago],"&lt;"&amp;DATE(YEAR($A26),MONTH($A26)+1,1)))</f>
        <v/>
      </c>
      <c r="I26" s="37">
        <f>IF($A26="","",SUMIFS(tblGastos[Monto pagado],tblGastos[Fecha de pago],"&gt;="&amp;$A26,tblGastos[Fecha de pago],"&lt;"&amp;DATE(YEAR($A26),MONTH($A26)+1,1)))</f>
        <v/>
      </c>
      <c r="J26" s="37">
        <f>IF($A26="","",SUMIFS(tblCajaMov[Monto],tblCajaMov[Concepto],"Retiro del propietario",tblCajaMov[Fecha],"&gt;="&amp;$A26,tblCajaMov[Fecha],"&lt;"&amp;DATE(YEAR($A26),MONTH($A26)+1,1)))</f>
        <v/>
      </c>
      <c r="K26" s="37">
        <f>IF($A26="","",SUMIFS(tblCajaMov[Monto],tblCajaMov[Concepto],"Pago de préstamo",tblCajaMov[Fecha],"&gt;="&amp;$A26,tblCajaMov[Fecha],"&lt;"&amp;DATE(YEAR($A26),MONTH($A26)+1,1)))</f>
        <v/>
      </c>
      <c r="L26" s="37">
        <f>IF($A26="","",SUMIFS(tblCajaMov[Monto],tblCajaMov[Concepto],"Otro egreso",tblCajaMov[Fecha],"&gt;="&amp;$A26,tblCajaMov[Fecha],"&lt;"&amp;DATE(YEAR($A26),MONTH($A26)+1,1)))</f>
        <v/>
      </c>
      <c r="M26" s="49">
        <f>IF($A26="","",SUM($H26:$L26))</f>
        <v/>
      </c>
      <c r="N26" s="49">
        <f>IF($A26="","",$G26-$M26)</f>
        <v/>
      </c>
      <c r="O26" s="49">
        <f>IF($A26="","",$B26+$N26)</f>
        <v/>
      </c>
      <c r="P26" s="37">
        <f>IF($A26="","",RENTABILIDAD!$O$27)</f>
        <v/>
      </c>
      <c r="Q26" s="37">
        <f>IF($A26="","",$P26-$N26)</f>
        <v/>
      </c>
      <c r="R26" s="37">
        <f>IF($A26="","",SUMIFS(tblVentas[Venta neta],tblVentas[Fecha],"&lt;"&amp;DATE(YEAR($A26),MONTH($A26)+1,1))-SUMIFS(tblVentas[Monto cobrado],tblVentas[Fecha de cobro],"&lt;"&amp;DATE(YEAR($A26),MONTH($A26)+1,1)))</f>
        <v/>
      </c>
      <c r="S26" s="37">
        <f>IF($A26="","",SUMIFS(tblCompras[Costo total de adquisición],tblCompras[Fecha],"&lt;"&amp;DATE(YEAR($A26),MONTH($A26)+1,1))+SUMIFS(tblGastos[Monto],tblGastos[Fecha],"&lt;"&amp;DATE(YEAR($A26),MONTH($A26)+1,1))-SUMIFS(tblCompras[Monto pagado],tblCompras[Fecha de pago],"&lt;"&amp;DATE(YEAR($A26),MONTH($A26)+1,1))-SUMIFS(tblGastos[Monto pagado],tblGastos[Fecha de pago],"&lt;"&amp;DATE(YEAR($A26),MONTH($A26)+1,1)))</f>
        <v/>
      </c>
      <c r="U26" s="51">
        <f>IF(COUNTA($V26:$Z26)=0,"","M-"&amp;TEXT(ROW()-6,"0000"))</f>
        <v/>
      </c>
      <c r="V26" s="41" t="n"/>
      <c r="W26" s="33" t="n"/>
      <c r="X26" s="33" t="n"/>
      <c r="Y26" s="33" t="n"/>
      <c r="Z26" s="36" t="n"/>
      <c r="AA26" s="33" t="n"/>
      <c r="AB26" s="33" t="n"/>
      <c r="AC26" s="51">
        <f>IF(COUNTA($V26,$W26,$X26,$Y26,$Z26)=0,"",IF(IF($V26=""," · Falta fecha","")&amp;IF($W26=""," · Falta tipo","")&amp;IF($X26=""," · Falta concepto","")&amp;IF(OR($Z26="",NOT(ISNUMBER($Z26)),$Z26&lt;=0)," · Monto inválido","")&amp;IF(AND($W26="Entrada",OR($X26="Retiro del propietario",$X26="Pago de préstamo",$X26="Otro egreso"))," · Tipo no coincide con el concepto","")&amp;IF(AND($W26="Salida",OR($X26="Aporte de capital",$X26="Préstamo recibido",$X26="Otro ingreso"))," · Tipo no coincide con el concepto","")="","OK",MID(IF($V26=""," · Falta fecha","")&amp;IF($W26=""," · Falta tipo","")&amp;IF($X26=""," · Falta concepto","")&amp;IF(OR($Z26="",NOT(ISNUMBER($Z26)),$Z26&lt;=0)," · Monto inválido","")&amp;IF(AND($W26="Entrada",OR($X26="Retiro del propietario",$X26="Pago de préstamo",$X26="Otro egreso"))," · Tipo no coincide con el concepto","")&amp;IF(AND($W26="Salida",OR($X26="Aporte de capital",$X26="Préstamo recibido",$X26="Otro ingreso"))," · Tipo no coincide con el concepto",""),4,900)))</f>
        <v/>
      </c>
    </row>
    <row r="27">
      <c r="A27" s="55">
        <f>IF(NOT(ISNUMBER(PAR_FECHA_INICIO)),"",DATE(YEAR(PAR_FECHA_INICIO),MONTH(PAR_FECHA_INICIO)+20,1))</f>
        <v/>
      </c>
      <c r="B27" s="37">
        <f>IF($A27="","",$O26)</f>
        <v/>
      </c>
      <c r="C27" s="37">
        <f>IF($A27="","",SUMIFS(tblVentas[Monto cobrado],tblVentas[Fecha de cobro],"&gt;="&amp;$A27,tblVentas[Fecha de cobro],"&lt;"&amp;DATE(YEAR($A27),MONTH($A27)+1,1)))</f>
        <v/>
      </c>
      <c r="D27" s="37">
        <f>IF($A27="","",SUMIFS(tblCajaMov[Monto],tblCajaMov[Concepto],"Aporte de capital",tblCajaMov[Fecha],"&gt;="&amp;$A27,tblCajaMov[Fecha],"&lt;"&amp;DATE(YEAR($A27),MONTH($A27)+1,1)))</f>
        <v/>
      </c>
      <c r="E27" s="37">
        <f>IF($A27="","",SUMIFS(tblCajaMov[Monto],tblCajaMov[Concepto],"Préstamo recibido",tblCajaMov[Fecha],"&gt;="&amp;$A27,tblCajaMov[Fecha],"&lt;"&amp;DATE(YEAR($A27),MONTH($A27)+1,1)))</f>
        <v/>
      </c>
      <c r="F27" s="37">
        <f>IF($A27="","",SUMIFS(tblCajaMov[Monto],tblCajaMov[Concepto],"Otro ingreso",tblCajaMov[Fecha],"&gt;="&amp;$A27,tblCajaMov[Fecha],"&lt;"&amp;DATE(YEAR($A27),MONTH($A27)+1,1)))</f>
        <v/>
      </c>
      <c r="G27" s="49">
        <f>IF($A27="","",SUM($C27:$F27))</f>
        <v/>
      </c>
      <c r="H27" s="37">
        <f>IF($A27="","",SUMIFS(tblCompras[Monto pagado],tblCompras[Fecha de pago],"&gt;="&amp;$A27,tblCompras[Fecha de pago],"&lt;"&amp;DATE(YEAR($A27),MONTH($A27)+1,1)))</f>
        <v/>
      </c>
      <c r="I27" s="37">
        <f>IF($A27="","",SUMIFS(tblGastos[Monto pagado],tblGastos[Fecha de pago],"&gt;="&amp;$A27,tblGastos[Fecha de pago],"&lt;"&amp;DATE(YEAR($A27),MONTH($A27)+1,1)))</f>
        <v/>
      </c>
      <c r="J27" s="37">
        <f>IF($A27="","",SUMIFS(tblCajaMov[Monto],tblCajaMov[Concepto],"Retiro del propietario",tblCajaMov[Fecha],"&gt;="&amp;$A27,tblCajaMov[Fecha],"&lt;"&amp;DATE(YEAR($A27),MONTH($A27)+1,1)))</f>
        <v/>
      </c>
      <c r="K27" s="37">
        <f>IF($A27="","",SUMIFS(tblCajaMov[Monto],tblCajaMov[Concepto],"Pago de préstamo",tblCajaMov[Fecha],"&gt;="&amp;$A27,tblCajaMov[Fecha],"&lt;"&amp;DATE(YEAR($A27),MONTH($A27)+1,1)))</f>
        <v/>
      </c>
      <c r="L27" s="37">
        <f>IF($A27="","",SUMIFS(tblCajaMov[Monto],tblCajaMov[Concepto],"Otro egreso",tblCajaMov[Fecha],"&gt;="&amp;$A27,tblCajaMov[Fecha],"&lt;"&amp;DATE(YEAR($A27),MONTH($A27)+1,1)))</f>
        <v/>
      </c>
      <c r="M27" s="49">
        <f>IF($A27="","",SUM($H27:$L27))</f>
        <v/>
      </c>
      <c r="N27" s="49">
        <f>IF($A27="","",$G27-$M27)</f>
        <v/>
      </c>
      <c r="O27" s="49">
        <f>IF($A27="","",$B27+$N27)</f>
        <v/>
      </c>
      <c r="P27" s="37">
        <f>IF($A27="","",RENTABILIDAD!$O$28)</f>
        <v/>
      </c>
      <c r="Q27" s="37">
        <f>IF($A27="","",$P27-$N27)</f>
        <v/>
      </c>
      <c r="R27" s="37">
        <f>IF($A27="","",SUMIFS(tblVentas[Venta neta],tblVentas[Fecha],"&lt;"&amp;DATE(YEAR($A27),MONTH($A27)+1,1))-SUMIFS(tblVentas[Monto cobrado],tblVentas[Fecha de cobro],"&lt;"&amp;DATE(YEAR($A27),MONTH($A27)+1,1)))</f>
        <v/>
      </c>
      <c r="S27" s="37">
        <f>IF($A27="","",SUMIFS(tblCompras[Costo total de adquisición],tblCompras[Fecha],"&lt;"&amp;DATE(YEAR($A27),MONTH($A27)+1,1))+SUMIFS(tblGastos[Monto],tblGastos[Fecha],"&lt;"&amp;DATE(YEAR($A27),MONTH($A27)+1,1))-SUMIFS(tblCompras[Monto pagado],tblCompras[Fecha de pago],"&lt;"&amp;DATE(YEAR($A27),MONTH($A27)+1,1))-SUMIFS(tblGastos[Monto pagado],tblGastos[Fecha de pago],"&lt;"&amp;DATE(YEAR($A27),MONTH($A27)+1,1)))</f>
        <v/>
      </c>
      <c r="U27" s="51">
        <f>IF(COUNTA($V27:$Z27)=0,"","M-"&amp;TEXT(ROW()-6,"0000"))</f>
        <v/>
      </c>
      <c r="V27" s="41" t="n"/>
      <c r="W27" s="33" t="n"/>
      <c r="X27" s="33" t="n"/>
      <c r="Y27" s="33" t="n"/>
      <c r="Z27" s="36" t="n"/>
      <c r="AA27" s="33" t="n"/>
      <c r="AB27" s="33" t="n"/>
      <c r="AC27" s="51">
        <f>IF(COUNTA($V27,$W27,$X27,$Y27,$Z27)=0,"",IF(IF($V27=""," · Falta fecha","")&amp;IF($W27=""," · Falta tipo","")&amp;IF($X27=""," · Falta concepto","")&amp;IF(OR($Z27="",NOT(ISNUMBER($Z27)),$Z27&lt;=0)," · Monto inválido","")&amp;IF(AND($W27="Entrada",OR($X27="Retiro del propietario",$X27="Pago de préstamo",$X27="Otro egreso"))," · Tipo no coincide con el concepto","")&amp;IF(AND($W27="Salida",OR($X27="Aporte de capital",$X27="Préstamo recibido",$X27="Otro ingreso"))," · Tipo no coincide con el concepto","")="","OK",MID(IF($V27=""," · Falta fecha","")&amp;IF($W27=""," · Falta tipo","")&amp;IF($X27=""," · Falta concepto","")&amp;IF(OR($Z27="",NOT(ISNUMBER($Z27)),$Z27&lt;=0)," · Monto inválido","")&amp;IF(AND($W27="Entrada",OR($X27="Retiro del propietario",$X27="Pago de préstamo",$X27="Otro egreso"))," · Tipo no coincide con el concepto","")&amp;IF(AND($W27="Salida",OR($X27="Aporte de capital",$X27="Préstamo recibido",$X27="Otro ingreso"))," · Tipo no coincide con el concepto",""),4,900)))</f>
        <v/>
      </c>
    </row>
    <row r="28">
      <c r="A28" s="55">
        <f>IF(NOT(ISNUMBER(PAR_FECHA_INICIO)),"",DATE(YEAR(PAR_FECHA_INICIO),MONTH(PAR_FECHA_INICIO)+21,1))</f>
        <v/>
      </c>
      <c r="B28" s="37">
        <f>IF($A28="","",$O27)</f>
        <v/>
      </c>
      <c r="C28" s="37">
        <f>IF($A28="","",SUMIFS(tblVentas[Monto cobrado],tblVentas[Fecha de cobro],"&gt;="&amp;$A28,tblVentas[Fecha de cobro],"&lt;"&amp;DATE(YEAR($A28),MONTH($A28)+1,1)))</f>
        <v/>
      </c>
      <c r="D28" s="37">
        <f>IF($A28="","",SUMIFS(tblCajaMov[Monto],tblCajaMov[Concepto],"Aporte de capital",tblCajaMov[Fecha],"&gt;="&amp;$A28,tblCajaMov[Fecha],"&lt;"&amp;DATE(YEAR($A28),MONTH($A28)+1,1)))</f>
        <v/>
      </c>
      <c r="E28" s="37">
        <f>IF($A28="","",SUMIFS(tblCajaMov[Monto],tblCajaMov[Concepto],"Préstamo recibido",tblCajaMov[Fecha],"&gt;="&amp;$A28,tblCajaMov[Fecha],"&lt;"&amp;DATE(YEAR($A28),MONTH($A28)+1,1)))</f>
        <v/>
      </c>
      <c r="F28" s="37">
        <f>IF($A28="","",SUMIFS(tblCajaMov[Monto],tblCajaMov[Concepto],"Otro ingreso",tblCajaMov[Fecha],"&gt;="&amp;$A28,tblCajaMov[Fecha],"&lt;"&amp;DATE(YEAR($A28),MONTH($A28)+1,1)))</f>
        <v/>
      </c>
      <c r="G28" s="49">
        <f>IF($A28="","",SUM($C28:$F28))</f>
        <v/>
      </c>
      <c r="H28" s="37">
        <f>IF($A28="","",SUMIFS(tblCompras[Monto pagado],tblCompras[Fecha de pago],"&gt;="&amp;$A28,tblCompras[Fecha de pago],"&lt;"&amp;DATE(YEAR($A28),MONTH($A28)+1,1)))</f>
        <v/>
      </c>
      <c r="I28" s="37">
        <f>IF($A28="","",SUMIFS(tblGastos[Monto pagado],tblGastos[Fecha de pago],"&gt;="&amp;$A28,tblGastos[Fecha de pago],"&lt;"&amp;DATE(YEAR($A28),MONTH($A28)+1,1)))</f>
        <v/>
      </c>
      <c r="J28" s="37">
        <f>IF($A28="","",SUMIFS(tblCajaMov[Monto],tblCajaMov[Concepto],"Retiro del propietario",tblCajaMov[Fecha],"&gt;="&amp;$A28,tblCajaMov[Fecha],"&lt;"&amp;DATE(YEAR($A28),MONTH($A28)+1,1)))</f>
        <v/>
      </c>
      <c r="K28" s="37">
        <f>IF($A28="","",SUMIFS(tblCajaMov[Monto],tblCajaMov[Concepto],"Pago de préstamo",tblCajaMov[Fecha],"&gt;="&amp;$A28,tblCajaMov[Fecha],"&lt;"&amp;DATE(YEAR($A28),MONTH($A28)+1,1)))</f>
        <v/>
      </c>
      <c r="L28" s="37">
        <f>IF($A28="","",SUMIFS(tblCajaMov[Monto],tblCajaMov[Concepto],"Otro egreso",tblCajaMov[Fecha],"&gt;="&amp;$A28,tblCajaMov[Fecha],"&lt;"&amp;DATE(YEAR($A28),MONTH($A28)+1,1)))</f>
        <v/>
      </c>
      <c r="M28" s="49">
        <f>IF($A28="","",SUM($H28:$L28))</f>
        <v/>
      </c>
      <c r="N28" s="49">
        <f>IF($A28="","",$G28-$M28)</f>
        <v/>
      </c>
      <c r="O28" s="49">
        <f>IF($A28="","",$B28+$N28)</f>
        <v/>
      </c>
      <c r="P28" s="37">
        <f>IF($A28="","",RENTABILIDAD!$O$29)</f>
        <v/>
      </c>
      <c r="Q28" s="37">
        <f>IF($A28="","",$P28-$N28)</f>
        <v/>
      </c>
      <c r="R28" s="37">
        <f>IF($A28="","",SUMIFS(tblVentas[Venta neta],tblVentas[Fecha],"&lt;"&amp;DATE(YEAR($A28),MONTH($A28)+1,1))-SUMIFS(tblVentas[Monto cobrado],tblVentas[Fecha de cobro],"&lt;"&amp;DATE(YEAR($A28),MONTH($A28)+1,1)))</f>
        <v/>
      </c>
      <c r="S28" s="37">
        <f>IF($A28="","",SUMIFS(tblCompras[Costo total de adquisición],tblCompras[Fecha],"&lt;"&amp;DATE(YEAR($A28),MONTH($A28)+1,1))+SUMIFS(tblGastos[Monto],tblGastos[Fecha],"&lt;"&amp;DATE(YEAR($A28),MONTH($A28)+1,1))-SUMIFS(tblCompras[Monto pagado],tblCompras[Fecha de pago],"&lt;"&amp;DATE(YEAR($A28),MONTH($A28)+1,1))-SUMIFS(tblGastos[Monto pagado],tblGastos[Fecha de pago],"&lt;"&amp;DATE(YEAR($A28),MONTH($A28)+1,1)))</f>
        <v/>
      </c>
      <c r="U28" s="51">
        <f>IF(COUNTA($V28:$Z28)=0,"","M-"&amp;TEXT(ROW()-6,"0000"))</f>
        <v/>
      </c>
      <c r="V28" s="41" t="n"/>
      <c r="W28" s="33" t="n"/>
      <c r="X28" s="33" t="n"/>
      <c r="Y28" s="33" t="n"/>
      <c r="Z28" s="36" t="n"/>
      <c r="AA28" s="33" t="n"/>
      <c r="AB28" s="33" t="n"/>
      <c r="AC28" s="51">
        <f>IF(COUNTA($V28,$W28,$X28,$Y28,$Z28)=0,"",IF(IF($V28=""," · Falta fecha","")&amp;IF($W28=""," · Falta tipo","")&amp;IF($X28=""," · Falta concepto","")&amp;IF(OR($Z28="",NOT(ISNUMBER($Z28)),$Z28&lt;=0)," · Monto inválido","")&amp;IF(AND($W28="Entrada",OR($X28="Retiro del propietario",$X28="Pago de préstamo",$X28="Otro egreso"))," · Tipo no coincide con el concepto","")&amp;IF(AND($W28="Salida",OR($X28="Aporte de capital",$X28="Préstamo recibido",$X28="Otro ingreso"))," · Tipo no coincide con el concepto","")="","OK",MID(IF($V28=""," · Falta fecha","")&amp;IF($W28=""," · Falta tipo","")&amp;IF($X28=""," · Falta concepto","")&amp;IF(OR($Z28="",NOT(ISNUMBER($Z28)),$Z28&lt;=0)," · Monto inválido","")&amp;IF(AND($W28="Entrada",OR($X28="Retiro del propietario",$X28="Pago de préstamo",$X28="Otro egreso"))," · Tipo no coincide con el concepto","")&amp;IF(AND($W28="Salida",OR($X28="Aporte de capital",$X28="Préstamo recibido",$X28="Otro ingreso"))," · Tipo no coincide con el concepto",""),4,900)))</f>
        <v/>
      </c>
    </row>
    <row r="29">
      <c r="A29" s="55">
        <f>IF(NOT(ISNUMBER(PAR_FECHA_INICIO)),"",DATE(YEAR(PAR_FECHA_INICIO),MONTH(PAR_FECHA_INICIO)+22,1))</f>
        <v/>
      </c>
      <c r="B29" s="37">
        <f>IF($A29="","",$O28)</f>
        <v/>
      </c>
      <c r="C29" s="37">
        <f>IF($A29="","",SUMIFS(tblVentas[Monto cobrado],tblVentas[Fecha de cobro],"&gt;="&amp;$A29,tblVentas[Fecha de cobro],"&lt;"&amp;DATE(YEAR($A29),MONTH($A29)+1,1)))</f>
        <v/>
      </c>
      <c r="D29" s="37">
        <f>IF($A29="","",SUMIFS(tblCajaMov[Monto],tblCajaMov[Concepto],"Aporte de capital",tblCajaMov[Fecha],"&gt;="&amp;$A29,tblCajaMov[Fecha],"&lt;"&amp;DATE(YEAR($A29),MONTH($A29)+1,1)))</f>
        <v/>
      </c>
      <c r="E29" s="37">
        <f>IF($A29="","",SUMIFS(tblCajaMov[Monto],tblCajaMov[Concepto],"Préstamo recibido",tblCajaMov[Fecha],"&gt;="&amp;$A29,tblCajaMov[Fecha],"&lt;"&amp;DATE(YEAR($A29),MONTH($A29)+1,1)))</f>
        <v/>
      </c>
      <c r="F29" s="37">
        <f>IF($A29="","",SUMIFS(tblCajaMov[Monto],tblCajaMov[Concepto],"Otro ingreso",tblCajaMov[Fecha],"&gt;="&amp;$A29,tblCajaMov[Fecha],"&lt;"&amp;DATE(YEAR($A29),MONTH($A29)+1,1)))</f>
        <v/>
      </c>
      <c r="G29" s="49">
        <f>IF($A29="","",SUM($C29:$F29))</f>
        <v/>
      </c>
      <c r="H29" s="37">
        <f>IF($A29="","",SUMIFS(tblCompras[Monto pagado],tblCompras[Fecha de pago],"&gt;="&amp;$A29,tblCompras[Fecha de pago],"&lt;"&amp;DATE(YEAR($A29),MONTH($A29)+1,1)))</f>
        <v/>
      </c>
      <c r="I29" s="37">
        <f>IF($A29="","",SUMIFS(tblGastos[Monto pagado],tblGastos[Fecha de pago],"&gt;="&amp;$A29,tblGastos[Fecha de pago],"&lt;"&amp;DATE(YEAR($A29),MONTH($A29)+1,1)))</f>
        <v/>
      </c>
      <c r="J29" s="37">
        <f>IF($A29="","",SUMIFS(tblCajaMov[Monto],tblCajaMov[Concepto],"Retiro del propietario",tblCajaMov[Fecha],"&gt;="&amp;$A29,tblCajaMov[Fecha],"&lt;"&amp;DATE(YEAR($A29),MONTH($A29)+1,1)))</f>
        <v/>
      </c>
      <c r="K29" s="37">
        <f>IF($A29="","",SUMIFS(tblCajaMov[Monto],tblCajaMov[Concepto],"Pago de préstamo",tblCajaMov[Fecha],"&gt;="&amp;$A29,tblCajaMov[Fecha],"&lt;"&amp;DATE(YEAR($A29),MONTH($A29)+1,1)))</f>
        <v/>
      </c>
      <c r="L29" s="37">
        <f>IF($A29="","",SUMIFS(tblCajaMov[Monto],tblCajaMov[Concepto],"Otro egreso",tblCajaMov[Fecha],"&gt;="&amp;$A29,tblCajaMov[Fecha],"&lt;"&amp;DATE(YEAR($A29),MONTH($A29)+1,1)))</f>
        <v/>
      </c>
      <c r="M29" s="49">
        <f>IF($A29="","",SUM($H29:$L29))</f>
        <v/>
      </c>
      <c r="N29" s="49">
        <f>IF($A29="","",$G29-$M29)</f>
        <v/>
      </c>
      <c r="O29" s="49">
        <f>IF($A29="","",$B29+$N29)</f>
        <v/>
      </c>
      <c r="P29" s="37">
        <f>IF($A29="","",RENTABILIDAD!$O$30)</f>
        <v/>
      </c>
      <c r="Q29" s="37">
        <f>IF($A29="","",$P29-$N29)</f>
        <v/>
      </c>
      <c r="R29" s="37">
        <f>IF($A29="","",SUMIFS(tblVentas[Venta neta],tblVentas[Fecha],"&lt;"&amp;DATE(YEAR($A29),MONTH($A29)+1,1))-SUMIFS(tblVentas[Monto cobrado],tblVentas[Fecha de cobro],"&lt;"&amp;DATE(YEAR($A29),MONTH($A29)+1,1)))</f>
        <v/>
      </c>
      <c r="S29" s="37">
        <f>IF($A29="","",SUMIFS(tblCompras[Costo total de adquisición],tblCompras[Fecha],"&lt;"&amp;DATE(YEAR($A29),MONTH($A29)+1,1))+SUMIFS(tblGastos[Monto],tblGastos[Fecha],"&lt;"&amp;DATE(YEAR($A29),MONTH($A29)+1,1))-SUMIFS(tblCompras[Monto pagado],tblCompras[Fecha de pago],"&lt;"&amp;DATE(YEAR($A29),MONTH($A29)+1,1))-SUMIFS(tblGastos[Monto pagado],tblGastos[Fecha de pago],"&lt;"&amp;DATE(YEAR($A29),MONTH($A29)+1,1)))</f>
        <v/>
      </c>
      <c r="U29" s="51">
        <f>IF(COUNTA($V29:$Z29)=0,"","M-"&amp;TEXT(ROW()-6,"0000"))</f>
        <v/>
      </c>
      <c r="V29" s="41" t="n"/>
      <c r="W29" s="33" t="n"/>
      <c r="X29" s="33" t="n"/>
      <c r="Y29" s="33" t="n"/>
      <c r="Z29" s="36" t="n"/>
      <c r="AA29" s="33" t="n"/>
      <c r="AB29" s="33" t="n"/>
      <c r="AC29" s="51">
        <f>IF(COUNTA($V29,$W29,$X29,$Y29,$Z29)=0,"",IF(IF($V29=""," · Falta fecha","")&amp;IF($W29=""," · Falta tipo","")&amp;IF($X29=""," · Falta concepto","")&amp;IF(OR($Z29="",NOT(ISNUMBER($Z29)),$Z29&lt;=0)," · Monto inválido","")&amp;IF(AND($W29="Entrada",OR($X29="Retiro del propietario",$X29="Pago de préstamo",$X29="Otro egreso"))," · Tipo no coincide con el concepto","")&amp;IF(AND($W29="Salida",OR($X29="Aporte de capital",$X29="Préstamo recibido",$X29="Otro ingreso"))," · Tipo no coincide con el concepto","")="","OK",MID(IF($V29=""," · Falta fecha","")&amp;IF($W29=""," · Falta tipo","")&amp;IF($X29=""," · Falta concepto","")&amp;IF(OR($Z29="",NOT(ISNUMBER($Z29)),$Z29&lt;=0)," · Monto inválido","")&amp;IF(AND($W29="Entrada",OR($X29="Retiro del propietario",$X29="Pago de préstamo",$X29="Otro egreso"))," · Tipo no coincide con el concepto","")&amp;IF(AND($W29="Salida",OR($X29="Aporte de capital",$X29="Préstamo recibido",$X29="Otro ingreso"))," · Tipo no coincide con el concepto",""),4,900)))</f>
        <v/>
      </c>
    </row>
    <row r="30">
      <c r="A30" s="55">
        <f>IF(NOT(ISNUMBER(PAR_FECHA_INICIO)),"",DATE(YEAR(PAR_FECHA_INICIO),MONTH(PAR_FECHA_INICIO)+23,1))</f>
        <v/>
      </c>
      <c r="B30" s="37">
        <f>IF($A30="","",$O29)</f>
        <v/>
      </c>
      <c r="C30" s="37">
        <f>IF($A30="","",SUMIFS(tblVentas[Monto cobrado],tblVentas[Fecha de cobro],"&gt;="&amp;$A30,tblVentas[Fecha de cobro],"&lt;"&amp;DATE(YEAR($A30),MONTH($A30)+1,1)))</f>
        <v/>
      </c>
      <c r="D30" s="37">
        <f>IF($A30="","",SUMIFS(tblCajaMov[Monto],tblCajaMov[Concepto],"Aporte de capital",tblCajaMov[Fecha],"&gt;="&amp;$A30,tblCajaMov[Fecha],"&lt;"&amp;DATE(YEAR($A30),MONTH($A30)+1,1)))</f>
        <v/>
      </c>
      <c r="E30" s="37">
        <f>IF($A30="","",SUMIFS(tblCajaMov[Monto],tblCajaMov[Concepto],"Préstamo recibido",tblCajaMov[Fecha],"&gt;="&amp;$A30,tblCajaMov[Fecha],"&lt;"&amp;DATE(YEAR($A30),MONTH($A30)+1,1)))</f>
        <v/>
      </c>
      <c r="F30" s="37">
        <f>IF($A30="","",SUMIFS(tblCajaMov[Monto],tblCajaMov[Concepto],"Otro ingreso",tblCajaMov[Fecha],"&gt;="&amp;$A30,tblCajaMov[Fecha],"&lt;"&amp;DATE(YEAR($A30),MONTH($A30)+1,1)))</f>
        <v/>
      </c>
      <c r="G30" s="49">
        <f>IF($A30="","",SUM($C30:$F30))</f>
        <v/>
      </c>
      <c r="H30" s="37">
        <f>IF($A30="","",SUMIFS(tblCompras[Monto pagado],tblCompras[Fecha de pago],"&gt;="&amp;$A30,tblCompras[Fecha de pago],"&lt;"&amp;DATE(YEAR($A30),MONTH($A30)+1,1)))</f>
        <v/>
      </c>
      <c r="I30" s="37">
        <f>IF($A30="","",SUMIFS(tblGastos[Monto pagado],tblGastos[Fecha de pago],"&gt;="&amp;$A30,tblGastos[Fecha de pago],"&lt;"&amp;DATE(YEAR($A30),MONTH($A30)+1,1)))</f>
        <v/>
      </c>
      <c r="J30" s="37">
        <f>IF($A30="","",SUMIFS(tblCajaMov[Monto],tblCajaMov[Concepto],"Retiro del propietario",tblCajaMov[Fecha],"&gt;="&amp;$A30,tblCajaMov[Fecha],"&lt;"&amp;DATE(YEAR($A30),MONTH($A30)+1,1)))</f>
        <v/>
      </c>
      <c r="K30" s="37">
        <f>IF($A30="","",SUMIFS(tblCajaMov[Monto],tblCajaMov[Concepto],"Pago de préstamo",tblCajaMov[Fecha],"&gt;="&amp;$A30,tblCajaMov[Fecha],"&lt;"&amp;DATE(YEAR($A30),MONTH($A30)+1,1)))</f>
        <v/>
      </c>
      <c r="L30" s="37">
        <f>IF($A30="","",SUMIFS(tblCajaMov[Monto],tblCajaMov[Concepto],"Otro egreso",tblCajaMov[Fecha],"&gt;="&amp;$A30,tblCajaMov[Fecha],"&lt;"&amp;DATE(YEAR($A30),MONTH($A30)+1,1)))</f>
        <v/>
      </c>
      <c r="M30" s="49">
        <f>IF($A30="","",SUM($H30:$L30))</f>
        <v/>
      </c>
      <c r="N30" s="49">
        <f>IF($A30="","",$G30-$M30)</f>
        <v/>
      </c>
      <c r="O30" s="49">
        <f>IF($A30="","",$B30+$N30)</f>
        <v/>
      </c>
      <c r="P30" s="37">
        <f>IF($A30="","",RENTABILIDAD!$O$31)</f>
        <v/>
      </c>
      <c r="Q30" s="37">
        <f>IF($A30="","",$P30-$N30)</f>
        <v/>
      </c>
      <c r="R30" s="37">
        <f>IF($A30="","",SUMIFS(tblVentas[Venta neta],tblVentas[Fecha],"&lt;"&amp;DATE(YEAR($A30),MONTH($A30)+1,1))-SUMIFS(tblVentas[Monto cobrado],tblVentas[Fecha de cobro],"&lt;"&amp;DATE(YEAR($A30),MONTH($A30)+1,1)))</f>
        <v/>
      </c>
      <c r="S30" s="37">
        <f>IF($A30="","",SUMIFS(tblCompras[Costo total de adquisición],tblCompras[Fecha],"&lt;"&amp;DATE(YEAR($A30),MONTH($A30)+1,1))+SUMIFS(tblGastos[Monto],tblGastos[Fecha],"&lt;"&amp;DATE(YEAR($A30),MONTH($A30)+1,1))-SUMIFS(tblCompras[Monto pagado],tblCompras[Fecha de pago],"&lt;"&amp;DATE(YEAR($A30),MONTH($A30)+1,1))-SUMIFS(tblGastos[Monto pagado],tblGastos[Fecha de pago],"&lt;"&amp;DATE(YEAR($A30),MONTH($A30)+1,1)))</f>
        <v/>
      </c>
      <c r="U30" s="51">
        <f>IF(COUNTA($V30:$Z30)=0,"","M-"&amp;TEXT(ROW()-6,"0000"))</f>
        <v/>
      </c>
      <c r="V30" s="41" t="n"/>
      <c r="W30" s="33" t="n"/>
      <c r="X30" s="33" t="n"/>
      <c r="Y30" s="33" t="n"/>
      <c r="Z30" s="36" t="n"/>
      <c r="AA30" s="33" t="n"/>
      <c r="AB30" s="33" t="n"/>
      <c r="AC30" s="51">
        <f>IF(COUNTA($V30,$W30,$X30,$Y30,$Z30)=0,"",IF(IF($V30=""," · Falta fecha","")&amp;IF($W30=""," · Falta tipo","")&amp;IF($X30=""," · Falta concepto","")&amp;IF(OR($Z30="",NOT(ISNUMBER($Z30)),$Z30&lt;=0)," · Monto inválido","")&amp;IF(AND($W30="Entrada",OR($X30="Retiro del propietario",$X30="Pago de préstamo",$X30="Otro egreso"))," · Tipo no coincide con el concepto","")&amp;IF(AND($W30="Salida",OR($X30="Aporte de capital",$X30="Préstamo recibido",$X30="Otro ingreso"))," · Tipo no coincide con el concepto","")="","OK",MID(IF($V30=""," · Falta fecha","")&amp;IF($W30=""," · Falta tipo","")&amp;IF($X30=""," · Falta concepto","")&amp;IF(OR($Z30="",NOT(ISNUMBER($Z30)),$Z30&lt;=0)," · Monto inválido","")&amp;IF(AND($W30="Entrada",OR($X30="Retiro del propietario",$X30="Pago de préstamo",$X30="Otro egreso"))," · Tipo no coincide con el concepto","")&amp;IF(AND($W30="Salida",OR($X30="Aporte de capital",$X30="Préstamo recibido",$X30="Otro ingreso"))," · Tipo no coincide con el concepto",""),4,900)))</f>
        <v/>
      </c>
    </row>
    <row r="31">
      <c r="A31" s="55">
        <f>IF(NOT(ISNUMBER(PAR_FECHA_INICIO)),"",DATE(YEAR(PAR_FECHA_INICIO),MONTH(PAR_FECHA_INICIO)+24,1))</f>
        <v/>
      </c>
      <c r="B31" s="37">
        <f>IF($A31="","",$O30)</f>
        <v/>
      </c>
      <c r="C31" s="37">
        <f>IF($A31="","",SUMIFS(tblVentas[Monto cobrado],tblVentas[Fecha de cobro],"&gt;="&amp;$A31,tblVentas[Fecha de cobro],"&lt;"&amp;DATE(YEAR($A31),MONTH($A31)+1,1)))</f>
        <v/>
      </c>
      <c r="D31" s="37">
        <f>IF($A31="","",SUMIFS(tblCajaMov[Monto],tblCajaMov[Concepto],"Aporte de capital",tblCajaMov[Fecha],"&gt;="&amp;$A31,tblCajaMov[Fecha],"&lt;"&amp;DATE(YEAR($A31),MONTH($A31)+1,1)))</f>
        <v/>
      </c>
      <c r="E31" s="37">
        <f>IF($A31="","",SUMIFS(tblCajaMov[Monto],tblCajaMov[Concepto],"Préstamo recibido",tblCajaMov[Fecha],"&gt;="&amp;$A31,tblCajaMov[Fecha],"&lt;"&amp;DATE(YEAR($A31),MONTH($A31)+1,1)))</f>
        <v/>
      </c>
      <c r="F31" s="37">
        <f>IF($A31="","",SUMIFS(tblCajaMov[Monto],tblCajaMov[Concepto],"Otro ingreso",tblCajaMov[Fecha],"&gt;="&amp;$A31,tblCajaMov[Fecha],"&lt;"&amp;DATE(YEAR($A31),MONTH($A31)+1,1)))</f>
        <v/>
      </c>
      <c r="G31" s="49">
        <f>IF($A31="","",SUM($C31:$F31))</f>
        <v/>
      </c>
      <c r="H31" s="37">
        <f>IF($A31="","",SUMIFS(tblCompras[Monto pagado],tblCompras[Fecha de pago],"&gt;="&amp;$A31,tblCompras[Fecha de pago],"&lt;"&amp;DATE(YEAR($A31),MONTH($A31)+1,1)))</f>
        <v/>
      </c>
      <c r="I31" s="37">
        <f>IF($A31="","",SUMIFS(tblGastos[Monto pagado],tblGastos[Fecha de pago],"&gt;="&amp;$A31,tblGastos[Fecha de pago],"&lt;"&amp;DATE(YEAR($A31),MONTH($A31)+1,1)))</f>
        <v/>
      </c>
      <c r="J31" s="37">
        <f>IF($A31="","",SUMIFS(tblCajaMov[Monto],tblCajaMov[Concepto],"Retiro del propietario",tblCajaMov[Fecha],"&gt;="&amp;$A31,tblCajaMov[Fecha],"&lt;"&amp;DATE(YEAR($A31),MONTH($A31)+1,1)))</f>
        <v/>
      </c>
      <c r="K31" s="37">
        <f>IF($A31="","",SUMIFS(tblCajaMov[Monto],tblCajaMov[Concepto],"Pago de préstamo",tblCajaMov[Fecha],"&gt;="&amp;$A31,tblCajaMov[Fecha],"&lt;"&amp;DATE(YEAR($A31),MONTH($A31)+1,1)))</f>
        <v/>
      </c>
      <c r="L31" s="37">
        <f>IF($A31="","",SUMIFS(tblCajaMov[Monto],tblCajaMov[Concepto],"Otro egreso",tblCajaMov[Fecha],"&gt;="&amp;$A31,tblCajaMov[Fecha],"&lt;"&amp;DATE(YEAR($A31),MONTH($A31)+1,1)))</f>
        <v/>
      </c>
      <c r="M31" s="49">
        <f>IF($A31="","",SUM($H31:$L31))</f>
        <v/>
      </c>
      <c r="N31" s="49">
        <f>IF($A31="","",$G31-$M31)</f>
        <v/>
      </c>
      <c r="O31" s="49">
        <f>IF($A31="","",$B31+$N31)</f>
        <v/>
      </c>
      <c r="P31" s="37">
        <f>IF($A31="","",RENTABILIDAD!$O$32)</f>
        <v/>
      </c>
      <c r="Q31" s="37">
        <f>IF($A31="","",$P31-$N31)</f>
        <v/>
      </c>
      <c r="R31" s="37">
        <f>IF($A31="","",SUMIFS(tblVentas[Venta neta],tblVentas[Fecha],"&lt;"&amp;DATE(YEAR($A31),MONTH($A31)+1,1))-SUMIFS(tblVentas[Monto cobrado],tblVentas[Fecha de cobro],"&lt;"&amp;DATE(YEAR($A31),MONTH($A31)+1,1)))</f>
        <v/>
      </c>
      <c r="S31" s="37">
        <f>IF($A31="","",SUMIFS(tblCompras[Costo total de adquisición],tblCompras[Fecha],"&lt;"&amp;DATE(YEAR($A31),MONTH($A31)+1,1))+SUMIFS(tblGastos[Monto],tblGastos[Fecha],"&lt;"&amp;DATE(YEAR($A31),MONTH($A31)+1,1))-SUMIFS(tblCompras[Monto pagado],tblCompras[Fecha de pago],"&lt;"&amp;DATE(YEAR($A31),MONTH($A31)+1,1))-SUMIFS(tblGastos[Monto pagado],tblGastos[Fecha de pago],"&lt;"&amp;DATE(YEAR($A31),MONTH($A31)+1,1)))</f>
        <v/>
      </c>
      <c r="U31" s="51">
        <f>IF(COUNTA($V31:$Z31)=0,"","M-"&amp;TEXT(ROW()-6,"0000"))</f>
        <v/>
      </c>
      <c r="V31" s="41" t="n"/>
      <c r="W31" s="33" t="n"/>
      <c r="X31" s="33" t="n"/>
      <c r="Y31" s="33" t="n"/>
      <c r="Z31" s="36" t="n"/>
      <c r="AA31" s="33" t="n"/>
      <c r="AB31" s="33" t="n"/>
      <c r="AC31" s="51">
        <f>IF(COUNTA($V31,$W31,$X31,$Y31,$Z31)=0,"",IF(IF($V31=""," · Falta fecha","")&amp;IF($W31=""," · Falta tipo","")&amp;IF($X31=""," · Falta concepto","")&amp;IF(OR($Z31="",NOT(ISNUMBER($Z31)),$Z31&lt;=0)," · Monto inválido","")&amp;IF(AND($W31="Entrada",OR($X31="Retiro del propietario",$X31="Pago de préstamo",$X31="Otro egreso"))," · Tipo no coincide con el concepto","")&amp;IF(AND($W31="Salida",OR($X31="Aporte de capital",$X31="Préstamo recibido",$X31="Otro ingreso"))," · Tipo no coincide con el concepto","")="","OK",MID(IF($V31=""," · Falta fecha","")&amp;IF($W31=""," · Falta tipo","")&amp;IF($X31=""," · Falta concepto","")&amp;IF(OR($Z31="",NOT(ISNUMBER($Z31)),$Z31&lt;=0)," · Monto inválido","")&amp;IF(AND($W31="Entrada",OR($X31="Retiro del propietario",$X31="Pago de préstamo",$X31="Otro egreso"))," · Tipo no coincide con el concepto","")&amp;IF(AND($W31="Salida",OR($X31="Aporte de capital",$X31="Préstamo recibido",$X31="Otro ingreso"))," · Tipo no coincide con el concepto",""),4,900)))</f>
        <v/>
      </c>
    </row>
    <row r="32">
      <c r="A32" s="55">
        <f>IF(NOT(ISNUMBER(PAR_FECHA_INICIO)),"",DATE(YEAR(PAR_FECHA_INICIO),MONTH(PAR_FECHA_INICIO)+25,1))</f>
        <v/>
      </c>
      <c r="B32" s="37">
        <f>IF($A32="","",$O31)</f>
        <v/>
      </c>
      <c r="C32" s="37">
        <f>IF($A32="","",SUMIFS(tblVentas[Monto cobrado],tblVentas[Fecha de cobro],"&gt;="&amp;$A32,tblVentas[Fecha de cobro],"&lt;"&amp;DATE(YEAR($A32),MONTH($A32)+1,1)))</f>
        <v/>
      </c>
      <c r="D32" s="37">
        <f>IF($A32="","",SUMIFS(tblCajaMov[Monto],tblCajaMov[Concepto],"Aporte de capital",tblCajaMov[Fecha],"&gt;="&amp;$A32,tblCajaMov[Fecha],"&lt;"&amp;DATE(YEAR($A32),MONTH($A32)+1,1)))</f>
        <v/>
      </c>
      <c r="E32" s="37">
        <f>IF($A32="","",SUMIFS(tblCajaMov[Monto],tblCajaMov[Concepto],"Préstamo recibido",tblCajaMov[Fecha],"&gt;="&amp;$A32,tblCajaMov[Fecha],"&lt;"&amp;DATE(YEAR($A32),MONTH($A32)+1,1)))</f>
        <v/>
      </c>
      <c r="F32" s="37">
        <f>IF($A32="","",SUMIFS(tblCajaMov[Monto],tblCajaMov[Concepto],"Otro ingreso",tblCajaMov[Fecha],"&gt;="&amp;$A32,tblCajaMov[Fecha],"&lt;"&amp;DATE(YEAR($A32),MONTH($A32)+1,1)))</f>
        <v/>
      </c>
      <c r="G32" s="49">
        <f>IF($A32="","",SUM($C32:$F32))</f>
        <v/>
      </c>
      <c r="H32" s="37">
        <f>IF($A32="","",SUMIFS(tblCompras[Monto pagado],tblCompras[Fecha de pago],"&gt;="&amp;$A32,tblCompras[Fecha de pago],"&lt;"&amp;DATE(YEAR($A32),MONTH($A32)+1,1)))</f>
        <v/>
      </c>
      <c r="I32" s="37">
        <f>IF($A32="","",SUMIFS(tblGastos[Monto pagado],tblGastos[Fecha de pago],"&gt;="&amp;$A32,tblGastos[Fecha de pago],"&lt;"&amp;DATE(YEAR($A32),MONTH($A32)+1,1)))</f>
        <v/>
      </c>
      <c r="J32" s="37">
        <f>IF($A32="","",SUMIFS(tblCajaMov[Monto],tblCajaMov[Concepto],"Retiro del propietario",tblCajaMov[Fecha],"&gt;="&amp;$A32,tblCajaMov[Fecha],"&lt;"&amp;DATE(YEAR($A32),MONTH($A32)+1,1)))</f>
        <v/>
      </c>
      <c r="K32" s="37">
        <f>IF($A32="","",SUMIFS(tblCajaMov[Monto],tblCajaMov[Concepto],"Pago de préstamo",tblCajaMov[Fecha],"&gt;="&amp;$A32,tblCajaMov[Fecha],"&lt;"&amp;DATE(YEAR($A32),MONTH($A32)+1,1)))</f>
        <v/>
      </c>
      <c r="L32" s="37">
        <f>IF($A32="","",SUMIFS(tblCajaMov[Monto],tblCajaMov[Concepto],"Otro egreso",tblCajaMov[Fecha],"&gt;="&amp;$A32,tblCajaMov[Fecha],"&lt;"&amp;DATE(YEAR($A32),MONTH($A32)+1,1)))</f>
        <v/>
      </c>
      <c r="M32" s="49">
        <f>IF($A32="","",SUM($H32:$L32))</f>
        <v/>
      </c>
      <c r="N32" s="49">
        <f>IF($A32="","",$G32-$M32)</f>
        <v/>
      </c>
      <c r="O32" s="49">
        <f>IF($A32="","",$B32+$N32)</f>
        <v/>
      </c>
      <c r="P32" s="37">
        <f>IF($A32="","",RENTABILIDAD!$O$33)</f>
        <v/>
      </c>
      <c r="Q32" s="37">
        <f>IF($A32="","",$P32-$N32)</f>
        <v/>
      </c>
      <c r="R32" s="37">
        <f>IF($A32="","",SUMIFS(tblVentas[Venta neta],tblVentas[Fecha],"&lt;"&amp;DATE(YEAR($A32),MONTH($A32)+1,1))-SUMIFS(tblVentas[Monto cobrado],tblVentas[Fecha de cobro],"&lt;"&amp;DATE(YEAR($A32),MONTH($A32)+1,1)))</f>
        <v/>
      </c>
      <c r="S32" s="37">
        <f>IF($A32="","",SUMIFS(tblCompras[Costo total de adquisición],tblCompras[Fecha],"&lt;"&amp;DATE(YEAR($A32),MONTH($A32)+1,1))+SUMIFS(tblGastos[Monto],tblGastos[Fecha],"&lt;"&amp;DATE(YEAR($A32),MONTH($A32)+1,1))-SUMIFS(tblCompras[Monto pagado],tblCompras[Fecha de pago],"&lt;"&amp;DATE(YEAR($A32),MONTH($A32)+1,1))-SUMIFS(tblGastos[Monto pagado],tblGastos[Fecha de pago],"&lt;"&amp;DATE(YEAR($A32),MONTH($A32)+1,1)))</f>
        <v/>
      </c>
      <c r="U32" s="51">
        <f>IF(COUNTA($V32:$Z32)=0,"","M-"&amp;TEXT(ROW()-6,"0000"))</f>
        <v/>
      </c>
      <c r="V32" s="41" t="n"/>
      <c r="W32" s="33" t="n"/>
      <c r="X32" s="33" t="n"/>
      <c r="Y32" s="33" t="n"/>
      <c r="Z32" s="36" t="n"/>
      <c r="AA32" s="33" t="n"/>
      <c r="AB32" s="33" t="n"/>
      <c r="AC32" s="51">
        <f>IF(COUNTA($V32,$W32,$X32,$Y32,$Z32)=0,"",IF(IF($V32=""," · Falta fecha","")&amp;IF($W32=""," · Falta tipo","")&amp;IF($X32=""," · Falta concepto","")&amp;IF(OR($Z32="",NOT(ISNUMBER($Z32)),$Z32&lt;=0)," · Monto inválido","")&amp;IF(AND($W32="Entrada",OR($X32="Retiro del propietario",$X32="Pago de préstamo",$X32="Otro egreso"))," · Tipo no coincide con el concepto","")&amp;IF(AND($W32="Salida",OR($X32="Aporte de capital",$X32="Préstamo recibido",$X32="Otro ingreso"))," · Tipo no coincide con el concepto","")="","OK",MID(IF($V32=""," · Falta fecha","")&amp;IF($W32=""," · Falta tipo","")&amp;IF($X32=""," · Falta concepto","")&amp;IF(OR($Z32="",NOT(ISNUMBER($Z32)),$Z32&lt;=0)," · Monto inválido","")&amp;IF(AND($W32="Entrada",OR($X32="Retiro del propietario",$X32="Pago de préstamo",$X32="Otro egreso"))," · Tipo no coincide con el concepto","")&amp;IF(AND($W32="Salida",OR($X32="Aporte de capital",$X32="Préstamo recibido",$X32="Otro ingreso"))," · Tipo no coincide con el concepto",""),4,900)))</f>
        <v/>
      </c>
    </row>
    <row r="33">
      <c r="A33" s="55">
        <f>IF(NOT(ISNUMBER(PAR_FECHA_INICIO)),"",DATE(YEAR(PAR_FECHA_INICIO),MONTH(PAR_FECHA_INICIO)+26,1))</f>
        <v/>
      </c>
      <c r="B33" s="37">
        <f>IF($A33="","",$O32)</f>
        <v/>
      </c>
      <c r="C33" s="37">
        <f>IF($A33="","",SUMIFS(tblVentas[Monto cobrado],tblVentas[Fecha de cobro],"&gt;="&amp;$A33,tblVentas[Fecha de cobro],"&lt;"&amp;DATE(YEAR($A33),MONTH($A33)+1,1)))</f>
        <v/>
      </c>
      <c r="D33" s="37">
        <f>IF($A33="","",SUMIFS(tblCajaMov[Monto],tblCajaMov[Concepto],"Aporte de capital",tblCajaMov[Fecha],"&gt;="&amp;$A33,tblCajaMov[Fecha],"&lt;"&amp;DATE(YEAR($A33),MONTH($A33)+1,1)))</f>
        <v/>
      </c>
      <c r="E33" s="37">
        <f>IF($A33="","",SUMIFS(tblCajaMov[Monto],tblCajaMov[Concepto],"Préstamo recibido",tblCajaMov[Fecha],"&gt;="&amp;$A33,tblCajaMov[Fecha],"&lt;"&amp;DATE(YEAR($A33),MONTH($A33)+1,1)))</f>
        <v/>
      </c>
      <c r="F33" s="37">
        <f>IF($A33="","",SUMIFS(tblCajaMov[Monto],tblCajaMov[Concepto],"Otro ingreso",tblCajaMov[Fecha],"&gt;="&amp;$A33,tblCajaMov[Fecha],"&lt;"&amp;DATE(YEAR($A33),MONTH($A33)+1,1)))</f>
        <v/>
      </c>
      <c r="G33" s="49">
        <f>IF($A33="","",SUM($C33:$F33))</f>
        <v/>
      </c>
      <c r="H33" s="37">
        <f>IF($A33="","",SUMIFS(tblCompras[Monto pagado],tblCompras[Fecha de pago],"&gt;="&amp;$A33,tblCompras[Fecha de pago],"&lt;"&amp;DATE(YEAR($A33),MONTH($A33)+1,1)))</f>
        <v/>
      </c>
      <c r="I33" s="37">
        <f>IF($A33="","",SUMIFS(tblGastos[Monto pagado],tblGastos[Fecha de pago],"&gt;="&amp;$A33,tblGastos[Fecha de pago],"&lt;"&amp;DATE(YEAR($A33),MONTH($A33)+1,1)))</f>
        <v/>
      </c>
      <c r="J33" s="37">
        <f>IF($A33="","",SUMIFS(tblCajaMov[Monto],tblCajaMov[Concepto],"Retiro del propietario",tblCajaMov[Fecha],"&gt;="&amp;$A33,tblCajaMov[Fecha],"&lt;"&amp;DATE(YEAR($A33),MONTH($A33)+1,1)))</f>
        <v/>
      </c>
      <c r="K33" s="37">
        <f>IF($A33="","",SUMIFS(tblCajaMov[Monto],tblCajaMov[Concepto],"Pago de préstamo",tblCajaMov[Fecha],"&gt;="&amp;$A33,tblCajaMov[Fecha],"&lt;"&amp;DATE(YEAR($A33),MONTH($A33)+1,1)))</f>
        <v/>
      </c>
      <c r="L33" s="37">
        <f>IF($A33="","",SUMIFS(tblCajaMov[Monto],tblCajaMov[Concepto],"Otro egreso",tblCajaMov[Fecha],"&gt;="&amp;$A33,tblCajaMov[Fecha],"&lt;"&amp;DATE(YEAR($A33),MONTH($A33)+1,1)))</f>
        <v/>
      </c>
      <c r="M33" s="49">
        <f>IF($A33="","",SUM($H33:$L33))</f>
        <v/>
      </c>
      <c r="N33" s="49">
        <f>IF($A33="","",$G33-$M33)</f>
        <v/>
      </c>
      <c r="O33" s="49">
        <f>IF($A33="","",$B33+$N33)</f>
        <v/>
      </c>
      <c r="P33" s="37">
        <f>IF($A33="","",RENTABILIDAD!$O$34)</f>
        <v/>
      </c>
      <c r="Q33" s="37">
        <f>IF($A33="","",$P33-$N33)</f>
        <v/>
      </c>
      <c r="R33" s="37">
        <f>IF($A33="","",SUMIFS(tblVentas[Venta neta],tblVentas[Fecha],"&lt;"&amp;DATE(YEAR($A33),MONTH($A33)+1,1))-SUMIFS(tblVentas[Monto cobrado],tblVentas[Fecha de cobro],"&lt;"&amp;DATE(YEAR($A33),MONTH($A33)+1,1)))</f>
        <v/>
      </c>
      <c r="S33" s="37">
        <f>IF($A33="","",SUMIFS(tblCompras[Costo total de adquisición],tblCompras[Fecha],"&lt;"&amp;DATE(YEAR($A33),MONTH($A33)+1,1))+SUMIFS(tblGastos[Monto],tblGastos[Fecha],"&lt;"&amp;DATE(YEAR($A33),MONTH($A33)+1,1))-SUMIFS(tblCompras[Monto pagado],tblCompras[Fecha de pago],"&lt;"&amp;DATE(YEAR($A33),MONTH($A33)+1,1))-SUMIFS(tblGastos[Monto pagado],tblGastos[Fecha de pago],"&lt;"&amp;DATE(YEAR($A33),MONTH($A33)+1,1)))</f>
        <v/>
      </c>
      <c r="U33" s="51">
        <f>IF(COUNTA($V33:$Z33)=0,"","M-"&amp;TEXT(ROW()-6,"0000"))</f>
        <v/>
      </c>
      <c r="V33" s="41" t="n"/>
      <c r="W33" s="33" t="n"/>
      <c r="X33" s="33" t="n"/>
      <c r="Y33" s="33" t="n"/>
      <c r="Z33" s="36" t="n"/>
      <c r="AA33" s="33" t="n"/>
      <c r="AB33" s="33" t="n"/>
      <c r="AC33" s="51">
        <f>IF(COUNTA($V33,$W33,$X33,$Y33,$Z33)=0,"",IF(IF($V33=""," · Falta fecha","")&amp;IF($W33=""," · Falta tipo","")&amp;IF($X33=""," · Falta concepto","")&amp;IF(OR($Z33="",NOT(ISNUMBER($Z33)),$Z33&lt;=0)," · Monto inválido","")&amp;IF(AND($W33="Entrada",OR($X33="Retiro del propietario",$X33="Pago de préstamo",$X33="Otro egreso"))," · Tipo no coincide con el concepto","")&amp;IF(AND($W33="Salida",OR($X33="Aporte de capital",$X33="Préstamo recibido",$X33="Otro ingreso"))," · Tipo no coincide con el concepto","")="","OK",MID(IF($V33=""," · Falta fecha","")&amp;IF($W33=""," · Falta tipo","")&amp;IF($X33=""," · Falta concepto","")&amp;IF(OR($Z33="",NOT(ISNUMBER($Z33)),$Z33&lt;=0)," · Monto inválido","")&amp;IF(AND($W33="Entrada",OR($X33="Retiro del propietario",$X33="Pago de préstamo",$X33="Otro egreso"))," · Tipo no coincide con el concepto","")&amp;IF(AND($W33="Salida",OR($X33="Aporte de capital",$X33="Préstamo recibido",$X33="Otro ingreso"))," · Tipo no coincide con el concepto",""),4,900)))</f>
        <v/>
      </c>
    </row>
    <row r="34">
      <c r="A34" s="55">
        <f>IF(NOT(ISNUMBER(PAR_FECHA_INICIO)),"",DATE(YEAR(PAR_FECHA_INICIO),MONTH(PAR_FECHA_INICIO)+27,1))</f>
        <v/>
      </c>
      <c r="B34" s="37">
        <f>IF($A34="","",$O33)</f>
        <v/>
      </c>
      <c r="C34" s="37">
        <f>IF($A34="","",SUMIFS(tblVentas[Monto cobrado],tblVentas[Fecha de cobro],"&gt;="&amp;$A34,tblVentas[Fecha de cobro],"&lt;"&amp;DATE(YEAR($A34),MONTH($A34)+1,1)))</f>
        <v/>
      </c>
      <c r="D34" s="37">
        <f>IF($A34="","",SUMIFS(tblCajaMov[Monto],tblCajaMov[Concepto],"Aporte de capital",tblCajaMov[Fecha],"&gt;="&amp;$A34,tblCajaMov[Fecha],"&lt;"&amp;DATE(YEAR($A34),MONTH($A34)+1,1)))</f>
        <v/>
      </c>
      <c r="E34" s="37">
        <f>IF($A34="","",SUMIFS(tblCajaMov[Monto],tblCajaMov[Concepto],"Préstamo recibido",tblCajaMov[Fecha],"&gt;="&amp;$A34,tblCajaMov[Fecha],"&lt;"&amp;DATE(YEAR($A34),MONTH($A34)+1,1)))</f>
        <v/>
      </c>
      <c r="F34" s="37">
        <f>IF($A34="","",SUMIFS(tblCajaMov[Monto],tblCajaMov[Concepto],"Otro ingreso",tblCajaMov[Fecha],"&gt;="&amp;$A34,tblCajaMov[Fecha],"&lt;"&amp;DATE(YEAR($A34),MONTH($A34)+1,1)))</f>
        <v/>
      </c>
      <c r="G34" s="49">
        <f>IF($A34="","",SUM($C34:$F34))</f>
        <v/>
      </c>
      <c r="H34" s="37">
        <f>IF($A34="","",SUMIFS(tblCompras[Monto pagado],tblCompras[Fecha de pago],"&gt;="&amp;$A34,tblCompras[Fecha de pago],"&lt;"&amp;DATE(YEAR($A34),MONTH($A34)+1,1)))</f>
        <v/>
      </c>
      <c r="I34" s="37">
        <f>IF($A34="","",SUMIFS(tblGastos[Monto pagado],tblGastos[Fecha de pago],"&gt;="&amp;$A34,tblGastos[Fecha de pago],"&lt;"&amp;DATE(YEAR($A34),MONTH($A34)+1,1)))</f>
        <v/>
      </c>
      <c r="J34" s="37">
        <f>IF($A34="","",SUMIFS(tblCajaMov[Monto],tblCajaMov[Concepto],"Retiro del propietario",tblCajaMov[Fecha],"&gt;="&amp;$A34,tblCajaMov[Fecha],"&lt;"&amp;DATE(YEAR($A34),MONTH($A34)+1,1)))</f>
        <v/>
      </c>
      <c r="K34" s="37">
        <f>IF($A34="","",SUMIFS(tblCajaMov[Monto],tblCajaMov[Concepto],"Pago de préstamo",tblCajaMov[Fecha],"&gt;="&amp;$A34,tblCajaMov[Fecha],"&lt;"&amp;DATE(YEAR($A34),MONTH($A34)+1,1)))</f>
        <v/>
      </c>
      <c r="L34" s="37">
        <f>IF($A34="","",SUMIFS(tblCajaMov[Monto],tblCajaMov[Concepto],"Otro egreso",tblCajaMov[Fecha],"&gt;="&amp;$A34,tblCajaMov[Fecha],"&lt;"&amp;DATE(YEAR($A34),MONTH($A34)+1,1)))</f>
        <v/>
      </c>
      <c r="M34" s="49">
        <f>IF($A34="","",SUM($H34:$L34))</f>
        <v/>
      </c>
      <c r="N34" s="49">
        <f>IF($A34="","",$G34-$M34)</f>
        <v/>
      </c>
      <c r="O34" s="49">
        <f>IF($A34="","",$B34+$N34)</f>
        <v/>
      </c>
      <c r="P34" s="37">
        <f>IF($A34="","",RENTABILIDAD!$O$35)</f>
        <v/>
      </c>
      <c r="Q34" s="37">
        <f>IF($A34="","",$P34-$N34)</f>
        <v/>
      </c>
      <c r="R34" s="37">
        <f>IF($A34="","",SUMIFS(tblVentas[Venta neta],tblVentas[Fecha],"&lt;"&amp;DATE(YEAR($A34),MONTH($A34)+1,1))-SUMIFS(tblVentas[Monto cobrado],tblVentas[Fecha de cobro],"&lt;"&amp;DATE(YEAR($A34),MONTH($A34)+1,1)))</f>
        <v/>
      </c>
      <c r="S34" s="37">
        <f>IF($A34="","",SUMIFS(tblCompras[Costo total de adquisición],tblCompras[Fecha],"&lt;"&amp;DATE(YEAR($A34),MONTH($A34)+1,1))+SUMIFS(tblGastos[Monto],tblGastos[Fecha],"&lt;"&amp;DATE(YEAR($A34),MONTH($A34)+1,1))-SUMIFS(tblCompras[Monto pagado],tblCompras[Fecha de pago],"&lt;"&amp;DATE(YEAR($A34),MONTH($A34)+1,1))-SUMIFS(tblGastos[Monto pagado],tblGastos[Fecha de pago],"&lt;"&amp;DATE(YEAR($A34),MONTH($A34)+1,1)))</f>
        <v/>
      </c>
      <c r="U34" s="51">
        <f>IF(COUNTA($V34:$Z34)=0,"","M-"&amp;TEXT(ROW()-6,"0000"))</f>
        <v/>
      </c>
      <c r="V34" s="41" t="n"/>
      <c r="W34" s="33" t="n"/>
      <c r="X34" s="33" t="n"/>
      <c r="Y34" s="33" t="n"/>
      <c r="Z34" s="36" t="n"/>
      <c r="AA34" s="33" t="n"/>
      <c r="AB34" s="33" t="n"/>
      <c r="AC34" s="51">
        <f>IF(COUNTA($V34,$W34,$X34,$Y34,$Z34)=0,"",IF(IF($V34=""," · Falta fecha","")&amp;IF($W34=""," · Falta tipo","")&amp;IF($X34=""," · Falta concepto","")&amp;IF(OR($Z34="",NOT(ISNUMBER($Z34)),$Z34&lt;=0)," · Monto inválido","")&amp;IF(AND($W34="Entrada",OR($X34="Retiro del propietario",$X34="Pago de préstamo",$X34="Otro egreso"))," · Tipo no coincide con el concepto","")&amp;IF(AND($W34="Salida",OR($X34="Aporte de capital",$X34="Préstamo recibido",$X34="Otro ingreso"))," · Tipo no coincide con el concepto","")="","OK",MID(IF($V34=""," · Falta fecha","")&amp;IF($W34=""," · Falta tipo","")&amp;IF($X34=""," · Falta concepto","")&amp;IF(OR($Z34="",NOT(ISNUMBER($Z34)),$Z34&lt;=0)," · Monto inválido","")&amp;IF(AND($W34="Entrada",OR($X34="Retiro del propietario",$X34="Pago de préstamo",$X34="Otro egreso"))," · Tipo no coincide con el concepto","")&amp;IF(AND($W34="Salida",OR($X34="Aporte de capital",$X34="Préstamo recibido",$X34="Otro ingreso"))," · Tipo no coincide con el concepto",""),4,900)))</f>
        <v/>
      </c>
    </row>
    <row r="35">
      <c r="A35" s="55">
        <f>IF(NOT(ISNUMBER(PAR_FECHA_INICIO)),"",DATE(YEAR(PAR_FECHA_INICIO),MONTH(PAR_FECHA_INICIO)+28,1))</f>
        <v/>
      </c>
      <c r="B35" s="37">
        <f>IF($A35="","",$O34)</f>
        <v/>
      </c>
      <c r="C35" s="37">
        <f>IF($A35="","",SUMIFS(tblVentas[Monto cobrado],tblVentas[Fecha de cobro],"&gt;="&amp;$A35,tblVentas[Fecha de cobro],"&lt;"&amp;DATE(YEAR($A35),MONTH($A35)+1,1)))</f>
        <v/>
      </c>
      <c r="D35" s="37">
        <f>IF($A35="","",SUMIFS(tblCajaMov[Monto],tblCajaMov[Concepto],"Aporte de capital",tblCajaMov[Fecha],"&gt;="&amp;$A35,tblCajaMov[Fecha],"&lt;"&amp;DATE(YEAR($A35),MONTH($A35)+1,1)))</f>
        <v/>
      </c>
      <c r="E35" s="37">
        <f>IF($A35="","",SUMIFS(tblCajaMov[Monto],tblCajaMov[Concepto],"Préstamo recibido",tblCajaMov[Fecha],"&gt;="&amp;$A35,tblCajaMov[Fecha],"&lt;"&amp;DATE(YEAR($A35),MONTH($A35)+1,1)))</f>
        <v/>
      </c>
      <c r="F35" s="37">
        <f>IF($A35="","",SUMIFS(tblCajaMov[Monto],tblCajaMov[Concepto],"Otro ingreso",tblCajaMov[Fecha],"&gt;="&amp;$A35,tblCajaMov[Fecha],"&lt;"&amp;DATE(YEAR($A35),MONTH($A35)+1,1)))</f>
        <v/>
      </c>
      <c r="G35" s="49">
        <f>IF($A35="","",SUM($C35:$F35))</f>
        <v/>
      </c>
      <c r="H35" s="37">
        <f>IF($A35="","",SUMIFS(tblCompras[Monto pagado],tblCompras[Fecha de pago],"&gt;="&amp;$A35,tblCompras[Fecha de pago],"&lt;"&amp;DATE(YEAR($A35),MONTH($A35)+1,1)))</f>
        <v/>
      </c>
      <c r="I35" s="37">
        <f>IF($A35="","",SUMIFS(tblGastos[Monto pagado],tblGastos[Fecha de pago],"&gt;="&amp;$A35,tblGastos[Fecha de pago],"&lt;"&amp;DATE(YEAR($A35),MONTH($A35)+1,1)))</f>
        <v/>
      </c>
      <c r="J35" s="37">
        <f>IF($A35="","",SUMIFS(tblCajaMov[Monto],tblCajaMov[Concepto],"Retiro del propietario",tblCajaMov[Fecha],"&gt;="&amp;$A35,tblCajaMov[Fecha],"&lt;"&amp;DATE(YEAR($A35),MONTH($A35)+1,1)))</f>
        <v/>
      </c>
      <c r="K35" s="37">
        <f>IF($A35="","",SUMIFS(tblCajaMov[Monto],tblCajaMov[Concepto],"Pago de préstamo",tblCajaMov[Fecha],"&gt;="&amp;$A35,tblCajaMov[Fecha],"&lt;"&amp;DATE(YEAR($A35),MONTH($A35)+1,1)))</f>
        <v/>
      </c>
      <c r="L35" s="37">
        <f>IF($A35="","",SUMIFS(tblCajaMov[Monto],tblCajaMov[Concepto],"Otro egreso",tblCajaMov[Fecha],"&gt;="&amp;$A35,tblCajaMov[Fecha],"&lt;"&amp;DATE(YEAR($A35),MONTH($A35)+1,1)))</f>
        <v/>
      </c>
      <c r="M35" s="49">
        <f>IF($A35="","",SUM($H35:$L35))</f>
        <v/>
      </c>
      <c r="N35" s="49">
        <f>IF($A35="","",$G35-$M35)</f>
        <v/>
      </c>
      <c r="O35" s="49">
        <f>IF($A35="","",$B35+$N35)</f>
        <v/>
      </c>
      <c r="P35" s="37">
        <f>IF($A35="","",RENTABILIDAD!$O$36)</f>
        <v/>
      </c>
      <c r="Q35" s="37">
        <f>IF($A35="","",$P35-$N35)</f>
        <v/>
      </c>
      <c r="R35" s="37">
        <f>IF($A35="","",SUMIFS(tblVentas[Venta neta],tblVentas[Fecha],"&lt;"&amp;DATE(YEAR($A35),MONTH($A35)+1,1))-SUMIFS(tblVentas[Monto cobrado],tblVentas[Fecha de cobro],"&lt;"&amp;DATE(YEAR($A35),MONTH($A35)+1,1)))</f>
        <v/>
      </c>
      <c r="S35" s="37">
        <f>IF($A35="","",SUMIFS(tblCompras[Costo total de adquisición],tblCompras[Fecha],"&lt;"&amp;DATE(YEAR($A35),MONTH($A35)+1,1))+SUMIFS(tblGastos[Monto],tblGastos[Fecha],"&lt;"&amp;DATE(YEAR($A35),MONTH($A35)+1,1))-SUMIFS(tblCompras[Monto pagado],tblCompras[Fecha de pago],"&lt;"&amp;DATE(YEAR($A35),MONTH($A35)+1,1))-SUMIFS(tblGastos[Monto pagado],tblGastos[Fecha de pago],"&lt;"&amp;DATE(YEAR($A35),MONTH($A35)+1,1)))</f>
        <v/>
      </c>
      <c r="U35" s="51">
        <f>IF(COUNTA($V35:$Z35)=0,"","M-"&amp;TEXT(ROW()-6,"0000"))</f>
        <v/>
      </c>
      <c r="V35" s="41" t="n"/>
      <c r="W35" s="33" t="n"/>
      <c r="X35" s="33" t="n"/>
      <c r="Y35" s="33" t="n"/>
      <c r="Z35" s="36" t="n"/>
      <c r="AA35" s="33" t="n"/>
      <c r="AB35" s="33" t="n"/>
      <c r="AC35" s="51">
        <f>IF(COUNTA($V35,$W35,$X35,$Y35,$Z35)=0,"",IF(IF($V35=""," · Falta fecha","")&amp;IF($W35=""," · Falta tipo","")&amp;IF($X35=""," · Falta concepto","")&amp;IF(OR($Z35="",NOT(ISNUMBER($Z35)),$Z35&lt;=0)," · Monto inválido","")&amp;IF(AND($W35="Entrada",OR($X35="Retiro del propietario",$X35="Pago de préstamo",$X35="Otro egreso"))," · Tipo no coincide con el concepto","")&amp;IF(AND($W35="Salida",OR($X35="Aporte de capital",$X35="Préstamo recibido",$X35="Otro ingreso"))," · Tipo no coincide con el concepto","")="","OK",MID(IF($V35=""," · Falta fecha","")&amp;IF($W35=""," · Falta tipo","")&amp;IF($X35=""," · Falta concepto","")&amp;IF(OR($Z35="",NOT(ISNUMBER($Z35)),$Z35&lt;=0)," · Monto inválido","")&amp;IF(AND($W35="Entrada",OR($X35="Retiro del propietario",$X35="Pago de préstamo",$X35="Otro egreso"))," · Tipo no coincide con el concepto","")&amp;IF(AND($W35="Salida",OR($X35="Aporte de capital",$X35="Préstamo recibido",$X35="Otro ingreso"))," · Tipo no coincide con el concepto",""),4,900)))</f>
        <v/>
      </c>
    </row>
    <row r="36">
      <c r="A36" s="55">
        <f>IF(NOT(ISNUMBER(PAR_FECHA_INICIO)),"",DATE(YEAR(PAR_FECHA_INICIO),MONTH(PAR_FECHA_INICIO)+29,1))</f>
        <v/>
      </c>
      <c r="B36" s="37">
        <f>IF($A36="","",$O35)</f>
        <v/>
      </c>
      <c r="C36" s="37">
        <f>IF($A36="","",SUMIFS(tblVentas[Monto cobrado],tblVentas[Fecha de cobro],"&gt;="&amp;$A36,tblVentas[Fecha de cobro],"&lt;"&amp;DATE(YEAR($A36),MONTH($A36)+1,1)))</f>
        <v/>
      </c>
      <c r="D36" s="37">
        <f>IF($A36="","",SUMIFS(tblCajaMov[Monto],tblCajaMov[Concepto],"Aporte de capital",tblCajaMov[Fecha],"&gt;="&amp;$A36,tblCajaMov[Fecha],"&lt;"&amp;DATE(YEAR($A36),MONTH($A36)+1,1)))</f>
        <v/>
      </c>
      <c r="E36" s="37">
        <f>IF($A36="","",SUMIFS(tblCajaMov[Monto],tblCajaMov[Concepto],"Préstamo recibido",tblCajaMov[Fecha],"&gt;="&amp;$A36,tblCajaMov[Fecha],"&lt;"&amp;DATE(YEAR($A36),MONTH($A36)+1,1)))</f>
        <v/>
      </c>
      <c r="F36" s="37">
        <f>IF($A36="","",SUMIFS(tblCajaMov[Monto],tblCajaMov[Concepto],"Otro ingreso",tblCajaMov[Fecha],"&gt;="&amp;$A36,tblCajaMov[Fecha],"&lt;"&amp;DATE(YEAR($A36),MONTH($A36)+1,1)))</f>
        <v/>
      </c>
      <c r="G36" s="49">
        <f>IF($A36="","",SUM($C36:$F36))</f>
        <v/>
      </c>
      <c r="H36" s="37">
        <f>IF($A36="","",SUMIFS(tblCompras[Monto pagado],tblCompras[Fecha de pago],"&gt;="&amp;$A36,tblCompras[Fecha de pago],"&lt;"&amp;DATE(YEAR($A36),MONTH($A36)+1,1)))</f>
        <v/>
      </c>
      <c r="I36" s="37">
        <f>IF($A36="","",SUMIFS(tblGastos[Monto pagado],tblGastos[Fecha de pago],"&gt;="&amp;$A36,tblGastos[Fecha de pago],"&lt;"&amp;DATE(YEAR($A36),MONTH($A36)+1,1)))</f>
        <v/>
      </c>
      <c r="J36" s="37">
        <f>IF($A36="","",SUMIFS(tblCajaMov[Monto],tblCajaMov[Concepto],"Retiro del propietario",tblCajaMov[Fecha],"&gt;="&amp;$A36,tblCajaMov[Fecha],"&lt;"&amp;DATE(YEAR($A36),MONTH($A36)+1,1)))</f>
        <v/>
      </c>
      <c r="K36" s="37">
        <f>IF($A36="","",SUMIFS(tblCajaMov[Monto],tblCajaMov[Concepto],"Pago de préstamo",tblCajaMov[Fecha],"&gt;="&amp;$A36,tblCajaMov[Fecha],"&lt;"&amp;DATE(YEAR($A36),MONTH($A36)+1,1)))</f>
        <v/>
      </c>
      <c r="L36" s="37">
        <f>IF($A36="","",SUMIFS(tblCajaMov[Monto],tblCajaMov[Concepto],"Otro egreso",tblCajaMov[Fecha],"&gt;="&amp;$A36,tblCajaMov[Fecha],"&lt;"&amp;DATE(YEAR($A36),MONTH($A36)+1,1)))</f>
        <v/>
      </c>
      <c r="M36" s="49">
        <f>IF($A36="","",SUM($H36:$L36))</f>
        <v/>
      </c>
      <c r="N36" s="49">
        <f>IF($A36="","",$G36-$M36)</f>
        <v/>
      </c>
      <c r="O36" s="49">
        <f>IF($A36="","",$B36+$N36)</f>
        <v/>
      </c>
      <c r="P36" s="37">
        <f>IF($A36="","",RENTABILIDAD!$O$37)</f>
        <v/>
      </c>
      <c r="Q36" s="37">
        <f>IF($A36="","",$P36-$N36)</f>
        <v/>
      </c>
      <c r="R36" s="37">
        <f>IF($A36="","",SUMIFS(tblVentas[Venta neta],tblVentas[Fecha],"&lt;"&amp;DATE(YEAR($A36),MONTH($A36)+1,1))-SUMIFS(tblVentas[Monto cobrado],tblVentas[Fecha de cobro],"&lt;"&amp;DATE(YEAR($A36),MONTH($A36)+1,1)))</f>
        <v/>
      </c>
      <c r="S36" s="37">
        <f>IF($A36="","",SUMIFS(tblCompras[Costo total de adquisición],tblCompras[Fecha],"&lt;"&amp;DATE(YEAR($A36),MONTH($A36)+1,1))+SUMIFS(tblGastos[Monto],tblGastos[Fecha],"&lt;"&amp;DATE(YEAR($A36),MONTH($A36)+1,1))-SUMIFS(tblCompras[Monto pagado],tblCompras[Fecha de pago],"&lt;"&amp;DATE(YEAR($A36),MONTH($A36)+1,1))-SUMIFS(tblGastos[Monto pagado],tblGastos[Fecha de pago],"&lt;"&amp;DATE(YEAR($A36),MONTH($A36)+1,1)))</f>
        <v/>
      </c>
      <c r="U36" s="51">
        <f>IF(COUNTA($V36:$Z36)=0,"","M-"&amp;TEXT(ROW()-6,"0000"))</f>
        <v/>
      </c>
      <c r="V36" s="41" t="n"/>
      <c r="W36" s="33" t="n"/>
      <c r="X36" s="33" t="n"/>
      <c r="Y36" s="33" t="n"/>
      <c r="Z36" s="36" t="n"/>
      <c r="AA36" s="33" t="n"/>
      <c r="AB36" s="33" t="n"/>
      <c r="AC36" s="51">
        <f>IF(COUNTA($V36,$W36,$X36,$Y36,$Z36)=0,"",IF(IF($V36=""," · Falta fecha","")&amp;IF($W36=""," · Falta tipo","")&amp;IF($X36=""," · Falta concepto","")&amp;IF(OR($Z36="",NOT(ISNUMBER($Z36)),$Z36&lt;=0)," · Monto inválido","")&amp;IF(AND($W36="Entrada",OR($X36="Retiro del propietario",$X36="Pago de préstamo",$X36="Otro egreso"))," · Tipo no coincide con el concepto","")&amp;IF(AND($W36="Salida",OR($X36="Aporte de capital",$X36="Préstamo recibido",$X36="Otro ingreso"))," · Tipo no coincide con el concepto","")="","OK",MID(IF($V36=""," · Falta fecha","")&amp;IF($W36=""," · Falta tipo","")&amp;IF($X36=""," · Falta concepto","")&amp;IF(OR($Z36="",NOT(ISNUMBER($Z36)),$Z36&lt;=0)," · Monto inválido","")&amp;IF(AND($W36="Entrada",OR($X36="Retiro del propietario",$X36="Pago de préstamo",$X36="Otro egreso"))," · Tipo no coincide con el concepto","")&amp;IF(AND($W36="Salida",OR($X36="Aporte de capital",$X36="Préstamo recibido",$X36="Otro ingreso"))," · Tipo no coincide con el concepto",""),4,900)))</f>
        <v/>
      </c>
    </row>
    <row r="37">
      <c r="A37" s="55">
        <f>IF(NOT(ISNUMBER(PAR_FECHA_INICIO)),"",DATE(YEAR(PAR_FECHA_INICIO),MONTH(PAR_FECHA_INICIO)+30,1))</f>
        <v/>
      </c>
      <c r="B37" s="37">
        <f>IF($A37="","",$O36)</f>
        <v/>
      </c>
      <c r="C37" s="37">
        <f>IF($A37="","",SUMIFS(tblVentas[Monto cobrado],tblVentas[Fecha de cobro],"&gt;="&amp;$A37,tblVentas[Fecha de cobro],"&lt;"&amp;DATE(YEAR($A37),MONTH($A37)+1,1)))</f>
        <v/>
      </c>
      <c r="D37" s="37">
        <f>IF($A37="","",SUMIFS(tblCajaMov[Monto],tblCajaMov[Concepto],"Aporte de capital",tblCajaMov[Fecha],"&gt;="&amp;$A37,tblCajaMov[Fecha],"&lt;"&amp;DATE(YEAR($A37),MONTH($A37)+1,1)))</f>
        <v/>
      </c>
      <c r="E37" s="37">
        <f>IF($A37="","",SUMIFS(tblCajaMov[Monto],tblCajaMov[Concepto],"Préstamo recibido",tblCajaMov[Fecha],"&gt;="&amp;$A37,tblCajaMov[Fecha],"&lt;"&amp;DATE(YEAR($A37),MONTH($A37)+1,1)))</f>
        <v/>
      </c>
      <c r="F37" s="37">
        <f>IF($A37="","",SUMIFS(tblCajaMov[Monto],tblCajaMov[Concepto],"Otro ingreso",tblCajaMov[Fecha],"&gt;="&amp;$A37,tblCajaMov[Fecha],"&lt;"&amp;DATE(YEAR($A37),MONTH($A37)+1,1)))</f>
        <v/>
      </c>
      <c r="G37" s="49">
        <f>IF($A37="","",SUM($C37:$F37))</f>
        <v/>
      </c>
      <c r="H37" s="37">
        <f>IF($A37="","",SUMIFS(tblCompras[Monto pagado],tblCompras[Fecha de pago],"&gt;="&amp;$A37,tblCompras[Fecha de pago],"&lt;"&amp;DATE(YEAR($A37),MONTH($A37)+1,1)))</f>
        <v/>
      </c>
      <c r="I37" s="37">
        <f>IF($A37="","",SUMIFS(tblGastos[Monto pagado],tblGastos[Fecha de pago],"&gt;="&amp;$A37,tblGastos[Fecha de pago],"&lt;"&amp;DATE(YEAR($A37),MONTH($A37)+1,1)))</f>
        <v/>
      </c>
      <c r="J37" s="37">
        <f>IF($A37="","",SUMIFS(tblCajaMov[Monto],tblCajaMov[Concepto],"Retiro del propietario",tblCajaMov[Fecha],"&gt;="&amp;$A37,tblCajaMov[Fecha],"&lt;"&amp;DATE(YEAR($A37),MONTH($A37)+1,1)))</f>
        <v/>
      </c>
      <c r="K37" s="37">
        <f>IF($A37="","",SUMIFS(tblCajaMov[Monto],tblCajaMov[Concepto],"Pago de préstamo",tblCajaMov[Fecha],"&gt;="&amp;$A37,tblCajaMov[Fecha],"&lt;"&amp;DATE(YEAR($A37),MONTH($A37)+1,1)))</f>
        <v/>
      </c>
      <c r="L37" s="37">
        <f>IF($A37="","",SUMIFS(tblCajaMov[Monto],tblCajaMov[Concepto],"Otro egreso",tblCajaMov[Fecha],"&gt;="&amp;$A37,tblCajaMov[Fecha],"&lt;"&amp;DATE(YEAR($A37),MONTH($A37)+1,1)))</f>
        <v/>
      </c>
      <c r="M37" s="49">
        <f>IF($A37="","",SUM($H37:$L37))</f>
        <v/>
      </c>
      <c r="N37" s="49">
        <f>IF($A37="","",$G37-$M37)</f>
        <v/>
      </c>
      <c r="O37" s="49">
        <f>IF($A37="","",$B37+$N37)</f>
        <v/>
      </c>
      <c r="P37" s="37">
        <f>IF($A37="","",RENTABILIDAD!$O$38)</f>
        <v/>
      </c>
      <c r="Q37" s="37">
        <f>IF($A37="","",$P37-$N37)</f>
        <v/>
      </c>
      <c r="R37" s="37">
        <f>IF($A37="","",SUMIFS(tblVentas[Venta neta],tblVentas[Fecha],"&lt;"&amp;DATE(YEAR($A37),MONTH($A37)+1,1))-SUMIFS(tblVentas[Monto cobrado],tblVentas[Fecha de cobro],"&lt;"&amp;DATE(YEAR($A37),MONTH($A37)+1,1)))</f>
        <v/>
      </c>
      <c r="S37" s="37">
        <f>IF($A37="","",SUMIFS(tblCompras[Costo total de adquisición],tblCompras[Fecha],"&lt;"&amp;DATE(YEAR($A37),MONTH($A37)+1,1))+SUMIFS(tblGastos[Monto],tblGastos[Fecha],"&lt;"&amp;DATE(YEAR($A37),MONTH($A37)+1,1))-SUMIFS(tblCompras[Monto pagado],tblCompras[Fecha de pago],"&lt;"&amp;DATE(YEAR($A37),MONTH($A37)+1,1))-SUMIFS(tblGastos[Monto pagado],tblGastos[Fecha de pago],"&lt;"&amp;DATE(YEAR($A37),MONTH($A37)+1,1)))</f>
        <v/>
      </c>
      <c r="U37" s="51">
        <f>IF(COUNTA($V37:$Z37)=0,"","M-"&amp;TEXT(ROW()-6,"0000"))</f>
        <v/>
      </c>
      <c r="V37" s="41" t="n"/>
      <c r="W37" s="33" t="n"/>
      <c r="X37" s="33" t="n"/>
      <c r="Y37" s="33" t="n"/>
      <c r="Z37" s="36" t="n"/>
      <c r="AA37" s="33" t="n"/>
      <c r="AB37" s="33" t="n"/>
      <c r="AC37" s="51">
        <f>IF(COUNTA($V37,$W37,$X37,$Y37,$Z37)=0,"",IF(IF($V37=""," · Falta fecha","")&amp;IF($W37=""," · Falta tipo","")&amp;IF($X37=""," · Falta concepto","")&amp;IF(OR($Z37="",NOT(ISNUMBER($Z37)),$Z37&lt;=0)," · Monto inválido","")&amp;IF(AND($W37="Entrada",OR($X37="Retiro del propietario",$X37="Pago de préstamo",$X37="Otro egreso"))," · Tipo no coincide con el concepto","")&amp;IF(AND($W37="Salida",OR($X37="Aporte de capital",$X37="Préstamo recibido",$X37="Otro ingreso"))," · Tipo no coincide con el concepto","")="","OK",MID(IF($V37=""," · Falta fecha","")&amp;IF($W37=""," · Falta tipo","")&amp;IF($X37=""," · Falta concepto","")&amp;IF(OR($Z37="",NOT(ISNUMBER($Z37)),$Z37&lt;=0)," · Monto inválido","")&amp;IF(AND($W37="Entrada",OR($X37="Retiro del propietario",$X37="Pago de préstamo",$X37="Otro egreso"))," · Tipo no coincide con el concepto","")&amp;IF(AND($W37="Salida",OR($X37="Aporte de capital",$X37="Préstamo recibido",$X37="Otro ingreso"))," · Tipo no coincide con el concepto",""),4,900)))</f>
        <v/>
      </c>
    </row>
    <row r="38">
      <c r="A38" s="55">
        <f>IF(NOT(ISNUMBER(PAR_FECHA_INICIO)),"",DATE(YEAR(PAR_FECHA_INICIO),MONTH(PAR_FECHA_INICIO)+31,1))</f>
        <v/>
      </c>
      <c r="B38" s="37">
        <f>IF($A38="","",$O37)</f>
        <v/>
      </c>
      <c r="C38" s="37">
        <f>IF($A38="","",SUMIFS(tblVentas[Monto cobrado],tblVentas[Fecha de cobro],"&gt;="&amp;$A38,tblVentas[Fecha de cobro],"&lt;"&amp;DATE(YEAR($A38),MONTH($A38)+1,1)))</f>
        <v/>
      </c>
      <c r="D38" s="37">
        <f>IF($A38="","",SUMIFS(tblCajaMov[Monto],tblCajaMov[Concepto],"Aporte de capital",tblCajaMov[Fecha],"&gt;="&amp;$A38,tblCajaMov[Fecha],"&lt;"&amp;DATE(YEAR($A38),MONTH($A38)+1,1)))</f>
        <v/>
      </c>
      <c r="E38" s="37">
        <f>IF($A38="","",SUMIFS(tblCajaMov[Monto],tblCajaMov[Concepto],"Préstamo recibido",tblCajaMov[Fecha],"&gt;="&amp;$A38,tblCajaMov[Fecha],"&lt;"&amp;DATE(YEAR($A38),MONTH($A38)+1,1)))</f>
        <v/>
      </c>
      <c r="F38" s="37">
        <f>IF($A38="","",SUMIFS(tblCajaMov[Monto],tblCajaMov[Concepto],"Otro ingreso",tblCajaMov[Fecha],"&gt;="&amp;$A38,tblCajaMov[Fecha],"&lt;"&amp;DATE(YEAR($A38),MONTH($A38)+1,1)))</f>
        <v/>
      </c>
      <c r="G38" s="49">
        <f>IF($A38="","",SUM($C38:$F38))</f>
        <v/>
      </c>
      <c r="H38" s="37">
        <f>IF($A38="","",SUMIFS(tblCompras[Monto pagado],tblCompras[Fecha de pago],"&gt;="&amp;$A38,tblCompras[Fecha de pago],"&lt;"&amp;DATE(YEAR($A38),MONTH($A38)+1,1)))</f>
        <v/>
      </c>
      <c r="I38" s="37">
        <f>IF($A38="","",SUMIFS(tblGastos[Monto pagado],tblGastos[Fecha de pago],"&gt;="&amp;$A38,tblGastos[Fecha de pago],"&lt;"&amp;DATE(YEAR($A38),MONTH($A38)+1,1)))</f>
        <v/>
      </c>
      <c r="J38" s="37">
        <f>IF($A38="","",SUMIFS(tblCajaMov[Monto],tblCajaMov[Concepto],"Retiro del propietario",tblCajaMov[Fecha],"&gt;="&amp;$A38,tblCajaMov[Fecha],"&lt;"&amp;DATE(YEAR($A38),MONTH($A38)+1,1)))</f>
        <v/>
      </c>
      <c r="K38" s="37">
        <f>IF($A38="","",SUMIFS(tblCajaMov[Monto],tblCajaMov[Concepto],"Pago de préstamo",tblCajaMov[Fecha],"&gt;="&amp;$A38,tblCajaMov[Fecha],"&lt;"&amp;DATE(YEAR($A38),MONTH($A38)+1,1)))</f>
        <v/>
      </c>
      <c r="L38" s="37">
        <f>IF($A38="","",SUMIFS(tblCajaMov[Monto],tblCajaMov[Concepto],"Otro egreso",tblCajaMov[Fecha],"&gt;="&amp;$A38,tblCajaMov[Fecha],"&lt;"&amp;DATE(YEAR($A38),MONTH($A38)+1,1)))</f>
        <v/>
      </c>
      <c r="M38" s="49">
        <f>IF($A38="","",SUM($H38:$L38))</f>
        <v/>
      </c>
      <c r="N38" s="49">
        <f>IF($A38="","",$G38-$M38)</f>
        <v/>
      </c>
      <c r="O38" s="49">
        <f>IF($A38="","",$B38+$N38)</f>
        <v/>
      </c>
      <c r="P38" s="37">
        <f>IF($A38="","",RENTABILIDAD!$O$39)</f>
        <v/>
      </c>
      <c r="Q38" s="37">
        <f>IF($A38="","",$P38-$N38)</f>
        <v/>
      </c>
      <c r="R38" s="37">
        <f>IF($A38="","",SUMIFS(tblVentas[Venta neta],tblVentas[Fecha],"&lt;"&amp;DATE(YEAR($A38),MONTH($A38)+1,1))-SUMIFS(tblVentas[Monto cobrado],tblVentas[Fecha de cobro],"&lt;"&amp;DATE(YEAR($A38),MONTH($A38)+1,1)))</f>
        <v/>
      </c>
      <c r="S38" s="37">
        <f>IF($A38="","",SUMIFS(tblCompras[Costo total de adquisición],tblCompras[Fecha],"&lt;"&amp;DATE(YEAR($A38),MONTH($A38)+1,1))+SUMIFS(tblGastos[Monto],tblGastos[Fecha],"&lt;"&amp;DATE(YEAR($A38),MONTH($A38)+1,1))-SUMIFS(tblCompras[Monto pagado],tblCompras[Fecha de pago],"&lt;"&amp;DATE(YEAR($A38),MONTH($A38)+1,1))-SUMIFS(tblGastos[Monto pagado],tblGastos[Fecha de pago],"&lt;"&amp;DATE(YEAR($A38),MONTH($A38)+1,1)))</f>
        <v/>
      </c>
      <c r="U38" s="51">
        <f>IF(COUNTA($V38:$Z38)=0,"","M-"&amp;TEXT(ROW()-6,"0000"))</f>
        <v/>
      </c>
      <c r="V38" s="41" t="n"/>
      <c r="W38" s="33" t="n"/>
      <c r="X38" s="33" t="n"/>
      <c r="Y38" s="33" t="n"/>
      <c r="Z38" s="36" t="n"/>
      <c r="AA38" s="33" t="n"/>
      <c r="AB38" s="33" t="n"/>
      <c r="AC38" s="51">
        <f>IF(COUNTA($V38,$W38,$X38,$Y38,$Z38)=0,"",IF(IF($V38=""," · Falta fecha","")&amp;IF($W38=""," · Falta tipo","")&amp;IF($X38=""," · Falta concepto","")&amp;IF(OR($Z38="",NOT(ISNUMBER($Z38)),$Z38&lt;=0)," · Monto inválido","")&amp;IF(AND($W38="Entrada",OR($X38="Retiro del propietario",$X38="Pago de préstamo",$X38="Otro egreso"))," · Tipo no coincide con el concepto","")&amp;IF(AND($W38="Salida",OR($X38="Aporte de capital",$X38="Préstamo recibido",$X38="Otro ingreso"))," · Tipo no coincide con el concepto","")="","OK",MID(IF($V38=""," · Falta fecha","")&amp;IF($W38=""," · Falta tipo","")&amp;IF($X38=""," · Falta concepto","")&amp;IF(OR($Z38="",NOT(ISNUMBER($Z38)),$Z38&lt;=0)," · Monto inválido","")&amp;IF(AND($W38="Entrada",OR($X38="Retiro del propietario",$X38="Pago de préstamo",$X38="Otro egreso"))," · Tipo no coincide con el concepto","")&amp;IF(AND($W38="Salida",OR($X38="Aporte de capital",$X38="Préstamo recibido",$X38="Otro ingreso"))," · Tipo no coincide con el concepto",""),4,900)))</f>
        <v/>
      </c>
    </row>
    <row r="39">
      <c r="A39" s="55">
        <f>IF(NOT(ISNUMBER(PAR_FECHA_INICIO)),"",DATE(YEAR(PAR_FECHA_INICIO),MONTH(PAR_FECHA_INICIO)+32,1))</f>
        <v/>
      </c>
      <c r="B39" s="37">
        <f>IF($A39="","",$O38)</f>
        <v/>
      </c>
      <c r="C39" s="37">
        <f>IF($A39="","",SUMIFS(tblVentas[Monto cobrado],tblVentas[Fecha de cobro],"&gt;="&amp;$A39,tblVentas[Fecha de cobro],"&lt;"&amp;DATE(YEAR($A39),MONTH($A39)+1,1)))</f>
        <v/>
      </c>
      <c r="D39" s="37">
        <f>IF($A39="","",SUMIFS(tblCajaMov[Monto],tblCajaMov[Concepto],"Aporte de capital",tblCajaMov[Fecha],"&gt;="&amp;$A39,tblCajaMov[Fecha],"&lt;"&amp;DATE(YEAR($A39),MONTH($A39)+1,1)))</f>
        <v/>
      </c>
      <c r="E39" s="37">
        <f>IF($A39="","",SUMIFS(tblCajaMov[Monto],tblCajaMov[Concepto],"Préstamo recibido",tblCajaMov[Fecha],"&gt;="&amp;$A39,tblCajaMov[Fecha],"&lt;"&amp;DATE(YEAR($A39),MONTH($A39)+1,1)))</f>
        <v/>
      </c>
      <c r="F39" s="37">
        <f>IF($A39="","",SUMIFS(tblCajaMov[Monto],tblCajaMov[Concepto],"Otro ingreso",tblCajaMov[Fecha],"&gt;="&amp;$A39,tblCajaMov[Fecha],"&lt;"&amp;DATE(YEAR($A39),MONTH($A39)+1,1)))</f>
        <v/>
      </c>
      <c r="G39" s="49">
        <f>IF($A39="","",SUM($C39:$F39))</f>
        <v/>
      </c>
      <c r="H39" s="37">
        <f>IF($A39="","",SUMIFS(tblCompras[Monto pagado],tblCompras[Fecha de pago],"&gt;="&amp;$A39,tblCompras[Fecha de pago],"&lt;"&amp;DATE(YEAR($A39),MONTH($A39)+1,1)))</f>
        <v/>
      </c>
      <c r="I39" s="37">
        <f>IF($A39="","",SUMIFS(tblGastos[Monto pagado],tblGastos[Fecha de pago],"&gt;="&amp;$A39,tblGastos[Fecha de pago],"&lt;"&amp;DATE(YEAR($A39),MONTH($A39)+1,1)))</f>
        <v/>
      </c>
      <c r="J39" s="37">
        <f>IF($A39="","",SUMIFS(tblCajaMov[Monto],tblCajaMov[Concepto],"Retiro del propietario",tblCajaMov[Fecha],"&gt;="&amp;$A39,tblCajaMov[Fecha],"&lt;"&amp;DATE(YEAR($A39),MONTH($A39)+1,1)))</f>
        <v/>
      </c>
      <c r="K39" s="37">
        <f>IF($A39="","",SUMIFS(tblCajaMov[Monto],tblCajaMov[Concepto],"Pago de préstamo",tblCajaMov[Fecha],"&gt;="&amp;$A39,tblCajaMov[Fecha],"&lt;"&amp;DATE(YEAR($A39),MONTH($A39)+1,1)))</f>
        <v/>
      </c>
      <c r="L39" s="37">
        <f>IF($A39="","",SUMIFS(tblCajaMov[Monto],tblCajaMov[Concepto],"Otro egreso",tblCajaMov[Fecha],"&gt;="&amp;$A39,tblCajaMov[Fecha],"&lt;"&amp;DATE(YEAR($A39),MONTH($A39)+1,1)))</f>
        <v/>
      </c>
      <c r="M39" s="49">
        <f>IF($A39="","",SUM($H39:$L39))</f>
        <v/>
      </c>
      <c r="N39" s="49">
        <f>IF($A39="","",$G39-$M39)</f>
        <v/>
      </c>
      <c r="O39" s="49">
        <f>IF($A39="","",$B39+$N39)</f>
        <v/>
      </c>
      <c r="P39" s="37">
        <f>IF($A39="","",RENTABILIDAD!$O$40)</f>
        <v/>
      </c>
      <c r="Q39" s="37">
        <f>IF($A39="","",$P39-$N39)</f>
        <v/>
      </c>
      <c r="R39" s="37">
        <f>IF($A39="","",SUMIFS(tblVentas[Venta neta],tblVentas[Fecha],"&lt;"&amp;DATE(YEAR($A39),MONTH($A39)+1,1))-SUMIFS(tblVentas[Monto cobrado],tblVentas[Fecha de cobro],"&lt;"&amp;DATE(YEAR($A39),MONTH($A39)+1,1)))</f>
        <v/>
      </c>
      <c r="S39" s="37">
        <f>IF($A39="","",SUMIFS(tblCompras[Costo total de adquisición],tblCompras[Fecha],"&lt;"&amp;DATE(YEAR($A39),MONTH($A39)+1,1))+SUMIFS(tblGastos[Monto],tblGastos[Fecha],"&lt;"&amp;DATE(YEAR($A39),MONTH($A39)+1,1))-SUMIFS(tblCompras[Monto pagado],tblCompras[Fecha de pago],"&lt;"&amp;DATE(YEAR($A39),MONTH($A39)+1,1))-SUMIFS(tblGastos[Monto pagado],tblGastos[Fecha de pago],"&lt;"&amp;DATE(YEAR($A39),MONTH($A39)+1,1)))</f>
        <v/>
      </c>
      <c r="U39" s="51">
        <f>IF(COUNTA($V39:$Z39)=0,"","M-"&amp;TEXT(ROW()-6,"0000"))</f>
        <v/>
      </c>
      <c r="V39" s="41" t="n"/>
      <c r="W39" s="33" t="n"/>
      <c r="X39" s="33" t="n"/>
      <c r="Y39" s="33" t="n"/>
      <c r="Z39" s="36" t="n"/>
      <c r="AA39" s="33" t="n"/>
      <c r="AB39" s="33" t="n"/>
      <c r="AC39" s="51">
        <f>IF(COUNTA($V39,$W39,$X39,$Y39,$Z39)=0,"",IF(IF($V39=""," · Falta fecha","")&amp;IF($W39=""," · Falta tipo","")&amp;IF($X39=""," · Falta concepto","")&amp;IF(OR($Z39="",NOT(ISNUMBER($Z39)),$Z39&lt;=0)," · Monto inválido","")&amp;IF(AND($W39="Entrada",OR($X39="Retiro del propietario",$X39="Pago de préstamo",$X39="Otro egreso"))," · Tipo no coincide con el concepto","")&amp;IF(AND($W39="Salida",OR($X39="Aporte de capital",$X39="Préstamo recibido",$X39="Otro ingreso"))," · Tipo no coincide con el concepto","")="","OK",MID(IF($V39=""," · Falta fecha","")&amp;IF($W39=""," · Falta tipo","")&amp;IF($X39=""," · Falta concepto","")&amp;IF(OR($Z39="",NOT(ISNUMBER($Z39)),$Z39&lt;=0)," · Monto inválido","")&amp;IF(AND($W39="Entrada",OR($X39="Retiro del propietario",$X39="Pago de préstamo",$X39="Otro egreso"))," · Tipo no coincide con el concepto","")&amp;IF(AND($W39="Salida",OR($X39="Aporte de capital",$X39="Préstamo recibido",$X39="Otro ingreso"))," · Tipo no coincide con el concepto",""),4,900)))</f>
        <v/>
      </c>
    </row>
    <row r="40">
      <c r="A40" s="55">
        <f>IF(NOT(ISNUMBER(PAR_FECHA_INICIO)),"",DATE(YEAR(PAR_FECHA_INICIO),MONTH(PAR_FECHA_INICIO)+33,1))</f>
        <v/>
      </c>
      <c r="B40" s="37">
        <f>IF($A40="","",$O39)</f>
        <v/>
      </c>
      <c r="C40" s="37">
        <f>IF($A40="","",SUMIFS(tblVentas[Monto cobrado],tblVentas[Fecha de cobro],"&gt;="&amp;$A40,tblVentas[Fecha de cobro],"&lt;"&amp;DATE(YEAR($A40),MONTH($A40)+1,1)))</f>
        <v/>
      </c>
      <c r="D40" s="37">
        <f>IF($A40="","",SUMIFS(tblCajaMov[Monto],tblCajaMov[Concepto],"Aporte de capital",tblCajaMov[Fecha],"&gt;="&amp;$A40,tblCajaMov[Fecha],"&lt;"&amp;DATE(YEAR($A40),MONTH($A40)+1,1)))</f>
        <v/>
      </c>
      <c r="E40" s="37">
        <f>IF($A40="","",SUMIFS(tblCajaMov[Monto],tblCajaMov[Concepto],"Préstamo recibido",tblCajaMov[Fecha],"&gt;="&amp;$A40,tblCajaMov[Fecha],"&lt;"&amp;DATE(YEAR($A40),MONTH($A40)+1,1)))</f>
        <v/>
      </c>
      <c r="F40" s="37">
        <f>IF($A40="","",SUMIFS(tblCajaMov[Monto],tblCajaMov[Concepto],"Otro ingreso",tblCajaMov[Fecha],"&gt;="&amp;$A40,tblCajaMov[Fecha],"&lt;"&amp;DATE(YEAR($A40),MONTH($A40)+1,1)))</f>
        <v/>
      </c>
      <c r="G40" s="49">
        <f>IF($A40="","",SUM($C40:$F40))</f>
        <v/>
      </c>
      <c r="H40" s="37">
        <f>IF($A40="","",SUMIFS(tblCompras[Monto pagado],tblCompras[Fecha de pago],"&gt;="&amp;$A40,tblCompras[Fecha de pago],"&lt;"&amp;DATE(YEAR($A40),MONTH($A40)+1,1)))</f>
        <v/>
      </c>
      <c r="I40" s="37">
        <f>IF($A40="","",SUMIFS(tblGastos[Monto pagado],tblGastos[Fecha de pago],"&gt;="&amp;$A40,tblGastos[Fecha de pago],"&lt;"&amp;DATE(YEAR($A40),MONTH($A40)+1,1)))</f>
        <v/>
      </c>
      <c r="J40" s="37">
        <f>IF($A40="","",SUMIFS(tblCajaMov[Monto],tblCajaMov[Concepto],"Retiro del propietario",tblCajaMov[Fecha],"&gt;="&amp;$A40,tblCajaMov[Fecha],"&lt;"&amp;DATE(YEAR($A40),MONTH($A40)+1,1)))</f>
        <v/>
      </c>
      <c r="K40" s="37">
        <f>IF($A40="","",SUMIFS(tblCajaMov[Monto],tblCajaMov[Concepto],"Pago de préstamo",tblCajaMov[Fecha],"&gt;="&amp;$A40,tblCajaMov[Fecha],"&lt;"&amp;DATE(YEAR($A40),MONTH($A40)+1,1)))</f>
        <v/>
      </c>
      <c r="L40" s="37">
        <f>IF($A40="","",SUMIFS(tblCajaMov[Monto],tblCajaMov[Concepto],"Otro egreso",tblCajaMov[Fecha],"&gt;="&amp;$A40,tblCajaMov[Fecha],"&lt;"&amp;DATE(YEAR($A40),MONTH($A40)+1,1)))</f>
        <v/>
      </c>
      <c r="M40" s="49">
        <f>IF($A40="","",SUM($H40:$L40))</f>
        <v/>
      </c>
      <c r="N40" s="49">
        <f>IF($A40="","",$G40-$M40)</f>
        <v/>
      </c>
      <c r="O40" s="49">
        <f>IF($A40="","",$B40+$N40)</f>
        <v/>
      </c>
      <c r="P40" s="37">
        <f>IF($A40="","",RENTABILIDAD!$O$41)</f>
        <v/>
      </c>
      <c r="Q40" s="37">
        <f>IF($A40="","",$P40-$N40)</f>
        <v/>
      </c>
      <c r="R40" s="37">
        <f>IF($A40="","",SUMIFS(tblVentas[Venta neta],tblVentas[Fecha],"&lt;"&amp;DATE(YEAR($A40),MONTH($A40)+1,1))-SUMIFS(tblVentas[Monto cobrado],tblVentas[Fecha de cobro],"&lt;"&amp;DATE(YEAR($A40),MONTH($A40)+1,1)))</f>
        <v/>
      </c>
      <c r="S40" s="37">
        <f>IF($A40="","",SUMIFS(tblCompras[Costo total de adquisición],tblCompras[Fecha],"&lt;"&amp;DATE(YEAR($A40),MONTH($A40)+1,1))+SUMIFS(tblGastos[Monto],tblGastos[Fecha],"&lt;"&amp;DATE(YEAR($A40),MONTH($A40)+1,1))-SUMIFS(tblCompras[Monto pagado],tblCompras[Fecha de pago],"&lt;"&amp;DATE(YEAR($A40),MONTH($A40)+1,1))-SUMIFS(tblGastos[Monto pagado],tblGastos[Fecha de pago],"&lt;"&amp;DATE(YEAR($A40),MONTH($A40)+1,1)))</f>
        <v/>
      </c>
      <c r="U40" s="51">
        <f>IF(COUNTA($V40:$Z40)=0,"","M-"&amp;TEXT(ROW()-6,"0000"))</f>
        <v/>
      </c>
      <c r="V40" s="41" t="n"/>
      <c r="W40" s="33" t="n"/>
      <c r="X40" s="33" t="n"/>
      <c r="Y40" s="33" t="n"/>
      <c r="Z40" s="36" t="n"/>
      <c r="AA40" s="33" t="n"/>
      <c r="AB40" s="33" t="n"/>
      <c r="AC40" s="51">
        <f>IF(COUNTA($V40,$W40,$X40,$Y40,$Z40)=0,"",IF(IF($V40=""," · Falta fecha","")&amp;IF($W40=""," · Falta tipo","")&amp;IF($X40=""," · Falta concepto","")&amp;IF(OR($Z40="",NOT(ISNUMBER($Z40)),$Z40&lt;=0)," · Monto inválido","")&amp;IF(AND($W40="Entrada",OR($X40="Retiro del propietario",$X40="Pago de préstamo",$X40="Otro egreso"))," · Tipo no coincide con el concepto","")&amp;IF(AND($W40="Salida",OR($X40="Aporte de capital",$X40="Préstamo recibido",$X40="Otro ingreso"))," · Tipo no coincide con el concepto","")="","OK",MID(IF($V40=""," · Falta fecha","")&amp;IF($W40=""," · Falta tipo","")&amp;IF($X40=""," · Falta concepto","")&amp;IF(OR($Z40="",NOT(ISNUMBER($Z40)),$Z40&lt;=0)," · Monto inválido","")&amp;IF(AND($W40="Entrada",OR($X40="Retiro del propietario",$X40="Pago de préstamo",$X40="Otro egreso"))," · Tipo no coincide con el concepto","")&amp;IF(AND($W40="Salida",OR($X40="Aporte de capital",$X40="Préstamo recibido",$X40="Otro ingreso"))," · Tipo no coincide con el concepto",""),4,900)))</f>
        <v/>
      </c>
    </row>
    <row r="41">
      <c r="A41" s="55">
        <f>IF(NOT(ISNUMBER(PAR_FECHA_INICIO)),"",DATE(YEAR(PAR_FECHA_INICIO),MONTH(PAR_FECHA_INICIO)+34,1))</f>
        <v/>
      </c>
      <c r="B41" s="37">
        <f>IF($A41="","",$O40)</f>
        <v/>
      </c>
      <c r="C41" s="37">
        <f>IF($A41="","",SUMIFS(tblVentas[Monto cobrado],tblVentas[Fecha de cobro],"&gt;="&amp;$A41,tblVentas[Fecha de cobro],"&lt;"&amp;DATE(YEAR($A41),MONTH($A41)+1,1)))</f>
        <v/>
      </c>
      <c r="D41" s="37">
        <f>IF($A41="","",SUMIFS(tblCajaMov[Monto],tblCajaMov[Concepto],"Aporte de capital",tblCajaMov[Fecha],"&gt;="&amp;$A41,tblCajaMov[Fecha],"&lt;"&amp;DATE(YEAR($A41),MONTH($A41)+1,1)))</f>
        <v/>
      </c>
      <c r="E41" s="37">
        <f>IF($A41="","",SUMIFS(tblCajaMov[Monto],tblCajaMov[Concepto],"Préstamo recibido",tblCajaMov[Fecha],"&gt;="&amp;$A41,tblCajaMov[Fecha],"&lt;"&amp;DATE(YEAR($A41),MONTH($A41)+1,1)))</f>
        <v/>
      </c>
      <c r="F41" s="37">
        <f>IF($A41="","",SUMIFS(tblCajaMov[Monto],tblCajaMov[Concepto],"Otro ingreso",tblCajaMov[Fecha],"&gt;="&amp;$A41,tblCajaMov[Fecha],"&lt;"&amp;DATE(YEAR($A41),MONTH($A41)+1,1)))</f>
        <v/>
      </c>
      <c r="G41" s="49">
        <f>IF($A41="","",SUM($C41:$F41))</f>
        <v/>
      </c>
      <c r="H41" s="37">
        <f>IF($A41="","",SUMIFS(tblCompras[Monto pagado],tblCompras[Fecha de pago],"&gt;="&amp;$A41,tblCompras[Fecha de pago],"&lt;"&amp;DATE(YEAR($A41),MONTH($A41)+1,1)))</f>
        <v/>
      </c>
      <c r="I41" s="37">
        <f>IF($A41="","",SUMIFS(tblGastos[Monto pagado],tblGastos[Fecha de pago],"&gt;="&amp;$A41,tblGastos[Fecha de pago],"&lt;"&amp;DATE(YEAR($A41),MONTH($A41)+1,1)))</f>
        <v/>
      </c>
      <c r="J41" s="37">
        <f>IF($A41="","",SUMIFS(tblCajaMov[Monto],tblCajaMov[Concepto],"Retiro del propietario",tblCajaMov[Fecha],"&gt;="&amp;$A41,tblCajaMov[Fecha],"&lt;"&amp;DATE(YEAR($A41),MONTH($A41)+1,1)))</f>
        <v/>
      </c>
      <c r="K41" s="37">
        <f>IF($A41="","",SUMIFS(tblCajaMov[Monto],tblCajaMov[Concepto],"Pago de préstamo",tblCajaMov[Fecha],"&gt;="&amp;$A41,tblCajaMov[Fecha],"&lt;"&amp;DATE(YEAR($A41),MONTH($A41)+1,1)))</f>
        <v/>
      </c>
      <c r="L41" s="37">
        <f>IF($A41="","",SUMIFS(tblCajaMov[Monto],tblCajaMov[Concepto],"Otro egreso",tblCajaMov[Fecha],"&gt;="&amp;$A41,tblCajaMov[Fecha],"&lt;"&amp;DATE(YEAR($A41),MONTH($A41)+1,1)))</f>
        <v/>
      </c>
      <c r="M41" s="49">
        <f>IF($A41="","",SUM($H41:$L41))</f>
        <v/>
      </c>
      <c r="N41" s="49">
        <f>IF($A41="","",$G41-$M41)</f>
        <v/>
      </c>
      <c r="O41" s="49">
        <f>IF($A41="","",$B41+$N41)</f>
        <v/>
      </c>
      <c r="P41" s="37">
        <f>IF($A41="","",RENTABILIDAD!$O$42)</f>
        <v/>
      </c>
      <c r="Q41" s="37">
        <f>IF($A41="","",$P41-$N41)</f>
        <v/>
      </c>
      <c r="R41" s="37">
        <f>IF($A41="","",SUMIFS(tblVentas[Venta neta],tblVentas[Fecha],"&lt;"&amp;DATE(YEAR($A41),MONTH($A41)+1,1))-SUMIFS(tblVentas[Monto cobrado],tblVentas[Fecha de cobro],"&lt;"&amp;DATE(YEAR($A41),MONTH($A41)+1,1)))</f>
        <v/>
      </c>
      <c r="S41" s="37">
        <f>IF($A41="","",SUMIFS(tblCompras[Costo total de adquisición],tblCompras[Fecha],"&lt;"&amp;DATE(YEAR($A41),MONTH($A41)+1,1))+SUMIFS(tblGastos[Monto],tblGastos[Fecha],"&lt;"&amp;DATE(YEAR($A41),MONTH($A41)+1,1))-SUMIFS(tblCompras[Monto pagado],tblCompras[Fecha de pago],"&lt;"&amp;DATE(YEAR($A41),MONTH($A41)+1,1))-SUMIFS(tblGastos[Monto pagado],tblGastos[Fecha de pago],"&lt;"&amp;DATE(YEAR($A41),MONTH($A41)+1,1)))</f>
        <v/>
      </c>
      <c r="U41" s="51">
        <f>IF(COUNTA($V41:$Z41)=0,"","M-"&amp;TEXT(ROW()-6,"0000"))</f>
        <v/>
      </c>
      <c r="V41" s="41" t="n"/>
      <c r="W41" s="33" t="n"/>
      <c r="X41" s="33" t="n"/>
      <c r="Y41" s="33" t="n"/>
      <c r="Z41" s="36" t="n"/>
      <c r="AA41" s="33" t="n"/>
      <c r="AB41" s="33" t="n"/>
      <c r="AC41" s="51">
        <f>IF(COUNTA($V41,$W41,$X41,$Y41,$Z41)=0,"",IF(IF($V41=""," · Falta fecha","")&amp;IF($W41=""," · Falta tipo","")&amp;IF($X41=""," · Falta concepto","")&amp;IF(OR($Z41="",NOT(ISNUMBER($Z41)),$Z41&lt;=0)," · Monto inválido","")&amp;IF(AND($W41="Entrada",OR($X41="Retiro del propietario",$X41="Pago de préstamo",$X41="Otro egreso"))," · Tipo no coincide con el concepto","")&amp;IF(AND($W41="Salida",OR($X41="Aporte de capital",$X41="Préstamo recibido",$X41="Otro ingreso"))," · Tipo no coincide con el concepto","")="","OK",MID(IF($V41=""," · Falta fecha","")&amp;IF($W41=""," · Falta tipo","")&amp;IF($X41=""," · Falta concepto","")&amp;IF(OR($Z41="",NOT(ISNUMBER($Z41)),$Z41&lt;=0)," · Monto inválido","")&amp;IF(AND($W41="Entrada",OR($X41="Retiro del propietario",$X41="Pago de préstamo",$X41="Otro egreso"))," · Tipo no coincide con el concepto","")&amp;IF(AND($W41="Salida",OR($X41="Aporte de capital",$X41="Préstamo recibido",$X41="Otro ingreso"))," · Tipo no coincide con el concepto",""),4,900)))</f>
        <v/>
      </c>
    </row>
    <row r="42">
      <c r="A42" s="55">
        <f>IF(NOT(ISNUMBER(PAR_FECHA_INICIO)),"",DATE(YEAR(PAR_FECHA_INICIO),MONTH(PAR_FECHA_INICIO)+35,1))</f>
        <v/>
      </c>
      <c r="B42" s="37">
        <f>IF($A42="","",$O41)</f>
        <v/>
      </c>
      <c r="C42" s="37">
        <f>IF($A42="","",SUMIFS(tblVentas[Monto cobrado],tblVentas[Fecha de cobro],"&gt;="&amp;$A42,tblVentas[Fecha de cobro],"&lt;"&amp;DATE(YEAR($A42),MONTH($A42)+1,1)))</f>
        <v/>
      </c>
      <c r="D42" s="37">
        <f>IF($A42="","",SUMIFS(tblCajaMov[Monto],tblCajaMov[Concepto],"Aporte de capital",tblCajaMov[Fecha],"&gt;="&amp;$A42,tblCajaMov[Fecha],"&lt;"&amp;DATE(YEAR($A42),MONTH($A42)+1,1)))</f>
        <v/>
      </c>
      <c r="E42" s="37">
        <f>IF($A42="","",SUMIFS(tblCajaMov[Monto],tblCajaMov[Concepto],"Préstamo recibido",tblCajaMov[Fecha],"&gt;="&amp;$A42,tblCajaMov[Fecha],"&lt;"&amp;DATE(YEAR($A42),MONTH($A42)+1,1)))</f>
        <v/>
      </c>
      <c r="F42" s="37">
        <f>IF($A42="","",SUMIFS(tblCajaMov[Monto],tblCajaMov[Concepto],"Otro ingreso",tblCajaMov[Fecha],"&gt;="&amp;$A42,tblCajaMov[Fecha],"&lt;"&amp;DATE(YEAR($A42),MONTH($A42)+1,1)))</f>
        <v/>
      </c>
      <c r="G42" s="49">
        <f>IF($A42="","",SUM($C42:$F42))</f>
        <v/>
      </c>
      <c r="H42" s="37">
        <f>IF($A42="","",SUMIFS(tblCompras[Monto pagado],tblCompras[Fecha de pago],"&gt;="&amp;$A42,tblCompras[Fecha de pago],"&lt;"&amp;DATE(YEAR($A42),MONTH($A42)+1,1)))</f>
        <v/>
      </c>
      <c r="I42" s="37">
        <f>IF($A42="","",SUMIFS(tblGastos[Monto pagado],tblGastos[Fecha de pago],"&gt;="&amp;$A42,tblGastos[Fecha de pago],"&lt;"&amp;DATE(YEAR($A42),MONTH($A42)+1,1)))</f>
        <v/>
      </c>
      <c r="J42" s="37">
        <f>IF($A42="","",SUMIFS(tblCajaMov[Monto],tblCajaMov[Concepto],"Retiro del propietario",tblCajaMov[Fecha],"&gt;="&amp;$A42,tblCajaMov[Fecha],"&lt;"&amp;DATE(YEAR($A42),MONTH($A42)+1,1)))</f>
        <v/>
      </c>
      <c r="K42" s="37">
        <f>IF($A42="","",SUMIFS(tblCajaMov[Monto],tblCajaMov[Concepto],"Pago de préstamo",tblCajaMov[Fecha],"&gt;="&amp;$A42,tblCajaMov[Fecha],"&lt;"&amp;DATE(YEAR($A42),MONTH($A42)+1,1)))</f>
        <v/>
      </c>
      <c r="L42" s="37">
        <f>IF($A42="","",SUMIFS(tblCajaMov[Monto],tblCajaMov[Concepto],"Otro egreso",tblCajaMov[Fecha],"&gt;="&amp;$A42,tblCajaMov[Fecha],"&lt;"&amp;DATE(YEAR($A42),MONTH($A42)+1,1)))</f>
        <v/>
      </c>
      <c r="M42" s="49">
        <f>IF($A42="","",SUM($H42:$L42))</f>
        <v/>
      </c>
      <c r="N42" s="49">
        <f>IF($A42="","",$G42-$M42)</f>
        <v/>
      </c>
      <c r="O42" s="49">
        <f>IF($A42="","",$B42+$N42)</f>
        <v/>
      </c>
      <c r="P42" s="37">
        <f>IF($A42="","",RENTABILIDAD!$O$43)</f>
        <v/>
      </c>
      <c r="Q42" s="37">
        <f>IF($A42="","",$P42-$N42)</f>
        <v/>
      </c>
      <c r="R42" s="37">
        <f>IF($A42="","",SUMIFS(tblVentas[Venta neta],tblVentas[Fecha],"&lt;"&amp;DATE(YEAR($A42),MONTH($A42)+1,1))-SUMIFS(tblVentas[Monto cobrado],tblVentas[Fecha de cobro],"&lt;"&amp;DATE(YEAR($A42),MONTH($A42)+1,1)))</f>
        <v/>
      </c>
      <c r="S42" s="37">
        <f>IF($A42="","",SUMIFS(tblCompras[Costo total de adquisición],tblCompras[Fecha],"&lt;"&amp;DATE(YEAR($A42),MONTH($A42)+1,1))+SUMIFS(tblGastos[Monto],tblGastos[Fecha],"&lt;"&amp;DATE(YEAR($A42),MONTH($A42)+1,1))-SUMIFS(tblCompras[Monto pagado],tblCompras[Fecha de pago],"&lt;"&amp;DATE(YEAR($A42),MONTH($A42)+1,1))-SUMIFS(tblGastos[Monto pagado],tblGastos[Fecha de pago],"&lt;"&amp;DATE(YEAR($A42),MONTH($A42)+1,1)))</f>
        <v/>
      </c>
      <c r="U42" s="51">
        <f>IF(COUNTA($V42:$Z42)=0,"","M-"&amp;TEXT(ROW()-6,"0000"))</f>
        <v/>
      </c>
      <c r="V42" s="41" t="n"/>
      <c r="W42" s="33" t="n"/>
      <c r="X42" s="33" t="n"/>
      <c r="Y42" s="33" t="n"/>
      <c r="Z42" s="36" t="n"/>
      <c r="AA42" s="33" t="n"/>
      <c r="AB42" s="33" t="n"/>
      <c r="AC42" s="51">
        <f>IF(COUNTA($V42,$W42,$X42,$Y42,$Z42)=0,"",IF(IF($V42=""," · Falta fecha","")&amp;IF($W42=""," · Falta tipo","")&amp;IF($X42=""," · Falta concepto","")&amp;IF(OR($Z42="",NOT(ISNUMBER($Z42)),$Z42&lt;=0)," · Monto inválido","")&amp;IF(AND($W42="Entrada",OR($X42="Retiro del propietario",$X42="Pago de préstamo",$X42="Otro egreso"))," · Tipo no coincide con el concepto","")&amp;IF(AND($W42="Salida",OR($X42="Aporte de capital",$X42="Préstamo recibido",$X42="Otro ingreso"))," · Tipo no coincide con el concepto","")="","OK",MID(IF($V42=""," · Falta fecha","")&amp;IF($W42=""," · Falta tipo","")&amp;IF($X42=""," · Falta concepto","")&amp;IF(OR($Z42="",NOT(ISNUMBER($Z42)),$Z42&lt;=0)," · Monto inválido","")&amp;IF(AND($W42="Entrada",OR($X42="Retiro del propietario",$X42="Pago de préstamo",$X42="Otro egreso"))," · Tipo no coincide con el concepto","")&amp;IF(AND($W42="Salida",OR($X42="Aporte de capital",$X42="Préstamo recibido",$X42="Otro ingreso"))," · Tipo no coincide con el concepto",""),4,900)))</f>
        <v/>
      </c>
    </row>
    <row r="43">
      <c r="A43" s="56" t="inlineStr">
        <is>
          <t>TOTAL</t>
        </is>
      </c>
      <c r="B43" s="57">
        <f>$B$7</f>
        <v/>
      </c>
      <c r="C43" s="57">
        <f>SUM($C$7:$C$42)</f>
        <v/>
      </c>
      <c r="D43" s="57">
        <f>SUM($D$7:$D$42)</f>
        <v/>
      </c>
      <c r="E43" s="57">
        <f>SUM($E$7:$E$42)</f>
        <v/>
      </c>
      <c r="F43" s="57">
        <f>SUM($F$7:$F$42)</f>
        <v/>
      </c>
      <c r="G43" s="57">
        <f>SUM($G$7:$G$42)</f>
        <v/>
      </c>
      <c r="H43" s="57">
        <f>SUM($H$7:$H$42)</f>
        <v/>
      </c>
      <c r="I43" s="57">
        <f>SUM($I$7:$I$42)</f>
        <v/>
      </c>
      <c r="J43" s="57">
        <f>SUM($J$7:$J$42)</f>
        <v/>
      </c>
      <c r="K43" s="57">
        <f>SUM($K$7:$K$42)</f>
        <v/>
      </c>
      <c r="L43" s="57">
        <f>SUM($L$7:$L$42)</f>
        <v/>
      </c>
      <c r="M43" s="57">
        <f>SUM($M$7:$M$42)</f>
        <v/>
      </c>
      <c r="N43" s="57">
        <f>SUM($N$7:$N$42)</f>
        <v/>
      </c>
      <c r="O43" s="57">
        <f>IF(COUNT($O$7:$O$42)=0,"",LOOKUP(9.99E+307,$O$7:$O$42))</f>
        <v/>
      </c>
      <c r="P43" s="57">
        <f>SUM($P$7:$P$42)</f>
        <v/>
      </c>
      <c r="Q43" s="57">
        <f>SUM($Q$7:$Q$42)</f>
        <v/>
      </c>
      <c r="R43" s="57">
        <f>IF(COUNT($R$7:$R$42)=0,"",LOOKUP(9.99E+307,$R$7:$R$42))</f>
        <v/>
      </c>
      <c r="S43" s="57">
        <f>IF(COUNT($S$7:$S$42)=0,"",LOOKUP(9.99E+307,$S$7:$S$42))</f>
        <v/>
      </c>
      <c r="U43" s="51">
        <f>IF(COUNTA($V43:$Z43)=0,"","M-"&amp;TEXT(ROW()-6,"0000"))</f>
        <v/>
      </c>
      <c r="V43" s="41" t="n"/>
      <c r="W43" s="33" t="n"/>
      <c r="X43" s="33" t="n"/>
      <c r="Y43" s="33" t="n"/>
      <c r="Z43" s="36" t="n"/>
      <c r="AA43" s="33" t="n"/>
      <c r="AB43" s="33" t="n"/>
      <c r="AC43" s="51">
        <f>IF(COUNTA($V43,$W43,$X43,$Y43,$Z43)=0,"",IF(IF($V43=""," · Falta fecha","")&amp;IF($W43=""," · Falta tipo","")&amp;IF($X43=""," · Falta concepto","")&amp;IF(OR($Z43="",NOT(ISNUMBER($Z43)),$Z43&lt;=0)," · Monto inválido","")&amp;IF(AND($W43="Entrada",OR($X43="Retiro del propietario",$X43="Pago de préstamo",$X43="Otro egreso"))," · Tipo no coincide con el concepto","")&amp;IF(AND($W43="Salida",OR($X43="Aporte de capital",$X43="Préstamo recibido",$X43="Otro ingreso"))," · Tipo no coincide con el concepto","")="","OK",MID(IF($V43=""," · Falta fecha","")&amp;IF($W43=""," · Falta tipo","")&amp;IF($X43=""," · Falta concepto","")&amp;IF(OR($Z43="",NOT(ISNUMBER($Z43)),$Z43&lt;=0)," · Monto inválido","")&amp;IF(AND($W43="Entrada",OR($X43="Retiro del propietario",$X43="Pago de préstamo",$X43="Otro egreso"))," · Tipo no coincide con el concepto","")&amp;IF(AND($W43="Salida",OR($X43="Aporte de capital",$X43="Préstamo recibido",$X43="Otro ingreso"))," · Tipo no coincide con el concepto",""),4,900)))</f>
        <v/>
      </c>
    </row>
    <row r="44">
      <c r="U44" s="51">
        <f>IF(COUNTA($V44:$Z44)=0,"","M-"&amp;TEXT(ROW()-6,"0000"))</f>
        <v/>
      </c>
      <c r="V44" s="41" t="n"/>
      <c r="W44" s="33" t="n"/>
      <c r="X44" s="33" t="n"/>
      <c r="Y44" s="33" t="n"/>
      <c r="Z44" s="36" t="n"/>
      <c r="AA44" s="33" t="n"/>
      <c r="AB44" s="33" t="n"/>
      <c r="AC44" s="51">
        <f>IF(COUNTA($V44,$W44,$X44,$Y44,$Z44)=0,"",IF(IF($V44=""," · Falta fecha","")&amp;IF($W44=""," · Falta tipo","")&amp;IF($X44=""," · Falta concepto","")&amp;IF(OR($Z44="",NOT(ISNUMBER($Z44)),$Z44&lt;=0)," · Monto inválido","")&amp;IF(AND($W44="Entrada",OR($X44="Retiro del propietario",$X44="Pago de préstamo",$X44="Otro egreso"))," · Tipo no coincide con el concepto","")&amp;IF(AND($W44="Salida",OR($X44="Aporte de capital",$X44="Préstamo recibido",$X44="Otro ingreso"))," · Tipo no coincide con el concepto","")="","OK",MID(IF($V44=""," · Falta fecha","")&amp;IF($W44=""," · Falta tipo","")&amp;IF($X44=""," · Falta concepto","")&amp;IF(OR($Z44="",NOT(ISNUMBER($Z44)),$Z44&lt;=0)," · Monto inválido","")&amp;IF(AND($W44="Entrada",OR($X44="Retiro del propietario",$X44="Pago de préstamo",$X44="Otro egreso"))," · Tipo no coincide con el concepto","")&amp;IF(AND($W44="Salida",OR($X44="Aporte de capital",$X44="Préstamo recibido",$X44="Otro ingreso"))," · Tipo no coincide con el concepto",""),4,900)))</f>
        <v/>
      </c>
    </row>
    <row r="45">
      <c r="A45" s="58" t="inlineStr">
        <is>
          <t>INDICADORES DE EFECTIVO</t>
        </is>
      </c>
      <c r="U45" s="51">
        <f>IF(COUNTA($V45:$Z45)=0,"","M-"&amp;TEXT(ROW()-6,"0000"))</f>
        <v/>
      </c>
      <c r="V45" s="41" t="n"/>
      <c r="W45" s="33" t="n"/>
      <c r="X45" s="33" t="n"/>
      <c r="Y45" s="33" t="n"/>
      <c r="Z45" s="36" t="n"/>
      <c r="AA45" s="33" t="n"/>
      <c r="AB45" s="33" t="n"/>
      <c r="AC45" s="51">
        <f>IF(COUNTA($V45,$W45,$X45,$Y45,$Z45)=0,"",IF(IF($V45=""," · Falta fecha","")&amp;IF($W45=""," · Falta tipo","")&amp;IF($X45=""," · Falta concepto","")&amp;IF(OR($Z45="",NOT(ISNUMBER($Z45)),$Z45&lt;=0)," · Monto inválido","")&amp;IF(AND($W45="Entrada",OR($X45="Retiro del propietario",$X45="Pago de préstamo",$X45="Otro egreso"))," · Tipo no coincide con el concepto","")&amp;IF(AND($W45="Salida",OR($X45="Aporte de capital",$X45="Préstamo recibido",$X45="Otro ingreso"))," · Tipo no coincide con el concepto","")="","OK",MID(IF($V45=""," · Falta fecha","")&amp;IF($W45=""," · Falta tipo","")&amp;IF($X45=""," · Falta concepto","")&amp;IF(OR($Z45="",NOT(ISNUMBER($Z45)),$Z45&lt;=0)," · Monto inválido","")&amp;IF(AND($W45="Entrada",OR($X45="Retiro del propietario",$X45="Pago de préstamo",$X45="Otro egreso"))," · Tipo no coincide con el concepto","")&amp;IF(AND($W45="Salida",OR($X45="Aporte de capital",$X45="Préstamo recibido",$X45="Otro ingreso"))," · Tipo no coincide con el concepto",""),4,900)))</f>
        <v/>
      </c>
    </row>
    <row r="46">
      <c r="A46" s="59" t="inlineStr">
        <is>
          <t>Saldo de caja actual (todos los movimientos registrados)</t>
        </is>
      </c>
      <c r="E46" s="49">
        <f>IF(ISNUMBER(PAR_SALDO_CAJA),PAR_SALDO_CAJA,0)+SUM(tblVentas[Monto cobrado])+SUMIFS(tblCajaMov[Monto],tblCajaMov[Tipo],"Entrada")-SUM(tblCompras[Monto pagado])-SUM(tblGastos[Monto pagado])-SUMIFS(tblCajaMov[Monto],tblCajaMov[Tipo],"Salida")</f>
        <v/>
      </c>
      <c r="U46" s="51">
        <f>IF(COUNTA($V46:$Z46)=0,"","M-"&amp;TEXT(ROW()-6,"0000"))</f>
        <v/>
      </c>
      <c r="V46" s="41" t="n"/>
      <c r="W46" s="33" t="n"/>
      <c r="X46" s="33" t="n"/>
      <c r="Y46" s="33" t="n"/>
      <c r="Z46" s="36" t="n"/>
      <c r="AA46" s="33" t="n"/>
      <c r="AB46" s="33" t="n"/>
      <c r="AC46" s="51">
        <f>IF(COUNTA($V46,$W46,$X46,$Y46,$Z46)=0,"",IF(IF($V46=""," · Falta fecha","")&amp;IF($W46=""," · Falta tipo","")&amp;IF($X46=""," · Falta concepto","")&amp;IF(OR($Z46="",NOT(ISNUMBER($Z46)),$Z46&lt;=0)," · Monto inválido","")&amp;IF(AND($W46="Entrada",OR($X46="Retiro del propietario",$X46="Pago de préstamo",$X46="Otro egreso"))," · Tipo no coincide con el concepto","")&amp;IF(AND($W46="Salida",OR($X46="Aporte de capital",$X46="Préstamo recibido",$X46="Otro ingreso"))," · Tipo no coincide con el concepto","")="","OK",MID(IF($V46=""," · Falta fecha","")&amp;IF($W46=""," · Falta tipo","")&amp;IF($X46=""," · Falta concepto","")&amp;IF(OR($Z46="",NOT(ISNUMBER($Z46)),$Z46&lt;=0)," · Monto inválido","")&amp;IF(AND($W46="Entrada",OR($X46="Retiro del propietario",$X46="Pago de préstamo",$X46="Otro egreso"))," · Tipo no coincide con el concepto","")&amp;IF(AND($W46="Salida",OR($X46="Aporte de capital",$X46="Préstamo recibido",$X46="Otro ingreso"))," · Tipo no coincide con el concepto",""),4,900)))</f>
        <v/>
      </c>
    </row>
    <row r="47">
      <c r="A47" s="59" t="inlineStr">
        <is>
          <t>Efectivo pendiente de cobrar (cuentas por cobrar)</t>
        </is>
      </c>
      <c r="E47" s="49">
        <f>SUMIF(tblVentas[Saldo por cobrar],"&gt;0")</f>
        <v/>
      </c>
      <c r="U47" s="51">
        <f>IF(COUNTA($V47:$Z47)=0,"","M-"&amp;TEXT(ROW()-6,"0000"))</f>
        <v/>
      </c>
      <c r="V47" s="41" t="n"/>
      <c r="W47" s="33" t="n"/>
      <c r="X47" s="33" t="n"/>
      <c r="Y47" s="33" t="n"/>
      <c r="Z47" s="36" t="n"/>
      <c r="AA47" s="33" t="n"/>
      <c r="AB47" s="33" t="n"/>
      <c r="AC47" s="51">
        <f>IF(COUNTA($V47,$W47,$X47,$Y47,$Z47)=0,"",IF(IF($V47=""," · Falta fecha","")&amp;IF($W47=""," · Falta tipo","")&amp;IF($X47=""," · Falta concepto","")&amp;IF(OR($Z47="",NOT(ISNUMBER($Z47)),$Z47&lt;=0)," · Monto inválido","")&amp;IF(AND($W47="Entrada",OR($X47="Retiro del propietario",$X47="Pago de préstamo",$X47="Otro egreso"))," · Tipo no coincide con el concepto","")&amp;IF(AND($W47="Salida",OR($X47="Aporte de capital",$X47="Préstamo recibido",$X47="Otro ingreso"))," · Tipo no coincide con el concepto","")="","OK",MID(IF($V47=""," · Falta fecha","")&amp;IF($W47=""," · Falta tipo","")&amp;IF($X47=""," · Falta concepto","")&amp;IF(OR($Z47="",NOT(ISNUMBER($Z47)),$Z47&lt;=0)," · Monto inválido","")&amp;IF(AND($W47="Entrada",OR($X47="Retiro del propietario",$X47="Pago de préstamo",$X47="Otro egreso"))," · Tipo no coincide con el concepto","")&amp;IF(AND($W47="Salida",OR($X47="Aporte de capital",$X47="Préstamo recibido",$X47="Otro ingreso"))," · Tipo no coincide con el concepto",""),4,900)))</f>
        <v/>
      </c>
    </row>
    <row r="48">
      <c r="A48" s="59" t="inlineStr">
        <is>
          <t>Efectivo pendiente de pagar (cuentas por pagar)</t>
        </is>
      </c>
      <c r="E48" s="49">
        <f>SUMIF(tblCompras[Saldo por pagar],"&gt;0")+SUMIF(tblGastos[Saldo por pagar],"&gt;0")</f>
        <v/>
      </c>
      <c r="U48" s="51">
        <f>IF(COUNTA($V48:$Z48)=0,"","M-"&amp;TEXT(ROW()-6,"0000"))</f>
        <v/>
      </c>
      <c r="V48" s="41" t="n"/>
      <c r="W48" s="33" t="n"/>
      <c r="X48" s="33" t="n"/>
      <c r="Y48" s="33" t="n"/>
      <c r="Z48" s="36" t="n"/>
      <c r="AA48" s="33" t="n"/>
      <c r="AB48" s="33" t="n"/>
      <c r="AC48" s="51">
        <f>IF(COUNTA($V48,$W48,$X48,$Y48,$Z48)=0,"",IF(IF($V48=""," · Falta fecha","")&amp;IF($W48=""," · Falta tipo","")&amp;IF($X48=""," · Falta concepto","")&amp;IF(OR($Z48="",NOT(ISNUMBER($Z48)),$Z48&lt;=0)," · Monto inválido","")&amp;IF(AND($W48="Entrada",OR($X48="Retiro del propietario",$X48="Pago de préstamo",$X48="Otro egreso"))," · Tipo no coincide con el concepto","")&amp;IF(AND($W48="Salida",OR($X48="Aporte de capital",$X48="Préstamo recibido",$X48="Otro ingreso"))," · Tipo no coincide con el concepto","")="","OK",MID(IF($V48=""," · Falta fecha","")&amp;IF($W48=""," · Falta tipo","")&amp;IF($X48=""," · Falta concepto","")&amp;IF(OR($Z48="",NOT(ISNUMBER($Z48)),$Z48&lt;=0)," · Monto inválido","")&amp;IF(AND($W48="Entrada",OR($X48="Retiro del propietario",$X48="Pago de préstamo",$X48="Otro egreso"))," · Tipo no coincide con el concepto","")&amp;IF(AND($W48="Salida",OR($X48="Aporte de capital",$X48="Préstamo recibido",$X48="Otro ingreso"))," · Tipo no coincide con el concepto",""),4,900)))</f>
        <v/>
      </c>
    </row>
    <row r="49">
      <c r="A49" s="59" t="inlineStr">
        <is>
          <t>Utilidad neta acumulada (no es efectivo)</t>
        </is>
      </c>
      <c r="E49" s="49">
        <f>RENTABILIDAD!$O$44</f>
        <v/>
      </c>
      <c r="U49" s="51">
        <f>IF(COUNTA($V49:$Z49)=0,"","M-"&amp;TEXT(ROW()-6,"0000"))</f>
        <v/>
      </c>
      <c r="V49" s="41" t="n"/>
      <c r="W49" s="33" t="n"/>
      <c r="X49" s="33" t="n"/>
      <c r="Y49" s="33" t="n"/>
      <c r="Z49" s="36" t="n"/>
      <c r="AA49" s="33" t="n"/>
      <c r="AB49" s="33" t="n"/>
      <c r="AC49" s="51">
        <f>IF(COUNTA($V49,$W49,$X49,$Y49,$Z49)=0,"",IF(IF($V49=""," · Falta fecha","")&amp;IF($W49=""," · Falta tipo","")&amp;IF($X49=""," · Falta concepto","")&amp;IF(OR($Z49="",NOT(ISNUMBER($Z49)),$Z49&lt;=0)," · Monto inválido","")&amp;IF(AND($W49="Entrada",OR($X49="Retiro del propietario",$X49="Pago de préstamo",$X49="Otro egreso"))," · Tipo no coincide con el concepto","")&amp;IF(AND($W49="Salida",OR($X49="Aporte de capital",$X49="Préstamo recibido",$X49="Otro ingreso"))," · Tipo no coincide con el concepto","")="","OK",MID(IF($V49=""," · Falta fecha","")&amp;IF($W49=""," · Falta tipo","")&amp;IF($X49=""," · Falta concepto","")&amp;IF(OR($Z49="",NOT(ISNUMBER($Z49)),$Z49&lt;=0)," · Monto inválido","")&amp;IF(AND($W49="Entrada",OR($X49="Retiro del propietario",$X49="Pago de préstamo",$X49="Otro egreso"))," · Tipo no coincide con el concepto","")&amp;IF(AND($W49="Salida",OR($X49="Aporte de capital",$X49="Préstamo recibido",$X49="Otro ingreso"))," · Tipo no coincide con el concepto",""),4,900)))</f>
        <v/>
      </c>
    </row>
    <row r="50">
      <c r="A50" s="59" t="inlineStr">
        <is>
          <t>Flujo de efectivo neto acumulado</t>
        </is>
      </c>
      <c r="E50" s="49">
        <f>$N$43</f>
        <v/>
      </c>
      <c r="U50" s="51">
        <f>IF(COUNTA($V50:$Z50)=0,"","M-"&amp;TEXT(ROW()-6,"0000"))</f>
        <v/>
      </c>
      <c r="V50" s="41" t="n"/>
      <c r="W50" s="33" t="n"/>
      <c r="X50" s="33" t="n"/>
      <c r="Y50" s="33" t="n"/>
      <c r="Z50" s="36" t="n"/>
      <c r="AA50" s="33" t="n"/>
      <c r="AB50" s="33" t="n"/>
      <c r="AC50" s="51">
        <f>IF(COUNTA($V50,$W50,$X50,$Y50,$Z50)=0,"",IF(IF($V50=""," · Falta fecha","")&amp;IF($W50=""," · Falta tipo","")&amp;IF($X50=""," · Falta concepto","")&amp;IF(OR($Z50="",NOT(ISNUMBER($Z50)),$Z50&lt;=0)," · Monto inválido","")&amp;IF(AND($W50="Entrada",OR($X50="Retiro del propietario",$X50="Pago de préstamo",$X50="Otro egreso"))," · Tipo no coincide con el concepto","")&amp;IF(AND($W50="Salida",OR($X50="Aporte de capital",$X50="Préstamo recibido",$X50="Otro ingreso"))," · Tipo no coincide con el concepto","")="","OK",MID(IF($V50=""," · Falta fecha","")&amp;IF($W50=""," · Falta tipo","")&amp;IF($X50=""," · Falta concepto","")&amp;IF(OR($Z50="",NOT(ISNUMBER($Z50)),$Z50&lt;=0)," · Monto inválido","")&amp;IF(AND($W50="Entrada",OR($X50="Retiro del propietario",$X50="Pago de préstamo",$X50="Otro egreso"))," · Tipo no coincide con el concepto","")&amp;IF(AND($W50="Salida",OR($X50="Aporte de capital",$X50="Préstamo recibido",$X50="Otro ingreso"))," · Tipo no coincide con el concepto",""),4,900)))</f>
        <v/>
      </c>
    </row>
    <row r="51">
      <c r="A51" s="59" t="inlineStr">
        <is>
          <t>Diferencia acumulada entre utilidad y efectivo</t>
        </is>
      </c>
      <c r="E51" s="49">
        <f>$Q$43</f>
        <v/>
      </c>
      <c r="U51" s="51">
        <f>IF(COUNTA($V51:$Z51)=0,"","M-"&amp;TEXT(ROW()-6,"0000"))</f>
        <v/>
      </c>
      <c r="V51" s="41" t="n"/>
      <c r="W51" s="33" t="n"/>
      <c r="X51" s="33" t="n"/>
      <c r="Y51" s="33" t="n"/>
      <c r="Z51" s="36" t="n"/>
      <c r="AA51" s="33" t="n"/>
      <c r="AB51" s="33" t="n"/>
      <c r="AC51" s="51">
        <f>IF(COUNTA($V51,$W51,$X51,$Y51,$Z51)=0,"",IF(IF($V51=""," · Falta fecha","")&amp;IF($W51=""," · Falta tipo","")&amp;IF($X51=""," · Falta concepto","")&amp;IF(OR($Z51="",NOT(ISNUMBER($Z51)),$Z51&lt;=0)," · Monto inválido","")&amp;IF(AND($W51="Entrada",OR($X51="Retiro del propietario",$X51="Pago de préstamo",$X51="Otro egreso"))," · Tipo no coincide con el concepto","")&amp;IF(AND($W51="Salida",OR($X51="Aporte de capital",$X51="Préstamo recibido",$X51="Otro ingreso"))," · Tipo no coincide con el concepto","")="","OK",MID(IF($V51=""," · Falta fecha","")&amp;IF($W51=""," · Falta tipo","")&amp;IF($X51=""," · Falta concepto","")&amp;IF(OR($Z51="",NOT(ISNUMBER($Z51)),$Z51&lt;=0)," · Monto inválido","")&amp;IF(AND($W51="Entrada",OR($X51="Retiro del propietario",$X51="Pago de préstamo",$X51="Otro egreso"))," · Tipo no coincide con el concepto","")&amp;IF(AND($W51="Salida",OR($X51="Aporte de capital",$X51="Préstamo recibido",$X51="Otro ingreso"))," · Tipo no coincide con el concepto",""),4,900)))</f>
        <v/>
      </c>
    </row>
    <row r="52">
      <c r="U52" s="51">
        <f>IF(COUNTA($V52:$Z52)=0,"","M-"&amp;TEXT(ROW()-6,"0000"))</f>
        <v/>
      </c>
      <c r="V52" s="41" t="n"/>
      <c r="W52" s="33" t="n"/>
      <c r="X52" s="33" t="n"/>
      <c r="Y52" s="33" t="n"/>
      <c r="Z52" s="36" t="n"/>
      <c r="AA52" s="33" t="n"/>
      <c r="AB52" s="33" t="n"/>
      <c r="AC52" s="51">
        <f>IF(COUNTA($V52,$W52,$X52,$Y52,$Z52)=0,"",IF(IF($V52=""," · Falta fecha","")&amp;IF($W52=""," · Falta tipo","")&amp;IF($X52=""," · Falta concepto","")&amp;IF(OR($Z52="",NOT(ISNUMBER($Z52)),$Z52&lt;=0)," · Monto inválido","")&amp;IF(AND($W52="Entrada",OR($X52="Retiro del propietario",$X52="Pago de préstamo",$X52="Otro egreso"))," · Tipo no coincide con el concepto","")&amp;IF(AND($W52="Salida",OR($X52="Aporte de capital",$X52="Préstamo recibido",$X52="Otro ingreso"))," · Tipo no coincide con el concepto","")="","OK",MID(IF($V52=""," · Falta fecha","")&amp;IF($W52=""," · Falta tipo","")&amp;IF($X52=""," · Falta concepto","")&amp;IF(OR($Z52="",NOT(ISNUMBER($Z52)),$Z52&lt;=0)," · Monto inválido","")&amp;IF(AND($W52="Entrada",OR($X52="Retiro del propietario",$X52="Pago de préstamo",$X52="Otro egreso"))," · Tipo no coincide con el concepto","")&amp;IF(AND($W52="Salida",OR($X52="Aporte de capital",$X52="Préstamo recibido",$X52="Otro ingreso"))," · Tipo no coincide con el concepto",""),4,900)))</f>
        <v/>
      </c>
    </row>
    <row r="53">
      <c r="U53" s="51">
        <f>IF(COUNTA($V53:$Z53)=0,"","M-"&amp;TEXT(ROW()-6,"0000"))</f>
        <v/>
      </c>
      <c r="V53" s="41" t="n"/>
      <c r="W53" s="33" t="n"/>
      <c r="X53" s="33" t="n"/>
      <c r="Y53" s="33" t="n"/>
      <c r="Z53" s="36" t="n"/>
      <c r="AA53" s="33" t="n"/>
      <c r="AB53" s="33" t="n"/>
      <c r="AC53" s="51">
        <f>IF(COUNTA($V53,$W53,$X53,$Y53,$Z53)=0,"",IF(IF($V53=""," · Falta fecha","")&amp;IF($W53=""," · Falta tipo","")&amp;IF($X53=""," · Falta concepto","")&amp;IF(OR($Z53="",NOT(ISNUMBER($Z53)),$Z53&lt;=0)," · Monto inválido","")&amp;IF(AND($W53="Entrada",OR($X53="Retiro del propietario",$X53="Pago de préstamo",$X53="Otro egreso"))," · Tipo no coincide con el concepto","")&amp;IF(AND($W53="Salida",OR($X53="Aporte de capital",$X53="Préstamo recibido",$X53="Otro ingreso"))," · Tipo no coincide con el concepto","")="","OK",MID(IF($V53=""," · Falta fecha","")&amp;IF($W53=""," · Falta tipo","")&amp;IF($X53=""," · Falta concepto","")&amp;IF(OR($Z53="",NOT(ISNUMBER($Z53)),$Z53&lt;=0)," · Monto inválido","")&amp;IF(AND($W53="Entrada",OR($X53="Retiro del propietario",$X53="Pago de préstamo",$X53="Otro egreso"))," · Tipo no coincide con el concepto","")&amp;IF(AND($W53="Salida",OR($X53="Aporte de capital",$X53="Préstamo recibido",$X53="Otro ingreso"))," · Tipo no coincide con el concepto",""),4,900)))</f>
        <v/>
      </c>
    </row>
    <row r="54">
      <c r="U54" s="51">
        <f>IF(COUNTA($V54:$Z54)=0,"","M-"&amp;TEXT(ROW()-6,"0000"))</f>
        <v/>
      </c>
      <c r="V54" s="41" t="n"/>
      <c r="W54" s="33" t="n"/>
      <c r="X54" s="33" t="n"/>
      <c r="Y54" s="33" t="n"/>
      <c r="Z54" s="36" t="n"/>
      <c r="AA54" s="33" t="n"/>
      <c r="AB54" s="33" t="n"/>
      <c r="AC54" s="51">
        <f>IF(COUNTA($V54,$W54,$X54,$Y54,$Z54)=0,"",IF(IF($V54=""," · Falta fecha","")&amp;IF($W54=""," · Falta tipo","")&amp;IF($X54=""," · Falta concepto","")&amp;IF(OR($Z54="",NOT(ISNUMBER($Z54)),$Z54&lt;=0)," · Monto inválido","")&amp;IF(AND($W54="Entrada",OR($X54="Retiro del propietario",$X54="Pago de préstamo",$X54="Otro egreso"))," · Tipo no coincide con el concepto","")&amp;IF(AND($W54="Salida",OR($X54="Aporte de capital",$X54="Préstamo recibido",$X54="Otro ingreso"))," · Tipo no coincide con el concepto","")="","OK",MID(IF($V54=""," · Falta fecha","")&amp;IF($W54=""," · Falta tipo","")&amp;IF($X54=""," · Falta concepto","")&amp;IF(OR($Z54="",NOT(ISNUMBER($Z54)),$Z54&lt;=0)," · Monto inválido","")&amp;IF(AND($W54="Entrada",OR($X54="Retiro del propietario",$X54="Pago de préstamo",$X54="Otro egreso"))," · Tipo no coincide con el concepto","")&amp;IF(AND($W54="Salida",OR($X54="Aporte de capital",$X54="Préstamo recibido",$X54="Otro ingreso"))," · Tipo no coincide con el concepto",""),4,900)))</f>
        <v/>
      </c>
    </row>
    <row r="55">
      <c r="U55" s="51">
        <f>IF(COUNTA($V55:$Z55)=0,"","M-"&amp;TEXT(ROW()-6,"0000"))</f>
        <v/>
      </c>
      <c r="V55" s="41" t="n"/>
      <c r="W55" s="33" t="n"/>
      <c r="X55" s="33" t="n"/>
      <c r="Y55" s="33" t="n"/>
      <c r="Z55" s="36" t="n"/>
      <c r="AA55" s="33" t="n"/>
      <c r="AB55" s="33" t="n"/>
      <c r="AC55" s="51">
        <f>IF(COUNTA($V55,$W55,$X55,$Y55,$Z55)=0,"",IF(IF($V55=""," · Falta fecha","")&amp;IF($W55=""," · Falta tipo","")&amp;IF($X55=""," · Falta concepto","")&amp;IF(OR($Z55="",NOT(ISNUMBER($Z55)),$Z55&lt;=0)," · Monto inválido","")&amp;IF(AND($W55="Entrada",OR($X55="Retiro del propietario",$X55="Pago de préstamo",$X55="Otro egreso"))," · Tipo no coincide con el concepto","")&amp;IF(AND($W55="Salida",OR($X55="Aporte de capital",$X55="Préstamo recibido",$X55="Otro ingreso"))," · Tipo no coincide con el concepto","")="","OK",MID(IF($V55=""," · Falta fecha","")&amp;IF($W55=""," · Falta tipo","")&amp;IF($X55=""," · Falta concepto","")&amp;IF(OR($Z55="",NOT(ISNUMBER($Z55)),$Z55&lt;=0)," · Monto inválido","")&amp;IF(AND($W55="Entrada",OR($X55="Retiro del propietario",$X55="Pago de préstamo",$X55="Otro egreso"))," · Tipo no coincide con el concepto","")&amp;IF(AND($W55="Salida",OR($X55="Aporte de capital",$X55="Préstamo recibido",$X55="Otro ingreso"))," · Tipo no coincide con el concepto",""),4,900)))</f>
        <v/>
      </c>
    </row>
    <row r="56">
      <c r="U56" s="51">
        <f>IF(COUNTA($V56:$Z56)=0,"","M-"&amp;TEXT(ROW()-6,"0000"))</f>
        <v/>
      </c>
      <c r="V56" s="41" t="n"/>
      <c r="W56" s="33" t="n"/>
      <c r="X56" s="33" t="n"/>
      <c r="Y56" s="33" t="n"/>
      <c r="Z56" s="36" t="n"/>
      <c r="AA56" s="33" t="n"/>
      <c r="AB56" s="33" t="n"/>
      <c r="AC56" s="51">
        <f>IF(COUNTA($V56,$W56,$X56,$Y56,$Z56)=0,"",IF(IF($V56=""," · Falta fecha","")&amp;IF($W56=""," · Falta tipo","")&amp;IF($X56=""," · Falta concepto","")&amp;IF(OR($Z56="",NOT(ISNUMBER($Z56)),$Z56&lt;=0)," · Monto inválido","")&amp;IF(AND($W56="Entrada",OR($X56="Retiro del propietario",$X56="Pago de préstamo",$X56="Otro egreso"))," · Tipo no coincide con el concepto","")&amp;IF(AND($W56="Salida",OR($X56="Aporte de capital",$X56="Préstamo recibido",$X56="Otro ingreso"))," · Tipo no coincide con el concepto","")="","OK",MID(IF($V56=""," · Falta fecha","")&amp;IF($W56=""," · Falta tipo","")&amp;IF($X56=""," · Falta concepto","")&amp;IF(OR($Z56="",NOT(ISNUMBER($Z56)),$Z56&lt;=0)," · Monto inválido","")&amp;IF(AND($W56="Entrada",OR($X56="Retiro del propietario",$X56="Pago de préstamo",$X56="Otro egreso"))," · Tipo no coincide con el concepto","")&amp;IF(AND($W56="Salida",OR($X56="Aporte de capital",$X56="Préstamo recibido",$X56="Otro ingreso"))," · Tipo no coincide con el concepto",""),4,900)))</f>
        <v/>
      </c>
    </row>
    <row r="57">
      <c r="U57" s="51">
        <f>IF(COUNTA($V57:$Z57)=0,"","M-"&amp;TEXT(ROW()-6,"0000"))</f>
        <v/>
      </c>
      <c r="V57" s="41" t="n"/>
      <c r="W57" s="33" t="n"/>
      <c r="X57" s="33" t="n"/>
      <c r="Y57" s="33" t="n"/>
      <c r="Z57" s="36" t="n"/>
      <c r="AA57" s="33" t="n"/>
      <c r="AB57" s="33" t="n"/>
      <c r="AC57" s="51">
        <f>IF(COUNTA($V57,$W57,$X57,$Y57,$Z57)=0,"",IF(IF($V57=""," · Falta fecha","")&amp;IF($W57=""," · Falta tipo","")&amp;IF($X57=""," · Falta concepto","")&amp;IF(OR($Z57="",NOT(ISNUMBER($Z57)),$Z57&lt;=0)," · Monto inválido","")&amp;IF(AND($W57="Entrada",OR($X57="Retiro del propietario",$X57="Pago de préstamo",$X57="Otro egreso"))," · Tipo no coincide con el concepto","")&amp;IF(AND($W57="Salida",OR($X57="Aporte de capital",$X57="Préstamo recibido",$X57="Otro ingreso"))," · Tipo no coincide con el concepto","")="","OK",MID(IF($V57=""," · Falta fecha","")&amp;IF($W57=""," · Falta tipo","")&amp;IF($X57=""," · Falta concepto","")&amp;IF(OR($Z57="",NOT(ISNUMBER($Z57)),$Z57&lt;=0)," · Monto inválido","")&amp;IF(AND($W57="Entrada",OR($X57="Retiro del propietario",$X57="Pago de préstamo",$X57="Otro egreso"))," · Tipo no coincide con el concepto","")&amp;IF(AND($W57="Salida",OR($X57="Aporte de capital",$X57="Préstamo recibido",$X57="Otro ingreso"))," · Tipo no coincide con el concepto",""),4,900)))</f>
        <v/>
      </c>
    </row>
    <row r="58">
      <c r="U58" s="51">
        <f>IF(COUNTA($V58:$Z58)=0,"","M-"&amp;TEXT(ROW()-6,"0000"))</f>
        <v/>
      </c>
      <c r="V58" s="41" t="n"/>
      <c r="W58" s="33" t="n"/>
      <c r="X58" s="33" t="n"/>
      <c r="Y58" s="33" t="n"/>
      <c r="Z58" s="36" t="n"/>
      <c r="AA58" s="33" t="n"/>
      <c r="AB58" s="33" t="n"/>
      <c r="AC58" s="51">
        <f>IF(COUNTA($V58,$W58,$X58,$Y58,$Z58)=0,"",IF(IF($V58=""," · Falta fecha","")&amp;IF($W58=""," · Falta tipo","")&amp;IF($X58=""," · Falta concepto","")&amp;IF(OR($Z58="",NOT(ISNUMBER($Z58)),$Z58&lt;=0)," · Monto inválido","")&amp;IF(AND($W58="Entrada",OR($X58="Retiro del propietario",$X58="Pago de préstamo",$X58="Otro egreso"))," · Tipo no coincide con el concepto","")&amp;IF(AND($W58="Salida",OR($X58="Aporte de capital",$X58="Préstamo recibido",$X58="Otro ingreso"))," · Tipo no coincide con el concepto","")="","OK",MID(IF($V58=""," · Falta fecha","")&amp;IF($W58=""," · Falta tipo","")&amp;IF($X58=""," · Falta concepto","")&amp;IF(OR($Z58="",NOT(ISNUMBER($Z58)),$Z58&lt;=0)," · Monto inválido","")&amp;IF(AND($W58="Entrada",OR($X58="Retiro del propietario",$X58="Pago de préstamo",$X58="Otro egreso"))," · Tipo no coincide con el concepto","")&amp;IF(AND($W58="Salida",OR($X58="Aporte de capital",$X58="Préstamo recibido",$X58="Otro ingreso"))," · Tipo no coincide con el concepto",""),4,900)))</f>
        <v/>
      </c>
    </row>
    <row r="59">
      <c r="U59" s="51">
        <f>IF(COUNTA($V59:$Z59)=0,"","M-"&amp;TEXT(ROW()-6,"0000"))</f>
        <v/>
      </c>
      <c r="V59" s="41" t="n"/>
      <c r="W59" s="33" t="n"/>
      <c r="X59" s="33" t="n"/>
      <c r="Y59" s="33" t="n"/>
      <c r="Z59" s="36" t="n"/>
      <c r="AA59" s="33" t="n"/>
      <c r="AB59" s="33" t="n"/>
      <c r="AC59" s="51">
        <f>IF(COUNTA($V59,$W59,$X59,$Y59,$Z59)=0,"",IF(IF($V59=""," · Falta fecha","")&amp;IF($W59=""," · Falta tipo","")&amp;IF($X59=""," · Falta concepto","")&amp;IF(OR($Z59="",NOT(ISNUMBER($Z59)),$Z59&lt;=0)," · Monto inválido","")&amp;IF(AND($W59="Entrada",OR($X59="Retiro del propietario",$X59="Pago de préstamo",$X59="Otro egreso"))," · Tipo no coincide con el concepto","")&amp;IF(AND($W59="Salida",OR($X59="Aporte de capital",$X59="Préstamo recibido",$X59="Otro ingreso"))," · Tipo no coincide con el concepto","")="","OK",MID(IF($V59=""," · Falta fecha","")&amp;IF($W59=""," · Falta tipo","")&amp;IF($X59=""," · Falta concepto","")&amp;IF(OR($Z59="",NOT(ISNUMBER($Z59)),$Z59&lt;=0)," · Monto inválido","")&amp;IF(AND($W59="Entrada",OR($X59="Retiro del propietario",$X59="Pago de préstamo",$X59="Otro egreso"))," · Tipo no coincide con el concepto","")&amp;IF(AND($W59="Salida",OR($X59="Aporte de capital",$X59="Préstamo recibido",$X59="Otro ingreso"))," · Tipo no coincide con el concepto",""),4,900)))</f>
        <v/>
      </c>
    </row>
    <row r="60">
      <c r="U60" s="51">
        <f>IF(COUNTA($V60:$Z60)=0,"","M-"&amp;TEXT(ROW()-6,"0000"))</f>
        <v/>
      </c>
      <c r="V60" s="41" t="n"/>
      <c r="W60" s="33" t="n"/>
      <c r="X60" s="33" t="n"/>
      <c r="Y60" s="33" t="n"/>
      <c r="Z60" s="36" t="n"/>
      <c r="AA60" s="33" t="n"/>
      <c r="AB60" s="33" t="n"/>
      <c r="AC60" s="51">
        <f>IF(COUNTA($V60,$W60,$X60,$Y60,$Z60)=0,"",IF(IF($V60=""," · Falta fecha","")&amp;IF($W60=""," · Falta tipo","")&amp;IF($X60=""," · Falta concepto","")&amp;IF(OR($Z60="",NOT(ISNUMBER($Z60)),$Z60&lt;=0)," · Monto inválido","")&amp;IF(AND($W60="Entrada",OR($X60="Retiro del propietario",$X60="Pago de préstamo",$X60="Otro egreso"))," · Tipo no coincide con el concepto","")&amp;IF(AND($W60="Salida",OR($X60="Aporte de capital",$X60="Préstamo recibido",$X60="Otro ingreso"))," · Tipo no coincide con el concepto","")="","OK",MID(IF($V60=""," · Falta fecha","")&amp;IF($W60=""," · Falta tipo","")&amp;IF($X60=""," · Falta concepto","")&amp;IF(OR($Z60="",NOT(ISNUMBER($Z60)),$Z60&lt;=0)," · Monto inválido","")&amp;IF(AND($W60="Entrada",OR($X60="Retiro del propietario",$X60="Pago de préstamo",$X60="Otro egreso"))," · Tipo no coincide con el concepto","")&amp;IF(AND($W60="Salida",OR($X60="Aporte de capital",$X60="Préstamo recibido",$X60="Otro ingreso"))," · Tipo no coincide con el concepto",""),4,900)))</f>
        <v/>
      </c>
    </row>
    <row r="61">
      <c r="U61" s="51">
        <f>IF(COUNTA($V61:$Z61)=0,"","M-"&amp;TEXT(ROW()-6,"0000"))</f>
        <v/>
      </c>
      <c r="V61" s="41" t="n"/>
      <c r="W61" s="33" t="n"/>
      <c r="X61" s="33" t="n"/>
      <c r="Y61" s="33" t="n"/>
      <c r="Z61" s="36" t="n"/>
      <c r="AA61" s="33" t="n"/>
      <c r="AB61" s="33" t="n"/>
      <c r="AC61" s="51">
        <f>IF(COUNTA($V61,$W61,$X61,$Y61,$Z61)=0,"",IF(IF($V61=""," · Falta fecha","")&amp;IF($W61=""," · Falta tipo","")&amp;IF($X61=""," · Falta concepto","")&amp;IF(OR($Z61="",NOT(ISNUMBER($Z61)),$Z61&lt;=0)," · Monto inválido","")&amp;IF(AND($W61="Entrada",OR($X61="Retiro del propietario",$X61="Pago de préstamo",$X61="Otro egreso"))," · Tipo no coincide con el concepto","")&amp;IF(AND($W61="Salida",OR($X61="Aporte de capital",$X61="Préstamo recibido",$X61="Otro ingreso"))," · Tipo no coincide con el concepto","")="","OK",MID(IF($V61=""," · Falta fecha","")&amp;IF($W61=""," · Falta tipo","")&amp;IF($X61=""," · Falta concepto","")&amp;IF(OR($Z61="",NOT(ISNUMBER($Z61)),$Z61&lt;=0)," · Monto inválido","")&amp;IF(AND($W61="Entrada",OR($X61="Retiro del propietario",$X61="Pago de préstamo",$X61="Otro egreso"))," · Tipo no coincide con el concepto","")&amp;IF(AND($W61="Salida",OR($X61="Aporte de capital",$X61="Préstamo recibido",$X61="Otro ingreso"))," · Tipo no coincide con el concepto",""),4,900)))</f>
        <v/>
      </c>
    </row>
    <row r="62">
      <c r="U62" s="51">
        <f>IF(COUNTA($V62:$Z62)=0,"","M-"&amp;TEXT(ROW()-6,"0000"))</f>
        <v/>
      </c>
      <c r="V62" s="41" t="n"/>
      <c r="W62" s="33" t="n"/>
      <c r="X62" s="33" t="n"/>
      <c r="Y62" s="33" t="n"/>
      <c r="Z62" s="36" t="n"/>
      <c r="AA62" s="33" t="n"/>
      <c r="AB62" s="33" t="n"/>
      <c r="AC62" s="51">
        <f>IF(COUNTA($V62,$W62,$X62,$Y62,$Z62)=0,"",IF(IF($V62=""," · Falta fecha","")&amp;IF($W62=""," · Falta tipo","")&amp;IF($X62=""," · Falta concepto","")&amp;IF(OR($Z62="",NOT(ISNUMBER($Z62)),$Z62&lt;=0)," · Monto inválido","")&amp;IF(AND($W62="Entrada",OR($X62="Retiro del propietario",$X62="Pago de préstamo",$X62="Otro egreso"))," · Tipo no coincide con el concepto","")&amp;IF(AND($W62="Salida",OR($X62="Aporte de capital",$X62="Préstamo recibido",$X62="Otro ingreso"))," · Tipo no coincide con el concepto","")="","OK",MID(IF($V62=""," · Falta fecha","")&amp;IF($W62=""," · Falta tipo","")&amp;IF($X62=""," · Falta concepto","")&amp;IF(OR($Z62="",NOT(ISNUMBER($Z62)),$Z62&lt;=0)," · Monto inválido","")&amp;IF(AND($W62="Entrada",OR($X62="Retiro del propietario",$X62="Pago de préstamo",$X62="Otro egreso"))," · Tipo no coincide con el concepto","")&amp;IF(AND($W62="Salida",OR($X62="Aporte de capital",$X62="Préstamo recibido",$X62="Otro ingreso"))," · Tipo no coincide con el concepto",""),4,900)))</f>
        <v/>
      </c>
    </row>
    <row r="63">
      <c r="U63" s="51">
        <f>IF(COUNTA($V63:$Z63)=0,"","M-"&amp;TEXT(ROW()-6,"0000"))</f>
        <v/>
      </c>
      <c r="V63" s="41" t="n"/>
      <c r="W63" s="33" t="n"/>
      <c r="X63" s="33" t="n"/>
      <c r="Y63" s="33" t="n"/>
      <c r="Z63" s="36" t="n"/>
      <c r="AA63" s="33" t="n"/>
      <c r="AB63" s="33" t="n"/>
      <c r="AC63" s="51">
        <f>IF(COUNTA($V63,$W63,$X63,$Y63,$Z63)=0,"",IF(IF($V63=""," · Falta fecha","")&amp;IF($W63=""," · Falta tipo","")&amp;IF($X63=""," · Falta concepto","")&amp;IF(OR($Z63="",NOT(ISNUMBER($Z63)),$Z63&lt;=0)," · Monto inválido","")&amp;IF(AND($W63="Entrada",OR($X63="Retiro del propietario",$X63="Pago de préstamo",$X63="Otro egreso"))," · Tipo no coincide con el concepto","")&amp;IF(AND($W63="Salida",OR($X63="Aporte de capital",$X63="Préstamo recibido",$X63="Otro ingreso"))," · Tipo no coincide con el concepto","")="","OK",MID(IF($V63=""," · Falta fecha","")&amp;IF($W63=""," · Falta tipo","")&amp;IF($X63=""," · Falta concepto","")&amp;IF(OR($Z63="",NOT(ISNUMBER($Z63)),$Z63&lt;=0)," · Monto inválido","")&amp;IF(AND($W63="Entrada",OR($X63="Retiro del propietario",$X63="Pago de préstamo",$X63="Otro egreso"))," · Tipo no coincide con el concepto","")&amp;IF(AND($W63="Salida",OR($X63="Aporte de capital",$X63="Préstamo recibido",$X63="Otro ingreso"))," · Tipo no coincide con el concepto",""),4,900)))</f>
        <v/>
      </c>
    </row>
    <row r="64">
      <c r="U64" s="51">
        <f>IF(COUNTA($V64:$Z64)=0,"","M-"&amp;TEXT(ROW()-6,"0000"))</f>
        <v/>
      </c>
      <c r="V64" s="41" t="n"/>
      <c r="W64" s="33" t="n"/>
      <c r="X64" s="33" t="n"/>
      <c r="Y64" s="33" t="n"/>
      <c r="Z64" s="36" t="n"/>
      <c r="AA64" s="33" t="n"/>
      <c r="AB64" s="33" t="n"/>
      <c r="AC64" s="51">
        <f>IF(COUNTA($V64,$W64,$X64,$Y64,$Z64)=0,"",IF(IF($V64=""," · Falta fecha","")&amp;IF($W64=""," · Falta tipo","")&amp;IF($X64=""," · Falta concepto","")&amp;IF(OR($Z64="",NOT(ISNUMBER($Z64)),$Z64&lt;=0)," · Monto inválido","")&amp;IF(AND($W64="Entrada",OR($X64="Retiro del propietario",$X64="Pago de préstamo",$X64="Otro egreso"))," · Tipo no coincide con el concepto","")&amp;IF(AND($W64="Salida",OR($X64="Aporte de capital",$X64="Préstamo recibido",$X64="Otro ingreso"))," · Tipo no coincide con el concepto","")="","OK",MID(IF($V64=""," · Falta fecha","")&amp;IF($W64=""," · Falta tipo","")&amp;IF($X64=""," · Falta concepto","")&amp;IF(OR($Z64="",NOT(ISNUMBER($Z64)),$Z64&lt;=0)," · Monto inválido","")&amp;IF(AND($W64="Entrada",OR($X64="Retiro del propietario",$X64="Pago de préstamo",$X64="Otro egreso"))," · Tipo no coincide con el concepto","")&amp;IF(AND($W64="Salida",OR($X64="Aporte de capital",$X64="Préstamo recibido",$X64="Otro ingreso"))," · Tipo no coincide con el concepto",""),4,900)))</f>
        <v/>
      </c>
    </row>
    <row r="65">
      <c r="U65" s="51">
        <f>IF(COUNTA($V65:$Z65)=0,"","M-"&amp;TEXT(ROW()-6,"0000"))</f>
        <v/>
      </c>
      <c r="V65" s="41" t="n"/>
      <c r="W65" s="33" t="n"/>
      <c r="X65" s="33" t="n"/>
      <c r="Y65" s="33" t="n"/>
      <c r="Z65" s="36" t="n"/>
      <c r="AA65" s="33" t="n"/>
      <c r="AB65" s="33" t="n"/>
      <c r="AC65" s="51">
        <f>IF(COUNTA($V65,$W65,$X65,$Y65,$Z65)=0,"",IF(IF($V65=""," · Falta fecha","")&amp;IF($W65=""," · Falta tipo","")&amp;IF($X65=""," · Falta concepto","")&amp;IF(OR($Z65="",NOT(ISNUMBER($Z65)),$Z65&lt;=0)," · Monto inválido","")&amp;IF(AND($W65="Entrada",OR($X65="Retiro del propietario",$X65="Pago de préstamo",$X65="Otro egreso"))," · Tipo no coincide con el concepto","")&amp;IF(AND($W65="Salida",OR($X65="Aporte de capital",$X65="Préstamo recibido",$X65="Otro ingreso"))," · Tipo no coincide con el concepto","")="","OK",MID(IF($V65=""," · Falta fecha","")&amp;IF($W65=""," · Falta tipo","")&amp;IF($X65=""," · Falta concepto","")&amp;IF(OR($Z65="",NOT(ISNUMBER($Z65)),$Z65&lt;=0)," · Monto inválido","")&amp;IF(AND($W65="Entrada",OR($X65="Retiro del propietario",$X65="Pago de préstamo",$X65="Otro egreso"))," · Tipo no coincide con el concepto","")&amp;IF(AND($W65="Salida",OR($X65="Aporte de capital",$X65="Préstamo recibido",$X65="Otro ingreso"))," · Tipo no coincide con el concepto",""),4,900)))</f>
        <v/>
      </c>
    </row>
    <row r="66">
      <c r="U66" s="51">
        <f>IF(COUNTA($V66:$Z66)=0,"","M-"&amp;TEXT(ROW()-6,"0000"))</f>
        <v/>
      </c>
      <c r="V66" s="41" t="n"/>
      <c r="W66" s="33" t="n"/>
      <c r="X66" s="33" t="n"/>
      <c r="Y66" s="33" t="n"/>
      <c r="Z66" s="36" t="n"/>
      <c r="AA66" s="33" t="n"/>
      <c r="AB66" s="33" t="n"/>
      <c r="AC66" s="51">
        <f>IF(COUNTA($V66,$W66,$X66,$Y66,$Z66)=0,"",IF(IF($V66=""," · Falta fecha","")&amp;IF($W66=""," · Falta tipo","")&amp;IF($X66=""," · Falta concepto","")&amp;IF(OR($Z66="",NOT(ISNUMBER($Z66)),$Z66&lt;=0)," · Monto inválido","")&amp;IF(AND($W66="Entrada",OR($X66="Retiro del propietario",$X66="Pago de préstamo",$X66="Otro egreso"))," · Tipo no coincide con el concepto","")&amp;IF(AND($W66="Salida",OR($X66="Aporte de capital",$X66="Préstamo recibido",$X66="Otro ingreso"))," · Tipo no coincide con el concepto","")="","OK",MID(IF($V66=""," · Falta fecha","")&amp;IF($W66=""," · Falta tipo","")&amp;IF($X66=""," · Falta concepto","")&amp;IF(OR($Z66="",NOT(ISNUMBER($Z66)),$Z66&lt;=0)," · Monto inválido","")&amp;IF(AND($W66="Entrada",OR($X66="Retiro del propietario",$X66="Pago de préstamo",$X66="Otro egreso"))," · Tipo no coincide con el concepto","")&amp;IF(AND($W66="Salida",OR($X66="Aporte de capital",$X66="Préstamo recibido",$X66="Otro ingreso"))," · Tipo no coincide con el concepto",""),4,900)))</f>
        <v/>
      </c>
    </row>
    <row r="67">
      <c r="U67" s="51">
        <f>IF(COUNTA($V67:$Z67)=0,"","M-"&amp;TEXT(ROW()-6,"0000"))</f>
        <v/>
      </c>
      <c r="V67" s="41" t="n"/>
      <c r="W67" s="33" t="n"/>
      <c r="X67" s="33" t="n"/>
      <c r="Y67" s="33" t="n"/>
      <c r="Z67" s="36" t="n"/>
      <c r="AA67" s="33" t="n"/>
      <c r="AB67" s="33" t="n"/>
      <c r="AC67" s="51">
        <f>IF(COUNTA($V67,$W67,$X67,$Y67,$Z67)=0,"",IF(IF($V67=""," · Falta fecha","")&amp;IF($W67=""," · Falta tipo","")&amp;IF($X67=""," · Falta concepto","")&amp;IF(OR($Z67="",NOT(ISNUMBER($Z67)),$Z67&lt;=0)," · Monto inválido","")&amp;IF(AND($W67="Entrada",OR($X67="Retiro del propietario",$X67="Pago de préstamo",$X67="Otro egreso"))," · Tipo no coincide con el concepto","")&amp;IF(AND($W67="Salida",OR($X67="Aporte de capital",$X67="Préstamo recibido",$X67="Otro ingreso"))," · Tipo no coincide con el concepto","")="","OK",MID(IF($V67=""," · Falta fecha","")&amp;IF($W67=""," · Falta tipo","")&amp;IF($X67=""," · Falta concepto","")&amp;IF(OR($Z67="",NOT(ISNUMBER($Z67)),$Z67&lt;=0)," · Monto inválido","")&amp;IF(AND($W67="Entrada",OR($X67="Retiro del propietario",$X67="Pago de préstamo",$X67="Otro egreso"))," · Tipo no coincide con el concepto","")&amp;IF(AND($W67="Salida",OR($X67="Aporte de capital",$X67="Préstamo recibido",$X67="Otro ingreso"))," · Tipo no coincide con el concepto",""),4,900)))</f>
        <v/>
      </c>
    </row>
    <row r="68">
      <c r="U68" s="51">
        <f>IF(COUNTA($V68:$Z68)=0,"","M-"&amp;TEXT(ROW()-6,"0000"))</f>
        <v/>
      </c>
      <c r="V68" s="41" t="n"/>
      <c r="W68" s="33" t="n"/>
      <c r="X68" s="33" t="n"/>
      <c r="Y68" s="33" t="n"/>
      <c r="Z68" s="36" t="n"/>
      <c r="AA68" s="33" t="n"/>
      <c r="AB68" s="33" t="n"/>
      <c r="AC68" s="51">
        <f>IF(COUNTA($V68,$W68,$X68,$Y68,$Z68)=0,"",IF(IF($V68=""," · Falta fecha","")&amp;IF($W68=""," · Falta tipo","")&amp;IF($X68=""," · Falta concepto","")&amp;IF(OR($Z68="",NOT(ISNUMBER($Z68)),$Z68&lt;=0)," · Monto inválido","")&amp;IF(AND($W68="Entrada",OR($X68="Retiro del propietario",$X68="Pago de préstamo",$X68="Otro egreso"))," · Tipo no coincide con el concepto","")&amp;IF(AND($W68="Salida",OR($X68="Aporte de capital",$X68="Préstamo recibido",$X68="Otro ingreso"))," · Tipo no coincide con el concepto","")="","OK",MID(IF($V68=""," · Falta fecha","")&amp;IF($W68=""," · Falta tipo","")&amp;IF($X68=""," · Falta concepto","")&amp;IF(OR($Z68="",NOT(ISNUMBER($Z68)),$Z68&lt;=0)," · Monto inválido","")&amp;IF(AND($W68="Entrada",OR($X68="Retiro del propietario",$X68="Pago de préstamo",$X68="Otro egreso"))," · Tipo no coincide con el concepto","")&amp;IF(AND($W68="Salida",OR($X68="Aporte de capital",$X68="Préstamo recibido",$X68="Otro ingreso"))," · Tipo no coincide con el concepto",""),4,900)))</f>
        <v/>
      </c>
    </row>
    <row r="69">
      <c r="U69" s="51">
        <f>IF(COUNTA($V69:$Z69)=0,"","M-"&amp;TEXT(ROW()-6,"0000"))</f>
        <v/>
      </c>
      <c r="V69" s="41" t="n"/>
      <c r="W69" s="33" t="n"/>
      <c r="X69" s="33" t="n"/>
      <c r="Y69" s="33" t="n"/>
      <c r="Z69" s="36" t="n"/>
      <c r="AA69" s="33" t="n"/>
      <c r="AB69" s="33" t="n"/>
      <c r="AC69" s="51">
        <f>IF(COUNTA($V69,$W69,$X69,$Y69,$Z69)=0,"",IF(IF($V69=""," · Falta fecha","")&amp;IF($W69=""," · Falta tipo","")&amp;IF($X69=""," · Falta concepto","")&amp;IF(OR($Z69="",NOT(ISNUMBER($Z69)),$Z69&lt;=0)," · Monto inválido","")&amp;IF(AND($W69="Entrada",OR($X69="Retiro del propietario",$X69="Pago de préstamo",$X69="Otro egreso"))," · Tipo no coincide con el concepto","")&amp;IF(AND($W69="Salida",OR($X69="Aporte de capital",$X69="Préstamo recibido",$X69="Otro ingreso"))," · Tipo no coincide con el concepto","")="","OK",MID(IF($V69=""," · Falta fecha","")&amp;IF($W69=""," · Falta tipo","")&amp;IF($X69=""," · Falta concepto","")&amp;IF(OR($Z69="",NOT(ISNUMBER($Z69)),$Z69&lt;=0)," · Monto inválido","")&amp;IF(AND($W69="Entrada",OR($X69="Retiro del propietario",$X69="Pago de préstamo",$X69="Otro egreso"))," · Tipo no coincide con el concepto","")&amp;IF(AND($W69="Salida",OR($X69="Aporte de capital",$X69="Préstamo recibido",$X69="Otro ingreso"))," · Tipo no coincide con el concepto",""),4,900)))</f>
        <v/>
      </c>
    </row>
    <row r="70">
      <c r="U70" s="51">
        <f>IF(COUNTA($V70:$Z70)=0,"","M-"&amp;TEXT(ROW()-6,"0000"))</f>
        <v/>
      </c>
      <c r="V70" s="41" t="n"/>
      <c r="W70" s="33" t="n"/>
      <c r="X70" s="33" t="n"/>
      <c r="Y70" s="33" t="n"/>
      <c r="Z70" s="36" t="n"/>
      <c r="AA70" s="33" t="n"/>
      <c r="AB70" s="33" t="n"/>
      <c r="AC70" s="51">
        <f>IF(COUNTA($V70,$W70,$X70,$Y70,$Z70)=0,"",IF(IF($V70=""," · Falta fecha","")&amp;IF($W70=""," · Falta tipo","")&amp;IF($X70=""," · Falta concepto","")&amp;IF(OR($Z70="",NOT(ISNUMBER($Z70)),$Z70&lt;=0)," · Monto inválido","")&amp;IF(AND($W70="Entrada",OR($X70="Retiro del propietario",$X70="Pago de préstamo",$X70="Otro egreso"))," · Tipo no coincide con el concepto","")&amp;IF(AND($W70="Salida",OR($X70="Aporte de capital",$X70="Préstamo recibido",$X70="Otro ingreso"))," · Tipo no coincide con el concepto","")="","OK",MID(IF($V70=""," · Falta fecha","")&amp;IF($W70=""," · Falta tipo","")&amp;IF($X70=""," · Falta concepto","")&amp;IF(OR($Z70="",NOT(ISNUMBER($Z70)),$Z70&lt;=0)," · Monto inválido","")&amp;IF(AND($W70="Entrada",OR($X70="Retiro del propietario",$X70="Pago de préstamo",$X70="Otro egreso"))," · Tipo no coincide con el concepto","")&amp;IF(AND($W70="Salida",OR($X70="Aporte de capital",$X70="Préstamo recibido",$X70="Otro ingreso"))," · Tipo no coincide con el concepto",""),4,900)))</f>
        <v/>
      </c>
    </row>
    <row r="71">
      <c r="U71" s="51">
        <f>IF(COUNTA($V71:$Z71)=0,"","M-"&amp;TEXT(ROW()-6,"0000"))</f>
        <v/>
      </c>
      <c r="V71" s="41" t="n"/>
      <c r="W71" s="33" t="n"/>
      <c r="X71" s="33" t="n"/>
      <c r="Y71" s="33" t="n"/>
      <c r="Z71" s="36" t="n"/>
      <c r="AA71" s="33" t="n"/>
      <c r="AB71" s="33" t="n"/>
      <c r="AC71" s="51">
        <f>IF(COUNTA($V71,$W71,$X71,$Y71,$Z71)=0,"",IF(IF($V71=""," · Falta fecha","")&amp;IF($W71=""," · Falta tipo","")&amp;IF($X71=""," · Falta concepto","")&amp;IF(OR($Z71="",NOT(ISNUMBER($Z71)),$Z71&lt;=0)," · Monto inválido","")&amp;IF(AND($W71="Entrada",OR($X71="Retiro del propietario",$X71="Pago de préstamo",$X71="Otro egreso"))," · Tipo no coincide con el concepto","")&amp;IF(AND($W71="Salida",OR($X71="Aporte de capital",$X71="Préstamo recibido",$X71="Otro ingreso"))," · Tipo no coincide con el concepto","")="","OK",MID(IF($V71=""," · Falta fecha","")&amp;IF($W71=""," · Falta tipo","")&amp;IF($X71=""," · Falta concepto","")&amp;IF(OR($Z71="",NOT(ISNUMBER($Z71)),$Z71&lt;=0)," · Monto inválido","")&amp;IF(AND($W71="Entrada",OR($X71="Retiro del propietario",$X71="Pago de préstamo",$X71="Otro egreso"))," · Tipo no coincide con el concepto","")&amp;IF(AND($W71="Salida",OR($X71="Aporte de capital",$X71="Préstamo recibido",$X71="Otro ingreso"))," · Tipo no coincide con el concepto",""),4,900)))</f>
        <v/>
      </c>
    </row>
    <row r="72">
      <c r="U72" s="51">
        <f>IF(COUNTA($V72:$Z72)=0,"","M-"&amp;TEXT(ROW()-6,"0000"))</f>
        <v/>
      </c>
      <c r="V72" s="41" t="n"/>
      <c r="W72" s="33" t="n"/>
      <c r="X72" s="33" t="n"/>
      <c r="Y72" s="33" t="n"/>
      <c r="Z72" s="36" t="n"/>
      <c r="AA72" s="33" t="n"/>
      <c r="AB72" s="33" t="n"/>
      <c r="AC72" s="51">
        <f>IF(COUNTA($V72,$W72,$X72,$Y72,$Z72)=0,"",IF(IF($V72=""," · Falta fecha","")&amp;IF($W72=""," · Falta tipo","")&amp;IF($X72=""," · Falta concepto","")&amp;IF(OR($Z72="",NOT(ISNUMBER($Z72)),$Z72&lt;=0)," · Monto inválido","")&amp;IF(AND($W72="Entrada",OR($X72="Retiro del propietario",$X72="Pago de préstamo",$X72="Otro egreso"))," · Tipo no coincide con el concepto","")&amp;IF(AND($W72="Salida",OR($X72="Aporte de capital",$X72="Préstamo recibido",$X72="Otro ingreso"))," · Tipo no coincide con el concepto","")="","OK",MID(IF($V72=""," · Falta fecha","")&amp;IF($W72=""," · Falta tipo","")&amp;IF($X72=""," · Falta concepto","")&amp;IF(OR($Z72="",NOT(ISNUMBER($Z72)),$Z72&lt;=0)," · Monto inválido","")&amp;IF(AND($W72="Entrada",OR($X72="Retiro del propietario",$X72="Pago de préstamo",$X72="Otro egreso"))," · Tipo no coincide con el concepto","")&amp;IF(AND($W72="Salida",OR($X72="Aporte de capital",$X72="Préstamo recibido",$X72="Otro ingreso"))," · Tipo no coincide con el concepto",""),4,900)))</f>
        <v/>
      </c>
    </row>
    <row r="73">
      <c r="U73" s="51">
        <f>IF(COUNTA($V73:$Z73)=0,"","M-"&amp;TEXT(ROW()-6,"0000"))</f>
        <v/>
      </c>
      <c r="V73" s="41" t="n"/>
      <c r="W73" s="33" t="n"/>
      <c r="X73" s="33" t="n"/>
      <c r="Y73" s="33" t="n"/>
      <c r="Z73" s="36" t="n"/>
      <c r="AA73" s="33" t="n"/>
      <c r="AB73" s="33" t="n"/>
      <c r="AC73" s="51">
        <f>IF(COUNTA($V73,$W73,$X73,$Y73,$Z73)=0,"",IF(IF($V73=""," · Falta fecha","")&amp;IF($W73=""," · Falta tipo","")&amp;IF($X73=""," · Falta concepto","")&amp;IF(OR($Z73="",NOT(ISNUMBER($Z73)),$Z73&lt;=0)," · Monto inválido","")&amp;IF(AND($W73="Entrada",OR($X73="Retiro del propietario",$X73="Pago de préstamo",$X73="Otro egreso"))," · Tipo no coincide con el concepto","")&amp;IF(AND($W73="Salida",OR($X73="Aporte de capital",$X73="Préstamo recibido",$X73="Otro ingreso"))," · Tipo no coincide con el concepto","")="","OK",MID(IF($V73=""," · Falta fecha","")&amp;IF($W73=""," · Falta tipo","")&amp;IF($X73=""," · Falta concepto","")&amp;IF(OR($Z73="",NOT(ISNUMBER($Z73)),$Z73&lt;=0)," · Monto inválido","")&amp;IF(AND($W73="Entrada",OR($X73="Retiro del propietario",$X73="Pago de préstamo",$X73="Otro egreso"))," · Tipo no coincide con el concepto","")&amp;IF(AND($W73="Salida",OR($X73="Aporte de capital",$X73="Préstamo recibido",$X73="Otro ingreso"))," · Tipo no coincide con el concepto",""),4,900)))</f>
        <v/>
      </c>
    </row>
    <row r="74">
      <c r="U74" s="51">
        <f>IF(COUNTA($V74:$Z74)=0,"","M-"&amp;TEXT(ROW()-6,"0000"))</f>
        <v/>
      </c>
      <c r="V74" s="41" t="n"/>
      <c r="W74" s="33" t="n"/>
      <c r="X74" s="33" t="n"/>
      <c r="Y74" s="33" t="n"/>
      <c r="Z74" s="36" t="n"/>
      <c r="AA74" s="33" t="n"/>
      <c r="AB74" s="33" t="n"/>
      <c r="AC74" s="51">
        <f>IF(COUNTA($V74,$W74,$X74,$Y74,$Z74)=0,"",IF(IF($V74=""," · Falta fecha","")&amp;IF($W74=""," · Falta tipo","")&amp;IF($X74=""," · Falta concepto","")&amp;IF(OR($Z74="",NOT(ISNUMBER($Z74)),$Z74&lt;=0)," · Monto inválido","")&amp;IF(AND($W74="Entrada",OR($X74="Retiro del propietario",$X74="Pago de préstamo",$X74="Otro egreso"))," · Tipo no coincide con el concepto","")&amp;IF(AND($W74="Salida",OR($X74="Aporte de capital",$X74="Préstamo recibido",$X74="Otro ingreso"))," · Tipo no coincide con el concepto","")="","OK",MID(IF($V74=""," · Falta fecha","")&amp;IF($W74=""," · Falta tipo","")&amp;IF($X74=""," · Falta concepto","")&amp;IF(OR($Z74="",NOT(ISNUMBER($Z74)),$Z74&lt;=0)," · Monto inválido","")&amp;IF(AND($W74="Entrada",OR($X74="Retiro del propietario",$X74="Pago de préstamo",$X74="Otro egreso"))," · Tipo no coincide con el concepto","")&amp;IF(AND($W74="Salida",OR($X74="Aporte de capital",$X74="Préstamo recibido",$X74="Otro ingreso"))," · Tipo no coincide con el concepto",""),4,900)))</f>
        <v/>
      </c>
    </row>
    <row r="75">
      <c r="U75" s="51">
        <f>IF(COUNTA($V75:$Z75)=0,"","M-"&amp;TEXT(ROW()-6,"0000"))</f>
        <v/>
      </c>
      <c r="V75" s="41" t="n"/>
      <c r="W75" s="33" t="n"/>
      <c r="X75" s="33" t="n"/>
      <c r="Y75" s="33" t="n"/>
      <c r="Z75" s="36" t="n"/>
      <c r="AA75" s="33" t="n"/>
      <c r="AB75" s="33" t="n"/>
      <c r="AC75" s="51">
        <f>IF(COUNTA($V75,$W75,$X75,$Y75,$Z75)=0,"",IF(IF($V75=""," · Falta fecha","")&amp;IF($W75=""," · Falta tipo","")&amp;IF($X75=""," · Falta concepto","")&amp;IF(OR($Z75="",NOT(ISNUMBER($Z75)),$Z75&lt;=0)," · Monto inválido","")&amp;IF(AND($W75="Entrada",OR($X75="Retiro del propietario",$X75="Pago de préstamo",$X75="Otro egreso"))," · Tipo no coincide con el concepto","")&amp;IF(AND($W75="Salida",OR($X75="Aporte de capital",$X75="Préstamo recibido",$X75="Otro ingreso"))," · Tipo no coincide con el concepto","")="","OK",MID(IF($V75=""," · Falta fecha","")&amp;IF($W75=""," · Falta tipo","")&amp;IF($X75=""," · Falta concepto","")&amp;IF(OR($Z75="",NOT(ISNUMBER($Z75)),$Z75&lt;=0)," · Monto inválido","")&amp;IF(AND($W75="Entrada",OR($X75="Retiro del propietario",$X75="Pago de préstamo",$X75="Otro egreso"))," · Tipo no coincide con el concepto","")&amp;IF(AND($W75="Salida",OR($X75="Aporte de capital",$X75="Préstamo recibido",$X75="Otro ingreso"))," · Tipo no coincide con el concepto",""),4,900)))</f>
        <v/>
      </c>
    </row>
    <row r="76">
      <c r="U76" s="51">
        <f>IF(COUNTA($V76:$Z76)=0,"","M-"&amp;TEXT(ROW()-6,"0000"))</f>
        <v/>
      </c>
      <c r="V76" s="41" t="n"/>
      <c r="W76" s="33" t="n"/>
      <c r="X76" s="33" t="n"/>
      <c r="Y76" s="33" t="n"/>
      <c r="Z76" s="36" t="n"/>
      <c r="AA76" s="33" t="n"/>
      <c r="AB76" s="33" t="n"/>
      <c r="AC76" s="51">
        <f>IF(COUNTA($V76,$W76,$X76,$Y76,$Z76)=0,"",IF(IF($V76=""," · Falta fecha","")&amp;IF($W76=""," · Falta tipo","")&amp;IF($X76=""," · Falta concepto","")&amp;IF(OR($Z76="",NOT(ISNUMBER($Z76)),$Z76&lt;=0)," · Monto inválido","")&amp;IF(AND($W76="Entrada",OR($X76="Retiro del propietario",$X76="Pago de préstamo",$X76="Otro egreso"))," · Tipo no coincide con el concepto","")&amp;IF(AND($W76="Salida",OR($X76="Aporte de capital",$X76="Préstamo recibido",$X76="Otro ingreso"))," · Tipo no coincide con el concepto","")="","OK",MID(IF($V76=""," · Falta fecha","")&amp;IF($W76=""," · Falta tipo","")&amp;IF($X76=""," · Falta concepto","")&amp;IF(OR($Z76="",NOT(ISNUMBER($Z76)),$Z76&lt;=0)," · Monto inválido","")&amp;IF(AND($W76="Entrada",OR($X76="Retiro del propietario",$X76="Pago de préstamo",$X76="Otro egreso"))," · Tipo no coincide con el concepto","")&amp;IF(AND($W76="Salida",OR($X76="Aporte de capital",$X76="Préstamo recibido",$X76="Otro ingreso"))," · Tipo no coincide con el concepto",""),4,900)))</f>
        <v/>
      </c>
    </row>
    <row r="77">
      <c r="U77" s="51">
        <f>IF(COUNTA($V77:$Z77)=0,"","M-"&amp;TEXT(ROW()-6,"0000"))</f>
        <v/>
      </c>
      <c r="V77" s="41" t="n"/>
      <c r="W77" s="33" t="n"/>
      <c r="X77" s="33" t="n"/>
      <c r="Y77" s="33" t="n"/>
      <c r="Z77" s="36" t="n"/>
      <c r="AA77" s="33" t="n"/>
      <c r="AB77" s="33" t="n"/>
      <c r="AC77" s="51">
        <f>IF(COUNTA($V77,$W77,$X77,$Y77,$Z77)=0,"",IF(IF($V77=""," · Falta fecha","")&amp;IF($W77=""," · Falta tipo","")&amp;IF($X77=""," · Falta concepto","")&amp;IF(OR($Z77="",NOT(ISNUMBER($Z77)),$Z77&lt;=0)," · Monto inválido","")&amp;IF(AND($W77="Entrada",OR($X77="Retiro del propietario",$X77="Pago de préstamo",$X77="Otro egreso"))," · Tipo no coincide con el concepto","")&amp;IF(AND($W77="Salida",OR($X77="Aporte de capital",$X77="Préstamo recibido",$X77="Otro ingreso"))," · Tipo no coincide con el concepto","")="","OK",MID(IF($V77=""," · Falta fecha","")&amp;IF($W77=""," · Falta tipo","")&amp;IF($X77=""," · Falta concepto","")&amp;IF(OR($Z77="",NOT(ISNUMBER($Z77)),$Z77&lt;=0)," · Monto inválido","")&amp;IF(AND($W77="Entrada",OR($X77="Retiro del propietario",$X77="Pago de préstamo",$X77="Otro egreso"))," · Tipo no coincide con el concepto","")&amp;IF(AND($W77="Salida",OR($X77="Aporte de capital",$X77="Préstamo recibido",$X77="Otro ingreso"))," · Tipo no coincide con el concepto",""),4,900)))</f>
        <v/>
      </c>
    </row>
    <row r="78">
      <c r="U78" s="51">
        <f>IF(COUNTA($V78:$Z78)=0,"","M-"&amp;TEXT(ROW()-6,"0000"))</f>
        <v/>
      </c>
      <c r="V78" s="41" t="n"/>
      <c r="W78" s="33" t="n"/>
      <c r="X78" s="33" t="n"/>
      <c r="Y78" s="33" t="n"/>
      <c r="Z78" s="36" t="n"/>
      <c r="AA78" s="33" t="n"/>
      <c r="AB78" s="33" t="n"/>
      <c r="AC78" s="51">
        <f>IF(COUNTA($V78,$W78,$X78,$Y78,$Z78)=0,"",IF(IF($V78=""," · Falta fecha","")&amp;IF($W78=""," · Falta tipo","")&amp;IF($X78=""," · Falta concepto","")&amp;IF(OR($Z78="",NOT(ISNUMBER($Z78)),$Z78&lt;=0)," · Monto inválido","")&amp;IF(AND($W78="Entrada",OR($X78="Retiro del propietario",$X78="Pago de préstamo",$X78="Otro egreso"))," · Tipo no coincide con el concepto","")&amp;IF(AND($W78="Salida",OR($X78="Aporte de capital",$X78="Préstamo recibido",$X78="Otro ingreso"))," · Tipo no coincide con el concepto","")="","OK",MID(IF($V78=""," · Falta fecha","")&amp;IF($W78=""," · Falta tipo","")&amp;IF($X78=""," · Falta concepto","")&amp;IF(OR($Z78="",NOT(ISNUMBER($Z78)),$Z78&lt;=0)," · Monto inválido","")&amp;IF(AND($W78="Entrada",OR($X78="Retiro del propietario",$X78="Pago de préstamo",$X78="Otro egreso"))," · Tipo no coincide con el concepto","")&amp;IF(AND($W78="Salida",OR($X78="Aporte de capital",$X78="Préstamo recibido",$X78="Otro ingreso"))," · Tipo no coincide con el concepto",""),4,900)))</f>
        <v/>
      </c>
    </row>
    <row r="79">
      <c r="U79" s="51">
        <f>IF(COUNTA($V79:$Z79)=0,"","M-"&amp;TEXT(ROW()-6,"0000"))</f>
        <v/>
      </c>
      <c r="V79" s="41" t="n"/>
      <c r="W79" s="33" t="n"/>
      <c r="X79" s="33" t="n"/>
      <c r="Y79" s="33" t="n"/>
      <c r="Z79" s="36" t="n"/>
      <c r="AA79" s="33" t="n"/>
      <c r="AB79" s="33" t="n"/>
      <c r="AC79" s="51">
        <f>IF(COUNTA($V79,$W79,$X79,$Y79,$Z79)=0,"",IF(IF($V79=""," · Falta fecha","")&amp;IF($W79=""," · Falta tipo","")&amp;IF($X79=""," · Falta concepto","")&amp;IF(OR($Z79="",NOT(ISNUMBER($Z79)),$Z79&lt;=0)," · Monto inválido","")&amp;IF(AND($W79="Entrada",OR($X79="Retiro del propietario",$X79="Pago de préstamo",$X79="Otro egreso"))," · Tipo no coincide con el concepto","")&amp;IF(AND($W79="Salida",OR($X79="Aporte de capital",$X79="Préstamo recibido",$X79="Otro ingreso"))," · Tipo no coincide con el concepto","")="","OK",MID(IF($V79=""," · Falta fecha","")&amp;IF($W79=""," · Falta tipo","")&amp;IF($X79=""," · Falta concepto","")&amp;IF(OR($Z79="",NOT(ISNUMBER($Z79)),$Z79&lt;=0)," · Monto inválido","")&amp;IF(AND($W79="Entrada",OR($X79="Retiro del propietario",$X79="Pago de préstamo",$X79="Otro egreso"))," · Tipo no coincide con el concepto","")&amp;IF(AND($W79="Salida",OR($X79="Aporte de capital",$X79="Préstamo recibido",$X79="Otro ingreso"))," · Tipo no coincide con el concepto",""),4,900)))</f>
        <v/>
      </c>
    </row>
    <row r="80">
      <c r="U80" s="51">
        <f>IF(COUNTA($V80:$Z80)=0,"","M-"&amp;TEXT(ROW()-6,"0000"))</f>
        <v/>
      </c>
      <c r="V80" s="41" t="n"/>
      <c r="W80" s="33" t="n"/>
      <c r="X80" s="33" t="n"/>
      <c r="Y80" s="33" t="n"/>
      <c r="Z80" s="36" t="n"/>
      <c r="AA80" s="33" t="n"/>
      <c r="AB80" s="33" t="n"/>
      <c r="AC80" s="51">
        <f>IF(COUNTA($V80,$W80,$X80,$Y80,$Z80)=0,"",IF(IF($V80=""," · Falta fecha","")&amp;IF($W80=""," · Falta tipo","")&amp;IF($X80=""," · Falta concepto","")&amp;IF(OR($Z80="",NOT(ISNUMBER($Z80)),$Z80&lt;=0)," · Monto inválido","")&amp;IF(AND($W80="Entrada",OR($X80="Retiro del propietario",$X80="Pago de préstamo",$X80="Otro egreso"))," · Tipo no coincide con el concepto","")&amp;IF(AND($W80="Salida",OR($X80="Aporte de capital",$X80="Préstamo recibido",$X80="Otro ingreso"))," · Tipo no coincide con el concepto","")="","OK",MID(IF($V80=""," · Falta fecha","")&amp;IF($W80=""," · Falta tipo","")&amp;IF($X80=""," · Falta concepto","")&amp;IF(OR($Z80="",NOT(ISNUMBER($Z80)),$Z80&lt;=0)," · Monto inválido","")&amp;IF(AND($W80="Entrada",OR($X80="Retiro del propietario",$X80="Pago de préstamo",$X80="Otro egreso"))," · Tipo no coincide con el concepto","")&amp;IF(AND($W80="Salida",OR($X80="Aporte de capital",$X80="Préstamo recibido",$X80="Otro ingreso"))," · Tipo no coincide con el concepto",""),4,900)))</f>
        <v/>
      </c>
    </row>
    <row r="81">
      <c r="U81" s="51">
        <f>IF(COUNTA($V81:$Z81)=0,"","M-"&amp;TEXT(ROW()-6,"0000"))</f>
        <v/>
      </c>
      <c r="V81" s="41" t="n"/>
      <c r="W81" s="33" t="n"/>
      <c r="X81" s="33" t="n"/>
      <c r="Y81" s="33" t="n"/>
      <c r="Z81" s="36" t="n"/>
      <c r="AA81" s="33" t="n"/>
      <c r="AB81" s="33" t="n"/>
      <c r="AC81" s="51">
        <f>IF(COUNTA($V81,$W81,$X81,$Y81,$Z81)=0,"",IF(IF($V81=""," · Falta fecha","")&amp;IF($W81=""," · Falta tipo","")&amp;IF($X81=""," · Falta concepto","")&amp;IF(OR($Z81="",NOT(ISNUMBER($Z81)),$Z81&lt;=0)," · Monto inválido","")&amp;IF(AND($W81="Entrada",OR($X81="Retiro del propietario",$X81="Pago de préstamo",$X81="Otro egreso"))," · Tipo no coincide con el concepto","")&amp;IF(AND($W81="Salida",OR($X81="Aporte de capital",$X81="Préstamo recibido",$X81="Otro ingreso"))," · Tipo no coincide con el concepto","")="","OK",MID(IF($V81=""," · Falta fecha","")&amp;IF($W81=""," · Falta tipo","")&amp;IF($X81=""," · Falta concepto","")&amp;IF(OR($Z81="",NOT(ISNUMBER($Z81)),$Z81&lt;=0)," · Monto inválido","")&amp;IF(AND($W81="Entrada",OR($X81="Retiro del propietario",$X81="Pago de préstamo",$X81="Otro egreso"))," · Tipo no coincide con el concepto","")&amp;IF(AND($W81="Salida",OR($X81="Aporte de capital",$X81="Préstamo recibido",$X81="Otro ingreso"))," · Tipo no coincide con el concepto",""),4,900)))</f>
        <v/>
      </c>
    </row>
    <row r="82">
      <c r="U82" s="51">
        <f>IF(COUNTA($V82:$Z82)=0,"","M-"&amp;TEXT(ROW()-6,"0000"))</f>
        <v/>
      </c>
      <c r="V82" s="41" t="n"/>
      <c r="W82" s="33" t="n"/>
      <c r="X82" s="33" t="n"/>
      <c r="Y82" s="33" t="n"/>
      <c r="Z82" s="36" t="n"/>
      <c r="AA82" s="33" t="n"/>
      <c r="AB82" s="33" t="n"/>
      <c r="AC82" s="51">
        <f>IF(COUNTA($V82,$W82,$X82,$Y82,$Z82)=0,"",IF(IF($V82=""," · Falta fecha","")&amp;IF($W82=""," · Falta tipo","")&amp;IF($X82=""," · Falta concepto","")&amp;IF(OR($Z82="",NOT(ISNUMBER($Z82)),$Z82&lt;=0)," · Monto inválido","")&amp;IF(AND($W82="Entrada",OR($X82="Retiro del propietario",$X82="Pago de préstamo",$X82="Otro egreso"))," · Tipo no coincide con el concepto","")&amp;IF(AND($W82="Salida",OR($X82="Aporte de capital",$X82="Préstamo recibido",$X82="Otro ingreso"))," · Tipo no coincide con el concepto","")="","OK",MID(IF($V82=""," · Falta fecha","")&amp;IF($W82=""," · Falta tipo","")&amp;IF($X82=""," · Falta concepto","")&amp;IF(OR($Z82="",NOT(ISNUMBER($Z82)),$Z82&lt;=0)," · Monto inválido","")&amp;IF(AND($W82="Entrada",OR($X82="Retiro del propietario",$X82="Pago de préstamo",$X82="Otro egreso"))," · Tipo no coincide con el concepto","")&amp;IF(AND($W82="Salida",OR($X82="Aporte de capital",$X82="Préstamo recibido",$X82="Otro ingreso"))," · Tipo no coincide con el concepto",""),4,900)))</f>
        <v/>
      </c>
    </row>
    <row r="83">
      <c r="U83" s="51">
        <f>IF(COUNTA($V83:$Z83)=0,"","M-"&amp;TEXT(ROW()-6,"0000"))</f>
        <v/>
      </c>
      <c r="V83" s="41" t="n"/>
      <c r="W83" s="33" t="n"/>
      <c r="X83" s="33" t="n"/>
      <c r="Y83" s="33" t="n"/>
      <c r="Z83" s="36" t="n"/>
      <c r="AA83" s="33" t="n"/>
      <c r="AB83" s="33" t="n"/>
      <c r="AC83" s="51">
        <f>IF(COUNTA($V83,$W83,$X83,$Y83,$Z83)=0,"",IF(IF($V83=""," · Falta fecha","")&amp;IF($W83=""," · Falta tipo","")&amp;IF($X83=""," · Falta concepto","")&amp;IF(OR($Z83="",NOT(ISNUMBER($Z83)),$Z83&lt;=0)," · Monto inválido","")&amp;IF(AND($W83="Entrada",OR($X83="Retiro del propietario",$X83="Pago de préstamo",$X83="Otro egreso"))," · Tipo no coincide con el concepto","")&amp;IF(AND($W83="Salida",OR($X83="Aporte de capital",$X83="Préstamo recibido",$X83="Otro ingreso"))," · Tipo no coincide con el concepto","")="","OK",MID(IF($V83=""," · Falta fecha","")&amp;IF($W83=""," · Falta tipo","")&amp;IF($X83=""," · Falta concepto","")&amp;IF(OR($Z83="",NOT(ISNUMBER($Z83)),$Z83&lt;=0)," · Monto inválido","")&amp;IF(AND($W83="Entrada",OR($X83="Retiro del propietario",$X83="Pago de préstamo",$X83="Otro egreso"))," · Tipo no coincide con el concepto","")&amp;IF(AND($W83="Salida",OR($X83="Aporte de capital",$X83="Préstamo recibido",$X83="Otro ingreso"))," · Tipo no coincide con el concepto",""),4,900)))</f>
        <v/>
      </c>
    </row>
    <row r="84">
      <c r="U84" s="51">
        <f>IF(COUNTA($V84:$Z84)=0,"","M-"&amp;TEXT(ROW()-6,"0000"))</f>
        <v/>
      </c>
      <c r="V84" s="41" t="n"/>
      <c r="W84" s="33" t="n"/>
      <c r="X84" s="33" t="n"/>
      <c r="Y84" s="33" t="n"/>
      <c r="Z84" s="36" t="n"/>
      <c r="AA84" s="33" t="n"/>
      <c r="AB84" s="33" t="n"/>
      <c r="AC84" s="51">
        <f>IF(COUNTA($V84,$W84,$X84,$Y84,$Z84)=0,"",IF(IF($V84=""," · Falta fecha","")&amp;IF($W84=""," · Falta tipo","")&amp;IF($X84=""," · Falta concepto","")&amp;IF(OR($Z84="",NOT(ISNUMBER($Z84)),$Z84&lt;=0)," · Monto inválido","")&amp;IF(AND($W84="Entrada",OR($X84="Retiro del propietario",$X84="Pago de préstamo",$X84="Otro egreso"))," · Tipo no coincide con el concepto","")&amp;IF(AND($W84="Salida",OR($X84="Aporte de capital",$X84="Préstamo recibido",$X84="Otro ingreso"))," · Tipo no coincide con el concepto","")="","OK",MID(IF($V84=""," · Falta fecha","")&amp;IF($W84=""," · Falta tipo","")&amp;IF($X84=""," · Falta concepto","")&amp;IF(OR($Z84="",NOT(ISNUMBER($Z84)),$Z84&lt;=0)," · Monto inválido","")&amp;IF(AND($W84="Entrada",OR($X84="Retiro del propietario",$X84="Pago de préstamo",$X84="Otro egreso"))," · Tipo no coincide con el concepto","")&amp;IF(AND($W84="Salida",OR($X84="Aporte de capital",$X84="Préstamo recibido",$X84="Otro ingreso"))," · Tipo no coincide con el concepto",""),4,900)))</f>
        <v/>
      </c>
    </row>
    <row r="85">
      <c r="U85" s="51">
        <f>IF(COUNTA($V85:$Z85)=0,"","M-"&amp;TEXT(ROW()-6,"0000"))</f>
        <v/>
      </c>
      <c r="V85" s="41" t="n"/>
      <c r="W85" s="33" t="n"/>
      <c r="X85" s="33" t="n"/>
      <c r="Y85" s="33" t="n"/>
      <c r="Z85" s="36" t="n"/>
      <c r="AA85" s="33" t="n"/>
      <c r="AB85" s="33" t="n"/>
      <c r="AC85" s="51">
        <f>IF(COUNTA($V85,$W85,$X85,$Y85,$Z85)=0,"",IF(IF($V85=""," · Falta fecha","")&amp;IF($W85=""," · Falta tipo","")&amp;IF($X85=""," · Falta concepto","")&amp;IF(OR($Z85="",NOT(ISNUMBER($Z85)),$Z85&lt;=0)," · Monto inválido","")&amp;IF(AND($W85="Entrada",OR($X85="Retiro del propietario",$X85="Pago de préstamo",$X85="Otro egreso"))," · Tipo no coincide con el concepto","")&amp;IF(AND($W85="Salida",OR($X85="Aporte de capital",$X85="Préstamo recibido",$X85="Otro ingreso"))," · Tipo no coincide con el concepto","")="","OK",MID(IF($V85=""," · Falta fecha","")&amp;IF($W85=""," · Falta tipo","")&amp;IF($X85=""," · Falta concepto","")&amp;IF(OR($Z85="",NOT(ISNUMBER($Z85)),$Z85&lt;=0)," · Monto inválido","")&amp;IF(AND($W85="Entrada",OR($X85="Retiro del propietario",$X85="Pago de préstamo",$X85="Otro egreso"))," · Tipo no coincide con el concepto","")&amp;IF(AND($W85="Salida",OR($X85="Aporte de capital",$X85="Préstamo recibido",$X85="Otro ingreso"))," · Tipo no coincide con el concepto",""),4,900)))</f>
        <v/>
      </c>
    </row>
    <row r="86">
      <c r="U86" s="51">
        <f>IF(COUNTA($V86:$Z86)=0,"","M-"&amp;TEXT(ROW()-6,"0000"))</f>
        <v/>
      </c>
      <c r="V86" s="41" t="n"/>
      <c r="W86" s="33" t="n"/>
      <c r="X86" s="33" t="n"/>
      <c r="Y86" s="33" t="n"/>
      <c r="Z86" s="36" t="n"/>
      <c r="AA86" s="33" t="n"/>
      <c r="AB86" s="33" t="n"/>
      <c r="AC86" s="51">
        <f>IF(COUNTA($V86,$W86,$X86,$Y86,$Z86)=0,"",IF(IF($V86=""," · Falta fecha","")&amp;IF($W86=""," · Falta tipo","")&amp;IF($X86=""," · Falta concepto","")&amp;IF(OR($Z86="",NOT(ISNUMBER($Z86)),$Z86&lt;=0)," · Monto inválido","")&amp;IF(AND($W86="Entrada",OR($X86="Retiro del propietario",$X86="Pago de préstamo",$X86="Otro egreso"))," · Tipo no coincide con el concepto","")&amp;IF(AND($W86="Salida",OR($X86="Aporte de capital",$X86="Préstamo recibido",$X86="Otro ingreso"))," · Tipo no coincide con el concepto","")="","OK",MID(IF($V86=""," · Falta fecha","")&amp;IF($W86=""," · Falta tipo","")&amp;IF($X86=""," · Falta concepto","")&amp;IF(OR($Z86="",NOT(ISNUMBER($Z86)),$Z86&lt;=0)," · Monto inválido","")&amp;IF(AND($W86="Entrada",OR($X86="Retiro del propietario",$X86="Pago de préstamo",$X86="Otro egreso"))," · Tipo no coincide con el concepto","")&amp;IF(AND($W86="Salida",OR($X86="Aporte de capital",$X86="Préstamo recibido",$X86="Otro ingreso"))," · Tipo no coincide con el concepto",""),4,900)))</f>
        <v/>
      </c>
    </row>
    <row r="87">
      <c r="U87" s="51">
        <f>IF(COUNTA($V87:$Z87)=0,"","M-"&amp;TEXT(ROW()-6,"0000"))</f>
        <v/>
      </c>
      <c r="V87" s="41" t="n"/>
      <c r="W87" s="33" t="n"/>
      <c r="X87" s="33" t="n"/>
      <c r="Y87" s="33" t="n"/>
      <c r="Z87" s="36" t="n"/>
      <c r="AA87" s="33" t="n"/>
      <c r="AB87" s="33" t="n"/>
      <c r="AC87" s="51">
        <f>IF(COUNTA($V87,$W87,$X87,$Y87,$Z87)=0,"",IF(IF($V87=""," · Falta fecha","")&amp;IF($W87=""," · Falta tipo","")&amp;IF($X87=""," · Falta concepto","")&amp;IF(OR($Z87="",NOT(ISNUMBER($Z87)),$Z87&lt;=0)," · Monto inválido","")&amp;IF(AND($W87="Entrada",OR($X87="Retiro del propietario",$X87="Pago de préstamo",$X87="Otro egreso"))," · Tipo no coincide con el concepto","")&amp;IF(AND($W87="Salida",OR($X87="Aporte de capital",$X87="Préstamo recibido",$X87="Otro ingreso"))," · Tipo no coincide con el concepto","")="","OK",MID(IF($V87=""," · Falta fecha","")&amp;IF($W87=""," · Falta tipo","")&amp;IF($X87=""," · Falta concepto","")&amp;IF(OR($Z87="",NOT(ISNUMBER($Z87)),$Z87&lt;=0)," · Monto inválido","")&amp;IF(AND($W87="Entrada",OR($X87="Retiro del propietario",$X87="Pago de préstamo",$X87="Otro egreso"))," · Tipo no coincide con el concepto","")&amp;IF(AND($W87="Salida",OR($X87="Aporte de capital",$X87="Préstamo recibido",$X87="Otro ingreso"))," · Tipo no coincide con el concepto",""),4,900)))</f>
        <v/>
      </c>
    </row>
    <row r="88">
      <c r="U88" s="51">
        <f>IF(COUNTA($V88:$Z88)=0,"","M-"&amp;TEXT(ROW()-6,"0000"))</f>
        <v/>
      </c>
      <c r="V88" s="41" t="n"/>
      <c r="W88" s="33" t="n"/>
      <c r="X88" s="33" t="n"/>
      <c r="Y88" s="33" t="n"/>
      <c r="Z88" s="36" t="n"/>
      <c r="AA88" s="33" t="n"/>
      <c r="AB88" s="33" t="n"/>
      <c r="AC88" s="51">
        <f>IF(COUNTA($V88,$W88,$X88,$Y88,$Z88)=0,"",IF(IF($V88=""," · Falta fecha","")&amp;IF($W88=""," · Falta tipo","")&amp;IF($X88=""," · Falta concepto","")&amp;IF(OR($Z88="",NOT(ISNUMBER($Z88)),$Z88&lt;=0)," · Monto inválido","")&amp;IF(AND($W88="Entrada",OR($X88="Retiro del propietario",$X88="Pago de préstamo",$X88="Otro egreso"))," · Tipo no coincide con el concepto","")&amp;IF(AND($W88="Salida",OR($X88="Aporte de capital",$X88="Préstamo recibido",$X88="Otro ingreso"))," · Tipo no coincide con el concepto","")="","OK",MID(IF($V88=""," · Falta fecha","")&amp;IF($W88=""," · Falta tipo","")&amp;IF($X88=""," · Falta concepto","")&amp;IF(OR($Z88="",NOT(ISNUMBER($Z88)),$Z88&lt;=0)," · Monto inválido","")&amp;IF(AND($W88="Entrada",OR($X88="Retiro del propietario",$X88="Pago de préstamo",$X88="Otro egreso"))," · Tipo no coincide con el concepto","")&amp;IF(AND($W88="Salida",OR($X88="Aporte de capital",$X88="Préstamo recibido",$X88="Otro ingreso"))," · Tipo no coincide con el concepto",""),4,900)))</f>
        <v/>
      </c>
    </row>
    <row r="89">
      <c r="U89" s="51">
        <f>IF(COUNTA($V89:$Z89)=0,"","M-"&amp;TEXT(ROW()-6,"0000"))</f>
        <v/>
      </c>
      <c r="V89" s="41" t="n"/>
      <c r="W89" s="33" t="n"/>
      <c r="X89" s="33" t="n"/>
      <c r="Y89" s="33" t="n"/>
      <c r="Z89" s="36" t="n"/>
      <c r="AA89" s="33" t="n"/>
      <c r="AB89" s="33" t="n"/>
      <c r="AC89" s="51">
        <f>IF(COUNTA($V89,$W89,$X89,$Y89,$Z89)=0,"",IF(IF($V89=""," · Falta fecha","")&amp;IF($W89=""," · Falta tipo","")&amp;IF($X89=""," · Falta concepto","")&amp;IF(OR($Z89="",NOT(ISNUMBER($Z89)),$Z89&lt;=0)," · Monto inválido","")&amp;IF(AND($W89="Entrada",OR($X89="Retiro del propietario",$X89="Pago de préstamo",$X89="Otro egreso"))," · Tipo no coincide con el concepto","")&amp;IF(AND($W89="Salida",OR($X89="Aporte de capital",$X89="Préstamo recibido",$X89="Otro ingreso"))," · Tipo no coincide con el concepto","")="","OK",MID(IF($V89=""," · Falta fecha","")&amp;IF($W89=""," · Falta tipo","")&amp;IF($X89=""," · Falta concepto","")&amp;IF(OR($Z89="",NOT(ISNUMBER($Z89)),$Z89&lt;=0)," · Monto inválido","")&amp;IF(AND($W89="Entrada",OR($X89="Retiro del propietario",$X89="Pago de préstamo",$X89="Otro egreso"))," · Tipo no coincide con el concepto","")&amp;IF(AND($W89="Salida",OR($X89="Aporte de capital",$X89="Préstamo recibido",$X89="Otro ingreso"))," · Tipo no coincide con el concepto",""),4,900)))</f>
        <v/>
      </c>
    </row>
    <row r="90">
      <c r="U90" s="51">
        <f>IF(COUNTA($V90:$Z90)=0,"","M-"&amp;TEXT(ROW()-6,"0000"))</f>
        <v/>
      </c>
      <c r="V90" s="41" t="n"/>
      <c r="W90" s="33" t="n"/>
      <c r="X90" s="33" t="n"/>
      <c r="Y90" s="33" t="n"/>
      <c r="Z90" s="36" t="n"/>
      <c r="AA90" s="33" t="n"/>
      <c r="AB90" s="33" t="n"/>
      <c r="AC90" s="51">
        <f>IF(COUNTA($V90,$W90,$X90,$Y90,$Z90)=0,"",IF(IF($V90=""," · Falta fecha","")&amp;IF($W90=""," · Falta tipo","")&amp;IF($X90=""," · Falta concepto","")&amp;IF(OR($Z90="",NOT(ISNUMBER($Z90)),$Z90&lt;=0)," · Monto inválido","")&amp;IF(AND($W90="Entrada",OR($X90="Retiro del propietario",$X90="Pago de préstamo",$X90="Otro egreso"))," · Tipo no coincide con el concepto","")&amp;IF(AND($W90="Salida",OR($X90="Aporte de capital",$X90="Préstamo recibido",$X90="Otro ingreso"))," · Tipo no coincide con el concepto","")="","OK",MID(IF($V90=""," · Falta fecha","")&amp;IF($W90=""," · Falta tipo","")&amp;IF($X90=""," · Falta concepto","")&amp;IF(OR($Z90="",NOT(ISNUMBER($Z90)),$Z90&lt;=0)," · Monto inválido","")&amp;IF(AND($W90="Entrada",OR($X90="Retiro del propietario",$X90="Pago de préstamo",$X90="Otro egreso"))," · Tipo no coincide con el concepto","")&amp;IF(AND($W90="Salida",OR($X90="Aporte de capital",$X90="Préstamo recibido",$X90="Otro ingreso"))," · Tipo no coincide con el concepto",""),4,900)))</f>
        <v/>
      </c>
    </row>
    <row r="91">
      <c r="U91" s="51">
        <f>IF(COUNTA($V91:$Z91)=0,"","M-"&amp;TEXT(ROW()-6,"0000"))</f>
        <v/>
      </c>
      <c r="V91" s="41" t="n"/>
      <c r="W91" s="33" t="n"/>
      <c r="X91" s="33" t="n"/>
      <c r="Y91" s="33" t="n"/>
      <c r="Z91" s="36" t="n"/>
      <c r="AA91" s="33" t="n"/>
      <c r="AB91" s="33" t="n"/>
      <c r="AC91" s="51">
        <f>IF(COUNTA($V91,$W91,$X91,$Y91,$Z91)=0,"",IF(IF($V91=""," · Falta fecha","")&amp;IF($W91=""," · Falta tipo","")&amp;IF($X91=""," · Falta concepto","")&amp;IF(OR($Z91="",NOT(ISNUMBER($Z91)),$Z91&lt;=0)," · Monto inválido","")&amp;IF(AND($W91="Entrada",OR($X91="Retiro del propietario",$X91="Pago de préstamo",$X91="Otro egreso"))," · Tipo no coincide con el concepto","")&amp;IF(AND($W91="Salida",OR($X91="Aporte de capital",$X91="Préstamo recibido",$X91="Otro ingreso"))," · Tipo no coincide con el concepto","")="","OK",MID(IF($V91=""," · Falta fecha","")&amp;IF($W91=""," · Falta tipo","")&amp;IF($X91=""," · Falta concepto","")&amp;IF(OR($Z91="",NOT(ISNUMBER($Z91)),$Z91&lt;=0)," · Monto inválido","")&amp;IF(AND($W91="Entrada",OR($X91="Retiro del propietario",$X91="Pago de préstamo",$X91="Otro egreso"))," · Tipo no coincide con el concepto","")&amp;IF(AND($W91="Salida",OR($X91="Aporte de capital",$X91="Préstamo recibido",$X91="Otro ingreso"))," · Tipo no coincide con el concepto",""),4,900)))</f>
        <v/>
      </c>
    </row>
    <row r="92">
      <c r="U92" s="51">
        <f>IF(COUNTA($V92:$Z92)=0,"","M-"&amp;TEXT(ROW()-6,"0000"))</f>
        <v/>
      </c>
      <c r="V92" s="41" t="n"/>
      <c r="W92" s="33" t="n"/>
      <c r="X92" s="33" t="n"/>
      <c r="Y92" s="33" t="n"/>
      <c r="Z92" s="36" t="n"/>
      <c r="AA92" s="33" t="n"/>
      <c r="AB92" s="33" t="n"/>
      <c r="AC92" s="51">
        <f>IF(COUNTA($V92,$W92,$X92,$Y92,$Z92)=0,"",IF(IF($V92=""," · Falta fecha","")&amp;IF($W92=""," · Falta tipo","")&amp;IF($X92=""," · Falta concepto","")&amp;IF(OR($Z92="",NOT(ISNUMBER($Z92)),$Z92&lt;=0)," · Monto inválido","")&amp;IF(AND($W92="Entrada",OR($X92="Retiro del propietario",$X92="Pago de préstamo",$X92="Otro egreso"))," · Tipo no coincide con el concepto","")&amp;IF(AND($W92="Salida",OR($X92="Aporte de capital",$X92="Préstamo recibido",$X92="Otro ingreso"))," · Tipo no coincide con el concepto","")="","OK",MID(IF($V92=""," · Falta fecha","")&amp;IF($W92=""," · Falta tipo","")&amp;IF($X92=""," · Falta concepto","")&amp;IF(OR($Z92="",NOT(ISNUMBER($Z92)),$Z92&lt;=0)," · Monto inválido","")&amp;IF(AND($W92="Entrada",OR($X92="Retiro del propietario",$X92="Pago de préstamo",$X92="Otro egreso"))," · Tipo no coincide con el concepto","")&amp;IF(AND($W92="Salida",OR($X92="Aporte de capital",$X92="Préstamo recibido",$X92="Otro ingreso"))," · Tipo no coincide con el concepto",""),4,900)))</f>
        <v/>
      </c>
    </row>
    <row r="93">
      <c r="U93" s="51">
        <f>IF(COUNTA($V93:$Z93)=0,"","M-"&amp;TEXT(ROW()-6,"0000"))</f>
        <v/>
      </c>
      <c r="V93" s="41" t="n"/>
      <c r="W93" s="33" t="n"/>
      <c r="X93" s="33" t="n"/>
      <c r="Y93" s="33" t="n"/>
      <c r="Z93" s="36" t="n"/>
      <c r="AA93" s="33" t="n"/>
      <c r="AB93" s="33" t="n"/>
      <c r="AC93" s="51">
        <f>IF(COUNTA($V93,$W93,$X93,$Y93,$Z93)=0,"",IF(IF($V93=""," · Falta fecha","")&amp;IF($W93=""," · Falta tipo","")&amp;IF($X93=""," · Falta concepto","")&amp;IF(OR($Z93="",NOT(ISNUMBER($Z93)),$Z93&lt;=0)," · Monto inválido","")&amp;IF(AND($W93="Entrada",OR($X93="Retiro del propietario",$X93="Pago de préstamo",$X93="Otro egreso"))," · Tipo no coincide con el concepto","")&amp;IF(AND($W93="Salida",OR($X93="Aporte de capital",$X93="Préstamo recibido",$X93="Otro ingreso"))," · Tipo no coincide con el concepto","")="","OK",MID(IF($V93=""," · Falta fecha","")&amp;IF($W93=""," · Falta tipo","")&amp;IF($X93=""," · Falta concepto","")&amp;IF(OR($Z93="",NOT(ISNUMBER($Z93)),$Z93&lt;=0)," · Monto inválido","")&amp;IF(AND($W93="Entrada",OR($X93="Retiro del propietario",$X93="Pago de préstamo",$X93="Otro egreso"))," · Tipo no coincide con el concepto","")&amp;IF(AND($W93="Salida",OR($X93="Aporte de capital",$X93="Préstamo recibido",$X93="Otro ingreso"))," · Tipo no coincide con el concepto",""),4,900)))</f>
        <v/>
      </c>
    </row>
    <row r="94">
      <c r="U94" s="51">
        <f>IF(COUNTA($V94:$Z94)=0,"","M-"&amp;TEXT(ROW()-6,"0000"))</f>
        <v/>
      </c>
      <c r="V94" s="41" t="n"/>
      <c r="W94" s="33" t="n"/>
      <c r="X94" s="33" t="n"/>
      <c r="Y94" s="33" t="n"/>
      <c r="Z94" s="36" t="n"/>
      <c r="AA94" s="33" t="n"/>
      <c r="AB94" s="33" t="n"/>
      <c r="AC94" s="51">
        <f>IF(COUNTA($V94,$W94,$X94,$Y94,$Z94)=0,"",IF(IF($V94=""," · Falta fecha","")&amp;IF($W94=""," · Falta tipo","")&amp;IF($X94=""," · Falta concepto","")&amp;IF(OR($Z94="",NOT(ISNUMBER($Z94)),$Z94&lt;=0)," · Monto inválido","")&amp;IF(AND($W94="Entrada",OR($X94="Retiro del propietario",$X94="Pago de préstamo",$X94="Otro egreso"))," · Tipo no coincide con el concepto","")&amp;IF(AND($W94="Salida",OR($X94="Aporte de capital",$X94="Préstamo recibido",$X94="Otro ingreso"))," · Tipo no coincide con el concepto","")="","OK",MID(IF($V94=""," · Falta fecha","")&amp;IF($W94=""," · Falta tipo","")&amp;IF($X94=""," · Falta concepto","")&amp;IF(OR($Z94="",NOT(ISNUMBER($Z94)),$Z94&lt;=0)," · Monto inválido","")&amp;IF(AND($W94="Entrada",OR($X94="Retiro del propietario",$X94="Pago de préstamo",$X94="Otro egreso"))," · Tipo no coincide con el concepto","")&amp;IF(AND($W94="Salida",OR($X94="Aporte de capital",$X94="Préstamo recibido",$X94="Otro ingreso"))," · Tipo no coincide con el concepto",""),4,900)))</f>
        <v/>
      </c>
    </row>
    <row r="95">
      <c r="U95" s="51">
        <f>IF(COUNTA($V95:$Z95)=0,"","M-"&amp;TEXT(ROW()-6,"0000"))</f>
        <v/>
      </c>
      <c r="V95" s="41" t="n"/>
      <c r="W95" s="33" t="n"/>
      <c r="X95" s="33" t="n"/>
      <c r="Y95" s="33" t="n"/>
      <c r="Z95" s="36" t="n"/>
      <c r="AA95" s="33" t="n"/>
      <c r="AB95" s="33" t="n"/>
      <c r="AC95" s="51">
        <f>IF(COUNTA($V95,$W95,$X95,$Y95,$Z95)=0,"",IF(IF($V95=""," · Falta fecha","")&amp;IF($W95=""," · Falta tipo","")&amp;IF($X95=""," · Falta concepto","")&amp;IF(OR($Z95="",NOT(ISNUMBER($Z95)),$Z95&lt;=0)," · Monto inválido","")&amp;IF(AND($W95="Entrada",OR($X95="Retiro del propietario",$X95="Pago de préstamo",$X95="Otro egreso"))," · Tipo no coincide con el concepto","")&amp;IF(AND($W95="Salida",OR($X95="Aporte de capital",$X95="Préstamo recibido",$X95="Otro ingreso"))," · Tipo no coincide con el concepto","")="","OK",MID(IF($V95=""," · Falta fecha","")&amp;IF($W95=""," · Falta tipo","")&amp;IF($X95=""," · Falta concepto","")&amp;IF(OR($Z95="",NOT(ISNUMBER($Z95)),$Z95&lt;=0)," · Monto inválido","")&amp;IF(AND($W95="Entrada",OR($X95="Retiro del propietario",$X95="Pago de préstamo",$X95="Otro egreso"))," · Tipo no coincide con el concepto","")&amp;IF(AND($W95="Salida",OR($X95="Aporte de capital",$X95="Préstamo recibido",$X95="Otro ingreso"))," · Tipo no coincide con el concepto",""),4,900)))</f>
        <v/>
      </c>
    </row>
    <row r="96">
      <c r="U96" s="51">
        <f>IF(COUNTA($V96:$Z96)=0,"","M-"&amp;TEXT(ROW()-6,"0000"))</f>
        <v/>
      </c>
      <c r="V96" s="41" t="n"/>
      <c r="W96" s="33" t="n"/>
      <c r="X96" s="33" t="n"/>
      <c r="Y96" s="33" t="n"/>
      <c r="Z96" s="36" t="n"/>
      <c r="AA96" s="33" t="n"/>
      <c r="AB96" s="33" t="n"/>
      <c r="AC96" s="51">
        <f>IF(COUNTA($V96,$W96,$X96,$Y96,$Z96)=0,"",IF(IF($V96=""," · Falta fecha","")&amp;IF($W96=""," · Falta tipo","")&amp;IF($X96=""," · Falta concepto","")&amp;IF(OR($Z96="",NOT(ISNUMBER($Z96)),$Z96&lt;=0)," · Monto inválido","")&amp;IF(AND($W96="Entrada",OR($X96="Retiro del propietario",$X96="Pago de préstamo",$X96="Otro egreso"))," · Tipo no coincide con el concepto","")&amp;IF(AND($W96="Salida",OR($X96="Aporte de capital",$X96="Préstamo recibido",$X96="Otro ingreso"))," · Tipo no coincide con el concepto","")="","OK",MID(IF($V96=""," · Falta fecha","")&amp;IF($W96=""," · Falta tipo","")&amp;IF($X96=""," · Falta concepto","")&amp;IF(OR($Z96="",NOT(ISNUMBER($Z96)),$Z96&lt;=0)," · Monto inválido","")&amp;IF(AND($W96="Entrada",OR($X96="Retiro del propietario",$X96="Pago de préstamo",$X96="Otro egreso"))," · Tipo no coincide con el concepto","")&amp;IF(AND($W96="Salida",OR($X96="Aporte de capital",$X96="Préstamo recibido",$X96="Otro ingreso"))," · Tipo no coincide con el concepto",""),4,900)))</f>
        <v/>
      </c>
    </row>
    <row r="97">
      <c r="U97" s="51">
        <f>IF(COUNTA($V97:$Z97)=0,"","M-"&amp;TEXT(ROW()-6,"0000"))</f>
        <v/>
      </c>
      <c r="V97" s="41" t="n"/>
      <c r="W97" s="33" t="n"/>
      <c r="X97" s="33" t="n"/>
      <c r="Y97" s="33" t="n"/>
      <c r="Z97" s="36" t="n"/>
      <c r="AA97" s="33" t="n"/>
      <c r="AB97" s="33" t="n"/>
      <c r="AC97" s="51">
        <f>IF(COUNTA($V97,$W97,$X97,$Y97,$Z97)=0,"",IF(IF($V97=""," · Falta fecha","")&amp;IF($W97=""," · Falta tipo","")&amp;IF($X97=""," · Falta concepto","")&amp;IF(OR($Z97="",NOT(ISNUMBER($Z97)),$Z97&lt;=0)," · Monto inválido","")&amp;IF(AND($W97="Entrada",OR($X97="Retiro del propietario",$X97="Pago de préstamo",$X97="Otro egreso"))," · Tipo no coincide con el concepto","")&amp;IF(AND($W97="Salida",OR($X97="Aporte de capital",$X97="Préstamo recibido",$X97="Otro ingreso"))," · Tipo no coincide con el concepto","")="","OK",MID(IF($V97=""," · Falta fecha","")&amp;IF($W97=""," · Falta tipo","")&amp;IF($X97=""," · Falta concepto","")&amp;IF(OR($Z97="",NOT(ISNUMBER($Z97)),$Z97&lt;=0)," · Monto inválido","")&amp;IF(AND($W97="Entrada",OR($X97="Retiro del propietario",$X97="Pago de préstamo",$X97="Otro egreso"))," · Tipo no coincide con el concepto","")&amp;IF(AND($W97="Salida",OR($X97="Aporte de capital",$X97="Préstamo recibido",$X97="Otro ingreso"))," · Tipo no coincide con el concepto",""),4,900)))</f>
        <v/>
      </c>
    </row>
    <row r="98">
      <c r="U98" s="51">
        <f>IF(COUNTA($V98:$Z98)=0,"","M-"&amp;TEXT(ROW()-6,"0000"))</f>
        <v/>
      </c>
      <c r="V98" s="41" t="n"/>
      <c r="W98" s="33" t="n"/>
      <c r="X98" s="33" t="n"/>
      <c r="Y98" s="33" t="n"/>
      <c r="Z98" s="36" t="n"/>
      <c r="AA98" s="33" t="n"/>
      <c r="AB98" s="33" t="n"/>
      <c r="AC98" s="51">
        <f>IF(COUNTA($V98,$W98,$X98,$Y98,$Z98)=0,"",IF(IF($V98=""," · Falta fecha","")&amp;IF($W98=""," · Falta tipo","")&amp;IF($X98=""," · Falta concepto","")&amp;IF(OR($Z98="",NOT(ISNUMBER($Z98)),$Z98&lt;=0)," · Monto inválido","")&amp;IF(AND($W98="Entrada",OR($X98="Retiro del propietario",$X98="Pago de préstamo",$X98="Otro egreso"))," · Tipo no coincide con el concepto","")&amp;IF(AND($W98="Salida",OR($X98="Aporte de capital",$X98="Préstamo recibido",$X98="Otro ingreso"))," · Tipo no coincide con el concepto","")="","OK",MID(IF($V98=""," · Falta fecha","")&amp;IF($W98=""," · Falta tipo","")&amp;IF($X98=""," · Falta concepto","")&amp;IF(OR($Z98="",NOT(ISNUMBER($Z98)),$Z98&lt;=0)," · Monto inválido","")&amp;IF(AND($W98="Entrada",OR($X98="Retiro del propietario",$X98="Pago de préstamo",$X98="Otro egreso"))," · Tipo no coincide con el concepto","")&amp;IF(AND($W98="Salida",OR($X98="Aporte de capital",$X98="Préstamo recibido",$X98="Otro ingreso"))," · Tipo no coincide con el concepto",""),4,900)))</f>
        <v/>
      </c>
    </row>
    <row r="99">
      <c r="U99" s="51">
        <f>IF(COUNTA($V99:$Z99)=0,"","M-"&amp;TEXT(ROW()-6,"0000"))</f>
        <v/>
      </c>
      <c r="V99" s="41" t="n"/>
      <c r="W99" s="33" t="n"/>
      <c r="X99" s="33" t="n"/>
      <c r="Y99" s="33" t="n"/>
      <c r="Z99" s="36" t="n"/>
      <c r="AA99" s="33" t="n"/>
      <c r="AB99" s="33" t="n"/>
      <c r="AC99" s="51">
        <f>IF(COUNTA($V99,$W99,$X99,$Y99,$Z99)=0,"",IF(IF($V99=""," · Falta fecha","")&amp;IF($W99=""," · Falta tipo","")&amp;IF($X99=""," · Falta concepto","")&amp;IF(OR($Z99="",NOT(ISNUMBER($Z99)),$Z99&lt;=0)," · Monto inválido","")&amp;IF(AND($W99="Entrada",OR($X99="Retiro del propietario",$X99="Pago de préstamo",$X99="Otro egreso"))," · Tipo no coincide con el concepto","")&amp;IF(AND($W99="Salida",OR($X99="Aporte de capital",$X99="Préstamo recibido",$X99="Otro ingreso"))," · Tipo no coincide con el concepto","")="","OK",MID(IF($V99=""," · Falta fecha","")&amp;IF($W99=""," · Falta tipo","")&amp;IF($X99=""," · Falta concepto","")&amp;IF(OR($Z99="",NOT(ISNUMBER($Z99)),$Z99&lt;=0)," · Monto inválido","")&amp;IF(AND($W99="Entrada",OR($X99="Retiro del propietario",$X99="Pago de préstamo",$X99="Otro egreso"))," · Tipo no coincide con el concepto","")&amp;IF(AND($W99="Salida",OR($X99="Aporte de capital",$X99="Préstamo recibido",$X99="Otro ingreso"))," · Tipo no coincide con el concepto",""),4,900)))</f>
        <v/>
      </c>
    </row>
    <row r="100">
      <c r="U100" s="51">
        <f>IF(COUNTA($V100:$Z100)=0,"","M-"&amp;TEXT(ROW()-6,"0000"))</f>
        <v/>
      </c>
      <c r="V100" s="41" t="n"/>
      <c r="W100" s="33" t="n"/>
      <c r="X100" s="33" t="n"/>
      <c r="Y100" s="33" t="n"/>
      <c r="Z100" s="36" t="n"/>
      <c r="AA100" s="33" t="n"/>
      <c r="AB100" s="33" t="n"/>
      <c r="AC100" s="51">
        <f>IF(COUNTA($V100,$W100,$X100,$Y100,$Z100)=0,"",IF(IF($V100=""," · Falta fecha","")&amp;IF($W100=""," · Falta tipo","")&amp;IF($X100=""," · Falta concepto","")&amp;IF(OR($Z100="",NOT(ISNUMBER($Z100)),$Z100&lt;=0)," · Monto inválido","")&amp;IF(AND($W100="Entrada",OR($X100="Retiro del propietario",$X100="Pago de préstamo",$X100="Otro egreso"))," · Tipo no coincide con el concepto","")&amp;IF(AND($W100="Salida",OR($X100="Aporte de capital",$X100="Préstamo recibido",$X100="Otro ingreso"))," · Tipo no coincide con el concepto","")="","OK",MID(IF($V100=""," · Falta fecha","")&amp;IF($W100=""," · Falta tipo","")&amp;IF($X100=""," · Falta concepto","")&amp;IF(OR($Z100="",NOT(ISNUMBER($Z100)),$Z100&lt;=0)," · Monto inválido","")&amp;IF(AND($W100="Entrada",OR($X100="Retiro del propietario",$X100="Pago de préstamo",$X100="Otro egreso"))," · Tipo no coincide con el concepto","")&amp;IF(AND($W100="Salida",OR($X100="Aporte de capital",$X100="Préstamo recibido",$X100="Otro ingreso"))," · Tipo no coincide con el concepto",""),4,900)))</f>
        <v/>
      </c>
    </row>
    <row r="101">
      <c r="U101" s="51">
        <f>IF(COUNTA($V101:$Z101)=0,"","M-"&amp;TEXT(ROW()-6,"0000"))</f>
        <v/>
      </c>
      <c r="V101" s="41" t="n"/>
      <c r="W101" s="33" t="n"/>
      <c r="X101" s="33" t="n"/>
      <c r="Y101" s="33" t="n"/>
      <c r="Z101" s="36" t="n"/>
      <c r="AA101" s="33" t="n"/>
      <c r="AB101" s="33" t="n"/>
      <c r="AC101" s="51">
        <f>IF(COUNTA($V101,$W101,$X101,$Y101,$Z101)=0,"",IF(IF($V101=""," · Falta fecha","")&amp;IF($W101=""," · Falta tipo","")&amp;IF($X101=""," · Falta concepto","")&amp;IF(OR($Z101="",NOT(ISNUMBER($Z101)),$Z101&lt;=0)," · Monto inválido","")&amp;IF(AND($W101="Entrada",OR($X101="Retiro del propietario",$X101="Pago de préstamo",$X101="Otro egreso"))," · Tipo no coincide con el concepto","")&amp;IF(AND($W101="Salida",OR($X101="Aporte de capital",$X101="Préstamo recibido",$X101="Otro ingreso"))," · Tipo no coincide con el concepto","")="","OK",MID(IF($V101=""," · Falta fecha","")&amp;IF($W101=""," · Falta tipo","")&amp;IF($X101=""," · Falta concepto","")&amp;IF(OR($Z101="",NOT(ISNUMBER($Z101)),$Z101&lt;=0)," · Monto inválido","")&amp;IF(AND($W101="Entrada",OR($X101="Retiro del propietario",$X101="Pago de préstamo",$X101="Otro egreso"))," · Tipo no coincide con el concepto","")&amp;IF(AND($W101="Salida",OR($X101="Aporte de capital",$X101="Préstamo recibido",$X101="Otro ingreso"))," · Tipo no coincide con el concepto",""),4,900)))</f>
        <v/>
      </c>
    </row>
    <row r="102">
      <c r="U102" s="51">
        <f>IF(COUNTA($V102:$Z102)=0,"","M-"&amp;TEXT(ROW()-6,"0000"))</f>
        <v/>
      </c>
      <c r="V102" s="41" t="n"/>
      <c r="W102" s="33" t="n"/>
      <c r="X102" s="33" t="n"/>
      <c r="Y102" s="33" t="n"/>
      <c r="Z102" s="36" t="n"/>
      <c r="AA102" s="33" t="n"/>
      <c r="AB102" s="33" t="n"/>
      <c r="AC102" s="51">
        <f>IF(COUNTA($V102,$W102,$X102,$Y102,$Z102)=0,"",IF(IF($V102=""," · Falta fecha","")&amp;IF($W102=""," · Falta tipo","")&amp;IF($X102=""," · Falta concepto","")&amp;IF(OR($Z102="",NOT(ISNUMBER($Z102)),$Z102&lt;=0)," · Monto inválido","")&amp;IF(AND($W102="Entrada",OR($X102="Retiro del propietario",$X102="Pago de préstamo",$X102="Otro egreso"))," · Tipo no coincide con el concepto","")&amp;IF(AND($W102="Salida",OR($X102="Aporte de capital",$X102="Préstamo recibido",$X102="Otro ingreso"))," · Tipo no coincide con el concepto","")="","OK",MID(IF($V102=""," · Falta fecha","")&amp;IF($W102=""," · Falta tipo","")&amp;IF($X102=""," · Falta concepto","")&amp;IF(OR($Z102="",NOT(ISNUMBER($Z102)),$Z102&lt;=0)," · Monto inválido","")&amp;IF(AND($W102="Entrada",OR($X102="Retiro del propietario",$X102="Pago de préstamo",$X102="Otro egreso"))," · Tipo no coincide con el concepto","")&amp;IF(AND($W102="Salida",OR($X102="Aporte de capital",$X102="Préstamo recibido",$X102="Otro ingreso"))," · Tipo no coincide con el concepto",""),4,900)))</f>
        <v/>
      </c>
    </row>
    <row r="103">
      <c r="U103" s="51">
        <f>IF(COUNTA($V103:$Z103)=0,"","M-"&amp;TEXT(ROW()-6,"0000"))</f>
        <v/>
      </c>
      <c r="V103" s="41" t="n"/>
      <c r="W103" s="33" t="n"/>
      <c r="X103" s="33" t="n"/>
      <c r="Y103" s="33" t="n"/>
      <c r="Z103" s="36" t="n"/>
      <c r="AA103" s="33" t="n"/>
      <c r="AB103" s="33" t="n"/>
      <c r="AC103" s="51">
        <f>IF(COUNTA($V103,$W103,$X103,$Y103,$Z103)=0,"",IF(IF($V103=""," · Falta fecha","")&amp;IF($W103=""," · Falta tipo","")&amp;IF($X103=""," · Falta concepto","")&amp;IF(OR($Z103="",NOT(ISNUMBER($Z103)),$Z103&lt;=0)," · Monto inválido","")&amp;IF(AND($W103="Entrada",OR($X103="Retiro del propietario",$X103="Pago de préstamo",$X103="Otro egreso"))," · Tipo no coincide con el concepto","")&amp;IF(AND($W103="Salida",OR($X103="Aporte de capital",$X103="Préstamo recibido",$X103="Otro ingreso"))," · Tipo no coincide con el concepto","")="","OK",MID(IF($V103=""," · Falta fecha","")&amp;IF($W103=""," · Falta tipo","")&amp;IF($X103=""," · Falta concepto","")&amp;IF(OR($Z103="",NOT(ISNUMBER($Z103)),$Z103&lt;=0)," · Monto inválido","")&amp;IF(AND($W103="Entrada",OR($X103="Retiro del propietario",$X103="Pago de préstamo",$X103="Otro egreso"))," · Tipo no coincide con el concepto","")&amp;IF(AND($W103="Salida",OR($X103="Aporte de capital",$X103="Préstamo recibido",$X103="Otro ingreso"))," · Tipo no coincide con el concepto",""),4,900)))</f>
        <v/>
      </c>
    </row>
    <row r="104">
      <c r="U104" s="51">
        <f>IF(COUNTA($V104:$Z104)=0,"","M-"&amp;TEXT(ROW()-6,"0000"))</f>
        <v/>
      </c>
      <c r="V104" s="41" t="n"/>
      <c r="W104" s="33" t="n"/>
      <c r="X104" s="33" t="n"/>
      <c r="Y104" s="33" t="n"/>
      <c r="Z104" s="36" t="n"/>
      <c r="AA104" s="33" t="n"/>
      <c r="AB104" s="33" t="n"/>
      <c r="AC104" s="51">
        <f>IF(COUNTA($V104,$W104,$X104,$Y104,$Z104)=0,"",IF(IF($V104=""," · Falta fecha","")&amp;IF($W104=""," · Falta tipo","")&amp;IF($X104=""," · Falta concepto","")&amp;IF(OR($Z104="",NOT(ISNUMBER($Z104)),$Z104&lt;=0)," · Monto inválido","")&amp;IF(AND($W104="Entrada",OR($X104="Retiro del propietario",$X104="Pago de préstamo",$X104="Otro egreso"))," · Tipo no coincide con el concepto","")&amp;IF(AND($W104="Salida",OR($X104="Aporte de capital",$X104="Préstamo recibido",$X104="Otro ingreso"))," · Tipo no coincide con el concepto","")="","OK",MID(IF($V104=""," · Falta fecha","")&amp;IF($W104=""," · Falta tipo","")&amp;IF($X104=""," · Falta concepto","")&amp;IF(OR($Z104="",NOT(ISNUMBER($Z104)),$Z104&lt;=0)," · Monto inválido","")&amp;IF(AND($W104="Entrada",OR($X104="Retiro del propietario",$X104="Pago de préstamo",$X104="Otro egreso"))," · Tipo no coincide con el concepto","")&amp;IF(AND($W104="Salida",OR($X104="Aporte de capital",$X104="Préstamo recibido",$X104="Otro ingreso"))," · Tipo no coincide con el concepto",""),4,900)))</f>
        <v/>
      </c>
    </row>
    <row r="105">
      <c r="U105" s="51">
        <f>IF(COUNTA($V105:$Z105)=0,"","M-"&amp;TEXT(ROW()-6,"0000"))</f>
        <v/>
      </c>
      <c r="V105" s="41" t="n"/>
      <c r="W105" s="33" t="n"/>
      <c r="X105" s="33" t="n"/>
      <c r="Y105" s="33" t="n"/>
      <c r="Z105" s="36" t="n"/>
      <c r="AA105" s="33" t="n"/>
      <c r="AB105" s="33" t="n"/>
      <c r="AC105" s="51">
        <f>IF(COUNTA($V105,$W105,$X105,$Y105,$Z105)=0,"",IF(IF($V105=""," · Falta fecha","")&amp;IF($W105=""," · Falta tipo","")&amp;IF($X105=""," · Falta concepto","")&amp;IF(OR($Z105="",NOT(ISNUMBER($Z105)),$Z105&lt;=0)," · Monto inválido","")&amp;IF(AND($W105="Entrada",OR($X105="Retiro del propietario",$X105="Pago de préstamo",$X105="Otro egreso"))," · Tipo no coincide con el concepto","")&amp;IF(AND($W105="Salida",OR($X105="Aporte de capital",$X105="Préstamo recibido",$X105="Otro ingreso"))," · Tipo no coincide con el concepto","")="","OK",MID(IF($V105=""," · Falta fecha","")&amp;IF($W105=""," · Falta tipo","")&amp;IF($X105=""," · Falta concepto","")&amp;IF(OR($Z105="",NOT(ISNUMBER($Z105)),$Z105&lt;=0)," · Monto inválido","")&amp;IF(AND($W105="Entrada",OR($X105="Retiro del propietario",$X105="Pago de préstamo",$X105="Otro egreso"))," · Tipo no coincide con el concepto","")&amp;IF(AND($W105="Salida",OR($X105="Aporte de capital",$X105="Préstamo recibido",$X105="Otro ingreso"))," · Tipo no coincide con el concepto",""),4,900)))</f>
        <v/>
      </c>
    </row>
    <row r="106">
      <c r="U106" s="51">
        <f>IF(COUNTA($V106:$Z106)=0,"","M-"&amp;TEXT(ROW()-6,"0000"))</f>
        <v/>
      </c>
      <c r="V106" s="41" t="n"/>
      <c r="W106" s="33" t="n"/>
      <c r="X106" s="33" t="n"/>
      <c r="Y106" s="33" t="n"/>
      <c r="Z106" s="36" t="n"/>
      <c r="AA106" s="33" t="n"/>
      <c r="AB106" s="33" t="n"/>
      <c r="AC106" s="51">
        <f>IF(COUNTA($V106,$W106,$X106,$Y106,$Z106)=0,"",IF(IF($V106=""," · Falta fecha","")&amp;IF($W106=""," · Falta tipo","")&amp;IF($X106=""," · Falta concepto","")&amp;IF(OR($Z106="",NOT(ISNUMBER($Z106)),$Z106&lt;=0)," · Monto inválido","")&amp;IF(AND($W106="Entrada",OR($X106="Retiro del propietario",$X106="Pago de préstamo",$X106="Otro egreso"))," · Tipo no coincide con el concepto","")&amp;IF(AND($W106="Salida",OR($X106="Aporte de capital",$X106="Préstamo recibido",$X106="Otro ingreso"))," · Tipo no coincide con el concepto","")="","OK",MID(IF($V106=""," · Falta fecha","")&amp;IF($W106=""," · Falta tipo","")&amp;IF($X106=""," · Falta concepto","")&amp;IF(OR($Z106="",NOT(ISNUMBER($Z106)),$Z106&lt;=0)," · Monto inválido","")&amp;IF(AND($W106="Entrada",OR($X106="Retiro del propietario",$X106="Pago de préstamo",$X106="Otro egreso"))," · Tipo no coincide con el concepto","")&amp;IF(AND($W106="Salida",OR($X106="Aporte de capital",$X106="Préstamo recibido",$X106="Otro ingreso"))," · Tipo no coincide con el concepto",""),4,900)))</f>
        <v/>
      </c>
    </row>
    <row r="107">
      <c r="U107" s="51">
        <f>IF(COUNTA($V107:$Z107)=0,"","M-"&amp;TEXT(ROW()-6,"0000"))</f>
        <v/>
      </c>
      <c r="V107" s="41" t="n"/>
      <c r="W107" s="33" t="n"/>
      <c r="X107" s="33" t="n"/>
      <c r="Y107" s="33" t="n"/>
      <c r="Z107" s="36" t="n"/>
      <c r="AA107" s="33" t="n"/>
      <c r="AB107" s="33" t="n"/>
      <c r="AC107" s="51">
        <f>IF(COUNTA($V107,$W107,$X107,$Y107,$Z107)=0,"",IF(IF($V107=""," · Falta fecha","")&amp;IF($W107=""," · Falta tipo","")&amp;IF($X107=""," · Falta concepto","")&amp;IF(OR($Z107="",NOT(ISNUMBER($Z107)),$Z107&lt;=0)," · Monto inválido","")&amp;IF(AND($W107="Entrada",OR($X107="Retiro del propietario",$X107="Pago de préstamo",$X107="Otro egreso"))," · Tipo no coincide con el concepto","")&amp;IF(AND($W107="Salida",OR($X107="Aporte de capital",$X107="Préstamo recibido",$X107="Otro ingreso"))," · Tipo no coincide con el concepto","")="","OK",MID(IF($V107=""," · Falta fecha","")&amp;IF($W107=""," · Falta tipo","")&amp;IF($X107=""," · Falta concepto","")&amp;IF(OR($Z107="",NOT(ISNUMBER($Z107)),$Z107&lt;=0)," · Monto inválido","")&amp;IF(AND($W107="Entrada",OR($X107="Retiro del propietario",$X107="Pago de préstamo",$X107="Otro egreso"))," · Tipo no coincide con el concepto","")&amp;IF(AND($W107="Salida",OR($X107="Aporte de capital",$X107="Préstamo recibido",$X107="Otro ingreso"))," · Tipo no coincide con el concepto",""),4,900)))</f>
        <v/>
      </c>
    </row>
    <row r="108">
      <c r="U108" s="51">
        <f>IF(COUNTA($V108:$Z108)=0,"","M-"&amp;TEXT(ROW()-6,"0000"))</f>
        <v/>
      </c>
      <c r="V108" s="41" t="n"/>
      <c r="W108" s="33" t="n"/>
      <c r="X108" s="33" t="n"/>
      <c r="Y108" s="33" t="n"/>
      <c r="Z108" s="36" t="n"/>
      <c r="AA108" s="33" t="n"/>
      <c r="AB108" s="33" t="n"/>
      <c r="AC108" s="51">
        <f>IF(COUNTA($V108,$W108,$X108,$Y108,$Z108)=0,"",IF(IF($V108=""," · Falta fecha","")&amp;IF($W108=""," · Falta tipo","")&amp;IF($X108=""," · Falta concepto","")&amp;IF(OR($Z108="",NOT(ISNUMBER($Z108)),$Z108&lt;=0)," · Monto inválido","")&amp;IF(AND($W108="Entrada",OR($X108="Retiro del propietario",$X108="Pago de préstamo",$X108="Otro egreso"))," · Tipo no coincide con el concepto","")&amp;IF(AND($W108="Salida",OR($X108="Aporte de capital",$X108="Préstamo recibido",$X108="Otro ingreso"))," · Tipo no coincide con el concepto","")="","OK",MID(IF($V108=""," · Falta fecha","")&amp;IF($W108=""," · Falta tipo","")&amp;IF($X108=""," · Falta concepto","")&amp;IF(OR($Z108="",NOT(ISNUMBER($Z108)),$Z108&lt;=0)," · Monto inválido","")&amp;IF(AND($W108="Entrada",OR($X108="Retiro del propietario",$X108="Pago de préstamo",$X108="Otro egreso"))," · Tipo no coincide con el concepto","")&amp;IF(AND($W108="Salida",OR($X108="Aporte de capital",$X108="Préstamo recibido",$X108="Otro ingreso"))," · Tipo no coincide con el concepto",""),4,900)))</f>
        <v/>
      </c>
    </row>
    <row r="109">
      <c r="U109" s="51">
        <f>IF(COUNTA($V109:$Z109)=0,"","M-"&amp;TEXT(ROW()-6,"0000"))</f>
        <v/>
      </c>
      <c r="V109" s="41" t="n"/>
      <c r="W109" s="33" t="n"/>
      <c r="X109" s="33" t="n"/>
      <c r="Y109" s="33" t="n"/>
      <c r="Z109" s="36" t="n"/>
      <c r="AA109" s="33" t="n"/>
      <c r="AB109" s="33" t="n"/>
      <c r="AC109" s="51">
        <f>IF(COUNTA($V109,$W109,$X109,$Y109,$Z109)=0,"",IF(IF($V109=""," · Falta fecha","")&amp;IF($W109=""," · Falta tipo","")&amp;IF($X109=""," · Falta concepto","")&amp;IF(OR($Z109="",NOT(ISNUMBER($Z109)),$Z109&lt;=0)," · Monto inválido","")&amp;IF(AND($W109="Entrada",OR($X109="Retiro del propietario",$X109="Pago de préstamo",$X109="Otro egreso"))," · Tipo no coincide con el concepto","")&amp;IF(AND($W109="Salida",OR($X109="Aporte de capital",$X109="Préstamo recibido",$X109="Otro ingreso"))," · Tipo no coincide con el concepto","")="","OK",MID(IF($V109=""," · Falta fecha","")&amp;IF($W109=""," · Falta tipo","")&amp;IF($X109=""," · Falta concepto","")&amp;IF(OR($Z109="",NOT(ISNUMBER($Z109)),$Z109&lt;=0)," · Monto inválido","")&amp;IF(AND($W109="Entrada",OR($X109="Retiro del propietario",$X109="Pago de préstamo",$X109="Otro egreso"))," · Tipo no coincide con el concepto","")&amp;IF(AND($W109="Salida",OR($X109="Aporte de capital",$X109="Préstamo recibido",$X109="Otro ingreso"))," · Tipo no coincide con el concepto",""),4,900)))</f>
        <v/>
      </c>
    </row>
    <row r="110">
      <c r="U110" s="51">
        <f>IF(COUNTA($V110:$Z110)=0,"","M-"&amp;TEXT(ROW()-6,"0000"))</f>
        <v/>
      </c>
      <c r="V110" s="41" t="n"/>
      <c r="W110" s="33" t="n"/>
      <c r="X110" s="33" t="n"/>
      <c r="Y110" s="33" t="n"/>
      <c r="Z110" s="36" t="n"/>
      <c r="AA110" s="33" t="n"/>
      <c r="AB110" s="33" t="n"/>
      <c r="AC110" s="51">
        <f>IF(COUNTA($V110,$W110,$X110,$Y110,$Z110)=0,"",IF(IF($V110=""," · Falta fecha","")&amp;IF($W110=""," · Falta tipo","")&amp;IF($X110=""," · Falta concepto","")&amp;IF(OR($Z110="",NOT(ISNUMBER($Z110)),$Z110&lt;=0)," · Monto inválido","")&amp;IF(AND($W110="Entrada",OR($X110="Retiro del propietario",$X110="Pago de préstamo",$X110="Otro egreso"))," · Tipo no coincide con el concepto","")&amp;IF(AND($W110="Salida",OR($X110="Aporte de capital",$X110="Préstamo recibido",$X110="Otro ingreso"))," · Tipo no coincide con el concepto","")="","OK",MID(IF($V110=""," · Falta fecha","")&amp;IF($W110=""," · Falta tipo","")&amp;IF($X110=""," · Falta concepto","")&amp;IF(OR($Z110="",NOT(ISNUMBER($Z110)),$Z110&lt;=0)," · Monto inválido","")&amp;IF(AND($W110="Entrada",OR($X110="Retiro del propietario",$X110="Pago de préstamo",$X110="Otro egreso"))," · Tipo no coincide con el concepto","")&amp;IF(AND($W110="Salida",OR($X110="Aporte de capital",$X110="Préstamo recibido",$X110="Otro ingreso"))," · Tipo no coincide con el concepto",""),4,900)))</f>
        <v/>
      </c>
    </row>
    <row r="111">
      <c r="U111" s="51">
        <f>IF(COUNTA($V111:$Z111)=0,"","M-"&amp;TEXT(ROW()-6,"0000"))</f>
        <v/>
      </c>
      <c r="V111" s="41" t="n"/>
      <c r="W111" s="33" t="n"/>
      <c r="X111" s="33" t="n"/>
      <c r="Y111" s="33" t="n"/>
      <c r="Z111" s="36" t="n"/>
      <c r="AA111" s="33" t="n"/>
      <c r="AB111" s="33" t="n"/>
      <c r="AC111" s="51">
        <f>IF(COUNTA($V111,$W111,$X111,$Y111,$Z111)=0,"",IF(IF($V111=""," · Falta fecha","")&amp;IF($W111=""," · Falta tipo","")&amp;IF($X111=""," · Falta concepto","")&amp;IF(OR($Z111="",NOT(ISNUMBER($Z111)),$Z111&lt;=0)," · Monto inválido","")&amp;IF(AND($W111="Entrada",OR($X111="Retiro del propietario",$X111="Pago de préstamo",$X111="Otro egreso"))," · Tipo no coincide con el concepto","")&amp;IF(AND($W111="Salida",OR($X111="Aporte de capital",$X111="Préstamo recibido",$X111="Otro ingreso"))," · Tipo no coincide con el concepto","")="","OK",MID(IF($V111=""," · Falta fecha","")&amp;IF($W111=""," · Falta tipo","")&amp;IF($X111=""," · Falta concepto","")&amp;IF(OR($Z111="",NOT(ISNUMBER($Z111)),$Z111&lt;=0)," · Monto inválido","")&amp;IF(AND($W111="Entrada",OR($X111="Retiro del propietario",$X111="Pago de préstamo",$X111="Otro egreso"))," · Tipo no coincide con el concepto","")&amp;IF(AND($W111="Salida",OR($X111="Aporte de capital",$X111="Préstamo recibido",$X111="Otro ingreso"))," · Tipo no coincide con el concepto",""),4,900)))</f>
        <v/>
      </c>
    </row>
    <row r="112">
      <c r="U112" s="51">
        <f>IF(COUNTA($V112:$Z112)=0,"","M-"&amp;TEXT(ROW()-6,"0000"))</f>
        <v/>
      </c>
      <c r="V112" s="41" t="n"/>
      <c r="W112" s="33" t="n"/>
      <c r="X112" s="33" t="n"/>
      <c r="Y112" s="33" t="n"/>
      <c r="Z112" s="36" t="n"/>
      <c r="AA112" s="33" t="n"/>
      <c r="AB112" s="33" t="n"/>
      <c r="AC112" s="51">
        <f>IF(COUNTA($V112,$W112,$X112,$Y112,$Z112)=0,"",IF(IF($V112=""," · Falta fecha","")&amp;IF($W112=""," · Falta tipo","")&amp;IF($X112=""," · Falta concepto","")&amp;IF(OR($Z112="",NOT(ISNUMBER($Z112)),$Z112&lt;=0)," · Monto inválido","")&amp;IF(AND($W112="Entrada",OR($X112="Retiro del propietario",$X112="Pago de préstamo",$X112="Otro egreso"))," · Tipo no coincide con el concepto","")&amp;IF(AND($W112="Salida",OR($X112="Aporte de capital",$X112="Préstamo recibido",$X112="Otro ingreso"))," · Tipo no coincide con el concepto","")="","OK",MID(IF($V112=""," · Falta fecha","")&amp;IF($W112=""," · Falta tipo","")&amp;IF($X112=""," · Falta concepto","")&amp;IF(OR($Z112="",NOT(ISNUMBER($Z112)),$Z112&lt;=0)," · Monto inválido","")&amp;IF(AND($W112="Entrada",OR($X112="Retiro del propietario",$X112="Pago de préstamo",$X112="Otro egreso"))," · Tipo no coincide con el concepto","")&amp;IF(AND($W112="Salida",OR($X112="Aporte de capital",$X112="Préstamo recibido",$X112="Otro ingreso"))," · Tipo no coincide con el concepto",""),4,900)))</f>
        <v/>
      </c>
    </row>
    <row r="113">
      <c r="U113" s="51">
        <f>IF(COUNTA($V113:$Z113)=0,"","M-"&amp;TEXT(ROW()-6,"0000"))</f>
        <v/>
      </c>
      <c r="V113" s="41" t="n"/>
      <c r="W113" s="33" t="n"/>
      <c r="X113" s="33" t="n"/>
      <c r="Y113" s="33" t="n"/>
      <c r="Z113" s="36" t="n"/>
      <c r="AA113" s="33" t="n"/>
      <c r="AB113" s="33" t="n"/>
      <c r="AC113" s="51">
        <f>IF(COUNTA($V113,$W113,$X113,$Y113,$Z113)=0,"",IF(IF($V113=""," · Falta fecha","")&amp;IF($W113=""," · Falta tipo","")&amp;IF($X113=""," · Falta concepto","")&amp;IF(OR($Z113="",NOT(ISNUMBER($Z113)),$Z113&lt;=0)," · Monto inválido","")&amp;IF(AND($W113="Entrada",OR($X113="Retiro del propietario",$X113="Pago de préstamo",$X113="Otro egreso"))," · Tipo no coincide con el concepto","")&amp;IF(AND($W113="Salida",OR($X113="Aporte de capital",$X113="Préstamo recibido",$X113="Otro ingreso"))," · Tipo no coincide con el concepto","")="","OK",MID(IF($V113=""," · Falta fecha","")&amp;IF($W113=""," · Falta tipo","")&amp;IF($X113=""," · Falta concepto","")&amp;IF(OR($Z113="",NOT(ISNUMBER($Z113)),$Z113&lt;=0)," · Monto inválido","")&amp;IF(AND($W113="Entrada",OR($X113="Retiro del propietario",$X113="Pago de préstamo",$X113="Otro egreso"))," · Tipo no coincide con el concepto","")&amp;IF(AND($W113="Salida",OR($X113="Aporte de capital",$X113="Préstamo recibido",$X113="Otro ingreso"))," · Tipo no coincide con el concepto",""),4,900)))</f>
        <v/>
      </c>
    </row>
    <row r="114">
      <c r="U114" s="51">
        <f>IF(COUNTA($V114:$Z114)=0,"","M-"&amp;TEXT(ROW()-6,"0000"))</f>
        <v/>
      </c>
      <c r="V114" s="41" t="n"/>
      <c r="W114" s="33" t="n"/>
      <c r="X114" s="33" t="n"/>
      <c r="Y114" s="33" t="n"/>
      <c r="Z114" s="36" t="n"/>
      <c r="AA114" s="33" t="n"/>
      <c r="AB114" s="33" t="n"/>
      <c r="AC114" s="51">
        <f>IF(COUNTA($V114,$W114,$X114,$Y114,$Z114)=0,"",IF(IF($V114=""," · Falta fecha","")&amp;IF($W114=""," · Falta tipo","")&amp;IF($X114=""," · Falta concepto","")&amp;IF(OR($Z114="",NOT(ISNUMBER($Z114)),$Z114&lt;=0)," · Monto inválido","")&amp;IF(AND($W114="Entrada",OR($X114="Retiro del propietario",$X114="Pago de préstamo",$X114="Otro egreso"))," · Tipo no coincide con el concepto","")&amp;IF(AND($W114="Salida",OR($X114="Aporte de capital",$X114="Préstamo recibido",$X114="Otro ingreso"))," · Tipo no coincide con el concepto","")="","OK",MID(IF($V114=""," · Falta fecha","")&amp;IF($W114=""," · Falta tipo","")&amp;IF($X114=""," · Falta concepto","")&amp;IF(OR($Z114="",NOT(ISNUMBER($Z114)),$Z114&lt;=0)," · Monto inválido","")&amp;IF(AND($W114="Entrada",OR($X114="Retiro del propietario",$X114="Pago de préstamo",$X114="Otro egreso"))," · Tipo no coincide con el concepto","")&amp;IF(AND($W114="Salida",OR($X114="Aporte de capital",$X114="Préstamo recibido",$X114="Otro ingreso"))," · Tipo no coincide con el concepto",""),4,900)))</f>
        <v/>
      </c>
    </row>
    <row r="115">
      <c r="U115" s="51">
        <f>IF(COUNTA($V115:$Z115)=0,"","M-"&amp;TEXT(ROW()-6,"0000"))</f>
        <v/>
      </c>
      <c r="V115" s="41" t="n"/>
      <c r="W115" s="33" t="n"/>
      <c r="X115" s="33" t="n"/>
      <c r="Y115" s="33" t="n"/>
      <c r="Z115" s="36" t="n"/>
      <c r="AA115" s="33" t="n"/>
      <c r="AB115" s="33" t="n"/>
      <c r="AC115" s="51">
        <f>IF(COUNTA($V115,$W115,$X115,$Y115,$Z115)=0,"",IF(IF($V115=""," · Falta fecha","")&amp;IF($W115=""," · Falta tipo","")&amp;IF($X115=""," · Falta concepto","")&amp;IF(OR($Z115="",NOT(ISNUMBER($Z115)),$Z115&lt;=0)," · Monto inválido","")&amp;IF(AND($W115="Entrada",OR($X115="Retiro del propietario",$X115="Pago de préstamo",$X115="Otro egreso"))," · Tipo no coincide con el concepto","")&amp;IF(AND($W115="Salida",OR($X115="Aporte de capital",$X115="Préstamo recibido",$X115="Otro ingreso"))," · Tipo no coincide con el concepto","")="","OK",MID(IF($V115=""," · Falta fecha","")&amp;IF($W115=""," · Falta tipo","")&amp;IF($X115=""," · Falta concepto","")&amp;IF(OR($Z115="",NOT(ISNUMBER($Z115)),$Z115&lt;=0)," · Monto inválido","")&amp;IF(AND($W115="Entrada",OR($X115="Retiro del propietario",$X115="Pago de préstamo",$X115="Otro egreso"))," · Tipo no coincide con el concepto","")&amp;IF(AND($W115="Salida",OR($X115="Aporte de capital",$X115="Préstamo recibido",$X115="Otro ingreso"))," · Tipo no coincide con el concepto",""),4,900)))</f>
        <v/>
      </c>
    </row>
    <row r="116">
      <c r="U116" s="51">
        <f>IF(COUNTA($V116:$Z116)=0,"","M-"&amp;TEXT(ROW()-6,"0000"))</f>
        <v/>
      </c>
      <c r="V116" s="41" t="n"/>
      <c r="W116" s="33" t="n"/>
      <c r="X116" s="33" t="n"/>
      <c r="Y116" s="33" t="n"/>
      <c r="Z116" s="36" t="n"/>
      <c r="AA116" s="33" t="n"/>
      <c r="AB116" s="33" t="n"/>
      <c r="AC116" s="51">
        <f>IF(COUNTA($V116,$W116,$X116,$Y116,$Z116)=0,"",IF(IF($V116=""," · Falta fecha","")&amp;IF($W116=""," · Falta tipo","")&amp;IF($X116=""," · Falta concepto","")&amp;IF(OR($Z116="",NOT(ISNUMBER($Z116)),$Z116&lt;=0)," · Monto inválido","")&amp;IF(AND($W116="Entrada",OR($X116="Retiro del propietario",$X116="Pago de préstamo",$X116="Otro egreso"))," · Tipo no coincide con el concepto","")&amp;IF(AND($W116="Salida",OR($X116="Aporte de capital",$X116="Préstamo recibido",$X116="Otro ingreso"))," · Tipo no coincide con el concepto","")="","OK",MID(IF($V116=""," · Falta fecha","")&amp;IF($W116=""," · Falta tipo","")&amp;IF($X116=""," · Falta concepto","")&amp;IF(OR($Z116="",NOT(ISNUMBER($Z116)),$Z116&lt;=0)," · Monto inválido","")&amp;IF(AND($W116="Entrada",OR($X116="Retiro del propietario",$X116="Pago de préstamo",$X116="Otro egreso"))," · Tipo no coincide con el concepto","")&amp;IF(AND($W116="Salida",OR($X116="Aporte de capital",$X116="Préstamo recibido",$X116="Otro ingreso"))," · Tipo no coincide con el concepto",""),4,900)))</f>
        <v/>
      </c>
    </row>
    <row r="117">
      <c r="U117" s="51">
        <f>IF(COUNTA($V117:$Z117)=0,"","M-"&amp;TEXT(ROW()-6,"0000"))</f>
        <v/>
      </c>
      <c r="V117" s="41" t="n"/>
      <c r="W117" s="33" t="n"/>
      <c r="X117" s="33" t="n"/>
      <c r="Y117" s="33" t="n"/>
      <c r="Z117" s="36" t="n"/>
      <c r="AA117" s="33" t="n"/>
      <c r="AB117" s="33" t="n"/>
      <c r="AC117" s="51">
        <f>IF(COUNTA($V117,$W117,$X117,$Y117,$Z117)=0,"",IF(IF($V117=""," · Falta fecha","")&amp;IF($W117=""," · Falta tipo","")&amp;IF($X117=""," · Falta concepto","")&amp;IF(OR($Z117="",NOT(ISNUMBER($Z117)),$Z117&lt;=0)," · Monto inválido","")&amp;IF(AND($W117="Entrada",OR($X117="Retiro del propietario",$X117="Pago de préstamo",$X117="Otro egreso"))," · Tipo no coincide con el concepto","")&amp;IF(AND($W117="Salida",OR($X117="Aporte de capital",$X117="Préstamo recibido",$X117="Otro ingreso"))," · Tipo no coincide con el concepto","")="","OK",MID(IF($V117=""," · Falta fecha","")&amp;IF($W117=""," · Falta tipo","")&amp;IF($X117=""," · Falta concepto","")&amp;IF(OR($Z117="",NOT(ISNUMBER($Z117)),$Z117&lt;=0)," · Monto inválido","")&amp;IF(AND($W117="Entrada",OR($X117="Retiro del propietario",$X117="Pago de préstamo",$X117="Otro egreso"))," · Tipo no coincide con el concepto","")&amp;IF(AND($W117="Salida",OR($X117="Aporte de capital",$X117="Préstamo recibido",$X117="Otro ingreso"))," · Tipo no coincide con el concepto",""),4,900)))</f>
        <v/>
      </c>
    </row>
    <row r="118">
      <c r="U118" s="51">
        <f>IF(COUNTA($V118:$Z118)=0,"","M-"&amp;TEXT(ROW()-6,"0000"))</f>
        <v/>
      </c>
      <c r="V118" s="41" t="n"/>
      <c r="W118" s="33" t="n"/>
      <c r="X118" s="33" t="n"/>
      <c r="Y118" s="33" t="n"/>
      <c r="Z118" s="36" t="n"/>
      <c r="AA118" s="33" t="n"/>
      <c r="AB118" s="33" t="n"/>
      <c r="AC118" s="51">
        <f>IF(COUNTA($V118,$W118,$X118,$Y118,$Z118)=0,"",IF(IF($V118=""," · Falta fecha","")&amp;IF($W118=""," · Falta tipo","")&amp;IF($X118=""," · Falta concepto","")&amp;IF(OR($Z118="",NOT(ISNUMBER($Z118)),$Z118&lt;=0)," · Monto inválido","")&amp;IF(AND($W118="Entrada",OR($X118="Retiro del propietario",$X118="Pago de préstamo",$X118="Otro egreso"))," · Tipo no coincide con el concepto","")&amp;IF(AND($W118="Salida",OR($X118="Aporte de capital",$X118="Préstamo recibido",$X118="Otro ingreso"))," · Tipo no coincide con el concepto","")="","OK",MID(IF($V118=""," · Falta fecha","")&amp;IF($W118=""," · Falta tipo","")&amp;IF($X118=""," · Falta concepto","")&amp;IF(OR($Z118="",NOT(ISNUMBER($Z118)),$Z118&lt;=0)," · Monto inválido","")&amp;IF(AND($W118="Entrada",OR($X118="Retiro del propietario",$X118="Pago de préstamo",$X118="Otro egreso"))," · Tipo no coincide con el concepto","")&amp;IF(AND($W118="Salida",OR($X118="Aporte de capital",$X118="Préstamo recibido",$X118="Otro ingreso"))," · Tipo no coincide con el concepto",""),4,900)))</f>
        <v/>
      </c>
    </row>
    <row r="119">
      <c r="U119" s="51">
        <f>IF(COUNTA($V119:$Z119)=0,"","M-"&amp;TEXT(ROW()-6,"0000"))</f>
        <v/>
      </c>
      <c r="V119" s="41" t="n"/>
      <c r="W119" s="33" t="n"/>
      <c r="X119" s="33" t="n"/>
      <c r="Y119" s="33" t="n"/>
      <c r="Z119" s="36" t="n"/>
      <c r="AA119" s="33" t="n"/>
      <c r="AB119" s="33" t="n"/>
      <c r="AC119" s="51">
        <f>IF(COUNTA($V119,$W119,$X119,$Y119,$Z119)=0,"",IF(IF($V119=""," · Falta fecha","")&amp;IF($W119=""," · Falta tipo","")&amp;IF($X119=""," · Falta concepto","")&amp;IF(OR($Z119="",NOT(ISNUMBER($Z119)),$Z119&lt;=0)," · Monto inválido","")&amp;IF(AND($W119="Entrada",OR($X119="Retiro del propietario",$X119="Pago de préstamo",$X119="Otro egreso"))," · Tipo no coincide con el concepto","")&amp;IF(AND($W119="Salida",OR($X119="Aporte de capital",$X119="Préstamo recibido",$X119="Otro ingreso"))," · Tipo no coincide con el concepto","")="","OK",MID(IF($V119=""," · Falta fecha","")&amp;IF($W119=""," · Falta tipo","")&amp;IF($X119=""," · Falta concepto","")&amp;IF(OR($Z119="",NOT(ISNUMBER($Z119)),$Z119&lt;=0)," · Monto inválido","")&amp;IF(AND($W119="Entrada",OR($X119="Retiro del propietario",$X119="Pago de préstamo",$X119="Otro egreso"))," · Tipo no coincide con el concepto","")&amp;IF(AND($W119="Salida",OR($X119="Aporte de capital",$X119="Préstamo recibido",$X119="Otro ingreso"))," · Tipo no coincide con el concepto",""),4,900)))</f>
        <v/>
      </c>
    </row>
    <row r="120">
      <c r="U120" s="51">
        <f>IF(COUNTA($V120:$Z120)=0,"","M-"&amp;TEXT(ROW()-6,"0000"))</f>
        <v/>
      </c>
      <c r="V120" s="41" t="n"/>
      <c r="W120" s="33" t="n"/>
      <c r="X120" s="33" t="n"/>
      <c r="Y120" s="33" t="n"/>
      <c r="Z120" s="36" t="n"/>
      <c r="AA120" s="33" t="n"/>
      <c r="AB120" s="33" t="n"/>
      <c r="AC120" s="51">
        <f>IF(COUNTA($V120,$W120,$X120,$Y120,$Z120)=0,"",IF(IF($V120=""," · Falta fecha","")&amp;IF($W120=""," · Falta tipo","")&amp;IF($X120=""," · Falta concepto","")&amp;IF(OR($Z120="",NOT(ISNUMBER($Z120)),$Z120&lt;=0)," · Monto inválido","")&amp;IF(AND($W120="Entrada",OR($X120="Retiro del propietario",$X120="Pago de préstamo",$X120="Otro egreso"))," · Tipo no coincide con el concepto","")&amp;IF(AND($W120="Salida",OR($X120="Aporte de capital",$X120="Préstamo recibido",$X120="Otro ingreso"))," · Tipo no coincide con el concepto","")="","OK",MID(IF($V120=""," · Falta fecha","")&amp;IF($W120=""," · Falta tipo","")&amp;IF($X120=""," · Falta concepto","")&amp;IF(OR($Z120="",NOT(ISNUMBER($Z120)),$Z120&lt;=0)," · Monto inválido","")&amp;IF(AND($W120="Entrada",OR($X120="Retiro del propietario",$X120="Pago de préstamo",$X120="Otro egreso"))," · Tipo no coincide con el concepto","")&amp;IF(AND($W120="Salida",OR($X120="Aporte de capital",$X120="Préstamo recibido",$X120="Otro ingreso"))," · Tipo no coincide con el concepto",""),4,900)))</f>
        <v/>
      </c>
    </row>
    <row r="121">
      <c r="U121" s="51">
        <f>IF(COUNTA($V121:$Z121)=0,"","M-"&amp;TEXT(ROW()-6,"0000"))</f>
        <v/>
      </c>
      <c r="V121" s="41" t="n"/>
      <c r="W121" s="33" t="n"/>
      <c r="X121" s="33" t="n"/>
      <c r="Y121" s="33" t="n"/>
      <c r="Z121" s="36" t="n"/>
      <c r="AA121" s="33" t="n"/>
      <c r="AB121" s="33" t="n"/>
      <c r="AC121" s="51">
        <f>IF(COUNTA($V121,$W121,$X121,$Y121,$Z121)=0,"",IF(IF($V121=""," · Falta fecha","")&amp;IF($W121=""," · Falta tipo","")&amp;IF($X121=""," · Falta concepto","")&amp;IF(OR($Z121="",NOT(ISNUMBER($Z121)),$Z121&lt;=0)," · Monto inválido","")&amp;IF(AND($W121="Entrada",OR($X121="Retiro del propietario",$X121="Pago de préstamo",$X121="Otro egreso"))," · Tipo no coincide con el concepto","")&amp;IF(AND($W121="Salida",OR($X121="Aporte de capital",$X121="Préstamo recibido",$X121="Otro ingreso"))," · Tipo no coincide con el concepto","")="","OK",MID(IF($V121=""," · Falta fecha","")&amp;IF($W121=""," · Falta tipo","")&amp;IF($X121=""," · Falta concepto","")&amp;IF(OR($Z121="",NOT(ISNUMBER($Z121)),$Z121&lt;=0)," · Monto inválido","")&amp;IF(AND($W121="Entrada",OR($X121="Retiro del propietario",$X121="Pago de préstamo",$X121="Otro egreso"))," · Tipo no coincide con el concepto","")&amp;IF(AND($W121="Salida",OR($X121="Aporte de capital",$X121="Préstamo recibido",$X121="Otro ingreso"))," · Tipo no coincide con el concepto",""),4,900)))</f>
        <v/>
      </c>
    </row>
    <row r="122">
      <c r="U122" s="51">
        <f>IF(COUNTA($V122:$Z122)=0,"","M-"&amp;TEXT(ROW()-6,"0000"))</f>
        <v/>
      </c>
      <c r="V122" s="41" t="n"/>
      <c r="W122" s="33" t="n"/>
      <c r="X122" s="33" t="n"/>
      <c r="Y122" s="33" t="n"/>
      <c r="Z122" s="36" t="n"/>
      <c r="AA122" s="33" t="n"/>
      <c r="AB122" s="33" t="n"/>
      <c r="AC122" s="51">
        <f>IF(COUNTA($V122,$W122,$X122,$Y122,$Z122)=0,"",IF(IF($V122=""," · Falta fecha","")&amp;IF($W122=""," · Falta tipo","")&amp;IF($X122=""," · Falta concepto","")&amp;IF(OR($Z122="",NOT(ISNUMBER($Z122)),$Z122&lt;=0)," · Monto inválido","")&amp;IF(AND($W122="Entrada",OR($X122="Retiro del propietario",$X122="Pago de préstamo",$X122="Otro egreso"))," · Tipo no coincide con el concepto","")&amp;IF(AND($W122="Salida",OR($X122="Aporte de capital",$X122="Préstamo recibido",$X122="Otro ingreso"))," · Tipo no coincide con el concepto","")="","OK",MID(IF($V122=""," · Falta fecha","")&amp;IF($W122=""," · Falta tipo","")&amp;IF($X122=""," · Falta concepto","")&amp;IF(OR($Z122="",NOT(ISNUMBER($Z122)),$Z122&lt;=0)," · Monto inválido","")&amp;IF(AND($W122="Entrada",OR($X122="Retiro del propietario",$X122="Pago de préstamo",$X122="Otro egreso"))," · Tipo no coincide con el concepto","")&amp;IF(AND($W122="Salida",OR($X122="Aporte de capital",$X122="Préstamo recibido",$X122="Otro ingreso"))," · Tipo no coincide con el concepto",""),4,900)))</f>
        <v/>
      </c>
    </row>
    <row r="123">
      <c r="U123" s="51">
        <f>IF(COUNTA($V123:$Z123)=0,"","M-"&amp;TEXT(ROW()-6,"0000"))</f>
        <v/>
      </c>
      <c r="V123" s="41" t="n"/>
      <c r="W123" s="33" t="n"/>
      <c r="X123" s="33" t="n"/>
      <c r="Y123" s="33" t="n"/>
      <c r="Z123" s="36" t="n"/>
      <c r="AA123" s="33" t="n"/>
      <c r="AB123" s="33" t="n"/>
      <c r="AC123" s="51">
        <f>IF(COUNTA($V123,$W123,$X123,$Y123,$Z123)=0,"",IF(IF($V123=""," · Falta fecha","")&amp;IF($W123=""," · Falta tipo","")&amp;IF($X123=""," · Falta concepto","")&amp;IF(OR($Z123="",NOT(ISNUMBER($Z123)),$Z123&lt;=0)," · Monto inválido","")&amp;IF(AND($W123="Entrada",OR($X123="Retiro del propietario",$X123="Pago de préstamo",$X123="Otro egreso"))," · Tipo no coincide con el concepto","")&amp;IF(AND($W123="Salida",OR($X123="Aporte de capital",$X123="Préstamo recibido",$X123="Otro ingreso"))," · Tipo no coincide con el concepto","")="","OK",MID(IF($V123=""," · Falta fecha","")&amp;IF($W123=""," · Falta tipo","")&amp;IF($X123=""," · Falta concepto","")&amp;IF(OR($Z123="",NOT(ISNUMBER($Z123)),$Z123&lt;=0)," · Monto inválido","")&amp;IF(AND($W123="Entrada",OR($X123="Retiro del propietario",$X123="Pago de préstamo",$X123="Otro egreso"))," · Tipo no coincide con el concepto","")&amp;IF(AND($W123="Salida",OR($X123="Aporte de capital",$X123="Préstamo recibido",$X123="Otro ingreso"))," · Tipo no coincide con el concepto",""),4,900)))</f>
        <v/>
      </c>
    </row>
    <row r="124">
      <c r="U124" s="51">
        <f>IF(COUNTA($V124:$Z124)=0,"","M-"&amp;TEXT(ROW()-6,"0000"))</f>
        <v/>
      </c>
      <c r="V124" s="41" t="n"/>
      <c r="W124" s="33" t="n"/>
      <c r="X124" s="33" t="n"/>
      <c r="Y124" s="33" t="n"/>
      <c r="Z124" s="36" t="n"/>
      <c r="AA124" s="33" t="n"/>
      <c r="AB124" s="33" t="n"/>
      <c r="AC124" s="51">
        <f>IF(COUNTA($V124,$W124,$X124,$Y124,$Z124)=0,"",IF(IF($V124=""," · Falta fecha","")&amp;IF($W124=""," · Falta tipo","")&amp;IF($X124=""," · Falta concepto","")&amp;IF(OR($Z124="",NOT(ISNUMBER($Z124)),$Z124&lt;=0)," · Monto inválido","")&amp;IF(AND($W124="Entrada",OR($X124="Retiro del propietario",$X124="Pago de préstamo",$X124="Otro egreso"))," · Tipo no coincide con el concepto","")&amp;IF(AND($W124="Salida",OR($X124="Aporte de capital",$X124="Préstamo recibido",$X124="Otro ingreso"))," · Tipo no coincide con el concepto","")="","OK",MID(IF($V124=""," · Falta fecha","")&amp;IF($W124=""," · Falta tipo","")&amp;IF($X124=""," · Falta concepto","")&amp;IF(OR($Z124="",NOT(ISNUMBER($Z124)),$Z124&lt;=0)," · Monto inválido","")&amp;IF(AND($W124="Entrada",OR($X124="Retiro del propietario",$X124="Pago de préstamo",$X124="Otro egreso"))," · Tipo no coincide con el concepto","")&amp;IF(AND($W124="Salida",OR($X124="Aporte de capital",$X124="Préstamo recibido",$X124="Otro ingreso"))," · Tipo no coincide con el concepto",""),4,900)))</f>
        <v/>
      </c>
    </row>
    <row r="125">
      <c r="U125" s="51">
        <f>IF(COUNTA($V125:$Z125)=0,"","M-"&amp;TEXT(ROW()-6,"0000"))</f>
        <v/>
      </c>
      <c r="V125" s="41" t="n"/>
      <c r="W125" s="33" t="n"/>
      <c r="X125" s="33" t="n"/>
      <c r="Y125" s="33" t="n"/>
      <c r="Z125" s="36" t="n"/>
      <c r="AA125" s="33" t="n"/>
      <c r="AB125" s="33" t="n"/>
      <c r="AC125" s="51">
        <f>IF(COUNTA($V125,$W125,$X125,$Y125,$Z125)=0,"",IF(IF($V125=""," · Falta fecha","")&amp;IF($W125=""," · Falta tipo","")&amp;IF($X125=""," · Falta concepto","")&amp;IF(OR($Z125="",NOT(ISNUMBER($Z125)),$Z125&lt;=0)," · Monto inválido","")&amp;IF(AND($W125="Entrada",OR($X125="Retiro del propietario",$X125="Pago de préstamo",$X125="Otro egreso"))," · Tipo no coincide con el concepto","")&amp;IF(AND($W125="Salida",OR($X125="Aporte de capital",$X125="Préstamo recibido",$X125="Otro ingreso"))," · Tipo no coincide con el concepto","")="","OK",MID(IF($V125=""," · Falta fecha","")&amp;IF($W125=""," · Falta tipo","")&amp;IF($X125=""," · Falta concepto","")&amp;IF(OR($Z125="",NOT(ISNUMBER($Z125)),$Z125&lt;=0)," · Monto inválido","")&amp;IF(AND($W125="Entrada",OR($X125="Retiro del propietario",$X125="Pago de préstamo",$X125="Otro egreso"))," · Tipo no coincide con el concepto","")&amp;IF(AND($W125="Salida",OR($X125="Aporte de capital",$X125="Préstamo recibido",$X125="Otro ingreso"))," · Tipo no coincide con el concepto",""),4,900)))</f>
        <v/>
      </c>
    </row>
    <row r="126">
      <c r="U126" s="51">
        <f>IF(COUNTA($V126:$Z126)=0,"","M-"&amp;TEXT(ROW()-6,"0000"))</f>
        <v/>
      </c>
      <c r="V126" s="41" t="n"/>
      <c r="W126" s="33" t="n"/>
      <c r="X126" s="33" t="n"/>
      <c r="Y126" s="33" t="n"/>
      <c r="Z126" s="36" t="n"/>
      <c r="AA126" s="33" t="n"/>
      <c r="AB126" s="33" t="n"/>
      <c r="AC126" s="51">
        <f>IF(COUNTA($V126,$W126,$X126,$Y126,$Z126)=0,"",IF(IF($V126=""," · Falta fecha","")&amp;IF($W126=""," · Falta tipo","")&amp;IF($X126=""," · Falta concepto","")&amp;IF(OR($Z126="",NOT(ISNUMBER($Z126)),$Z126&lt;=0)," · Monto inválido","")&amp;IF(AND($W126="Entrada",OR($X126="Retiro del propietario",$X126="Pago de préstamo",$X126="Otro egreso"))," · Tipo no coincide con el concepto","")&amp;IF(AND($W126="Salida",OR($X126="Aporte de capital",$X126="Préstamo recibido",$X126="Otro ingreso"))," · Tipo no coincide con el concepto","")="","OK",MID(IF($V126=""," · Falta fecha","")&amp;IF($W126=""," · Falta tipo","")&amp;IF($X126=""," · Falta concepto","")&amp;IF(OR($Z126="",NOT(ISNUMBER($Z126)),$Z126&lt;=0)," · Monto inválido","")&amp;IF(AND($W126="Entrada",OR($X126="Retiro del propietario",$X126="Pago de préstamo",$X126="Otro egreso"))," · Tipo no coincide con el concepto","")&amp;IF(AND($W126="Salida",OR($X126="Aporte de capital",$X126="Préstamo recibido",$X126="Otro ingreso"))," · Tipo no coincide con el concepto",""),4,900)))</f>
        <v/>
      </c>
    </row>
    <row r="127">
      <c r="U127" s="51">
        <f>IF(COUNTA($V127:$Z127)=0,"","M-"&amp;TEXT(ROW()-6,"0000"))</f>
        <v/>
      </c>
      <c r="V127" s="41" t="n"/>
      <c r="W127" s="33" t="n"/>
      <c r="X127" s="33" t="n"/>
      <c r="Y127" s="33" t="n"/>
      <c r="Z127" s="36" t="n"/>
      <c r="AA127" s="33" t="n"/>
      <c r="AB127" s="33" t="n"/>
      <c r="AC127" s="51">
        <f>IF(COUNTA($V127,$W127,$X127,$Y127,$Z127)=0,"",IF(IF($V127=""," · Falta fecha","")&amp;IF($W127=""," · Falta tipo","")&amp;IF($X127=""," · Falta concepto","")&amp;IF(OR($Z127="",NOT(ISNUMBER($Z127)),$Z127&lt;=0)," · Monto inválido","")&amp;IF(AND($W127="Entrada",OR($X127="Retiro del propietario",$X127="Pago de préstamo",$X127="Otro egreso"))," · Tipo no coincide con el concepto","")&amp;IF(AND($W127="Salida",OR($X127="Aporte de capital",$X127="Préstamo recibido",$X127="Otro ingreso"))," · Tipo no coincide con el concepto","")="","OK",MID(IF($V127=""," · Falta fecha","")&amp;IF($W127=""," · Falta tipo","")&amp;IF($X127=""," · Falta concepto","")&amp;IF(OR($Z127="",NOT(ISNUMBER($Z127)),$Z127&lt;=0)," · Monto inválido","")&amp;IF(AND($W127="Entrada",OR($X127="Retiro del propietario",$X127="Pago de préstamo",$X127="Otro egreso"))," · Tipo no coincide con el concepto","")&amp;IF(AND($W127="Salida",OR($X127="Aporte de capital",$X127="Préstamo recibido",$X127="Otro ingreso"))," · Tipo no coincide con el concepto",""),4,900)))</f>
        <v/>
      </c>
    </row>
    <row r="128">
      <c r="U128" s="51">
        <f>IF(COUNTA($V128:$Z128)=0,"","M-"&amp;TEXT(ROW()-6,"0000"))</f>
        <v/>
      </c>
      <c r="V128" s="41" t="n"/>
      <c r="W128" s="33" t="n"/>
      <c r="X128" s="33" t="n"/>
      <c r="Y128" s="33" t="n"/>
      <c r="Z128" s="36" t="n"/>
      <c r="AA128" s="33" t="n"/>
      <c r="AB128" s="33" t="n"/>
      <c r="AC128" s="51">
        <f>IF(COUNTA($V128,$W128,$X128,$Y128,$Z128)=0,"",IF(IF($V128=""," · Falta fecha","")&amp;IF($W128=""," · Falta tipo","")&amp;IF($X128=""," · Falta concepto","")&amp;IF(OR($Z128="",NOT(ISNUMBER($Z128)),$Z128&lt;=0)," · Monto inválido","")&amp;IF(AND($W128="Entrada",OR($X128="Retiro del propietario",$X128="Pago de préstamo",$X128="Otro egreso"))," · Tipo no coincide con el concepto","")&amp;IF(AND($W128="Salida",OR($X128="Aporte de capital",$X128="Préstamo recibido",$X128="Otro ingreso"))," · Tipo no coincide con el concepto","")="","OK",MID(IF($V128=""," · Falta fecha","")&amp;IF($W128=""," · Falta tipo","")&amp;IF($X128=""," · Falta concepto","")&amp;IF(OR($Z128="",NOT(ISNUMBER($Z128)),$Z128&lt;=0)," · Monto inválido","")&amp;IF(AND($W128="Entrada",OR($X128="Retiro del propietario",$X128="Pago de préstamo",$X128="Otro egreso"))," · Tipo no coincide con el concepto","")&amp;IF(AND($W128="Salida",OR($X128="Aporte de capital",$X128="Préstamo recibido",$X128="Otro ingreso"))," · Tipo no coincide con el concepto",""),4,900)))</f>
        <v/>
      </c>
    </row>
    <row r="129">
      <c r="U129" s="51">
        <f>IF(COUNTA($V129:$Z129)=0,"","M-"&amp;TEXT(ROW()-6,"0000"))</f>
        <v/>
      </c>
      <c r="V129" s="41" t="n"/>
      <c r="W129" s="33" t="n"/>
      <c r="X129" s="33" t="n"/>
      <c r="Y129" s="33" t="n"/>
      <c r="Z129" s="36" t="n"/>
      <c r="AA129" s="33" t="n"/>
      <c r="AB129" s="33" t="n"/>
      <c r="AC129" s="51">
        <f>IF(COUNTA($V129,$W129,$X129,$Y129,$Z129)=0,"",IF(IF($V129=""," · Falta fecha","")&amp;IF($W129=""," · Falta tipo","")&amp;IF($X129=""," · Falta concepto","")&amp;IF(OR($Z129="",NOT(ISNUMBER($Z129)),$Z129&lt;=0)," · Monto inválido","")&amp;IF(AND($W129="Entrada",OR($X129="Retiro del propietario",$X129="Pago de préstamo",$X129="Otro egreso"))," · Tipo no coincide con el concepto","")&amp;IF(AND($W129="Salida",OR($X129="Aporte de capital",$X129="Préstamo recibido",$X129="Otro ingreso"))," · Tipo no coincide con el concepto","")="","OK",MID(IF($V129=""," · Falta fecha","")&amp;IF($W129=""," · Falta tipo","")&amp;IF($X129=""," · Falta concepto","")&amp;IF(OR($Z129="",NOT(ISNUMBER($Z129)),$Z129&lt;=0)," · Monto inválido","")&amp;IF(AND($W129="Entrada",OR($X129="Retiro del propietario",$X129="Pago de préstamo",$X129="Otro egreso"))," · Tipo no coincide con el concepto","")&amp;IF(AND($W129="Salida",OR($X129="Aporte de capital",$X129="Préstamo recibido",$X129="Otro ingreso"))," · Tipo no coincide con el concepto",""),4,900)))</f>
        <v/>
      </c>
    </row>
    <row r="130">
      <c r="U130" s="51">
        <f>IF(COUNTA($V130:$Z130)=0,"","M-"&amp;TEXT(ROW()-6,"0000"))</f>
        <v/>
      </c>
      <c r="V130" s="41" t="n"/>
      <c r="W130" s="33" t="n"/>
      <c r="X130" s="33" t="n"/>
      <c r="Y130" s="33" t="n"/>
      <c r="Z130" s="36" t="n"/>
      <c r="AA130" s="33" t="n"/>
      <c r="AB130" s="33" t="n"/>
      <c r="AC130" s="51">
        <f>IF(COUNTA($V130,$W130,$X130,$Y130,$Z130)=0,"",IF(IF($V130=""," · Falta fecha","")&amp;IF($W130=""," · Falta tipo","")&amp;IF($X130=""," · Falta concepto","")&amp;IF(OR($Z130="",NOT(ISNUMBER($Z130)),$Z130&lt;=0)," · Monto inválido","")&amp;IF(AND($W130="Entrada",OR($X130="Retiro del propietario",$X130="Pago de préstamo",$X130="Otro egreso"))," · Tipo no coincide con el concepto","")&amp;IF(AND($W130="Salida",OR($X130="Aporte de capital",$X130="Préstamo recibido",$X130="Otro ingreso"))," · Tipo no coincide con el concepto","")="","OK",MID(IF($V130=""," · Falta fecha","")&amp;IF($W130=""," · Falta tipo","")&amp;IF($X130=""," · Falta concepto","")&amp;IF(OR($Z130="",NOT(ISNUMBER($Z130)),$Z130&lt;=0)," · Monto inválido","")&amp;IF(AND($W130="Entrada",OR($X130="Retiro del propietario",$X130="Pago de préstamo",$X130="Otro egreso"))," · Tipo no coincide con el concepto","")&amp;IF(AND($W130="Salida",OR($X130="Aporte de capital",$X130="Préstamo recibido",$X130="Otro ingreso"))," · Tipo no coincide con el concepto",""),4,900)))</f>
        <v/>
      </c>
    </row>
    <row r="131">
      <c r="U131" s="51">
        <f>IF(COUNTA($V131:$Z131)=0,"","M-"&amp;TEXT(ROW()-6,"0000"))</f>
        <v/>
      </c>
      <c r="V131" s="41" t="n"/>
      <c r="W131" s="33" t="n"/>
      <c r="X131" s="33" t="n"/>
      <c r="Y131" s="33" t="n"/>
      <c r="Z131" s="36" t="n"/>
      <c r="AA131" s="33" t="n"/>
      <c r="AB131" s="33" t="n"/>
      <c r="AC131" s="51">
        <f>IF(COUNTA($V131,$W131,$X131,$Y131,$Z131)=0,"",IF(IF($V131=""," · Falta fecha","")&amp;IF($W131=""," · Falta tipo","")&amp;IF($X131=""," · Falta concepto","")&amp;IF(OR($Z131="",NOT(ISNUMBER($Z131)),$Z131&lt;=0)," · Monto inválido","")&amp;IF(AND($W131="Entrada",OR($X131="Retiro del propietario",$X131="Pago de préstamo",$X131="Otro egreso"))," · Tipo no coincide con el concepto","")&amp;IF(AND($W131="Salida",OR($X131="Aporte de capital",$X131="Préstamo recibido",$X131="Otro ingreso"))," · Tipo no coincide con el concepto","")="","OK",MID(IF($V131=""," · Falta fecha","")&amp;IF($W131=""," · Falta tipo","")&amp;IF($X131=""," · Falta concepto","")&amp;IF(OR($Z131="",NOT(ISNUMBER($Z131)),$Z131&lt;=0)," · Monto inválido","")&amp;IF(AND($W131="Entrada",OR($X131="Retiro del propietario",$X131="Pago de préstamo",$X131="Otro egreso"))," · Tipo no coincide con el concepto","")&amp;IF(AND($W131="Salida",OR($X131="Aporte de capital",$X131="Préstamo recibido",$X131="Otro ingreso"))," · Tipo no coincide con el concepto",""),4,900)))</f>
        <v/>
      </c>
    </row>
    <row r="132">
      <c r="U132" s="51">
        <f>IF(COUNTA($V132:$Z132)=0,"","M-"&amp;TEXT(ROW()-6,"0000"))</f>
        <v/>
      </c>
      <c r="V132" s="41" t="n"/>
      <c r="W132" s="33" t="n"/>
      <c r="X132" s="33" t="n"/>
      <c r="Y132" s="33" t="n"/>
      <c r="Z132" s="36" t="n"/>
      <c r="AA132" s="33" t="n"/>
      <c r="AB132" s="33" t="n"/>
      <c r="AC132" s="51">
        <f>IF(COUNTA($V132,$W132,$X132,$Y132,$Z132)=0,"",IF(IF($V132=""," · Falta fecha","")&amp;IF($W132=""," · Falta tipo","")&amp;IF($X132=""," · Falta concepto","")&amp;IF(OR($Z132="",NOT(ISNUMBER($Z132)),$Z132&lt;=0)," · Monto inválido","")&amp;IF(AND($W132="Entrada",OR($X132="Retiro del propietario",$X132="Pago de préstamo",$X132="Otro egreso"))," · Tipo no coincide con el concepto","")&amp;IF(AND($W132="Salida",OR($X132="Aporte de capital",$X132="Préstamo recibido",$X132="Otro ingreso"))," · Tipo no coincide con el concepto","")="","OK",MID(IF($V132=""," · Falta fecha","")&amp;IF($W132=""," · Falta tipo","")&amp;IF($X132=""," · Falta concepto","")&amp;IF(OR($Z132="",NOT(ISNUMBER($Z132)),$Z132&lt;=0)," · Monto inválido","")&amp;IF(AND($W132="Entrada",OR($X132="Retiro del propietario",$X132="Pago de préstamo",$X132="Otro egreso"))," · Tipo no coincide con el concepto","")&amp;IF(AND($W132="Salida",OR($X132="Aporte de capital",$X132="Préstamo recibido",$X132="Otro ingreso"))," · Tipo no coincide con el concepto",""),4,900)))</f>
        <v/>
      </c>
    </row>
    <row r="133">
      <c r="U133" s="51">
        <f>IF(COUNTA($V133:$Z133)=0,"","M-"&amp;TEXT(ROW()-6,"0000"))</f>
        <v/>
      </c>
      <c r="V133" s="41" t="n"/>
      <c r="W133" s="33" t="n"/>
      <c r="X133" s="33" t="n"/>
      <c r="Y133" s="33" t="n"/>
      <c r="Z133" s="36" t="n"/>
      <c r="AA133" s="33" t="n"/>
      <c r="AB133" s="33" t="n"/>
      <c r="AC133" s="51">
        <f>IF(COUNTA($V133,$W133,$X133,$Y133,$Z133)=0,"",IF(IF($V133=""," · Falta fecha","")&amp;IF($W133=""," · Falta tipo","")&amp;IF($X133=""," · Falta concepto","")&amp;IF(OR($Z133="",NOT(ISNUMBER($Z133)),$Z133&lt;=0)," · Monto inválido","")&amp;IF(AND($W133="Entrada",OR($X133="Retiro del propietario",$X133="Pago de préstamo",$X133="Otro egreso"))," · Tipo no coincide con el concepto","")&amp;IF(AND($W133="Salida",OR($X133="Aporte de capital",$X133="Préstamo recibido",$X133="Otro ingreso"))," · Tipo no coincide con el concepto","")="","OK",MID(IF($V133=""," · Falta fecha","")&amp;IF($W133=""," · Falta tipo","")&amp;IF($X133=""," · Falta concepto","")&amp;IF(OR($Z133="",NOT(ISNUMBER($Z133)),$Z133&lt;=0)," · Monto inválido","")&amp;IF(AND($W133="Entrada",OR($X133="Retiro del propietario",$X133="Pago de préstamo",$X133="Otro egreso"))," · Tipo no coincide con el concepto","")&amp;IF(AND($W133="Salida",OR($X133="Aporte de capital",$X133="Préstamo recibido",$X133="Otro ingreso"))," · Tipo no coincide con el concepto",""),4,900)))</f>
        <v/>
      </c>
    </row>
    <row r="134">
      <c r="U134" s="51">
        <f>IF(COUNTA($V134:$Z134)=0,"","M-"&amp;TEXT(ROW()-6,"0000"))</f>
        <v/>
      </c>
      <c r="V134" s="41" t="n"/>
      <c r="W134" s="33" t="n"/>
      <c r="X134" s="33" t="n"/>
      <c r="Y134" s="33" t="n"/>
      <c r="Z134" s="36" t="n"/>
      <c r="AA134" s="33" t="n"/>
      <c r="AB134" s="33" t="n"/>
      <c r="AC134" s="51">
        <f>IF(COUNTA($V134,$W134,$X134,$Y134,$Z134)=0,"",IF(IF($V134=""," · Falta fecha","")&amp;IF($W134=""," · Falta tipo","")&amp;IF($X134=""," · Falta concepto","")&amp;IF(OR($Z134="",NOT(ISNUMBER($Z134)),$Z134&lt;=0)," · Monto inválido","")&amp;IF(AND($W134="Entrada",OR($X134="Retiro del propietario",$X134="Pago de préstamo",$X134="Otro egreso"))," · Tipo no coincide con el concepto","")&amp;IF(AND($W134="Salida",OR($X134="Aporte de capital",$X134="Préstamo recibido",$X134="Otro ingreso"))," · Tipo no coincide con el concepto","")="","OK",MID(IF($V134=""," · Falta fecha","")&amp;IF($W134=""," · Falta tipo","")&amp;IF($X134=""," · Falta concepto","")&amp;IF(OR($Z134="",NOT(ISNUMBER($Z134)),$Z134&lt;=0)," · Monto inválido","")&amp;IF(AND($W134="Entrada",OR($X134="Retiro del propietario",$X134="Pago de préstamo",$X134="Otro egreso"))," · Tipo no coincide con el concepto","")&amp;IF(AND($W134="Salida",OR($X134="Aporte de capital",$X134="Préstamo recibido",$X134="Otro ingreso"))," · Tipo no coincide con el concepto",""),4,900)))</f>
        <v/>
      </c>
    </row>
    <row r="135">
      <c r="U135" s="51">
        <f>IF(COUNTA($V135:$Z135)=0,"","M-"&amp;TEXT(ROW()-6,"0000"))</f>
        <v/>
      </c>
      <c r="V135" s="41" t="n"/>
      <c r="W135" s="33" t="n"/>
      <c r="X135" s="33" t="n"/>
      <c r="Y135" s="33" t="n"/>
      <c r="Z135" s="36" t="n"/>
      <c r="AA135" s="33" t="n"/>
      <c r="AB135" s="33" t="n"/>
      <c r="AC135" s="51">
        <f>IF(COUNTA($V135,$W135,$X135,$Y135,$Z135)=0,"",IF(IF($V135=""," · Falta fecha","")&amp;IF($W135=""," · Falta tipo","")&amp;IF($X135=""," · Falta concepto","")&amp;IF(OR($Z135="",NOT(ISNUMBER($Z135)),$Z135&lt;=0)," · Monto inválido","")&amp;IF(AND($W135="Entrada",OR($X135="Retiro del propietario",$X135="Pago de préstamo",$X135="Otro egreso"))," · Tipo no coincide con el concepto","")&amp;IF(AND($W135="Salida",OR($X135="Aporte de capital",$X135="Préstamo recibido",$X135="Otro ingreso"))," · Tipo no coincide con el concepto","")="","OK",MID(IF($V135=""," · Falta fecha","")&amp;IF($W135=""," · Falta tipo","")&amp;IF($X135=""," · Falta concepto","")&amp;IF(OR($Z135="",NOT(ISNUMBER($Z135)),$Z135&lt;=0)," · Monto inválido","")&amp;IF(AND($W135="Entrada",OR($X135="Retiro del propietario",$X135="Pago de préstamo",$X135="Otro egreso"))," · Tipo no coincide con el concepto","")&amp;IF(AND($W135="Salida",OR($X135="Aporte de capital",$X135="Préstamo recibido",$X135="Otro ingreso"))," · Tipo no coincide con el concepto",""),4,900)))</f>
        <v/>
      </c>
    </row>
    <row r="136">
      <c r="U136" s="51">
        <f>IF(COUNTA($V136:$Z136)=0,"","M-"&amp;TEXT(ROW()-6,"0000"))</f>
        <v/>
      </c>
      <c r="V136" s="41" t="n"/>
      <c r="W136" s="33" t="n"/>
      <c r="X136" s="33" t="n"/>
      <c r="Y136" s="33" t="n"/>
      <c r="Z136" s="36" t="n"/>
      <c r="AA136" s="33" t="n"/>
      <c r="AB136" s="33" t="n"/>
      <c r="AC136" s="51">
        <f>IF(COUNTA($V136,$W136,$X136,$Y136,$Z136)=0,"",IF(IF($V136=""," · Falta fecha","")&amp;IF($W136=""," · Falta tipo","")&amp;IF($X136=""," · Falta concepto","")&amp;IF(OR($Z136="",NOT(ISNUMBER($Z136)),$Z136&lt;=0)," · Monto inválido","")&amp;IF(AND($W136="Entrada",OR($X136="Retiro del propietario",$X136="Pago de préstamo",$X136="Otro egreso"))," · Tipo no coincide con el concepto","")&amp;IF(AND($W136="Salida",OR($X136="Aporte de capital",$X136="Préstamo recibido",$X136="Otro ingreso"))," · Tipo no coincide con el concepto","")="","OK",MID(IF($V136=""," · Falta fecha","")&amp;IF($W136=""," · Falta tipo","")&amp;IF($X136=""," · Falta concepto","")&amp;IF(OR($Z136="",NOT(ISNUMBER($Z136)),$Z136&lt;=0)," · Monto inválido","")&amp;IF(AND($W136="Entrada",OR($X136="Retiro del propietario",$X136="Pago de préstamo",$X136="Otro egreso"))," · Tipo no coincide con el concepto","")&amp;IF(AND($W136="Salida",OR($X136="Aporte de capital",$X136="Préstamo recibido",$X136="Otro ingreso"))," · Tipo no coincide con el concepto",""),4,900)))</f>
        <v/>
      </c>
    </row>
    <row r="137">
      <c r="U137" s="51">
        <f>IF(COUNTA($V137:$Z137)=0,"","M-"&amp;TEXT(ROW()-6,"0000"))</f>
        <v/>
      </c>
      <c r="V137" s="41" t="n"/>
      <c r="W137" s="33" t="n"/>
      <c r="X137" s="33" t="n"/>
      <c r="Y137" s="33" t="n"/>
      <c r="Z137" s="36" t="n"/>
      <c r="AA137" s="33" t="n"/>
      <c r="AB137" s="33" t="n"/>
      <c r="AC137" s="51">
        <f>IF(COUNTA($V137,$W137,$X137,$Y137,$Z137)=0,"",IF(IF($V137=""," · Falta fecha","")&amp;IF($W137=""," · Falta tipo","")&amp;IF($X137=""," · Falta concepto","")&amp;IF(OR($Z137="",NOT(ISNUMBER($Z137)),$Z137&lt;=0)," · Monto inválido","")&amp;IF(AND($W137="Entrada",OR($X137="Retiro del propietario",$X137="Pago de préstamo",$X137="Otro egreso"))," · Tipo no coincide con el concepto","")&amp;IF(AND($W137="Salida",OR($X137="Aporte de capital",$X137="Préstamo recibido",$X137="Otro ingreso"))," · Tipo no coincide con el concepto","")="","OK",MID(IF($V137=""," · Falta fecha","")&amp;IF($W137=""," · Falta tipo","")&amp;IF($X137=""," · Falta concepto","")&amp;IF(OR($Z137="",NOT(ISNUMBER($Z137)),$Z137&lt;=0)," · Monto inválido","")&amp;IF(AND($W137="Entrada",OR($X137="Retiro del propietario",$X137="Pago de préstamo",$X137="Otro egreso"))," · Tipo no coincide con el concepto","")&amp;IF(AND($W137="Salida",OR($X137="Aporte de capital",$X137="Préstamo recibido",$X137="Otro ingreso"))," · Tipo no coincide con el concepto",""),4,900)))</f>
        <v/>
      </c>
    </row>
    <row r="138">
      <c r="U138" s="51">
        <f>IF(COUNTA($V138:$Z138)=0,"","M-"&amp;TEXT(ROW()-6,"0000"))</f>
        <v/>
      </c>
      <c r="V138" s="41" t="n"/>
      <c r="W138" s="33" t="n"/>
      <c r="X138" s="33" t="n"/>
      <c r="Y138" s="33" t="n"/>
      <c r="Z138" s="36" t="n"/>
      <c r="AA138" s="33" t="n"/>
      <c r="AB138" s="33" t="n"/>
      <c r="AC138" s="51">
        <f>IF(COUNTA($V138,$W138,$X138,$Y138,$Z138)=0,"",IF(IF($V138=""," · Falta fecha","")&amp;IF($W138=""," · Falta tipo","")&amp;IF($X138=""," · Falta concepto","")&amp;IF(OR($Z138="",NOT(ISNUMBER($Z138)),$Z138&lt;=0)," · Monto inválido","")&amp;IF(AND($W138="Entrada",OR($X138="Retiro del propietario",$X138="Pago de préstamo",$X138="Otro egreso"))," · Tipo no coincide con el concepto","")&amp;IF(AND($W138="Salida",OR($X138="Aporte de capital",$X138="Préstamo recibido",$X138="Otro ingreso"))," · Tipo no coincide con el concepto","")="","OK",MID(IF($V138=""," · Falta fecha","")&amp;IF($W138=""," · Falta tipo","")&amp;IF($X138=""," · Falta concepto","")&amp;IF(OR($Z138="",NOT(ISNUMBER($Z138)),$Z138&lt;=0)," · Monto inválido","")&amp;IF(AND($W138="Entrada",OR($X138="Retiro del propietario",$X138="Pago de préstamo",$X138="Otro egreso"))," · Tipo no coincide con el concepto","")&amp;IF(AND($W138="Salida",OR($X138="Aporte de capital",$X138="Préstamo recibido",$X138="Otro ingreso"))," · Tipo no coincide con el concepto",""),4,900)))</f>
        <v/>
      </c>
    </row>
    <row r="139">
      <c r="U139" s="51">
        <f>IF(COUNTA($V139:$Z139)=0,"","M-"&amp;TEXT(ROW()-6,"0000"))</f>
        <v/>
      </c>
      <c r="V139" s="41" t="n"/>
      <c r="W139" s="33" t="n"/>
      <c r="X139" s="33" t="n"/>
      <c r="Y139" s="33" t="n"/>
      <c r="Z139" s="36" t="n"/>
      <c r="AA139" s="33" t="n"/>
      <c r="AB139" s="33" t="n"/>
      <c r="AC139" s="51">
        <f>IF(COUNTA($V139,$W139,$X139,$Y139,$Z139)=0,"",IF(IF($V139=""," · Falta fecha","")&amp;IF($W139=""," · Falta tipo","")&amp;IF($X139=""," · Falta concepto","")&amp;IF(OR($Z139="",NOT(ISNUMBER($Z139)),$Z139&lt;=0)," · Monto inválido","")&amp;IF(AND($W139="Entrada",OR($X139="Retiro del propietario",$X139="Pago de préstamo",$X139="Otro egreso"))," · Tipo no coincide con el concepto","")&amp;IF(AND($W139="Salida",OR($X139="Aporte de capital",$X139="Préstamo recibido",$X139="Otro ingreso"))," · Tipo no coincide con el concepto","")="","OK",MID(IF($V139=""," · Falta fecha","")&amp;IF($W139=""," · Falta tipo","")&amp;IF($X139=""," · Falta concepto","")&amp;IF(OR($Z139="",NOT(ISNUMBER($Z139)),$Z139&lt;=0)," · Monto inválido","")&amp;IF(AND($W139="Entrada",OR($X139="Retiro del propietario",$X139="Pago de préstamo",$X139="Otro egreso"))," · Tipo no coincide con el concepto","")&amp;IF(AND($W139="Salida",OR($X139="Aporte de capital",$X139="Préstamo recibido",$X139="Otro ingreso"))," · Tipo no coincide con el concepto",""),4,900)))</f>
        <v/>
      </c>
    </row>
    <row r="140">
      <c r="U140" s="51">
        <f>IF(COUNTA($V140:$Z140)=0,"","M-"&amp;TEXT(ROW()-6,"0000"))</f>
        <v/>
      </c>
      <c r="V140" s="41" t="n"/>
      <c r="W140" s="33" t="n"/>
      <c r="X140" s="33" t="n"/>
      <c r="Y140" s="33" t="n"/>
      <c r="Z140" s="36" t="n"/>
      <c r="AA140" s="33" t="n"/>
      <c r="AB140" s="33" t="n"/>
      <c r="AC140" s="51">
        <f>IF(COUNTA($V140,$W140,$X140,$Y140,$Z140)=0,"",IF(IF($V140=""," · Falta fecha","")&amp;IF($W140=""," · Falta tipo","")&amp;IF($X140=""," · Falta concepto","")&amp;IF(OR($Z140="",NOT(ISNUMBER($Z140)),$Z140&lt;=0)," · Monto inválido","")&amp;IF(AND($W140="Entrada",OR($X140="Retiro del propietario",$X140="Pago de préstamo",$X140="Otro egreso"))," · Tipo no coincide con el concepto","")&amp;IF(AND($W140="Salida",OR($X140="Aporte de capital",$X140="Préstamo recibido",$X140="Otro ingreso"))," · Tipo no coincide con el concepto","")="","OK",MID(IF($V140=""," · Falta fecha","")&amp;IF($W140=""," · Falta tipo","")&amp;IF($X140=""," · Falta concepto","")&amp;IF(OR($Z140="",NOT(ISNUMBER($Z140)),$Z140&lt;=0)," · Monto inválido","")&amp;IF(AND($W140="Entrada",OR($X140="Retiro del propietario",$X140="Pago de préstamo",$X140="Otro egreso"))," · Tipo no coincide con el concepto","")&amp;IF(AND($W140="Salida",OR($X140="Aporte de capital",$X140="Préstamo recibido",$X140="Otro ingreso"))," · Tipo no coincide con el concepto",""),4,900)))</f>
        <v/>
      </c>
    </row>
    <row r="141">
      <c r="U141" s="51">
        <f>IF(COUNTA($V141:$Z141)=0,"","M-"&amp;TEXT(ROW()-6,"0000"))</f>
        <v/>
      </c>
      <c r="V141" s="41" t="n"/>
      <c r="W141" s="33" t="n"/>
      <c r="X141" s="33" t="n"/>
      <c r="Y141" s="33" t="n"/>
      <c r="Z141" s="36" t="n"/>
      <c r="AA141" s="33" t="n"/>
      <c r="AB141" s="33" t="n"/>
      <c r="AC141" s="51">
        <f>IF(COUNTA($V141,$W141,$X141,$Y141,$Z141)=0,"",IF(IF($V141=""," · Falta fecha","")&amp;IF($W141=""," · Falta tipo","")&amp;IF($X141=""," · Falta concepto","")&amp;IF(OR($Z141="",NOT(ISNUMBER($Z141)),$Z141&lt;=0)," · Monto inválido","")&amp;IF(AND($W141="Entrada",OR($X141="Retiro del propietario",$X141="Pago de préstamo",$X141="Otro egreso"))," · Tipo no coincide con el concepto","")&amp;IF(AND($W141="Salida",OR($X141="Aporte de capital",$X141="Préstamo recibido",$X141="Otro ingreso"))," · Tipo no coincide con el concepto","")="","OK",MID(IF($V141=""," · Falta fecha","")&amp;IF($W141=""," · Falta tipo","")&amp;IF($X141=""," · Falta concepto","")&amp;IF(OR($Z141="",NOT(ISNUMBER($Z141)),$Z141&lt;=0)," · Monto inválido","")&amp;IF(AND($W141="Entrada",OR($X141="Retiro del propietario",$X141="Pago de préstamo",$X141="Otro egreso"))," · Tipo no coincide con el concepto","")&amp;IF(AND($W141="Salida",OR($X141="Aporte de capital",$X141="Préstamo recibido",$X141="Otro ingreso"))," · Tipo no coincide con el concepto",""),4,900)))</f>
        <v/>
      </c>
    </row>
    <row r="142">
      <c r="U142" s="51">
        <f>IF(COUNTA($V142:$Z142)=0,"","M-"&amp;TEXT(ROW()-6,"0000"))</f>
        <v/>
      </c>
      <c r="V142" s="41" t="n"/>
      <c r="W142" s="33" t="n"/>
      <c r="X142" s="33" t="n"/>
      <c r="Y142" s="33" t="n"/>
      <c r="Z142" s="36" t="n"/>
      <c r="AA142" s="33" t="n"/>
      <c r="AB142" s="33" t="n"/>
      <c r="AC142" s="51">
        <f>IF(COUNTA($V142,$W142,$X142,$Y142,$Z142)=0,"",IF(IF($V142=""," · Falta fecha","")&amp;IF($W142=""," · Falta tipo","")&amp;IF($X142=""," · Falta concepto","")&amp;IF(OR($Z142="",NOT(ISNUMBER($Z142)),$Z142&lt;=0)," · Monto inválido","")&amp;IF(AND($W142="Entrada",OR($X142="Retiro del propietario",$X142="Pago de préstamo",$X142="Otro egreso"))," · Tipo no coincide con el concepto","")&amp;IF(AND($W142="Salida",OR($X142="Aporte de capital",$X142="Préstamo recibido",$X142="Otro ingreso"))," · Tipo no coincide con el concepto","")="","OK",MID(IF($V142=""," · Falta fecha","")&amp;IF($W142=""," · Falta tipo","")&amp;IF($X142=""," · Falta concepto","")&amp;IF(OR($Z142="",NOT(ISNUMBER($Z142)),$Z142&lt;=0)," · Monto inválido","")&amp;IF(AND($W142="Entrada",OR($X142="Retiro del propietario",$X142="Pago de préstamo",$X142="Otro egreso"))," · Tipo no coincide con el concepto","")&amp;IF(AND($W142="Salida",OR($X142="Aporte de capital",$X142="Préstamo recibido",$X142="Otro ingreso"))," · Tipo no coincide con el concepto",""),4,900)))</f>
        <v/>
      </c>
    </row>
    <row r="143">
      <c r="U143" s="51">
        <f>IF(COUNTA($V143:$Z143)=0,"","M-"&amp;TEXT(ROW()-6,"0000"))</f>
        <v/>
      </c>
      <c r="V143" s="41" t="n"/>
      <c r="W143" s="33" t="n"/>
      <c r="X143" s="33" t="n"/>
      <c r="Y143" s="33" t="n"/>
      <c r="Z143" s="36" t="n"/>
      <c r="AA143" s="33" t="n"/>
      <c r="AB143" s="33" t="n"/>
      <c r="AC143" s="51">
        <f>IF(COUNTA($V143,$W143,$X143,$Y143,$Z143)=0,"",IF(IF($V143=""," · Falta fecha","")&amp;IF($W143=""," · Falta tipo","")&amp;IF($X143=""," · Falta concepto","")&amp;IF(OR($Z143="",NOT(ISNUMBER($Z143)),$Z143&lt;=0)," · Monto inválido","")&amp;IF(AND($W143="Entrada",OR($X143="Retiro del propietario",$X143="Pago de préstamo",$X143="Otro egreso"))," · Tipo no coincide con el concepto","")&amp;IF(AND($W143="Salida",OR($X143="Aporte de capital",$X143="Préstamo recibido",$X143="Otro ingreso"))," · Tipo no coincide con el concepto","")="","OK",MID(IF($V143=""," · Falta fecha","")&amp;IF($W143=""," · Falta tipo","")&amp;IF($X143=""," · Falta concepto","")&amp;IF(OR($Z143="",NOT(ISNUMBER($Z143)),$Z143&lt;=0)," · Monto inválido","")&amp;IF(AND($W143="Entrada",OR($X143="Retiro del propietario",$X143="Pago de préstamo",$X143="Otro egreso"))," · Tipo no coincide con el concepto","")&amp;IF(AND($W143="Salida",OR($X143="Aporte de capital",$X143="Préstamo recibido",$X143="Otro ingreso"))," · Tipo no coincide con el concepto",""),4,900)))</f>
        <v/>
      </c>
    </row>
    <row r="144">
      <c r="U144" s="51">
        <f>IF(COUNTA($V144:$Z144)=0,"","M-"&amp;TEXT(ROW()-6,"0000"))</f>
        <v/>
      </c>
      <c r="V144" s="41" t="n"/>
      <c r="W144" s="33" t="n"/>
      <c r="X144" s="33" t="n"/>
      <c r="Y144" s="33" t="n"/>
      <c r="Z144" s="36" t="n"/>
      <c r="AA144" s="33" t="n"/>
      <c r="AB144" s="33" t="n"/>
      <c r="AC144" s="51">
        <f>IF(COUNTA($V144,$W144,$X144,$Y144,$Z144)=0,"",IF(IF($V144=""," · Falta fecha","")&amp;IF($W144=""," · Falta tipo","")&amp;IF($X144=""," · Falta concepto","")&amp;IF(OR($Z144="",NOT(ISNUMBER($Z144)),$Z144&lt;=0)," · Monto inválido","")&amp;IF(AND($W144="Entrada",OR($X144="Retiro del propietario",$X144="Pago de préstamo",$X144="Otro egreso"))," · Tipo no coincide con el concepto","")&amp;IF(AND($W144="Salida",OR($X144="Aporte de capital",$X144="Préstamo recibido",$X144="Otro ingreso"))," · Tipo no coincide con el concepto","")="","OK",MID(IF($V144=""," · Falta fecha","")&amp;IF($W144=""," · Falta tipo","")&amp;IF($X144=""," · Falta concepto","")&amp;IF(OR($Z144="",NOT(ISNUMBER($Z144)),$Z144&lt;=0)," · Monto inválido","")&amp;IF(AND($W144="Entrada",OR($X144="Retiro del propietario",$X144="Pago de préstamo",$X144="Otro egreso"))," · Tipo no coincide con el concepto","")&amp;IF(AND($W144="Salida",OR($X144="Aporte de capital",$X144="Préstamo recibido",$X144="Otro ingreso"))," · Tipo no coincide con el concepto",""),4,900)))</f>
        <v/>
      </c>
    </row>
    <row r="145">
      <c r="U145" s="51">
        <f>IF(COUNTA($V145:$Z145)=0,"","M-"&amp;TEXT(ROW()-6,"0000"))</f>
        <v/>
      </c>
      <c r="V145" s="41" t="n"/>
      <c r="W145" s="33" t="n"/>
      <c r="X145" s="33" t="n"/>
      <c r="Y145" s="33" t="n"/>
      <c r="Z145" s="36" t="n"/>
      <c r="AA145" s="33" t="n"/>
      <c r="AB145" s="33" t="n"/>
      <c r="AC145" s="51">
        <f>IF(COUNTA($V145,$W145,$X145,$Y145,$Z145)=0,"",IF(IF($V145=""," · Falta fecha","")&amp;IF($W145=""," · Falta tipo","")&amp;IF($X145=""," · Falta concepto","")&amp;IF(OR($Z145="",NOT(ISNUMBER($Z145)),$Z145&lt;=0)," · Monto inválido","")&amp;IF(AND($W145="Entrada",OR($X145="Retiro del propietario",$X145="Pago de préstamo",$X145="Otro egreso"))," · Tipo no coincide con el concepto","")&amp;IF(AND($W145="Salida",OR($X145="Aporte de capital",$X145="Préstamo recibido",$X145="Otro ingreso"))," · Tipo no coincide con el concepto","")="","OK",MID(IF($V145=""," · Falta fecha","")&amp;IF($W145=""," · Falta tipo","")&amp;IF($X145=""," · Falta concepto","")&amp;IF(OR($Z145="",NOT(ISNUMBER($Z145)),$Z145&lt;=0)," · Monto inválido","")&amp;IF(AND($W145="Entrada",OR($X145="Retiro del propietario",$X145="Pago de préstamo",$X145="Otro egreso"))," · Tipo no coincide con el concepto","")&amp;IF(AND($W145="Salida",OR($X145="Aporte de capital",$X145="Préstamo recibido",$X145="Otro ingreso"))," · Tipo no coincide con el concepto",""),4,900)))</f>
        <v/>
      </c>
    </row>
    <row r="146">
      <c r="U146" s="51">
        <f>IF(COUNTA($V146:$Z146)=0,"","M-"&amp;TEXT(ROW()-6,"0000"))</f>
        <v/>
      </c>
      <c r="V146" s="41" t="n"/>
      <c r="W146" s="33" t="n"/>
      <c r="X146" s="33" t="n"/>
      <c r="Y146" s="33" t="n"/>
      <c r="Z146" s="36" t="n"/>
      <c r="AA146" s="33" t="n"/>
      <c r="AB146" s="33" t="n"/>
      <c r="AC146" s="51">
        <f>IF(COUNTA($V146,$W146,$X146,$Y146,$Z146)=0,"",IF(IF($V146=""," · Falta fecha","")&amp;IF($W146=""," · Falta tipo","")&amp;IF($X146=""," · Falta concepto","")&amp;IF(OR($Z146="",NOT(ISNUMBER($Z146)),$Z146&lt;=0)," · Monto inválido","")&amp;IF(AND($W146="Entrada",OR($X146="Retiro del propietario",$X146="Pago de préstamo",$X146="Otro egreso"))," · Tipo no coincide con el concepto","")&amp;IF(AND($W146="Salida",OR($X146="Aporte de capital",$X146="Préstamo recibido",$X146="Otro ingreso"))," · Tipo no coincide con el concepto","")="","OK",MID(IF($V146=""," · Falta fecha","")&amp;IF($W146=""," · Falta tipo","")&amp;IF($X146=""," · Falta concepto","")&amp;IF(OR($Z146="",NOT(ISNUMBER($Z146)),$Z146&lt;=0)," · Monto inválido","")&amp;IF(AND($W146="Entrada",OR($X146="Retiro del propietario",$X146="Pago de préstamo",$X146="Otro egreso"))," · Tipo no coincide con el concepto","")&amp;IF(AND($W146="Salida",OR($X146="Aporte de capital",$X146="Préstamo recibido",$X146="Otro ingreso"))," · Tipo no coincide con el concepto",""),4,900)))</f>
        <v/>
      </c>
    </row>
    <row r="147">
      <c r="U147" s="51">
        <f>IF(COUNTA($V147:$Z147)=0,"","M-"&amp;TEXT(ROW()-6,"0000"))</f>
        <v/>
      </c>
      <c r="V147" s="41" t="n"/>
      <c r="W147" s="33" t="n"/>
      <c r="X147" s="33" t="n"/>
      <c r="Y147" s="33" t="n"/>
      <c r="Z147" s="36" t="n"/>
      <c r="AA147" s="33" t="n"/>
      <c r="AB147" s="33" t="n"/>
      <c r="AC147" s="51">
        <f>IF(COUNTA($V147,$W147,$X147,$Y147,$Z147)=0,"",IF(IF($V147=""," · Falta fecha","")&amp;IF($W147=""," · Falta tipo","")&amp;IF($X147=""," · Falta concepto","")&amp;IF(OR($Z147="",NOT(ISNUMBER($Z147)),$Z147&lt;=0)," · Monto inválido","")&amp;IF(AND($W147="Entrada",OR($X147="Retiro del propietario",$X147="Pago de préstamo",$X147="Otro egreso"))," · Tipo no coincide con el concepto","")&amp;IF(AND($W147="Salida",OR($X147="Aporte de capital",$X147="Préstamo recibido",$X147="Otro ingreso"))," · Tipo no coincide con el concepto","")="","OK",MID(IF($V147=""," · Falta fecha","")&amp;IF($W147=""," · Falta tipo","")&amp;IF($X147=""," · Falta concepto","")&amp;IF(OR($Z147="",NOT(ISNUMBER($Z147)),$Z147&lt;=0)," · Monto inválido","")&amp;IF(AND($W147="Entrada",OR($X147="Retiro del propietario",$X147="Pago de préstamo",$X147="Otro egreso"))," · Tipo no coincide con el concepto","")&amp;IF(AND($W147="Salida",OR($X147="Aporte de capital",$X147="Préstamo recibido",$X147="Otro ingreso"))," · Tipo no coincide con el concepto",""),4,900)))</f>
        <v/>
      </c>
    </row>
    <row r="148">
      <c r="U148" s="51">
        <f>IF(COUNTA($V148:$Z148)=0,"","M-"&amp;TEXT(ROW()-6,"0000"))</f>
        <v/>
      </c>
      <c r="V148" s="41" t="n"/>
      <c r="W148" s="33" t="n"/>
      <c r="X148" s="33" t="n"/>
      <c r="Y148" s="33" t="n"/>
      <c r="Z148" s="36" t="n"/>
      <c r="AA148" s="33" t="n"/>
      <c r="AB148" s="33" t="n"/>
      <c r="AC148" s="51">
        <f>IF(COUNTA($V148,$W148,$X148,$Y148,$Z148)=0,"",IF(IF($V148=""," · Falta fecha","")&amp;IF($W148=""," · Falta tipo","")&amp;IF($X148=""," · Falta concepto","")&amp;IF(OR($Z148="",NOT(ISNUMBER($Z148)),$Z148&lt;=0)," · Monto inválido","")&amp;IF(AND($W148="Entrada",OR($X148="Retiro del propietario",$X148="Pago de préstamo",$X148="Otro egreso"))," · Tipo no coincide con el concepto","")&amp;IF(AND($W148="Salida",OR($X148="Aporte de capital",$X148="Préstamo recibido",$X148="Otro ingreso"))," · Tipo no coincide con el concepto","")="","OK",MID(IF($V148=""," · Falta fecha","")&amp;IF($W148=""," · Falta tipo","")&amp;IF($X148=""," · Falta concepto","")&amp;IF(OR($Z148="",NOT(ISNUMBER($Z148)),$Z148&lt;=0)," · Monto inválido","")&amp;IF(AND($W148="Entrada",OR($X148="Retiro del propietario",$X148="Pago de préstamo",$X148="Otro egreso"))," · Tipo no coincide con el concepto","")&amp;IF(AND($W148="Salida",OR($X148="Aporte de capital",$X148="Préstamo recibido",$X148="Otro ingreso"))," · Tipo no coincide con el concepto",""),4,900)))</f>
        <v/>
      </c>
    </row>
    <row r="149">
      <c r="U149" s="51">
        <f>IF(COUNTA($V149:$Z149)=0,"","M-"&amp;TEXT(ROW()-6,"0000"))</f>
        <v/>
      </c>
      <c r="V149" s="41" t="n"/>
      <c r="W149" s="33" t="n"/>
      <c r="X149" s="33" t="n"/>
      <c r="Y149" s="33" t="n"/>
      <c r="Z149" s="36" t="n"/>
      <c r="AA149" s="33" t="n"/>
      <c r="AB149" s="33" t="n"/>
      <c r="AC149" s="51">
        <f>IF(COUNTA($V149,$W149,$X149,$Y149,$Z149)=0,"",IF(IF($V149=""," · Falta fecha","")&amp;IF($W149=""," · Falta tipo","")&amp;IF($X149=""," · Falta concepto","")&amp;IF(OR($Z149="",NOT(ISNUMBER($Z149)),$Z149&lt;=0)," · Monto inválido","")&amp;IF(AND($W149="Entrada",OR($X149="Retiro del propietario",$X149="Pago de préstamo",$X149="Otro egreso"))," · Tipo no coincide con el concepto","")&amp;IF(AND($W149="Salida",OR($X149="Aporte de capital",$X149="Préstamo recibido",$X149="Otro ingreso"))," · Tipo no coincide con el concepto","")="","OK",MID(IF($V149=""," · Falta fecha","")&amp;IF($W149=""," · Falta tipo","")&amp;IF($X149=""," · Falta concepto","")&amp;IF(OR($Z149="",NOT(ISNUMBER($Z149)),$Z149&lt;=0)," · Monto inválido","")&amp;IF(AND($W149="Entrada",OR($X149="Retiro del propietario",$X149="Pago de préstamo",$X149="Otro egreso"))," · Tipo no coincide con el concepto","")&amp;IF(AND($W149="Salida",OR($X149="Aporte de capital",$X149="Préstamo recibido",$X149="Otro ingreso"))," · Tipo no coincide con el concepto",""),4,900)))</f>
        <v/>
      </c>
    </row>
    <row r="150">
      <c r="U150" s="51">
        <f>IF(COUNTA($V150:$Z150)=0,"","M-"&amp;TEXT(ROW()-6,"0000"))</f>
        <v/>
      </c>
      <c r="V150" s="41" t="n"/>
      <c r="W150" s="33" t="n"/>
      <c r="X150" s="33" t="n"/>
      <c r="Y150" s="33" t="n"/>
      <c r="Z150" s="36" t="n"/>
      <c r="AA150" s="33" t="n"/>
      <c r="AB150" s="33" t="n"/>
      <c r="AC150" s="51">
        <f>IF(COUNTA($V150,$W150,$X150,$Y150,$Z150)=0,"",IF(IF($V150=""," · Falta fecha","")&amp;IF($W150=""," · Falta tipo","")&amp;IF($X150=""," · Falta concepto","")&amp;IF(OR($Z150="",NOT(ISNUMBER($Z150)),$Z150&lt;=0)," · Monto inválido","")&amp;IF(AND($W150="Entrada",OR($X150="Retiro del propietario",$X150="Pago de préstamo",$X150="Otro egreso"))," · Tipo no coincide con el concepto","")&amp;IF(AND($W150="Salida",OR($X150="Aporte de capital",$X150="Préstamo recibido",$X150="Otro ingreso"))," · Tipo no coincide con el concepto","")="","OK",MID(IF($V150=""," · Falta fecha","")&amp;IF($W150=""," · Falta tipo","")&amp;IF($X150=""," · Falta concepto","")&amp;IF(OR($Z150="",NOT(ISNUMBER($Z150)),$Z150&lt;=0)," · Monto inválido","")&amp;IF(AND($W150="Entrada",OR($X150="Retiro del propietario",$X150="Pago de préstamo",$X150="Otro egreso"))," · Tipo no coincide con el concepto","")&amp;IF(AND($W150="Salida",OR($X150="Aporte de capital",$X150="Préstamo recibido",$X150="Otro ingreso"))," · Tipo no coincide con el concepto",""),4,900)))</f>
        <v/>
      </c>
    </row>
    <row r="151">
      <c r="U151" s="51">
        <f>IF(COUNTA($V151:$Z151)=0,"","M-"&amp;TEXT(ROW()-6,"0000"))</f>
        <v/>
      </c>
      <c r="V151" s="41" t="n"/>
      <c r="W151" s="33" t="n"/>
      <c r="X151" s="33" t="n"/>
      <c r="Y151" s="33" t="n"/>
      <c r="Z151" s="36" t="n"/>
      <c r="AA151" s="33" t="n"/>
      <c r="AB151" s="33" t="n"/>
      <c r="AC151" s="51">
        <f>IF(COUNTA($V151,$W151,$X151,$Y151,$Z151)=0,"",IF(IF($V151=""," · Falta fecha","")&amp;IF($W151=""," · Falta tipo","")&amp;IF($X151=""," · Falta concepto","")&amp;IF(OR($Z151="",NOT(ISNUMBER($Z151)),$Z151&lt;=0)," · Monto inválido","")&amp;IF(AND($W151="Entrada",OR($X151="Retiro del propietario",$X151="Pago de préstamo",$X151="Otro egreso"))," · Tipo no coincide con el concepto","")&amp;IF(AND($W151="Salida",OR($X151="Aporte de capital",$X151="Préstamo recibido",$X151="Otro ingreso"))," · Tipo no coincide con el concepto","")="","OK",MID(IF($V151=""," · Falta fecha","")&amp;IF($W151=""," · Falta tipo","")&amp;IF($X151=""," · Falta concepto","")&amp;IF(OR($Z151="",NOT(ISNUMBER($Z151)),$Z151&lt;=0)," · Monto inválido","")&amp;IF(AND($W151="Entrada",OR($X151="Retiro del propietario",$X151="Pago de préstamo",$X151="Otro egreso"))," · Tipo no coincide con el concepto","")&amp;IF(AND($W151="Salida",OR($X151="Aporte de capital",$X151="Préstamo recibido",$X151="Otro ingreso"))," · Tipo no coincide con el concepto",""),4,900)))</f>
        <v/>
      </c>
    </row>
    <row r="152">
      <c r="U152" s="51">
        <f>IF(COUNTA($V152:$Z152)=0,"","M-"&amp;TEXT(ROW()-6,"0000"))</f>
        <v/>
      </c>
      <c r="V152" s="41" t="n"/>
      <c r="W152" s="33" t="n"/>
      <c r="X152" s="33" t="n"/>
      <c r="Y152" s="33" t="n"/>
      <c r="Z152" s="36" t="n"/>
      <c r="AA152" s="33" t="n"/>
      <c r="AB152" s="33" t="n"/>
      <c r="AC152" s="51">
        <f>IF(COUNTA($V152,$W152,$X152,$Y152,$Z152)=0,"",IF(IF($V152=""," · Falta fecha","")&amp;IF($W152=""," · Falta tipo","")&amp;IF($X152=""," · Falta concepto","")&amp;IF(OR($Z152="",NOT(ISNUMBER($Z152)),$Z152&lt;=0)," · Monto inválido","")&amp;IF(AND($W152="Entrada",OR($X152="Retiro del propietario",$X152="Pago de préstamo",$X152="Otro egreso"))," · Tipo no coincide con el concepto","")&amp;IF(AND($W152="Salida",OR($X152="Aporte de capital",$X152="Préstamo recibido",$X152="Otro ingreso"))," · Tipo no coincide con el concepto","")="","OK",MID(IF($V152=""," · Falta fecha","")&amp;IF($W152=""," · Falta tipo","")&amp;IF($X152=""," · Falta concepto","")&amp;IF(OR($Z152="",NOT(ISNUMBER($Z152)),$Z152&lt;=0)," · Monto inválido","")&amp;IF(AND($W152="Entrada",OR($X152="Retiro del propietario",$X152="Pago de préstamo",$X152="Otro egreso"))," · Tipo no coincide con el concepto","")&amp;IF(AND($W152="Salida",OR($X152="Aporte de capital",$X152="Préstamo recibido",$X152="Otro ingreso"))," · Tipo no coincide con el concepto",""),4,900)))</f>
        <v/>
      </c>
    </row>
    <row r="153">
      <c r="U153" s="51">
        <f>IF(COUNTA($V153:$Z153)=0,"","M-"&amp;TEXT(ROW()-6,"0000"))</f>
        <v/>
      </c>
      <c r="V153" s="41" t="n"/>
      <c r="W153" s="33" t="n"/>
      <c r="X153" s="33" t="n"/>
      <c r="Y153" s="33" t="n"/>
      <c r="Z153" s="36" t="n"/>
      <c r="AA153" s="33" t="n"/>
      <c r="AB153" s="33" t="n"/>
      <c r="AC153" s="51">
        <f>IF(COUNTA($V153,$W153,$X153,$Y153,$Z153)=0,"",IF(IF($V153=""," · Falta fecha","")&amp;IF($W153=""," · Falta tipo","")&amp;IF($X153=""," · Falta concepto","")&amp;IF(OR($Z153="",NOT(ISNUMBER($Z153)),$Z153&lt;=0)," · Monto inválido","")&amp;IF(AND($W153="Entrada",OR($X153="Retiro del propietario",$X153="Pago de préstamo",$X153="Otro egreso"))," · Tipo no coincide con el concepto","")&amp;IF(AND($W153="Salida",OR($X153="Aporte de capital",$X153="Préstamo recibido",$X153="Otro ingreso"))," · Tipo no coincide con el concepto","")="","OK",MID(IF($V153=""," · Falta fecha","")&amp;IF($W153=""," · Falta tipo","")&amp;IF($X153=""," · Falta concepto","")&amp;IF(OR($Z153="",NOT(ISNUMBER($Z153)),$Z153&lt;=0)," · Monto inválido","")&amp;IF(AND($W153="Entrada",OR($X153="Retiro del propietario",$X153="Pago de préstamo",$X153="Otro egreso"))," · Tipo no coincide con el concepto","")&amp;IF(AND($W153="Salida",OR($X153="Aporte de capital",$X153="Préstamo recibido",$X153="Otro ingreso"))," · Tipo no coincide con el concepto",""),4,900)))</f>
        <v/>
      </c>
    </row>
    <row r="154">
      <c r="U154" s="51">
        <f>IF(COUNTA($V154:$Z154)=0,"","M-"&amp;TEXT(ROW()-6,"0000"))</f>
        <v/>
      </c>
      <c r="V154" s="41" t="n"/>
      <c r="W154" s="33" t="n"/>
      <c r="X154" s="33" t="n"/>
      <c r="Y154" s="33" t="n"/>
      <c r="Z154" s="36" t="n"/>
      <c r="AA154" s="33" t="n"/>
      <c r="AB154" s="33" t="n"/>
      <c r="AC154" s="51">
        <f>IF(COUNTA($V154,$W154,$X154,$Y154,$Z154)=0,"",IF(IF($V154=""," · Falta fecha","")&amp;IF($W154=""," · Falta tipo","")&amp;IF($X154=""," · Falta concepto","")&amp;IF(OR($Z154="",NOT(ISNUMBER($Z154)),$Z154&lt;=0)," · Monto inválido","")&amp;IF(AND($W154="Entrada",OR($X154="Retiro del propietario",$X154="Pago de préstamo",$X154="Otro egreso"))," · Tipo no coincide con el concepto","")&amp;IF(AND($W154="Salida",OR($X154="Aporte de capital",$X154="Préstamo recibido",$X154="Otro ingreso"))," · Tipo no coincide con el concepto","")="","OK",MID(IF($V154=""," · Falta fecha","")&amp;IF($W154=""," · Falta tipo","")&amp;IF($X154=""," · Falta concepto","")&amp;IF(OR($Z154="",NOT(ISNUMBER($Z154)),$Z154&lt;=0)," · Monto inválido","")&amp;IF(AND($W154="Entrada",OR($X154="Retiro del propietario",$X154="Pago de préstamo",$X154="Otro egreso"))," · Tipo no coincide con el concepto","")&amp;IF(AND($W154="Salida",OR($X154="Aporte de capital",$X154="Préstamo recibido",$X154="Otro ingreso"))," · Tipo no coincide con el concepto",""),4,900)))</f>
        <v/>
      </c>
    </row>
    <row r="155">
      <c r="U155" s="51">
        <f>IF(COUNTA($V155:$Z155)=0,"","M-"&amp;TEXT(ROW()-6,"0000"))</f>
        <v/>
      </c>
      <c r="V155" s="41" t="n"/>
      <c r="W155" s="33" t="n"/>
      <c r="X155" s="33" t="n"/>
      <c r="Y155" s="33" t="n"/>
      <c r="Z155" s="36" t="n"/>
      <c r="AA155" s="33" t="n"/>
      <c r="AB155" s="33" t="n"/>
      <c r="AC155" s="51">
        <f>IF(COUNTA($V155,$W155,$X155,$Y155,$Z155)=0,"",IF(IF($V155=""," · Falta fecha","")&amp;IF($W155=""," · Falta tipo","")&amp;IF($X155=""," · Falta concepto","")&amp;IF(OR($Z155="",NOT(ISNUMBER($Z155)),$Z155&lt;=0)," · Monto inválido","")&amp;IF(AND($W155="Entrada",OR($X155="Retiro del propietario",$X155="Pago de préstamo",$X155="Otro egreso"))," · Tipo no coincide con el concepto","")&amp;IF(AND($W155="Salida",OR($X155="Aporte de capital",$X155="Préstamo recibido",$X155="Otro ingreso"))," · Tipo no coincide con el concepto","")="","OK",MID(IF($V155=""," · Falta fecha","")&amp;IF($W155=""," · Falta tipo","")&amp;IF($X155=""," · Falta concepto","")&amp;IF(OR($Z155="",NOT(ISNUMBER($Z155)),$Z155&lt;=0)," · Monto inválido","")&amp;IF(AND($W155="Entrada",OR($X155="Retiro del propietario",$X155="Pago de préstamo",$X155="Otro egreso"))," · Tipo no coincide con el concepto","")&amp;IF(AND($W155="Salida",OR($X155="Aporte de capital",$X155="Préstamo recibido",$X155="Otro ingreso"))," · Tipo no coincide con el concepto",""),4,900)))</f>
        <v/>
      </c>
    </row>
    <row r="156">
      <c r="U156" s="51">
        <f>IF(COUNTA($V156:$Z156)=0,"","M-"&amp;TEXT(ROW()-6,"0000"))</f>
        <v/>
      </c>
      <c r="V156" s="41" t="n"/>
      <c r="W156" s="33" t="n"/>
      <c r="X156" s="33" t="n"/>
      <c r="Y156" s="33" t="n"/>
      <c r="Z156" s="36" t="n"/>
      <c r="AA156" s="33" t="n"/>
      <c r="AB156" s="33" t="n"/>
      <c r="AC156" s="51">
        <f>IF(COUNTA($V156,$W156,$X156,$Y156,$Z156)=0,"",IF(IF($V156=""," · Falta fecha","")&amp;IF($W156=""," · Falta tipo","")&amp;IF($X156=""," · Falta concepto","")&amp;IF(OR($Z156="",NOT(ISNUMBER($Z156)),$Z156&lt;=0)," · Monto inválido","")&amp;IF(AND($W156="Entrada",OR($X156="Retiro del propietario",$X156="Pago de préstamo",$X156="Otro egreso"))," · Tipo no coincide con el concepto","")&amp;IF(AND($W156="Salida",OR($X156="Aporte de capital",$X156="Préstamo recibido",$X156="Otro ingreso"))," · Tipo no coincide con el concepto","")="","OK",MID(IF($V156=""," · Falta fecha","")&amp;IF($W156=""," · Falta tipo","")&amp;IF($X156=""," · Falta concepto","")&amp;IF(OR($Z156="",NOT(ISNUMBER($Z156)),$Z156&lt;=0)," · Monto inválido","")&amp;IF(AND($W156="Entrada",OR($X156="Retiro del propietario",$X156="Pago de préstamo",$X156="Otro egreso"))," · Tipo no coincide con el concepto","")&amp;IF(AND($W156="Salida",OR($X156="Aporte de capital",$X156="Préstamo recibido",$X156="Otro ingreso"))," · Tipo no coincide con el concepto",""),4,900)))</f>
        <v/>
      </c>
    </row>
    <row r="157">
      <c r="U157" s="51">
        <f>IF(COUNTA($V157:$Z157)=0,"","M-"&amp;TEXT(ROW()-6,"0000"))</f>
        <v/>
      </c>
      <c r="V157" s="41" t="n"/>
      <c r="W157" s="33" t="n"/>
      <c r="X157" s="33" t="n"/>
      <c r="Y157" s="33" t="n"/>
      <c r="Z157" s="36" t="n"/>
      <c r="AA157" s="33" t="n"/>
      <c r="AB157" s="33" t="n"/>
      <c r="AC157" s="51">
        <f>IF(COUNTA($V157,$W157,$X157,$Y157,$Z157)=0,"",IF(IF($V157=""," · Falta fecha","")&amp;IF($W157=""," · Falta tipo","")&amp;IF($X157=""," · Falta concepto","")&amp;IF(OR($Z157="",NOT(ISNUMBER($Z157)),$Z157&lt;=0)," · Monto inválido","")&amp;IF(AND($W157="Entrada",OR($X157="Retiro del propietario",$X157="Pago de préstamo",$X157="Otro egreso"))," · Tipo no coincide con el concepto","")&amp;IF(AND($W157="Salida",OR($X157="Aporte de capital",$X157="Préstamo recibido",$X157="Otro ingreso"))," · Tipo no coincide con el concepto","")="","OK",MID(IF($V157=""," · Falta fecha","")&amp;IF($W157=""," · Falta tipo","")&amp;IF($X157=""," · Falta concepto","")&amp;IF(OR($Z157="",NOT(ISNUMBER($Z157)),$Z157&lt;=0)," · Monto inválido","")&amp;IF(AND($W157="Entrada",OR($X157="Retiro del propietario",$X157="Pago de préstamo",$X157="Otro egreso"))," · Tipo no coincide con el concepto","")&amp;IF(AND($W157="Salida",OR($X157="Aporte de capital",$X157="Préstamo recibido",$X157="Otro ingreso"))," · Tipo no coincide con el concepto",""),4,900)))</f>
        <v/>
      </c>
    </row>
    <row r="158">
      <c r="U158" s="51">
        <f>IF(COUNTA($V158:$Z158)=0,"","M-"&amp;TEXT(ROW()-6,"0000"))</f>
        <v/>
      </c>
      <c r="V158" s="41" t="n"/>
      <c r="W158" s="33" t="n"/>
      <c r="X158" s="33" t="n"/>
      <c r="Y158" s="33" t="n"/>
      <c r="Z158" s="36" t="n"/>
      <c r="AA158" s="33" t="n"/>
      <c r="AB158" s="33" t="n"/>
      <c r="AC158" s="51">
        <f>IF(COUNTA($V158,$W158,$X158,$Y158,$Z158)=0,"",IF(IF($V158=""," · Falta fecha","")&amp;IF($W158=""," · Falta tipo","")&amp;IF($X158=""," · Falta concepto","")&amp;IF(OR($Z158="",NOT(ISNUMBER($Z158)),$Z158&lt;=0)," · Monto inválido","")&amp;IF(AND($W158="Entrada",OR($X158="Retiro del propietario",$X158="Pago de préstamo",$X158="Otro egreso"))," · Tipo no coincide con el concepto","")&amp;IF(AND($W158="Salida",OR($X158="Aporte de capital",$X158="Préstamo recibido",$X158="Otro ingreso"))," · Tipo no coincide con el concepto","")="","OK",MID(IF($V158=""," · Falta fecha","")&amp;IF($W158=""," · Falta tipo","")&amp;IF($X158=""," · Falta concepto","")&amp;IF(OR($Z158="",NOT(ISNUMBER($Z158)),$Z158&lt;=0)," · Monto inválido","")&amp;IF(AND($W158="Entrada",OR($X158="Retiro del propietario",$X158="Pago de préstamo",$X158="Otro egreso"))," · Tipo no coincide con el concepto","")&amp;IF(AND($W158="Salida",OR($X158="Aporte de capital",$X158="Préstamo recibido",$X158="Otro ingreso"))," · Tipo no coincide con el concepto",""),4,900)))</f>
        <v/>
      </c>
    </row>
    <row r="159">
      <c r="U159" s="51">
        <f>IF(COUNTA($V159:$Z159)=0,"","M-"&amp;TEXT(ROW()-6,"0000"))</f>
        <v/>
      </c>
      <c r="V159" s="41" t="n"/>
      <c r="W159" s="33" t="n"/>
      <c r="X159" s="33" t="n"/>
      <c r="Y159" s="33" t="n"/>
      <c r="Z159" s="36" t="n"/>
      <c r="AA159" s="33" t="n"/>
      <c r="AB159" s="33" t="n"/>
      <c r="AC159" s="51">
        <f>IF(COUNTA($V159,$W159,$X159,$Y159,$Z159)=0,"",IF(IF($V159=""," · Falta fecha","")&amp;IF($W159=""," · Falta tipo","")&amp;IF($X159=""," · Falta concepto","")&amp;IF(OR($Z159="",NOT(ISNUMBER($Z159)),$Z159&lt;=0)," · Monto inválido","")&amp;IF(AND($W159="Entrada",OR($X159="Retiro del propietario",$X159="Pago de préstamo",$X159="Otro egreso"))," · Tipo no coincide con el concepto","")&amp;IF(AND($W159="Salida",OR($X159="Aporte de capital",$X159="Préstamo recibido",$X159="Otro ingreso"))," · Tipo no coincide con el concepto","")="","OK",MID(IF($V159=""," · Falta fecha","")&amp;IF($W159=""," · Falta tipo","")&amp;IF($X159=""," · Falta concepto","")&amp;IF(OR($Z159="",NOT(ISNUMBER($Z159)),$Z159&lt;=0)," · Monto inválido","")&amp;IF(AND($W159="Entrada",OR($X159="Retiro del propietario",$X159="Pago de préstamo",$X159="Otro egreso"))," · Tipo no coincide con el concepto","")&amp;IF(AND($W159="Salida",OR($X159="Aporte de capital",$X159="Préstamo recibido",$X159="Otro ingreso"))," · Tipo no coincide con el concepto",""),4,900)))</f>
        <v/>
      </c>
    </row>
    <row r="160">
      <c r="U160" s="51">
        <f>IF(COUNTA($V160:$Z160)=0,"","M-"&amp;TEXT(ROW()-6,"0000"))</f>
        <v/>
      </c>
      <c r="V160" s="41" t="n"/>
      <c r="W160" s="33" t="n"/>
      <c r="X160" s="33" t="n"/>
      <c r="Y160" s="33" t="n"/>
      <c r="Z160" s="36" t="n"/>
      <c r="AA160" s="33" t="n"/>
      <c r="AB160" s="33" t="n"/>
      <c r="AC160" s="51">
        <f>IF(COUNTA($V160,$W160,$X160,$Y160,$Z160)=0,"",IF(IF($V160=""," · Falta fecha","")&amp;IF($W160=""," · Falta tipo","")&amp;IF($X160=""," · Falta concepto","")&amp;IF(OR($Z160="",NOT(ISNUMBER($Z160)),$Z160&lt;=0)," · Monto inválido","")&amp;IF(AND($W160="Entrada",OR($X160="Retiro del propietario",$X160="Pago de préstamo",$X160="Otro egreso"))," · Tipo no coincide con el concepto","")&amp;IF(AND($W160="Salida",OR($X160="Aporte de capital",$X160="Préstamo recibido",$X160="Otro ingreso"))," · Tipo no coincide con el concepto","")="","OK",MID(IF($V160=""," · Falta fecha","")&amp;IF($W160=""," · Falta tipo","")&amp;IF($X160=""," · Falta concepto","")&amp;IF(OR($Z160="",NOT(ISNUMBER($Z160)),$Z160&lt;=0)," · Monto inválido","")&amp;IF(AND($W160="Entrada",OR($X160="Retiro del propietario",$X160="Pago de préstamo",$X160="Otro egreso"))," · Tipo no coincide con el concepto","")&amp;IF(AND($W160="Salida",OR($X160="Aporte de capital",$X160="Préstamo recibido",$X160="Otro ingreso"))," · Tipo no coincide con el concepto",""),4,900)))</f>
        <v/>
      </c>
    </row>
    <row r="161">
      <c r="U161" s="51">
        <f>IF(COUNTA($V161:$Z161)=0,"","M-"&amp;TEXT(ROW()-6,"0000"))</f>
        <v/>
      </c>
      <c r="V161" s="41" t="n"/>
      <c r="W161" s="33" t="n"/>
      <c r="X161" s="33" t="n"/>
      <c r="Y161" s="33" t="n"/>
      <c r="Z161" s="36" t="n"/>
      <c r="AA161" s="33" t="n"/>
      <c r="AB161" s="33" t="n"/>
      <c r="AC161" s="51">
        <f>IF(COUNTA($V161,$W161,$X161,$Y161,$Z161)=0,"",IF(IF($V161=""," · Falta fecha","")&amp;IF($W161=""," · Falta tipo","")&amp;IF($X161=""," · Falta concepto","")&amp;IF(OR($Z161="",NOT(ISNUMBER($Z161)),$Z161&lt;=0)," · Monto inválido","")&amp;IF(AND($W161="Entrada",OR($X161="Retiro del propietario",$X161="Pago de préstamo",$X161="Otro egreso"))," · Tipo no coincide con el concepto","")&amp;IF(AND($W161="Salida",OR($X161="Aporte de capital",$X161="Préstamo recibido",$X161="Otro ingreso"))," · Tipo no coincide con el concepto","")="","OK",MID(IF($V161=""," · Falta fecha","")&amp;IF($W161=""," · Falta tipo","")&amp;IF($X161=""," · Falta concepto","")&amp;IF(OR($Z161="",NOT(ISNUMBER($Z161)),$Z161&lt;=0)," · Monto inválido","")&amp;IF(AND($W161="Entrada",OR($X161="Retiro del propietario",$X161="Pago de préstamo",$X161="Otro egreso"))," · Tipo no coincide con el concepto","")&amp;IF(AND($W161="Salida",OR($X161="Aporte de capital",$X161="Préstamo recibido",$X161="Otro ingreso"))," · Tipo no coincide con el concepto",""),4,900)))</f>
        <v/>
      </c>
    </row>
    <row r="162">
      <c r="U162" s="51">
        <f>IF(COUNTA($V162:$Z162)=0,"","M-"&amp;TEXT(ROW()-6,"0000"))</f>
        <v/>
      </c>
      <c r="V162" s="41" t="n"/>
      <c r="W162" s="33" t="n"/>
      <c r="X162" s="33" t="n"/>
      <c r="Y162" s="33" t="n"/>
      <c r="Z162" s="36" t="n"/>
      <c r="AA162" s="33" t="n"/>
      <c r="AB162" s="33" t="n"/>
      <c r="AC162" s="51">
        <f>IF(COUNTA($V162,$W162,$X162,$Y162,$Z162)=0,"",IF(IF($V162=""," · Falta fecha","")&amp;IF($W162=""," · Falta tipo","")&amp;IF($X162=""," · Falta concepto","")&amp;IF(OR($Z162="",NOT(ISNUMBER($Z162)),$Z162&lt;=0)," · Monto inválido","")&amp;IF(AND($W162="Entrada",OR($X162="Retiro del propietario",$X162="Pago de préstamo",$X162="Otro egreso"))," · Tipo no coincide con el concepto","")&amp;IF(AND($W162="Salida",OR($X162="Aporte de capital",$X162="Préstamo recibido",$X162="Otro ingreso"))," · Tipo no coincide con el concepto","")="","OK",MID(IF($V162=""," · Falta fecha","")&amp;IF($W162=""," · Falta tipo","")&amp;IF($X162=""," · Falta concepto","")&amp;IF(OR($Z162="",NOT(ISNUMBER($Z162)),$Z162&lt;=0)," · Monto inválido","")&amp;IF(AND($W162="Entrada",OR($X162="Retiro del propietario",$X162="Pago de préstamo",$X162="Otro egreso"))," · Tipo no coincide con el concepto","")&amp;IF(AND($W162="Salida",OR($X162="Aporte de capital",$X162="Préstamo recibido",$X162="Otro ingreso"))," · Tipo no coincide con el concepto",""),4,900)))</f>
        <v/>
      </c>
    </row>
    <row r="163">
      <c r="U163" s="51">
        <f>IF(COUNTA($V163:$Z163)=0,"","M-"&amp;TEXT(ROW()-6,"0000"))</f>
        <v/>
      </c>
      <c r="V163" s="41" t="n"/>
      <c r="W163" s="33" t="n"/>
      <c r="X163" s="33" t="n"/>
      <c r="Y163" s="33" t="n"/>
      <c r="Z163" s="36" t="n"/>
      <c r="AA163" s="33" t="n"/>
      <c r="AB163" s="33" t="n"/>
      <c r="AC163" s="51">
        <f>IF(COUNTA($V163,$W163,$X163,$Y163,$Z163)=0,"",IF(IF($V163=""," · Falta fecha","")&amp;IF($W163=""," · Falta tipo","")&amp;IF($X163=""," · Falta concepto","")&amp;IF(OR($Z163="",NOT(ISNUMBER($Z163)),$Z163&lt;=0)," · Monto inválido","")&amp;IF(AND($W163="Entrada",OR($X163="Retiro del propietario",$X163="Pago de préstamo",$X163="Otro egreso"))," · Tipo no coincide con el concepto","")&amp;IF(AND($W163="Salida",OR($X163="Aporte de capital",$X163="Préstamo recibido",$X163="Otro ingreso"))," · Tipo no coincide con el concepto","")="","OK",MID(IF($V163=""," · Falta fecha","")&amp;IF($W163=""," · Falta tipo","")&amp;IF($X163=""," · Falta concepto","")&amp;IF(OR($Z163="",NOT(ISNUMBER($Z163)),$Z163&lt;=0)," · Monto inválido","")&amp;IF(AND($W163="Entrada",OR($X163="Retiro del propietario",$X163="Pago de préstamo",$X163="Otro egreso"))," · Tipo no coincide con el concepto","")&amp;IF(AND($W163="Salida",OR($X163="Aporte de capital",$X163="Préstamo recibido",$X163="Otro ingreso"))," · Tipo no coincide con el concepto",""),4,900)))</f>
        <v/>
      </c>
    </row>
    <row r="164">
      <c r="U164" s="51">
        <f>IF(COUNTA($V164:$Z164)=0,"","M-"&amp;TEXT(ROW()-6,"0000"))</f>
        <v/>
      </c>
      <c r="V164" s="41" t="n"/>
      <c r="W164" s="33" t="n"/>
      <c r="X164" s="33" t="n"/>
      <c r="Y164" s="33" t="n"/>
      <c r="Z164" s="36" t="n"/>
      <c r="AA164" s="33" t="n"/>
      <c r="AB164" s="33" t="n"/>
      <c r="AC164" s="51">
        <f>IF(COUNTA($V164,$W164,$X164,$Y164,$Z164)=0,"",IF(IF($V164=""," · Falta fecha","")&amp;IF($W164=""," · Falta tipo","")&amp;IF($X164=""," · Falta concepto","")&amp;IF(OR($Z164="",NOT(ISNUMBER($Z164)),$Z164&lt;=0)," · Monto inválido","")&amp;IF(AND($W164="Entrada",OR($X164="Retiro del propietario",$X164="Pago de préstamo",$X164="Otro egreso"))," · Tipo no coincide con el concepto","")&amp;IF(AND($W164="Salida",OR($X164="Aporte de capital",$X164="Préstamo recibido",$X164="Otro ingreso"))," · Tipo no coincide con el concepto","")="","OK",MID(IF($V164=""," · Falta fecha","")&amp;IF($W164=""," · Falta tipo","")&amp;IF($X164=""," · Falta concepto","")&amp;IF(OR($Z164="",NOT(ISNUMBER($Z164)),$Z164&lt;=0)," · Monto inválido","")&amp;IF(AND($W164="Entrada",OR($X164="Retiro del propietario",$X164="Pago de préstamo",$X164="Otro egreso"))," · Tipo no coincide con el concepto","")&amp;IF(AND($W164="Salida",OR($X164="Aporte de capital",$X164="Préstamo recibido",$X164="Otro ingreso"))," · Tipo no coincide con el concepto",""),4,900)))</f>
        <v/>
      </c>
    </row>
    <row r="165">
      <c r="U165" s="51">
        <f>IF(COUNTA($V165:$Z165)=0,"","M-"&amp;TEXT(ROW()-6,"0000"))</f>
        <v/>
      </c>
      <c r="V165" s="41" t="n"/>
      <c r="W165" s="33" t="n"/>
      <c r="X165" s="33" t="n"/>
      <c r="Y165" s="33" t="n"/>
      <c r="Z165" s="36" t="n"/>
      <c r="AA165" s="33" t="n"/>
      <c r="AB165" s="33" t="n"/>
      <c r="AC165" s="51">
        <f>IF(COUNTA($V165,$W165,$X165,$Y165,$Z165)=0,"",IF(IF($V165=""," · Falta fecha","")&amp;IF($W165=""," · Falta tipo","")&amp;IF($X165=""," · Falta concepto","")&amp;IF(OR($Z165="",NOT(ISNUMBER($Z165)),$Z165&lt;=0)," · Monto inválido","")&amp;IF(AND($W165="Entrada",OR($X165="Retiro del propietario",$X165="Pago de préstamo",$X165="Otro egreso"))," · Tipo no coincide con el concepto","")&amp;IF(AND($W165="Salida",OR($X165="Aporte de capital",$X165="Préstamo recibido",$X165="Otro ingreso"))," · Tipo no coincide con el concepto","")="","OK",MID(IF($V165=""," · Falta fecha","")&amp;IF($W165=""," · Falta tipo","")&amp;IF($X165=""," · Falta concepto","")&amp;IF(OR($Z165="",NOT(ISNUMBER($Z165)),$Z165&lt;=0)," · Monto inválido","")&amp;IF(AND($W165="Entrada",OR($X165="Retiro del propietario",$X165="Pago de préstamo",$X165="Otro egreso"))," · Tipo no coincide con el concepto","")&amp;IF(AND($W165="Salida",OR($X165="Aporte de capital",$X165="Préstamo recibido",$X165="Otro ingreso"))," · Tipo no coincide con el concepto",""),4,900)))</f>
        <v/>
      </c>
    </row>
    <row r="166">
      <c r="U166" s="51">
        <f>IF(COUNTA($V166:$Z166)=0,"","M-"&amp;TEXT(ROW()-6,"0000"))</f>
        <v/>
      </c>
      <c r="V166" s="41" t="n"/>
      <c r="W166" s="33" t="n"/>
      <c r="X166" s="33" t="n"/>
      <c r="Y166" s="33" t="n"/>
      <c r="Z166" s="36" t="n"/>
      <c r="AA166" s="33" t="n"/>
      <c r="AB166" s="33" t="n"/>
      <c r="AC166" s="51">
        <f>IF(COUNTA($V166,$W166,$X166,$Y166,$Z166)=0,"",IF(IF($V166=""," · Falta fecha","")&amp;IF($W166=""," · Falta tipo","")&amp;IF($X166=""," · Falta concepto","")&amp;IF(OR($Z166="",NOT(ISNUMBER($Z166)),$Z166&lt;=0)," · Monto inválido","")&amp;IF(AND($W166="Entrada",OR($X166="Retiro del propietario",$X166="Pago de préstamo",$X166="Otro egreso"))," · Tipo no coincide con el concepto","")&amp;IF(AND($W166="Salida",OR($X166="Aporte de capital",$X166="Préstamo recibido",$X166="Otro ingreso"))," · Tipo no coincide con el concepto","")="","OK",MID(IF($V166=""," · Falta fecha","")&amp;IF($W166=""," · Falta tipo","")&amp;IF($X166=""," · Falta concepto","")&amp;IF(OR($Z166="",NOT(ISNUMBER($Z166)),$Z166&lt;=0)," · Monto inválido","")&amp;IF(AND($W166="Entrada",OR($X166="Retiro del propietario",$X166="Pago de préstamo",$X166="Otro egreso"))," · Tipo no coincide con el concepto","")&amp;IF(AND($W166="Salida",OR($X166="Aporte de capital",$X166="Préstamo recibido",$X166="Otro ingreso"))," · Tipo no coincide con el concepto",""),4,900)))</f>
        <v/>
      </c>
    </row>
    <row r="167">
      <c r="U167" s="51">
        <f>IF(COUNTA($V167:$Z167)=0,"","M-"&amp;TEXT(ROW()-6,"0000"))</f>
        <v/>
      </c>
      <c r="V167" s="41" t="n"/>
      <c r="W167" s="33" t="n"/>
      <c r="X167" s="33" t="n"/>
      <c r="Y167" s="33" t="n"/>
      <c r="Z167" s="36" t="n"/>
      <c r="AA167" s="33" t="n"/>
      <c r="AB167" s="33" t="n"/>
      <c r="AC167" s="51">
        <f>IF(COUNTA($V167,$W167,$X167,$Y167,$Z167)=0,"",IF(IF($V167=""," · Falta fecha","")&amp;IF($W167=""," · Falta tipo","")&amp;IF($X167=""," · Falta concepto","")&amp;IF(OR($Z167="",NOT(ISNUMBER($Z167)),$Z167&lt;=0)," · Monto inválido","")&amp;IF(AND($W167="Entrada",OR($X167="Retiro del propietario",$X167="Pago de préstamo",$X167="Otro egreso"))," · Tipo no coincide con el concepto","")&amp;IF(AND($W167="Salida",OR($X167="Aporte de capital",$X167="Préstamo recibido",$X167="Otro ingreso"))," · Tipo no coincide con el concepto","")="","OK",MID(IF($V167=""," · Falta fecha","")&amp;IF($W167=""," · Falta tipo","")&amp;IF($X167=""," · Falta concepto","")&amp;IF(OR($Z167="",NOT(ISNUMBER($Z167)),$Z167&lt;=0)," · Monto inválido","")&amp;IF(AND($W167="Entrada",OR($X167="Retiro del propietario",$X167="Pago de préstamo",$X167="Otro egreso"))," · Tipo no coincide con el concepto","")&amp;IF(AND($W167="Salida",OR($X167="Aporte de capital",$X167="Préstamo recibido",$X167="Otro ingreso"))," · Tipo no coincide con el concepto",""),4,900)))</f>
        <v/>
      </c>
    </row>
    <row r="168">
      <c r="U168" s="51">
        <f>IF(COUNTA($V168:$Z168)=0,"","M-"&amp;TEXT(ROW()-6,"0000"))</f>
        <v/>
      </c>
      <c r="V168" s="41" t="n"/>
      <c r="W168" s="33" t="n"/>
      <c r="X168" s="33" t="n"/>
      <c r="Y168" s="33" t="n"/>
      <c r="Z168" s="36" t="n"/>
      <c r="AA168" s="33" t="n"/>
      <c r="AB168" s="33" t="n"/>
      <c r="AC168" s="51">
        <f>IF(COUNTA($V168,$W168,$X168,$Y168,$Z168)=0,"",IF(IF($V168=""," · Falta fecha","")&amp;IF($W168=""," · Falta tipo","")&amp;IF($X168=""," · Falta concepto","")&amp;IF(OR($Z168="",NOT(ISNUMBER($Z168)),$Z168&lt;=0)," · Monto inválido","")&amp;IF(AND($W168="Entrada",OR($X168="Retiro del propietario",$X168="Pago de préstamo",$X168="Otro egreso"))," · Tipo no coincide con el concepto","")&amp;IF(AND($W168="Salida",OR($X168="Aporte de capital",$X168="Préstamo recibido",$X168="Otro ingreso"))," · Tipo no coincide con el concepto","")="","OK",MID(IF($V168=""," · Falta fecha","")&amp;IF($W168=""," · Falta tipo","")&amp;IF($X168=""," · Falta concepto","")&amp;IF(OR($Z168="",NOT(ISNUMBER($Z168)),$Z168&lt;=0)," · Monto inválido","")&amp;IF(AND($W168="Entrada",OR($X168="Retiro del propietario",$X168="Pago de préstamo",$X168="Otro egreso"))," · Tipo no coincide con el concepto","")&amp;IF(AND($W168="Salida",OR($X168="Aporte de capital",$X168="Préstamo recibido",$X168="Otro ingreso"))," · Tipo no coincide con el concepto",""),4,900)))</f>
        <v/>
      </c>
    </row>
    <row r="169">
      <c r="U169" s="51">
        <f>IF(COUNTA($V169:$Z169)=0,"","M-"&amp;TEXT(ROW()-6,"0000"))</f>
        <v/>
      </c>
      <c r="V169" s="41" t="n"/>
      <c r="W169" s="33" t="n"/>
      <c r="X169" s="33" t="n"/>
      <c r="Y169" s="33" t="n"/>
      <c r="Z169" s="36" t="n"/>
      <c r="AA169" s="33" t="n"/>
      <c r="AB169" s="33" t="n"/>
      <c r="AC169" s="51">
        <f>IF(COUNTA($V169,$W169,$X169,$Y169,$Z169)=0,"",IF(IF($V169=""," · Falta fecha","")&amp;IF($W169=""," · Falta tipo","")&amp;IF($X169=""," · Falta concepto","")&amp;IF(OR($Z169="",NOT(ISNUMBER($Z169)),$Z169&lt;=0)," · Monto inválido","")&amp;IF(AND($W169="Entrada",OR($X169="Retiro del propietario",$X169="Pago de préstamo",$X169="Otro egreso"))," · Tipo no coincide con el concepto","")&amp;IF(AND($W169="Salida",OR($X169="Aporte de capital",$X169="Préstamo recibido",$X169="Otro ingreso"))," · Tipo no coincide con el concepto","")="","OK",MID(IF($V169=""," · Falta fecha","")&amp;IF($W169=""," · Falta tipo","")&amp;IF($X169=""," · Falta concepto","")&amp;IF(OR($Z169="",NOT(ISNUMBER($Z169)),$Z169&lt;=0)," · Monto inválido","")&amp;IF(AND($W169="Entrada",OR($X169="Retiro del propietario",$X169="Pago de préstamo",$X169="Otro egreso"))," · Tipo no coincide con el concepto","")&amp;IF(AND($W169="Salida",OR($X169="Aporte de capital",$X169="Préstamo recibido",$X169="Otro ingreso"))," · Tipo no coincide con el concepto",""),4,900)))</f>
        <v/>
      </c>
    </row>
    <row r="170">
      <c r="U170" s="51">
        <f>IF(COUNTA($V170:$Z170)=0,"","M-"&amp;TEXT(ROW()-6,"0000"))</f>
        <v/>
      </c>
      <c r="V170" s="41" t="n"/>
      <c r="W170" s="33" t="n"/>
      <c r="X170" s="33" t="n"/>
      <c r="Y170" s="33" t="n"/>
      <c r="Z170" s="36" t="n"/>
      <c r="AA170" s="33" t="n"/>
      <c r="AB170" s="33" t="n"/>
      <c r="AC170" s="51">
        <f>IF(COUNTA($V170,$W170,$X170,$Y170,$Z170)=0,"",IF(IF($V170=""," · Falta fecha","")&amp;IF($W170=""," · Falta tipo","")&amp;IF($X170=""," · Falta concepto","")&amp;IF(OR($Z170="",NOT(ISNUMBER($Z170)),$Z170&lt;=0)," · Monto inválido","")&amp;IF(AND($W170="Entrada",OR($X170="Retiro del propietario",$X170="Pago de préstamo",$X170="Otro egreso"))," · Tipo no coincide con el concepto","")&amp;IF(AND($W170="Salida",OR($X170="Aporte de capital",$X170="Préstamo recibido",$X170="Otro ingreso"))," · Tipo no coincide con el concepto","")="","OK",MID(IF($V170=""," · Falta fecha","")&amp;IF($W170=""," · Falta tipo","")&amp;IF($X170=""," · Falta concepto","")&amp;IF(OR($Z170="",NOT(ISNUMBER($Z170)),$Z170&lt;=0)," · Monto inválido","")&amp;IF(AND($W170="Entrada",OR($X170="Retiro del propietario",$X170="Pago de préstamo",$X170="Otro egreso"))," · Tipo no coincide con el concepto","")&amp;IF(AND($W170="Salida",OR($X170="Aporte de capital",$X170="Préstamo recibido",$X170="Otro ingreso"))," · Tipo no coincide con el concepto",""),4,900)))</f>
        <v/>
      </c>
    </row>
    <row r="171">
      <c r="U171" s="51">
        <f>IF(COUNTA($V171:$Z171)=0,"","M-"&amp;TEXT(ROW()-6,"0000"))</f>
        <v/>
      </c>
      <c r="V171" s="41" t="n"/>
      <c r="W171" s="33" t="n"/>
      <c r="X171" s="33" t="n"/>
      <c r="Y171" s="33" t="n"/>
      <c r="Z171" s="36" t="n"/>
      <c r="AA171" s="33" t="n"/>
      <c r="AB171" s="33" t="n"/>
      <c r="AC171" s="51">
        <f>IF(COUNTA($V171,$W171,$X171,$Y171,$Z171)=0,"",IF(IF($V171=""," · Falta fecha","")&amp;IF($W171=""," · Falta tipo","")&amp;IF($X171=""," · Falta concepto","")&amp;IF(OR($Z171="",NOT(ISNUMBER($Z171)),$Z171&lt;=0)," · Monto inválido","")&amp;IF(AND($W171="Entrada",OR($X171="Retiro del propietario",$X171="Pago de préstamo",$X171="Otro egreso"))," · Tipo no coincide con el concepto","")&amp;IF(AND($W171="Salida",OR($X171="Aporte de capital",$X171="Préstamo recibido",$X171="Otro ingreso"))," · Tipo no coincide con el concepto","")="","OK",MID(IF($V171=""," · Falta fecha","")&amp;IF($W171=""," · Falta tipo","")&amp;IF($X171=""," · Falta concepto","")&amp;IF(OR($Z171="",NOT(ISNUMBER($Z171)),$Z171&lt;=0)," · Monto inválido","")&amp;IF(AND($W171="Entrada",OR($X171="Retiro del propietario",$X171="Pago de préstamo",$X171="Otro egreso"))," · Tipo no coincide con el concepto","")&amp;IF(AND($W171="Salida",OR($X171="Aporte de capital",$X171="Préstamo recibido",$X171="Otro ingreso"))," · Tipo no coincide con el concepto",""),4,900)))</f>
        <v/>
      </c>
    </row>
    <row r="172">
      <c r="U172" s="51">
        <f>IF(COUNTA($V172:$Z172)=0,"","M-"&amp;TEXT(ROW()-6,"0000"))</f>
        <v/>
      </c>
      <c r="V172" s="41" t="n"/>
      <c r="W172" s="33" t="n"/>
      <c r="X172" s="33" t="n"/>
      <c r="Y172" s="33" t="n"/>
      <c r="Z172" s="36" t="n"/>
      <c r="AA172" s="33" t="n"/>
      <c r="AB172" s="33" t="n"/>
      <c r="AC172" s="51">
        <f>IF(COUNTA($V172,$W172,$X172,$Y172,$Z172)=0,"",IF(IF($V172=""," · Falta fecha","")&amp;IF($W172=""," · Falta tipo","")&amp;IF($X172=""," · Falta concepto","")&amp;IF(OR($Z172="",NOT(ISNUMBER($Z172)),$Z172&lt;=0)," · Monto inválido","")&amp;IF(AND($W172="Entrada",OR($X172="Retiro del propietario",$X172="Pago de préstamo",$X172="Otro egreso"))," · Tipo no coincide con el concepto","")&amp;IF(AND($W172="Salida",OR($X172="Aporte de capital",$X172="Préstamo recibido",$X172="Otro ingreso"))," · Tipo no coincide con el concepto","")="","OK",MID(IF($V172=""," · Falta fecha","")&amp;IF($W172=""," · Falta tipo","")&amp;IF($X172=""," · Falta concepto","")&amp;IF(OR($Z172="",NOT(ISNUMBER($Z172)),$Z172&lt;=0)," · Monto inválido","")&amp;IF(AND($W172="Entrada",OR($X172="Retiro del propietario",$X172="Pago de préstamo",$X172="Otro egreso"))," · Tipo no coincide con el concepto","")&amp;IF(AND($W172="Salida",OR($X172="Aporte de capital",$X172="Préstamo recibido",$X172="Otro ingreso"))," · Tipo no coincide con el concepto",""),4,900)))</f>
        <v/>
      </c>
    </row>
    <row r="173">
      <c r="U173" s="51">
        <f>IF(COUNTA($V173:$Z173)=0,"","M-"&amp;TEXT(ROW()-6,"0000"))</f>
        <v/>
      </c>
      <c r="V173" s="41" t="n"/>
      <c r="W173" s="33" t="n"/>
      <c r="X173" s="33" t="n"/>
      <c r="Y173" s="33" t="n"/>
      <c r="Z173" s="36" t="n"/>
      <c r="AA173" s="33" t="n"/>
      <c r="AB173" s="33" t="n"/>
      <c r="AC173" s="51">
        <f>IF(COUNTA($V173,$W173,$X173,$Y173,$Z173)=0,"",IF(IF($V173=""," · Falta fecha","")&amp;IF($W173=""," · Falta tipo","")&amp;IF($X173=""," · Falta concepto","")&amp;IF(OR($Z173="",NOT(ISNUMBER($Z173)),$Z173&lt;=0)," · Monto inválido","")&amp;IF(AND($W173="Entrada",OR($X173="Retiro del propietario",$X173="Pago de préstamo",$X173="Otro egreso"))," · Tipo no coincide con el concepto","")&amp;IF(AND($W173="Salida",OR($X173="Aporte de capital",$X173="Préstamo recibido",$X173="Otro ingreso"))," · Tipo no coincide con el concepto","")="","OK",MID(IF($V173=""," · Falta fecha","")&amp;IF($W173=""," · Falta tipo","")&amp;IF($X173=""," · Falta concepto","")&amp;IF(OR($Z173="",NOT(ISNUMBER($Z173)),$Z173&lt;=0)," · Monto inválido","")&amp;IF(AND($W173="Entrada",OR($X173="Retiro del propietario",$X173="Pago de préstamo",$X173="Otro egreso"))," · Tipo no coincide con el concepto","")&amp;IF(AND($W173="Salida",OR($X173="Aporte de capital",$X173="Préstamo recibido",$X173="Otro ingreso"))," · Tipo no coincide con el concepto",""),4,900)))</f>
        <v/>
      </c>
    </row>
    <row r="174">
      <c r="U174" s="51">
        <f>IF(COUNTA($V174:$Z174)=0,"","M-"&amp;TEXT(ROW()-6,"0000"))</f>
        <v/>
      </c>
      <c r="V174" s="41" t="n"/>
      <c r="W174" s="33" t="n"/>
      <c r="X174" s="33" t="n"/>
      <c r="Y174" s="33" t="n"/>
      <c r="Z174" s="36" t="n"/>
      <c r="AA174" s="33" t="n"/>
      <c r="AB174" s="33" t="n"/>
      <c r="AC174" s="51">
        <f>IF(COUNTA($V174,$W174,$X174,$Y174,$Z174)=0,"",IF(IF($V174=""," · Falta fecha","")&amp;IF($W174=""," · Falta tipo","")&amp;IF($X174=""," · Falta concepto","")&amp;IF(OR($Z174="",NOT(ISNUMBER($Z174)),$Z174&lt;=0)," · Monto inválido","")&amp;IF(AND($W174="Entrada",OR($X174="Retiro del propietario",$X174="Pago de préstamo",$X174="Otro egreso"))," · Tipo no coincide con el concepto","")&amp;IF(AND($W174="Salida",OR($X174="Aporte de capital",$X174="Préstamo recibido",$X174="Otro ingreso"))," · Tipo no coincide con el concepto","")="","OK",MID(IF($V174=""," · Falta fecha","")&amp;IF($W174=""," · Falta tipo","")&amp;IF($X174=""," · Falta concepto","")&amp;IF(OR($Z174="",NOT(ISNUMBER($Z174)),$Z174&lt;=0)," · Monto inválido","")&amp;IF(AND($W174="Entrada",OR($X174="Retiro del propietario",$X174="Pago de préstamo",$X174="Otro egreso"))," · Tipo no coincide con el concepto","")&amp;IF(AND($W174="Salida",OR($X174="Aporte de capital",$X174="Préstamo recibido",$X174="Otro ingreso"))," · Tipo no coincide con el concepto",""),4,900)))</f>
        <v/>
      </c>
    </row>
    <row r="175">
      <c r="U175" s="51">
        <f>IF(COUNTA($V175:$Z175)=0,"","M-"&amp;TEXT(ROW()-6,"0000"))</f>
        <v/>
      </c>
      <c r="V175" s="41" t="n"/>
      <c r="W175" s="33" t="n"/>
      <c r="X175" s="33" t="n"/>
      <c r="Y175" s="33" t="n"/>
      <c r="Z175" s="36" t="n"/>
      <c r="AA175" s="33" t="n"/>
      <c r="AB175" s="33" t="n"/>
      <c r="AC175" s="51">
        <f>IF(COUNTA($V175,$W175,$X175,$Y175,$Z175)=0,"",IF(IF($V175=""," · Falta fecha","")&amp;IF($W175=""," · Falta tipo","")&amp;IF($X175=""," · Falta concepto","")&amp;IF(OR($Z175="",NOT(ISNUMBER($Z175)),$Z175&lt;=0)," · Monto inválido","")&amp;IF(AND($W175="Entrada",OR($X175="Retiro del propietario",$X175="Pago de préstamo",$X175="Otro egreso"))," · Tipo no coincide con el concepto","")&amp;IF(AND($W175="Salida",OR($X175="Aporte de capital",$X175="Préstamo recibido",$X175="Otro ingreso"))," · Tipo no coincide con el concepto","")="","OK",MID(IF($V175=""," · Falta fecha","")&amp;IF($W175=""," · Falta tipo","")&amp;IF($X175=""," · Falta concepto","")&amp;IF(OR($Z175="",NOT(ISNUMBER($Z175)),$Z175&lt;=0)," · Monto inválido","")&amp;IF(AND($W175="Entrada",OR($X175="Retiro del propietario",$X175="Pago de préstamo",$X175="Otro egreso"))," · Tipo no coincide con el concepto","")&amp;IF(AND($W175="Salida",OR($X175="Aporte de capital",$X175="Préstamo recibido",$X175="Otro ingreso"))," · Tipo no coincide con el concepto",""),4,900)))</f>
        <v/>
      </c>
    </row>
    <row r="176">
      <c r="U176" s="51">
        <f>IF(COUNTA($V176:$Z176)=0,"","M-"&amp;TEXT(ROW()-6,"0000"))</f>
        <v/>
      </c>
      <c r="V176" s="41" t="n"/>
      <c r="W176" s="33" t="n"/>
      <c r="X176" s="33" t="n"/>
      <c r="Y176" s="33" t="n"/>
      <c r="Z176" s="36" t="n"/>
      <c r="AA176" s="33" t="n"/>
      <c r="AB176" s="33" t="n"/>
      <c r="AC176" s="51">
        <f>IF(COUNTA($V176,$W176,$X176,$Y176,$Z176)=0,"",IF(IF($V176=""," · Falta fecha","")&amp;IF($W176=""," · Falta tipo","")&amp;IF($X176=""," · Falta concepto","")&amp;IF(OR($Z176="",NOT(ISNUMBER($Z176)),$Z176&lt;=0)," · Monto inválido","")&amp;IF(AND($W176="Entrada",OR($X176="Retiro del propietario",$X176="Pago de préstamo",$X176="Otro egreso"))," · Tipo no coincide con el concepto","")&amp;IF(AND($W176="Salida",OR($X176="Aporte de capital",$X176="Préstamo recibido",$X176="Otro ingreso"))," · Tipo no coincide con el concepto","")="","OK",MID(IF($V176=""," · Falta fecha","")&amp;IF($W176=""," · Falta tipo","")&amp;IF($X176=""," · Falta concepto","")&amp;IF(OR($Z176="",NOT(ISNUMBER($Z176)),$Z176&lt;=0)," · Monto inválido","")&amp;IF(AND($W176="Entrada",OR($X176="Retiro del propietario",$X176="Pago de préstamo",$X176="Otro egreso"))," · Tipo no coincide con el concepto","")&amp;IF(AND($W176="Salida",OR($X176="Aporte de capital",$X176="Préstamo recibido",$X176="Otro ingreso"))," · Tipo no coincide con el concepto",""),4,900)))</f>
        <v/>
      </c>
    </row>
    <row r="177">
      <c r="U177" s="51">
        <f>IF(COUNTA($V177:$Z177)=0,"","M-"&amp;TEXT(ROW()-6,"0000"))</f>
        <v/>
      </c>
      <c r="V177" s="41" t="n"/>
      <c r="W177" s="33" t="n"/>
      <c r="X177" s="33" t="n"/>
      <c r="Y177" s="33" t="n"/>
      <c r="Z177" s="36" t="n"/>
      <c r="AA177" s="33" t="n"/>
      <c r="AB177" s="33" t="n"/>
      <c r="AC177" s="51">
        <f>IF(COUNTA($V177,$W177,$X177,$Y177,$Z177)=0,"",IF(IF($V177=""," · Falta fecha","")&amp;IF($W177=""," · Falta tipo","")&amp;IF($X177=""," · Falta concepto","")&amp;IF(OR($Z177="",NOT(ISNUMBER($Z177)),$Z177&lt;=0)," · Monto inválido","")&amp;IF(AND($W177="Entrada",OR($X177="Retiro del propietario",$X177="Pago de préstamo",$X177="Otro egreso"))," · Tipo no coincide con el concepto","")&amp;IF(AND($W177="Salida",OR($X177="Aporte de capital",$X177="Préstamo recibido",$X177="Otro ingreso"))," · Tipo no coincide con el concepto","")="","OK",MID(IF($V177=""," · Falta fecha","")&amp;IF($W177=""," · Falta tipo","")&amp;IF($X177=""," · Falta concepto","")&amp;IF(OR($Z177="",NOT(ISNUMBER($Z177)),$Z177&lt;=0)," · Monto inválido","")&amp;IF(AND($W177="Entrada",OR($X177="Retiro del propietario",$X177="Pago de préstamo",$X177="Otro egreso"))," · Tipo no coincide con el concepto","")&amp;IF(AND($W177="Salida",OR($X177="Aporte de capital",$X177="Préstamo recibido",$X177="Otro ingreso"))," · Tipo no coincide con el concepto",""),4,900)))</f>
        <v/>
      </c>
    </row>
    <row r="178">
      <c r="U178" s="51">
        <f>IF(COUNTA($V178:$Z178)=0,"","M-"&amp;TEXT(ROW()-6,"0000"))</f>
        <v/>
      </c>
      <c r="V178" s="41" t="n"/>
      <c r="W178" s="33" t="n"/>
      <c r="X178" s="33" t="n"/>
      <c r="Y178" s="33" t="n"/>
      <c r="Z178" s="36" t="n"/>
      <c r="AA178" s="33" t="n"/>
      <c r="AB178" s="33" t="n"/>
      <c r="AC178" s="51">
        <f>IF(COUNTA($V178,$W178,$X178,$Y178,$Z178)=0,"",IF(IF($V178=""," · Falta fecha","")&amp;IF($W178=""," · Falta tipo","")&amp;IF($X178=""," · Falta concepto","")&amp;IF(OR($Z178="",NOT(ISNUMBER($Z178)),$Z178&lt;=0)," · Monto inválido","")&amp;IF(AND($W178="Entrada",OR($X178="Retiro del propietario",$X178="Pago de préstamo",$X178="Otro egreso"))," · Tipo no coincide con el concepto","")&amp;IF(AND($W178="Salida",OR($X178="Aporte de capital",$X178="Préstamo recibido",$X178="Otro ingreso"))," · Tipo no coincide con el concepto","")="","OK",MID(IF($V178=""," · Falta fecha","")&amp;IF($W178=""," · Falta tipo","")&amp;IF($X178=""," · Falta concepto","")&amp;IF(OR($Z178="",NOT(ISNUMBER($Z178)),$Z178&lt;=0)," · Monto inválido","")&amp;IF(AND($W178="Entrada",OR($X178="Retiro del propietario",$X178="Pago de préstamo",$X178="Otro egreso"))," · Tipo no coincide con el concepto","")&amp;IF(AND($W178="Salida",OR($X178="Aporte de capital",$X178="Préstamo recibido",$X178="Otro ingreso"))," · Tipo no coincide con el concepto",""),4,900)))</f>
        <v/>
      </c>
    </row>
    <row r="179">
      <c r="U179" s="51">
        <f>IF(COUNTA($V179:$Z179)=0,"","M-"&amp;TEXT(ROW()-6,"0000"))</f>
        <v/>
      </c>
      <c r="V179" s="41" t="n"/>
      <c r="W179" s="33" t="n"/>
      <c r="X179" s="33" t="n"/>
      <c r="Y179" s="33" t="n"/>
      <c r="Z179" s="36" t="n"/>
      <c r="AA179" s="33" t="n"/>
      <c r="AB179" s="33" t="n"/>
      <c r="AC179" s="51">
        <f>IF(COUNTA($V179,$W179,$X179,$Y179,$Z179)=0,"",IF(IF($V179=""," · Falta fecha","")&amp;IF($W179=""," · Falta tipo","")&amp;IF($X179=""," · Falta concepto","")&amp;IF(OR($Z179="",NOT(ISNUMBER($Z179)),$Z179&lt;=0)," · Monto inválido","")&amp;IF(AND($W179="Entrada",OR($X179="Retiro del propietario",$X179="Pago de préstamo",$X179="Otro egreso"))," · Tipo no coincide con el concepto","")&amp;IF(AND($W179="Salida",OR($X179="Aporte de capital",$X179="Préstamo recibido",$X179="Otro ingreso"))," · Tipo no coincide con el concepto","")="","OK",MID(IF($V179=""," · Falta fecha","")&amp;IF($W179=""," · Falta tipo","")&amp;IF($X179=""," · Falta concepto","")&amp;IF(OR($Z179="",NOT(ISNUMBER($Z179)),$Z179&lt;=0)," · Monto inválido","")&amp;IF(AND($W179="Entrada",OR($X179="Retiro del propietario",$X179="Pago de préstamo",$X179="Otro egreso"))," · Tipo no coincide con el concepto","")&amp;IF(AND($W179="Salida",OR($X179="Aporte de capital",$X179="Préstamo recibido",$X179="Otro ingreso"))," · Tipo no coincide con el concepto",""),4,900)))</f>
        <v/>
      </c>
    </row>
    <row r="180">
      <c r="U180" s="51">
        <f>IF(COUNTA($V180:$Z180)=0,"","M-"&amp;TEXT(ROW()-6,"0000"))</f>
        <v/>
      </c>
      <c r="V180" s="41" t="n"/>
      <c r="W180" s="33" t="n"/>
      <c r="X180" s="33" t="n"/>
      <c r="Y180" s="33" t="n"/>
      <c r="Z180" s="36" t="n"/>
      <c r="AA180" s="33" t="n"/>
      <c r="AB180" s="33" t="n"/>
      <c r="AC180" s="51">
        <f>IF(COUNTA($V180,$W180,$X180,$Y180,$Z180)=0,"",IF(IF($V180=""," · Falta fecha","")&amp;IF($W180=""," · Falta tipo","")&amp;IF($X180=""," · Falta concepto","")&amp;IF(OR($Z180="",NOT(ISNUMBER($Z180)),$Z180&lt;=0)," · Monto inválido","")&amp;IF(AND($W180="Entrada",OR($X180="Retiro del propietario",$X180="Pago de préstamo",$X180="Otro egreso"))," · Tipo no coincide con el concepto","")&amp;IF(AND($W180="Salida",OR($X180="Aporte de capital",$X180="Préstamo recibido",$X180="Otro ingreso"))," · Tipo no coincide con el concepto","")="","OK",MID(IF($V180=""," · Falta fecha","")&amp;IF($W180=""," · Falta tipo","")&amp;IF($X180=""," · Falta concepto","")&amp;IF(OR($Z180="",NOT(ISNUMBER($Z180)),$Z180&lt;=0)," · Monto inválido","")&amp;IF(AND($W180="Entrada",OR($X180="Retiro del propietario",$X180="Pago de préstamo",$X180="Otro egreso"))," · Tipo no coincide con el concepto","")&amp;IF(AND($W180="Salida",OR($X180="Aporte de capital",$X180="Préstamo recibido",$X180="Otro ingreso"))," · Tipo no coincide con el concepto",""),4,900)))</f>
        <v/>
      </c>
    </row>
    <row r="181">
      <c r="U181" s="51">
        <f>IF(COUNTA($V181:$Z181)=0,"","M-"&amp;TEXT(ROW()-6,"0000"))</f>
        <v/>
      </c>
      <c r="V181" s="41" t="n"/>
      <c r="W181" s="33" t="n"/>
      <c r="X181" s="33" t="n"/>
      <c r="Y181" s="33" t="n"/>
      <c r="Z181" s="36" t="n"/>
      <c r="AA181" s="33" t="n"/>
      <c r="AB181" s="33" t="n"/>
      <c r="AC181" s="51">
        <f>IF(COUNTA($V181,$W181,$X181,$Y181,$Z181)=0,"",IF(IF($V181=""," · Falta fecha","")&amp;IF($W181=""," · Falta tipo","")&amp;IF($X181=""," · Falta concepto","")&amp;IF(OR($Z181="",NOT(ISNUMBER($Z181)),$Z181&lt;=0)," · Monto inválido","")&amp;IF(AND($W181="Entrada",OR($X181="Retiro del propietario",$X181="Pago de préstamo",$X181="Otro egreso"))," · Tipo no coincide con el concepto","")&amp;IF(AND($W181="Salida",OR($X181="Aporte de capital",$X181="Préstamo recibido",$X181="Otro ingreso"))," · Tipo no coincide con el concepto","")="","OK",MID(IF($V181=""," · Falta fecha","")&amp;IF($W181=""," · Falta tipo","")&amp;IF($X181=""," · Falta concepto","")&amp;IF(OR($Z181="",NOT(ISNUMBER($Z181)),$Z181&lt;=0)," · Monto inválido","")&amp;IF(AND($W181="Entrada",OR($X181="Retiro del propietario",$X181="Pago de préstamo",$X181="Otro egreso"))," · Tipo no coincide con el concepto","")&amp;IF(AND($W181="Salida",OR($X181="Aporte de capital",$X181="Préstamo recibido",$X181="Otro ingreso"))," · Tipo no coincide con el concepto",""),4,900)))</f>
        <v/>
      </c>
    </row>
    <row r="182">
      <c r="U182" s="51">
        <f>IF(COUNTA($V182:$Z182)=0,"","M-"&amp;TEXT(ROW()-6,"0000"))</f>
        <v/>
      </c>
      <c r="V182" s="41" t="n"/>
      <c r="W182" s="33" t="n"/>
      <c r="X182" s="33" t="n"/>
      <c r="Y182" s="33" t="n"/>
      <c r="Z182" s="36" t="n"/>
      <c r="AA182" s="33" t="n"/>
      <c r="AB182" s="33" t="n"/>
      <c r="AC182" s="51">
        <f>IF(COUNTA($V182,$W182,$X182,$Y182,$Z182)=0,"",IF(IF($V182=""," · Falta fecha","")&amp;IF($W182=""," · Falta tipo","")&amp;IF($X182=""," · Falta concepto","")&amp;IF(OR($Z182="",NOT(ISNUMBER($Z182)),$Z182&lt;=0)," · Monto inválido","")&amp;IF(AND($W182="Entrada",OR($X182="Retiro del propietario",$X182="Pago de préstamo",$X182="Otro egreso"))," · Tipo no coincide con el concepto","")&amp;IF(AND($W182="Salida",OR($X182="Aporte de capital",$X182="Préstamo recibido",$X182="Otro ingreso"))," · Tipo no coincide con el concepto","")="","OK",MID(IF($V182=""," · Falta fecha","")&amp;IF($W182=""," · Falta tipo","")&amp;IF($X182=""," · Falta concepto","")&amp;IF(OR($Z182="",NOT(ISNUMBER($Z182)),$Z182&lt;=0)," · Monto inválido","")&amp;IF(AND($W182="Entrada",OR($X182="Retiro del propietario",$X182="Pago de préstamo",$X182="Otro egreso"))," · Tipo no coincide con el concepto","")&amp;IF(AND($W182="Salida",OR($X182="Aporte de capital",$X182="Préstamo recibido",$X182="Otro ingreso"))," · Tipo no coincide con el concepto",""),4,900)))</f>
        <v/>
      </c>
    </row>
    <row r="183">
      <c r="U183" s="51">
        <f>IF(COUNTA($V183:$Z183)=0,"","M-"&amp;TEXT(ROW()-6,"0000"))</f>
        <v/>
      </c>
      <c r="V183" s="41" t="n"/>
      <c r="W183" s="33" t="n"/>
      <c r="X183" s="33" t="n"/>
      <c r="Y183" s="33" t="n"/>
      <c r="Z183" s="36" t="n"/>
      <c r="AA183" s="33" t="n"/>
      <c r="AB183" s="33" t="n"/>
      <c r="AC183" s="51">
        <f>IF(COUNTA($V183,$W183,$X183,$Y183,$Z183)=0,"",IF(IF($V183=""," · Falta fecha","")&amp;IF($W183=""," · Falta tipo","")&amp;IF($X183=""," · Falta concepto","")&amp;IF(OR($Z183="",NOT(ISNUMBER($Z183)),$Z183&lt;=0)," · Monto inválido","")&amp;IF(AND($W183="Entrada",OR($X183="Retiro del propietario",$X183="Pago de préstamo",$X183="Otro egreso"))," · Tipo no coincide con el concepto","")&amp;IF(AND($W183="Salida",OR($X183="Aporte de capital",$X183="Préstamo recibido",$X183="Otro ingreso"))," · Tipo no coincide con el concepto","")="","OK",MID(IF($V183=""," · Falta fecha","")&amp;IF($W183=""," · Falta tipo","")&amp;IF($X183=""," · Falta concepto","")&amp;IF(OR($Z183="",NOT(ISNUMBER($Z183)),$Z183&lt;=0)," · Monto inválido","")&amp;IF(AND($W183="Entrada",OR($X183="Retiro del propietario",$X183="Pago de préstamo",$X183="Otro egreso"))," · Tipo no coincide con el concepto","")&amp;IF(AND($W183="Salida",OR($X183="Aporte de capital",$X183="Préstamo recibido",$X183="Otro ingreso"))," · Tipo no coincide con el concepto",""),4,900)))</f>
        <v/>
      </c>
    </row>
    <row r="184">
      <c r="U184" s="51">
        <f>IF(COUNTA($V184:$Z184)=0,"","M-"&amp;TEXT(ROW()-6,"0000"))</f>
        <v/>
      </c>
      <c r="V184" s="41" t="n"/>
      <c r="W184" s="33" t="n"/>
      <c r="X184" s="33" t="n"/>
      <c r="Y184" s="33" t="n"/>
      <c r="Z184" s="36" t="n"/>
      <c r="AA184" s="33" t="n"/>
      <c r="AB184" s="33" t="n"/>
      <c r="AC184" s="51">
        <f>IF(COUNTA($V184,$W184,$X184,$Y184,$Z184)=0,"",IF(IF($V184=""," · Falta fecha","")&amp;IF($W184=""," · Falta tipo","")&amp;IF($X184=""," · Falta concepto","")&amp;IF(OR($Z184="",NOT(ISNUMBER($Z184)),$Z184&lt;=0)," · Monto inválido","")&amp;IF(AND($W184="Entrada",OR($X184="Retiro del propietario",$X184="Pago de préstamo",$X184="Otro egreso"))," · Tipo no coincide con el concepto","")&amp;IF(AND($W184="Salida",OR($X184="Aporte de capital",$X184="Préstamo recibido",$X184="Otro ingreso"))," · Tipo no coincide con el concepto","")="","OK",MID(IF($V184=""," · Falta fecha","")&amp;IF($W184=""," · Falta tipo","")&amp;IF($X184=""," · Falta concepto","")&amp;IF(OR($Z184="",NOT(ISNUMBER($Z184)),$Z184&lt;=0)," · Monto inválido","")&amp;IF(AND($W184="Entrada",OR($X184="Retiro del propietario",$X184="Pago de préstamo",$X184="Otro egreso"))," · Tipo no coincide con el concepto","")&amp;IF(AND($W184="Salida",OR($X184="Aporte de capital",$X184="Préstamo recibido",$X184="Otro ingreso"))," · Tipo no coincide con el concepto",""),4,900)))</f>
        <v/>
      </c>
    </row>
    <row r="185">
      <c r="U185" s="51">
        <f>IF(COUNTA($V185:$Z185)=0,"","M-"&amp;TEXT(ROW()-6,"0000"))</f>
        <v/>
      </c>
      <c r="V185" s="41" t="n"/>
      <c r="W185" s="33" t="n"/>
      <c r="X185" s="33" t="n"/>
      <c r="Y185" s="33" t="n"/>
      <c r="Z185" s="36" t="n"/>
      <c r="AA185" s="33" t="n"/>
      <c r="AB185" s="33" t="n"/>
      <c r="AC185" s="51">
        <f>IF(COUNTA($V185,$W185,$X185,$Y185,$Z185)=0,"",IF(IF($V185=""," · Falta fecha","")&amp;IF($W185=""," · Falta tipo","")&amp;IF($X185=""," · Falta concepto","")&amp;IF(OR($Z185="",NOT(ISNUMBER($Z185)),$Z185&lt;=0)," · Monto inválido","")&amp;IF(AND($W185="Entrada",OR($X185="Retiro del propietario",$X185="Pago de préstamo",$X185="Otro egreso"))," · Tipo no coincide con el concepto","")&amp;IF(AND($W185="Salida",OR($X185="Aporte de capital",$X185="Préstamo recibido",$X185="Otro ingreso"))," · Tipo no coincide con el concepto","")="","OK",MID(IF($V185=""," · Falta fecha","")&amp;IF($W185=""," · Falta tipo","")&amp;IF($X185=""," · Falta concepto","")&amp;IF(OR($Z185="",NOT(ISNUMBER($Z185)),$Z185&lt;=0)," · Monto inválido","")&amp;IF(AND($W185="Entrada",OR($X185="Retiro del propietario",$X185="Pago de préstamo",$X185="Otro egreso"))," · Tipo no coincide con el concepto","")&amp;IF(AND($W185="Salida",OR($X185="Aporte de capital",$X185="Préstamo recibido",$X185="Otro ingreso"))," · Tipo no coincide con el concepto",""),4,900)))</f>
        <v/>
      </c>
    </row>
    <row r="186">
      <c r="U186" s="51">
        <f>IF(COUNTA($V186:$Z186)=0,"","M-"&amp;TEXT(ROW()-6,"0000"))</f>
        <v/>
      </c>
      <c r="V186" s="41" t="n"/>
      <c r="W186" s="33" t="n"/>
      <c r="X186" s="33" t="n"/>
      <c r="Y186" s="33" t="n"/>
      <c r="Z186" s="36" t="n"/>
      <c r="AA186" s="33" t="n"/>
      <c r="AB186" s="33" t="n"/>
      <c r="AC186" s="51">
        <f>IF(COUNTA($V186,$W186,$X186,$Y186,$Z186)=0,"",IF(IF($V186=""," · Falta fecha","")&amp;IF($W186=""," · Falta tipo","")&amp;IF($X186=""," · Falta concepto","")&amp;IF(OR($Z186="",NOT(ISNUMBER($Z186)),$Z186&lt;=0)," · Monto inválido","")&amp;IF(AND($W186="Entrada",OR($X186="Retiro del propietario",$X186="Pago de préstamo",$X186="Otro egreso"))," · Tipo no coincide con el concepto","")&amp;IF(AND($W186="Salida",OR($X186="Aporte de capital",$X186="Préstamo recibido",$X186="Otro ingreso"))," · Tipo no coincide con el concepto","")="","OK",MID(IF($V186=""," · Falta fecha","")&amp;IF($W186=""," · Falta tipo","")&amp;IF($X186=""," · Falta concepto","")&amp;IF(OR($Z186="",NOT(ISNUMBER($Z186)),$Z186&lt;=0)," · Monto inválido","")&amp;IF(AND($W186="Entrada",OR($X186="Retiro del propietario",$X186="Pago de préstamo",$X186="Otro egreso"))," · Tipo no coincide con el concepto","")&amp;IF(AND($W186="Salida",OR($X186="Aporte de capital",$X186="Préstamo recibido",$X186="Otro ingreso"))," · Tipo no coincide con el concepto",""),4,900)))</f>
        <v/>
      </c>
    </row>
    <row r="187">
      <c r="U187" s="51">
        <f>IF(COUNTA($V187:$Z187)=0,"","M-"&amp;TEXT(ROW()-6,"0000"))</f>
        <v/>
      </c>
      <c r="V187" s="41" t="n"/>
      <c r="W187" s="33" t="n"/>
      <c r="X187" s="33" t="n"/>
      <c r="Y187" s="33" t="n"/>
      <c r="Z187" s="36" t="n"/>
      <c r="AA187" s="33" t="n"/>
      <c r="AB187" s="33" t="n"/>
      <c r="AC187" s="51">
        <f>IF(COUNTA($V187,$W187,$X187,$Y187,$Z187)=0,"",IF(IF($V187=""," · Falta fecha","")&amp;IF($W187=""," · Falta tipo","")&amp;IF($X187=""," · Falta concepto","")&amp;IF(OR($Z187="",NOT(ISNUMBER($Z187)),$Z187&lt;=0)," · Monto inválido","")&amp;IF(AND($W187="Entrada",OR($X187="Retiro del propietario",$X187="Pago de préstamo",$X187="Otro egreso"))," · Tipo no coincide con el concepto","")&amp;IF(AND($W187="Salida",OR($X187="Aporte de capital",$X187="Préstamo recibido",$X187="Otro ingreso"))," · Tipo no coincide con el concepto","")="","OK",MID(IF($V187=""," · Falta fecha","")&amp;IF($W187=""," · Falta tipo","")&amp;IF($X187=""," · Falta concepto","")&amp;IF(OR($Z187="",NOT(ISNUMBER($Z187)),$Z187&lt;=0)," · Monto inválido","")&amp;IF(AND($W187="Entrada",OR($X187="Retiro del propietario",$X187="Pago de préstamo",$X187="Otro egreso"))," · Tipo no coincide con el concepto","")&amp;IF(AND($W187="Salida",OR($X187="Aporte de capital",$X187="Préstamo recibido",$X187="Otro ingreso"))," · Tipo no coincide con el concepto",""),4,900)))</f>
        <v/>
      </c>
    </row>
    <row r="188">
      <c r="U188" s="51">
        <f>IF(COUNTA($V188:$Z188)=0,"","M-"&amp;TEXT(ROW()-6,"0000"))</f>
        <v/>
      </c>
      <c r="V188" s="41" t="n"/>
      <c r="W188" s="33" t="n"/>
      <c r="X188" s="33" t="n"/>
      <c r="Y188" s="33" t="n"/>
      <c r="Z188" s="36" t="n"/>
      <c r="AA188" s="33" t="n"/>
      <c r="AB188" s="33" t="n"/>
      <c r="AC188" s="51">
        <f>IF(COUNTA($V188,$W188,$X188,$Y188,$Z188)=0,"",IF(IF($V188=""," · Falta fecha","")&amp;IF($W188=""," · Falta tipo","")&amp;IF($X188=""," · Falta concepto","")&amp;IF(OR($Z188="",NOT(ISNUMBER($Z188)),$Z188&lt;=0)," · Monto inválido","")&amp;IF(AND($W188="Entrada",OR($X188="Retiro del propietario",$X188="Pago de préstamo",$X188="Otro egreso"))," · Tipo no coincide con el concepto","")&amp;IF(AND($W188="Salida",OR($X188="Aporte de capital",$X188="Préstamo recibido",$X188="Otro ingreso"))," · Tipo no coincide con el concepto","")="","OK",MID(IF($V188=""," · Falta fecha","")&amp;IF($W188=""," · Falta tipo","")&amp;IF($X188=""," · Falta concepto","")&amp;IF(OR($Z188="",NOT(ISNUMBER($Z188)),$Z188&lt;=0)," · Monto inválido","")&amp;IF(AND($W188="Entrada",OR($X188="Retiro del propietario",$X188="Pago de préstamo",$X188="Otro egreso"))," · Tipo no coincide con el concepto","")&amp;IF(AND($W188="Salida",OR($X188="Aporte de capital",$X188="Préstamo recibido",$X188="Otro ingreso"))," · Tipo no coincide con el concepto",""),4,900)))</f>
        <v/>
      </c>
    </row>
    <row r="189">
      <c r="U189" s="51">
        <f>IF(COUNTA($V189:$Z189)=0,"","M-"&amp;TEXT(ROW()-6,"0000"))</f>
        <v/>
      </c>
      <c r="V189" s="41" t="n"/>
      <c r="W189" s="33" t="n"/>
      <c r="X189" s="33" t="n"/>
      <c r="Y189" s="33" t="n"/>
      <c r="Z189" s="36" t="n"/>
      <c r="AA189" s="33" t="n"/>
      <c r="AB189" s="33" t="n"/>
      <c r="AC189" s="51">
        <f>IF(COUNTA($V189,$W189,$X189,$Y189,$Z189)=0,"",IF(IF($V189=""," · Falta fecha","")&amp;IF($W189=""," · Falta tipo","")&amp;IF($X189=""," · Falta concepto","")&amp;IF(OR($Z189="",NOT(ISNUMBER($Z189)),$Z189&lt;=0)," · Monto inválido","")&amp;IF(AND($W189="Entrada",OR($X189="Retiro del propietario",$X189="Pago de préstamo",$X189="Otro egreso"))," · Tipo no coincide con el concepto","")&amp;IF(AND($W189="Salida",OR($X189="Aporte de capital",$X189="Préstamo recibido",$X189="Otro ingreso"))," · Tipo no coincide con el concepto","")="","OK",MID(IF($V189=""," · Falta fecha","")&amp;IF($W189=""," · Falta tipo","")&amp;IF($X189=""," · Falta concepto","")&amp;IF(OR($Z189="",NOT(ISNUMBER($Z189)),$Z189&lt;=0)," · Monto inválido","")&amp;IF(AND($W189="Entrada",OR($X189="Retiro del propietario",$X189="Pago de préstamo",$X189="Otro egreso"))," · Tipo no coincide con el concepto","")&amp;IF(AND($W189="Salida",OR($X189="Aporte de capital",$X189="Préstamo recibido",$X189="Otro ingreso"))," · Tipo no coincide con el concepto",""),4,900)))</f>
        <v/>
      </c>
    </row>
    <row r="190">
      <c r="U190" s="51">
        <f>IF(COUNTA($V190:$Z190)=0,"","M-"&amp;TEXT(ROW()-6,"0000"))</f>
        <v/>
      </c>
      <c r="V190" s="41" t="n"/>
      <c r="W190" s="33" t="n"/>
      <c r="X190" s="33" t="n"/>
      <c r="Y190" s="33" t="n"/>
      <c r="Z190" s="36" t="n"/>
      <c r="AA190" s="33" t="n"/>
      <c r="AB190" s="33" t="n"/>
      <c r="AC190" s="51">
        <f>IF(COUNTA($V190,$W190,$X190,$Y190,$Z190)=0,"",IF(IF($V190=""," · Falta fecha","")&amp;IF($W190=""," · Falta tipo","")&amp;IF($X190=""," · Falta concepto","")&amp;IF(OR($Z190="",NOT(ISNUMBER($Z190)),$Z190&lt;=0)," · Monto inválido","")&amp;IF(AND($W190="Entrada",OR($X190="Retiro del propietario",$X190="Pago de préstamo",$X190="Otro egreso"))," · Tipo no coincide con el concepto","")&amp;IF(AND($W190="Salida",OR($X190="Aporte de capital",$X190="Préstamo recibido",$X190="Otro ingreso"))," · Tipo no coincide con el concepto","")="","OK",MID(IF($V190=""," · Falta fecha","")&amp;IF($W190=""," · Falta tipo","")&amp;IF($X190=""," · Falta concepto","")&amp;IF(OR($Z190="",NOT(ISNUMBER($Z190)),$Z190&lt;=0)," · Monto inválido","")&amp;IF(AND($W190="Entrada",OR($X190="Retiro del propietario",$X190="Pago de préstamo",$X190="Otro egreso"))," · Tipo no coincide con el concepto","")&amp;IF(AND($W190="Salida",OR($X190="Aporte de capital",$X190="Préstamo recibido",$X190="Otro ingreso"))," · Tipo no coincide con el concepto",""),4,900)))</f>
        <v/>
      </c>
    </row>
    <row r="191">
      <c r="U191" s="51">
        <f>IF(COUNTA($V191:$Z191)=0,"","M-"&amp;TEXT(ROW()-6,"0000"))</f>
        <v/>
      </c>
      <c r="V191" s="41" t="n"/>
      <c r="W191" s="33" t="n"/>
      <c r="X191" s="33" t="n"/>
      <c r="Y191" s="33" t="n"/>
      <c r="Z191" s="36" t="n"/>
      <c r="AA191" s="33" t="n"/>
      <c r="AB191" s="33" t="n"/>
      <c r="AC191" s="51">
        <f>IF(COUNTA($V191,$W191,$X191,$Y191,$Z191)=0,"",IF(IF($V191=""," · Falta fecha","")&amp;IF($W191=""," · Falta tipo","")&amp;IF($X191=""," · Falta concepto","")&amp;IF(OR($Z191="",NOT(ISNUMBER($Z191)),$Z191&lt;=0)," · Monto inválido","")&amp;IF(AND($W191="Entrada",OR($X191="Retiro del propietario",$X191="Pago de préstamo",$X191="Otro egreso"))," · Tipo no coincide con el concepto","")&amp;IF(AND($W191="Salida",OR($X191="Aporte de capital",$X191="Préstamo recibido",$X191="Otro ingreso"))," · Tipo no coincide con el concepto","")="","OK",MID(IF($V191=""," · Falta fecha","")&amp;IF($W191=""," · Falta tipo","")&amp;IF($X191=""," · Falta concepto","")&amp;IF(OR($Z191="",NOT(ISNUMBER($Z191)),$Z191&lt;=0)," · Monto inválido","")&amp;IF(AND($W191="Entrada",OR($X191="Retiro del propietario",$X191="Pago de préstamo",$X191="Otro egreso"))," · Tipo no coincide con el concepto","")&amp;IF(AND($W191="Salida",OR($X191="Aporte de capital",$X191="Préstamo recibido",$X191="Otro ingreso"))," · Tipo no coincide con el concepto",""),4,900)))</f>
        <v/>
      </c>
    </row>
    <row r="192">
      <c r="U192" s="51">
        <f>IF(COUNTA($V192:$Z192)=0,"","M-"&amp;TEXT(ROW()-6,"0000"))</f>
        <v/>
      </c>
      <c r="V192" s="41" t="n"/>
      <c r="W192" s="33" t="n"/>
      <c r="X192" s="33" t="n"/>
      <c r="Y192" s="33" t="n"/>
      <c r="Z192" s="36" t="n"/>
      <c r="AA192" s="33" t="n"/>
      <c r="AB192" s="33" t="n"/>
      <c r="AC192" s="51">
        <f>IF(COUNTA($V192,$W192,$X192,$Y192,$Z192)=0,"",IF(IF($V192=""," · Falta fecha","")&amp;IF($W192=""," · Falta tipo","")&amp;IF($X192=""," · Falta concepto","")&amp;IF(OR($Z192="",NOT(ISNUMBER($Z192)),$Z192&lt;=0)," · Monto inválido","")&amp;IF(AND($W192="Entrada",OR($X192="Retiro del propietario",$X192="Pago de préstamo",$X192="Otro egreso"))," · Tipo no coincide con el concepto","")&amp;IF(AND($W192="Salida",OR($X192="Aporte de capital",$X192="Préstamo recibido",$X192="Otro ingreso"))," · Tipo no coincide con el concepto","")="","OK",MID(IF($V192=""," · Falta fecha","")&amp;IF($W192=""," · Falta tipo","")&amp;IF($X192=""," · Falta concepto","")&amp;IF(OR($Z192="",NOT(ISNUMBER($Z192)),$Z192&lt;=0)," · Monto inválido","")&amp;IF(AND($W192="Entrada",OR($X192="Retiro del propietario",$X192="Pago de préstamo",$X192="Otro egreso"))," · Tipo no coincide con el concepto","")&amp;IF(AND($W192="Salida",OR($X192="Aporte de capital",$X192="Préstamo recibido",$X192="Otro ingreso"))," · Tipo no coincide con el concepto",""),4,900)))</f>
        <v/>
      </c>
    </row>
    <row r="193">
      <c r="U193" s="51">
        <f>IF(COUNTA($V193:$Z193)=0,"","M-"&amp;TEXT(ROW()-6,"0000"))</f>
        <v/>
      </c>
      <c r="V193" s="41" t="n"/>
      <c r="W193" s="33" t="n"/>
      <c r="X193" s="33" t="n"/>
      <c r="Y193" s="33" t="n"/>
      <c r="Z193" s="36" t="n"/>
      <c r="AA193" s="33" t="n"/>
      <c r="AB193" s="33" t="n"/>
      <c r="AC193" s="51">
        <f>IF(COUNTA($V193,$W193,$X193,$Y193,$Z193)=0,"",IF(IF($V193=""," · Falta fecha","")&amp;IF($W193=""," · Falta tipo","")&amp;IF($X193=""," · Falta concepto","")&amp;IF(OR($Z193="",NOT(ISNUMBER($Z193)),$Z193&lt;=0)," · Monto inválido","")&amp;IF(AND($W193="Entrada",OR($X193="Retiro del propietario",$X193="Pago de préstamo",$X193="Otro egreso"))," · Tipo no coincide con el concepto","")&amp;IF(AND($W193="Salida",OR($X193="Aporte de capital",$X193="Préstamo recibido",$X193="Otro ingreso"))," · Tipo no coincide con el concepto","")="","OK",MID(IF($V193=""," · Falta fecha","")&amp;IF($W193=""," · Falta tipo","")&amp;IF($X193=""," · Falta concepto","")&amp;IF(OR($Z193="",NOT(ISNUMBER($Z193)),$Z193&lt;=0)," · Monto inválido","")&amp;IF(AND($W193="Entrada",OR($X193="Retiro del propietario",$X193="Pago de préstamo",$X193="Otro egreso"))," · Tipo no coincide con el concepto","")&amp;IF(AND($W193="Salida",OR($X193="Aporte de capital",$X193="Préstamo recibido",$X193="Otro ingreso"))," · Tipo no coincide con el concepto",""),4,900)))</f>
        <v/>
      </c>
    </row>
    <row r="194">
      <c r="U194" s="51">
        <f>IF(COUNTA($V194:$Z194)=0,"","M-"&amp;TEXT(ROW()-6,"0000"))</f>
        <v/>
      </c>
      <c r="V194" s="41" t="n"/>
      <c r="W194" s="33" t="n"/>
      <c r="X194" s="33" t="n"/>
      <c r="Y194" s="33" t="n"/>
      <c r="Z194" s="36" t="n"/>
      <c r="AA194" s="33" t="n"/>
      <c r="AB194" s="33" t="n"/>
      <c r="AC194" s="51">
        <f>IF(COUNTA($V194,$W194,$X194,$Y194,$Z194)=0,"",IF(IF($V194=""," · Falta fecha","")&amp;IF($W194=""," · Falta tipo","")&amp;IF($X194=""," · Falta concepto","")&amp;IF(OR($Z194="",NOT(ISNUMBER($Z194)),$Z194&lt;=0)," · Monto inválido","")&amp;IF(AND($W194="Entrada",OR($X194="Retiro del propietario",$X194="Pago de préstamo",$X194="Otro egreso"))," · Tipo no coincide con el concepto","")&amp;IF(AND($W194="Salida",OR($X194="Aporte de capital",$X194="Préstamo recibido",$X194="Otro ingreso"))," · Tipo no coincide con el concepto","")="","OK",MID(IF($V194=""," · Falta fecha","")&amp;IF($W194=""," · Falta tipo","")&amp;IF($X194=""," · Falta concepto","")&amp;IF(OR($Z194="",NOT(ISNUMBER($Z194)),$Z194&lt;=0)," · Monto inválido","")&amp;IF(AND($W194="Entrada",OR($X194="Retiro del propietario",$X194="Pago de préstamo",$X194="Otro egreso"))," · Tipo no coincide con el concepto","")&amp;IF(AND($W194="Salida",OR($X194="Aporte de capital",$X194="Préstamo recibido",$X194="Otro ingreso"))," · Tipo no coincide con el concepto",""),4,900)))</f>
        <v/>
      </c>
    </row>
    <row r="195">
      <c r="U195" s="51">
        <f>IF(COUNTA($V195:$Z195)=0,"","M-"&amp;TEXT(ROW()-6,"0000"))</f>
        <v/>
      </c>
      <c r="V195" s="41" t="n"/>
      <c r="W195" s="33" t="n"/>
      <c r="X195" s="33" t="n"/>
      <c r="Y195" s="33" t="n"/>
      <c r="Z195" s="36" t="n"/>
      <c r="AA195" s="33" t="n"/>
      <c r="AB195" s="33" t="n"/>
      <c r="AC195" s="51">
        <f>IF(COUNTA($V195,$W195,$X195,$Y195,$Z195)=0,"",IF(IF($V195=""," · Falta fecha","")&amp;IF($W195=""," · Falta tipo","")&amp;IF($X195=""," · Falta concepto","")&amp;IF(OR($Z195="",NOT(ISNUMBER($Z195)),$Z195&lt;=0)," · Monto inválido","")&amp;IF(AND($W195="Entrada",OR($X195="Retiro del propietario",$X195="Pago de préstamo",$X195="Otro egreso"))," · Tipo no coincide con el concepto","")&amp;IF(AND($W195="Salida",OR($X195="Aporte de capital",$X195="Préstamo recibido",$X195="Otro ingreso"))," · Tipo no coincide con el concepto","")="","OK",MID(IF($V195=""," · Falta fecha","")&amp;IF($W195=""," · Falta tipo","")&amp;IF($X195=""," · Falta concepto","")&amp;IF(OR($Z195="",NOT(ISNUMBER($Z195)),$Z195&lt;=0)," · Monto inválido","")&amp;IF(AND($W195="Entrada",OR($X195="Retiro del propietario",$X195="Pago de préstamo",$X195="Otro egreso"))," · Tipo no coincide con el concepto","")&amp;IF(AND($W195="Salida",OR($X195="Aporte de capital",$X195="Préstamo recibido",$X195="Otro ingreso"))," · Tipo no coincide con el concepto",""),4,900)))</f>
        <v/>
      </c>
    </row>
    <row r="196">
      <c r="U196" s="51">
        <f>IF(COUNTA($V196:$Z196)=0,"","M-"&amp;TEXT(ROW()-6,"0000"))</f>
        <v/>
      </c>
      <c r="V196" s="41" t="n"/>
      <c r="W196" s="33" t="n"/>
      <c r="X196" s="33" t="n"/>
      <c r="Y196" s="33" t="n"/>
      <c r="Z196" s="36" t="n"/>
      <c r="AA196" s="33" t="n"/>
      <c r="AB196" s="33" t="n"/>
      <c r="AC196" s="51">
        <f>IF(COUNTA($V196,$W196,$X196,$Y196,$Z196)=0,"",IF(IF($V196=""," · Falta fecha","")&amp;IF($W196=""," · Falta tipo","")&amp;IF($X196=""," · Falta concepto","")&amp;IF(OR($Z196="",NOT(ISNUMBER($Z196)),$Z196&lt;=0)," · Monto inválido","")&amp;IF(AND($W196="Entrada",OR($X196="Retiro del propietario",$X196="Pago de préstamo",$X196="Otro egreso"))," · Tipo no coincide con el concepto","")&amp;IF(AND($W196="Salida",OR($X196="Aporte de capital",$X196="Préstamo recibido",$X196="Otro ingreso"))," · Tipo no coincide con el concepto","")="","OK",MID(IF($V196=""," · Falta fecha","")&amp;IF($W196=""," · Falta tipo","")&amp;IF($X196=""," · Falta concepto","")&amp;IF(OR($Z196="",NOT(ISNUMBER($Z196)),$Z196&lt;=0)," · Monto inválido","")&amp;IF(AND($W196="Entrada",OR($X196="Retiro del propietario",$X196="Pago de préstamo",$X196="Otro egreso"))," · Tipo no coincide con el concepto","")&amp;IF(AND($W196="Salida",OR($X196="Aporte de capital",$X196="Préstamo recibido",$X196="Otro ingreso"))," · Tipo no coincide con el concepto",""),4,900)))</f>
        <v/>
      </c>
    </row>
    <row r="197">
      <c r="U197" s="51">
        <f>IF(COUNTA($V197:$Z197)=0,"","M-"&amp;TEXT(ROW()-6,"0000"))</f>
        <v/>
      </c>
      <c r="V197" s="41" t="n"/>
      <c r="W197" s="33" t="n"/>
      <c r="X197" s="33" t="n"/>
      <c r="Y197" s="33" t="n"/>
      <c r="Z197" s="36" t="n"/>
      <c r="AA197" s="33" t="n"/>
      <c r="AB197" s="33" t="n"/>
      <c r="AC197" s="51">
        <f>IF(COUNTA($V197,$W197,$X197,$Y197,$Z197)=0,"",IF(IF($V197=""," · Falta fecha","")&amp;IF($W197=""," · Falta tipo","")&amp;IF($X197=""," · Falta concepto","")&amp;IF(OR($Z197="",NOT(ISNUMBER($Z197)),$Z197&lt;=0)," · Monto inválido","")&amp;IF(AND($W197="Entrada",OR($X197="Retiro del propietario",$X197="Pago de préstamo",$X197="Otro egreso"))," · Tipo no coincide con el concepto","")&amp;IF(AND($W197="Salida",OR($X197="Aporte de capital",$X197="Préstamo recibido",$X197="Otro ingreso"))," · Tipo no coincide con el concepto","")="","OK",MID(IF($V197=""," · Falta fecha","")&amp;IF($W197=""," · Falta tipo","")&amp;IF($X197=""," · Falta concepto","")&amp;IF(OR($Z197="",NOT(ISNUMBER($Z197)),$Z197&lt;=0)," · Monto inválido","")&amp;IF(AND($W197="Entrada",OR($X197="Retiro del propietario",$X197="Pago de préstamo",$X197="Otro egreso"))," · Tipo no coincide con el concepto","")&amp;IF(AND($W197="Salida",OR($X197="Aporte de capital",$X197="Préstamo recibido",$X197="Otro ingreso"))," · Tipo no coincide con el concepto",""),4,900)))</f>
        <v/>
      </c>
    </row>
    <row r="198">
      <c r="U198" s="51">
        <f>IF(COUNTA($V198:$Z198)=0,"","M-"&amp;TEXT(ROW()-6,"0000"))</f>
        <v/>
      </c>
      <c r="V198" s="41" t="n"/>
      <c r="W198" s="33" t="n"/>
      <c r="X198" s="33" t="n"/>
      <c r="Y198" s="33" t="n"/>
      <c r="Z198" s="36" t="n"/>
      <c r="AA198" s="33" t="n"/>
      <c r="AB198" s="33" t="n"/>
      <c r="AC198" s="51">
        <f>IF(COUNTA($V198,$W198,$X198,$Y198,$Z198)=0,"",IF(IF($V198=""," · Falta fecha","")&amp;IF($W198=""," · Falta tipo","")&amp;IF($X198=""," · Falta concepto","")&amp;IF(OR($Z198="",NOT(ISNUMBER($Z198)),$Z198&lt;=0)," · Monto inválido","")&amp;IF(AND($W198="Entrada",OR($X198="Retiro del propietario",$X198="Pago de préstamo",$X198="Otro egreso"))," · Tipo no coincide con el concepto","")&amp;IF(AND($W198="Salida",OR($X198="Aporte de capital",$X198="Préstamo recibido",$X198="Otro ingreso"))," · Tipo no coincide con el concepto","")="","OK",MID(IF($V198=""," · Falta fecha","")&amp;IF($W198=""," · Falta tipo","")&amp;IF($X198=""," · Falta concepto","")&amp;IF(OR($Z198="",NOT(ISNUMBER($Z198)),$Z198&lt;=0)," · Monto inválido","")&amp;IF(AND($W198="Entrada",OR($X198="Retiro del propietario",$X198="Pago de préstamo",$X198="Otro egreso"))," · Tipo no coincide con el concepto","")&amp;IF(AND($W198="Salida",OR($X198="Aporte de capital",$X198="Préstamo recibido",$X198="Otro ingreso"))," · Tipo no coincide con el concepto",""),4,900)))</f>
        <v/>
      </c>
    </row>
    <row r="199">
      <c r="U199" s="51">
        <f>IF(COUNTA($V199:$Z199)=0,"","M-"&amp;TEXT(ROW()-6,"0000"))</f>
        <v/>
      </c>
      <c r="V199" s="41" t="n"/>
      <c r="W199" s="33" t="n"/>
      <c r="X199" s="33" t="n"/>
      <c r="Y199" s="33" t="n"/>
      <c r="Z199" s="36" t="n"/>
      <c r="AA199" s="33" t="n"/>
      <c r="AB199" s="33" t="n"/>
      <c r="AC199" s="51">
        <f>IF(COUNTA($V199,$W199,$X199,$Y199,$Z199)=0,"",IF(IF($V199=""," · Falta fecha","")&amp;IF($W199=""," · Falta tipo","")&amp;IF($X199=""," · Falta concepto","")&amp;IF(OR($Z199="",NOT(ISNUMBER($Z199)),$Z199&lt;=0)," · Monto inválido","")&amp;IF(AND($W199="Entrada",OR($X199="Retiro del propietario",$X199="Pago de préstamo",$X199="Otro egreso"))," · Tipo no coincide con el concepto","")&amp;IF(AND($W199="Salida",OR($X199="Aporte de capital",$X199="Préstamo recibido",$X199="Otro ingreso"))," · Tipo no coincide con el concepto","")="","OK",MID(IF($V199=""," · Falta fecha","")&amp;IF($W199=""," · Falta tipo","")&amp;IF($X199=""," · Falta concepto","")&amp;IF(OR($Z199="",NOT(ISNUMBER($Z199)),$Z199&lt;=0)," · Monto inválido","")&amp;IF(AND($W199="Entrada",OR($X199="Retiro del propietario",$X199="Pago de préstamo",$X199="Otro egreso"))," · Tipo no coincide con el concepto","")&amp;IF(AND($W199="Salida",OR($X199="Aporte de capital",$X199="Préstamo recibido",$X199="Otro ingreso"))," · Tipo no coincide con el concepto",""),4,900)))</f>
        <v/>
      </c>
    </row>
    <row r="200">
      <c r="U200" s="51">
        <f>IF(COUNTA($V200:$Z200)=0,"","M-"&amp;TEXT(ROW()-6,"0000"))</f>
        <v/>
      </c>
      <c r="V200" s="41" t="n"/>
      <c r="W200" s="33" t="n"/>
      <c r="X200" s="33" t="n"/>
      <c r="Y200" s="33" t="n"/>
      <c r="Z200" s="36" t="n"/>
      <c r="AA200" s="33" t="n"/>
      <c r="AB200" s="33" t="n"/>
      <c r="AC200" s="51">
        <f>IF(COUNTA($V200,$W200,$X200,$Y200,$Z200)=0,"",IF(IF($V200=""," · Falta fecha","")&amp;IF($W200=""," · Falta tipo","")&amp;IF($X200=""," · Falta concepto","")&amp;IF(OR($Z200="",NOT(ISNUMBER($Z200)),$Z200&lt;=0)," · Monto inválido","")&amp;IF(AND($W200="Entrada",OR($X200="Retiro del propietario",$X200="Pago de préstamo",$X200="Otro egreso"))," · Tipo no coincide con el concepto","")&amp;IF(AND($W200="Salida",OR($X200="Aporte de capital",$X200="Préstamo recibido",$X200="Otro ingreso"))," · Tipo no coincide con el concepto","")="","OK",MID(IF($V200=""," · Falta fecha","")&amp;IF($W200=""," · Falta tipo","")&amp;IF($X200=""," · Falta concepto","")&amp;IF(OR($Z200="",NOT(ISNUMBER($Z200)),$Z200&lt;=0)," · Monto inválido","")&amp;IF(AND($W200="Entrada",OR($X200="Retiro del propietario",$X200="Pago de préstamo",$X200="Otro egreso"))," · Tipo no coincide con el concepto","")&amp;IF(AND($W200="Salida",OR($X200="Aporte de capital",$X200="Préstamo recibido",$X200="Otro ingreso"))," · Tipo no coincide con el concepto",""),4,900)))</f>
        <v/>
      </c>
    </row>
    <row r="201">
      <c r="U201" s="51">
        <f>IF(COUNTA($V201:$Z201)=0,"","M-"&amp;TEXT(ROW()-6,"0000"))</f>
        <v/>
      </c>
      <c r="V201" s="41" t="n"/>
      <c r="W201" s="33" t="n"/>
      <c r="X201" s="33" t="n"/>
      <c r="Y201" s="33" t="n"/>
      <c r="Z201" s="36" t="n"/>
      <c r="AA201" s="33" t="n"/>
      <c r="AB201" s="33" t="n"/>
      <c r="AC201" s="51">
        <f>IF(COUNTA($V201,$W201,$X201,$Y201,$Z201)=0,"",IF(IF($V201=""," · Falta fecha","")&amp;IF($W201=""," · Falta tipo","")&amp;IF($X201=""," · Falta concepto","")&amp;IF(OR($Z201="",NOT(ISNUMBER($Z201)),$Z201&lt;=0)," · Monto inválido","")&amp;IF(AND($W201="Entrada",OR($X201="Retiro del propietario",$X201="Pago de préstamo",$X201="Otro egreso"))," · Tipo no coincide con el concepto","")&amp;IF(AND($W201="Salida",OR($X201="Aporte de capital",$X201="Préstamo recibido",$X201="Otro ingreso"))," · Tipo no coincide con el concepto","")="","OK",MID(IF($V201=""," · Falta fecha","")&amp;IF($W201=""," · Falta tipo","")&amp;IF($X201=""," · Falta concepto","")&amp;IF(OR($Z201="",NOT(ISNUMBER($Z201)),$Z201&lt;=0)," · Monto inválido","")&amp;IF(AND($W201="Entrada",OR($X201="Retiro del propietario",$X201="Pago de préstamo",$X201="Otro egreso"))," · Tipo no coincide con el concepto","")&amp;IF(AND($W201="Salida",OR($X201="Aporte de capital",$X201="Préstamo recibido",$X201="Otro ingreso"))," · Tipo no coincide con el concepto",""),4,900)))</f>
        <v/>
      </c>
    </row>
    <row r="202">
      <c r="U202" s="51">
        <f>IF(COUNTA($V202:$Z202)=0,"","M-"&amp;TEXT(ROW()-6,"0000"))</f>
        <v/>
      </c>
      <c r="V202" s="41" t="n"/>
      <c r="W202" s="33" t="n"/>
      <c r="X202" s="33" t="n"/>
      <c r="Y202" s="33" t="n"/>
      <c r="Z202" s="36" t="n"/>
      <c r="AA202" s="33" t="n"/>
      <c r="AB202" s="33" t="n"/>
      <c r="AC202" s="51">
        <f>IF(COUNTA($V202,$W202,$X202,$Y202,$Z202)=0,"",IF(IF($V202=""," · Falta fecha","")&amp;IF($W202=""," · Falta tipo","")&amp;IF($X202=""," · Falta concepto","")&amp;IF(OR($Z202="",NOT(ISNUMBER($Z202)),$Z202&lt;=0)," · Monto inválido","")&amp;IF(AND($W202="Entrada",OR($X202="Retiro del propietario",$X202="Pago de préstamo",$X202="Otro egreso"))," · Tipo no coincide con el concepto","")&amp;IF(AND($W202="Salida",OR($X202="Aporte de capital",$X202="Préstamo recibido",$X202="Otro ingreso"))," · Tipo no coincide con el concepto","")="","OK",MID(IF($V202=""," · Falta fecha","")&amp;IF($W202=""," · Falta tipo","")&amp;IF($X202=""," · Falta concepto","")&amp;IF(OR($Z202="",NOT(ISNUMBER($Z202)),$Z202&lt;=0)," · Monto inválido","")&amp;IF(AND($W202="Entrada",OR($X202="Retiro del propietario",$X202="Pago de préstamo",$X202="Otro egreso"))," · Tipo no coincide con el concepto","")&amp;IF(AND($W202="Salida",OR($X202="Aporte de capital",$X202="Préstamo recibido",$X202="Otro ingreso"))," · Tipo no coincide con el concepto",""),4,900)))</f>
        <v/>
      </c>
    </row>
    <row r="203">
      <c r="U203" s="51">
        <f>IF(COUNTA($V203:$Z203)=0,"","M-"&amp;TEXT(ROW()-6,"0000"))</f>
        <v/>
      </c>
      <c r="V203" s="41" t="n"/>
      <c r="W203" s="33" t="n"/>
      <c r="X203" s="33" t="n"/>
      <c r="Y203" s="33" t="n"/>
      <c r="Z203" s="36" t="n"/>
      <c r="AA203" s="33" t="n"/>
      <c r="AB203" s="33" t="n"/>
      <c r="AC203" s="51">
        <f>IF(COUNTA($V203,$W203,$X203,$Y203,$Z203)=0,"",IF(IF($V203=""," · Falta fecha","")&amp;IF($W203=""," · Falta tipo","")&amp;IF($X203=""," · Falta concepto","")&amp;IF(OR($Z203="",NOT(ISNUMBER($Z203)),$Z203&lt;=0)," · Monto inválido","")&amp;IF(AND($W203="Entrada",OR($X203="Retiro del propietario",$X203="Pago de préstamo",$X203="Otro egreso"))," · Tipo no coincide con el concepto","")&amp;IF(AND($W203="Salida",OR($X203="Aporte de capital",$X203="Préstamo recibido",$X203="Otro ingreso"))," · Tipo no coincide con el concepto","")="","OK",MID(IF($V203=""," · Falta fecha","")&amp;IF($W203=""," · Falta tipo","")&amp;IF($X203=""," · Falta concepto","")&amp;IF(OR($Z203="",NOT(ISNUMBER($Z203)),$Z203&lt;=0)," · Monto inválido","")&amp;IF(AND($W203="Entrada",OR($X203="Retiro del propietario",$X203="Pago de préstamo",$X203="Otro egreso"))," · Tipo no coincide con el concepto","")&amp;IF(AND($W203="Salida",OR($X203="Aporte de capital",$X203="Préstamo recibido",$X203="Otro ingreso"))," · Tipo no coincide con el concepto",""),4,900)))</f>
        <v/>
      </c>
    </row>
    <row r="204">
      <c r="U204" s="51">
        <f>IF(COUNTA($V204:$Z204)=0,"","M-"&amp;TEXT(ROW()-6,"0000"))</f>
        <v/>
      </c>
      <c r="V204" s="41" t="n"/>
      <c r="W204" s="33" t="n"/>
      <c r="X204" s="33" t="n"/>
      <c r="Y204" s="33" t="n"/>
      <c r="Z204" s="36" t="n"/>
      <c r="AA204" s="33" t="n"/>
      <c r="AB204" s="33" t="n"/>
      <c r="AC204" s="51">
        <f>IF(COUNTA($V204,$W204,$X204,$Y204,$Z204)=0,"",IF(IF($V204=""," · Falta fecha","")&amp;IF($W204=""," · Falta tipo","")&amp;IF($X204=""," · Falta concepto","")&amp;IF(OR($Z204="",NOT(ISNUMBER($Z204)),$Z204&lt;=0)," · Monto inválido","")&amp;IF(AND($W204="Entrada",OR($X204="Retiro del propietario",$X204="Pago de préstamo",$X204="Otro egreso"))," · Tipo no coincide con el concepto","")&amp;IF(AND($W204="Salida",OR($X204="Aporte de capital",$X204="Préstamo recibido",$X204="Otro ingreso"))," · Tipo no coincide con el concepto","")="","OK",MID(IF($V204=""," · Falta fecha","")&amp;IF($W204=""," · Falta tipo","")&amp;IF($X204=""," · Falta concepto","")&amp;IF(OR($Z204="",NOT(ISNUMBER($Z204)),$Z204&lt;=0)," · Monto inválido","")&amp;IF(AND($W204="Entrada",OR($X204="Retiro del propietario",$X204="Pago de préstamo",$X204="Otro egreso"))," · Tipo no coincide con el concepto","")&amp;IF(AND($W204="Salida",OR($X204="Aporte de capital",$X204="Préstamo recibido",$X204="Otro ingreso"))," · Tipo no coincide con el concepto",""),4,900)))</f>
        <v/>
      </c>
    </row>
    <row r="205">
      <c r="U205" s="51">
        <f>IF(COUNTA($V205:$Z205)=0,"","M-"&amp;TEXT(ROW()-6,"0000"))</f>
        <v/>
      </c>
      <c r="V205" s="41" t="n"/>
      <c r="W205" s="33" t="n"/>
      <c r="X205" s="33" t="n"/>
      <c r="Y205" s="33" t="n"/>
      <c r="Z205" s="36" t="n"/>
      <c r="AA205" s="33" t="n"/>
      <c r="AB205" s="33" t="n"/>
      <c r="AC205" s="51">
        <f>IF(COUNTA($V205,$W205,$X205,$Y205,$Z205)=0,"",IF(IF($V205=""," · Falta fecha","")&amp;IF($W205=""," · Falta tipo","")&amp;IF($X205=""," · Falta concepto","")&amp;IF(OR($Z205="",NOT(ISNUMBER($Z205)),$Z205&lt;=0)," · Monto inválido","")&amp;IF(AND($W205="Entrada",OR($X205="Retiro del propietario",$X205="Pago de préstamo",$X205="Otro egreso"))," · Tipo no coincide con el concepto","")&amp;IF(AND($W205="Salida",OR($X205="Aporte de capital",$X205="Préstamo recibido",$X205="Otro ingreso"))," · Tipo no coincide con el concepto","")="","OK",MID(IF($V205=""," · Falta fecha","")&amp;IF($W205=""," · Falta tipo","")&amp;IF($X205=""," · Falta concepto","")&amp;IF(OR($Z205="",NOT(ISNUMBER($Z205)),$Z205&lt;=0)," · Monto inválido","")&amp;IF(AND($W205="Entrada",OR($X205="Retiro del propietario",$X205="Pago de préstamo",$X205="Otro egreso"))," · Tipo no coincide con el concepto","")&amp;IF(AND($W205="Salida",OR($X205="Aporte de capital",$X205="Préstamo recibido",$X205="Otro ingreso"))," · Tipo no coincide con el concepto",""),4,900)))</f>
        <v/>
      </c>
    </row>
    <row r="206">
      <c r="U206" s="51">
        <f>IF(COUNTA($V206:$Z206)=0,"","M-"&amp;TEXT(ROW()-6,"0000"))</f>
        <v/>
      </c>
      <c r="V206" s="41" t="n"/>
      <c r="W206" s="33" t="n"/>
      <c r="X206" s="33" t="n"/>
      <c r="Y206" s="33" t="n"/>
      <c r="Z206" s="36" t="n"/>
      <c r="AA206" s="33" t="n"/>
      <c r="AB206" s="33" t="n"/>
      <c r="AC206" s="51">
        <f>IF(COUNTA($V206,$W206,$X206,$Y206,$Z206)=0,"",IF(IF($V206=""," · Falta fecha","")&amp;IF($W206=""," · Falta tipo","")&amp;IF($X206=""," · Falta concepto","")&amp;IF(OR($Z206="",NOT(ISNUMBER($Z206)),$Z206&lt;=0)," · Monto inválido","")&amp;IF(AND($W206="Entrada",OR($X206="Retiro del propietario",$X206="Pago de préstamo",$X206="Otro egreso"))," · Tipo no coincide con el concepto","")&amp;IF(AND($W206="Salida",OR($X206="Aporte de capital",$X206="Préstamo recibido",$X206="Otro ingreso"))," · Tipo no coincide con el concepto","")="","OK",MID(IF($V206=""," · Falta fecha","")&amp;IF($W206=""," · Falta tipo","")&amp;IF($X206=""," · Falta concepto","")&amp;IF(OR($Z206="",NOT(ISNUMBER($Z206)),$Z206&lt;=0)," · Monto inválido","")&amp;IF(AND($W206="Entrada",OR($X206="Retiro del propietario",$X206="Pago de préstamo",$X206="Otro egreso"))," · Tipo no coincide con el concepto","")&amp;IF(AND($W206="Salida",OR($X206="Aporte de capital",$X206="Préstamo recibido",$X206="Otro ingreso"))," · Tipo no coincide con el concepto",""),4,900)))</f>
        <v/>
      </c>
    </row>
  </sheetData>
  <mergeCells count="7">
    <mergeCell ref="A50:D50"/>
    <mergeCell ref="A48:D48"/>
    <mergeCell ref="A3:S3"/>
    <mergeCell ref="A51:D51"/>
    <mergeCell ref="A49:D49"/>
    <mergeCell ref="A47:D47"/>
    <mergeCell ref="A46:D46"/>
  </mergeCells>
  <conditionalFormatting sqref="O7:O42">
    <cfRule type="cellIs" priority="1" operator="lessThan" dxfId="5">
      <formula>0</formula>
    </cfRule>
  </conditionalFormatting>
  <conditionalFormatting sqref="N7:N42">
    <cfRule type="cellIs" priority="2" operator="lessThan" dxfId="9">
      <formula>0</formula>
    </cfRule>
  </conditionalFormatting>
  <conditionalFormatting sqref="AC7:AC206">
    <cfRule type="expression" priority="3" dxfId="5">
      <formula>AND($AC7&lt;&gt;"",$AC7&lt;&gt;"OK")</formula>
    </cfRule>
  </conditionalFormatting>
  <dataValidations count="5">
    <dataValidation sqref="W7:W206" showDropDown="0" showInputMessage="0" showErrorMessage="0" allowBlank="1" errorTitle="Valor fuera de la lista" error="Ese valor no está en la lista. Agréguelo en la hoja CONFIG si es nuevo." type="list" errorStyle="stop">
      <formula1>=LISTA_TIPO_MOV</formula1>
    </dataValidation>
    <dataValidation sqref="X7:X206" showDropDown="0" showInputMessage="0" showErrorMessage="0" allowBlank="1" errorTitle="Valor fuera de la lista" error="Ese valor no está en la lista. Agréguelo en la hoja CONFIG si es nuevo." type="list" errorStyle="stop">
      <formula1>=LISTA_CONCEPTO_CAJA</formula1>
    </dataValidation>
    <dataValidation sqref="AA7:AA206" showDropDown="0" showInputMessage="0" showErrorMessage="0" allowBlank="1" errorTitle="Valor fuera de la lista" error="Ese valor no está en la lista. Agréguelo en la hoja CONFIG si es nuevo." type="list" errorStyle="warning">
      <formula1>=LISTA_METODOS_PAGO</formula1>
    </dataValidation>
    <dataValidation sqref="Z7:Z206" showDropDown="0" showInputMessage="0" showErrorMessage="0" allowBlank="1" errorTitle="Número inválido" error="Escriba un número mayor o igual a 0." type="decimal" errorStyle="stop" operator="greaterThanOrEqual">
      <formula1>0</formula1>
    </dataValidation>
    <dataValidation sqref="V7:V206" showDropDown="0" showInputMessage="0" showErrorMessage="0" allowBlank="1" errorTitle="Fecha inválida" error="Escriba una fecha válida (dd/mm/aaaa)." type="date" errorStyle="stop" operator="greaterThan">
      <formula1>DATE(2000,1,1)</formula1>
    </dataValidation>
  </dataValidations>
  <printOptions horizontalCentered="1"/>
  <pageMargins left="0.4" right="0.4" top="0.5" bottom="0.5" header="0.5" footer="0.5"/>
  <pageSetup orientation="landscape"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tabColor rgb="006B8CAE"/>
    <outlinePr summaryBelow="1" summaryRight="1"/>
    <pageSetUpPr fitToPage="1"/>
  </sheetPr>
  <dimension ref="A1:R156"/>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13" customWidth="1" min="1" max="1"/>
    <col width="28" customWidth="1" min="2" max="2"/>
    <col width="15" customWidth="1" min="3" max="3"/>
    <col width="26" customWidth="1" min="4" max="4"/>
    <col width="16" customWidth="1" min="5" max="5"/>
    <col width="18" customWidth="1" min="6" max="6"/>
    <col width="14" customWidth="1" min="7" max="7"/>
    <col width="14" customWidth="1" min="8" max="8"/>
    <col width="12" customWidth="1" min="9" max="9"/>
    <col width="15" customWidth="1" min="10" max="10"/>
    <col width="15" customWidth="1" min="11" max="11"/>
    <col width="14" customWidth="1" min="12" max="12"/>
    <col width="14" customWidth="1" min="13" max="13"/>
    <col width="12" customWidth="1" min="14" max="14"/>
    <col width="16" customWidth="1" min="15" max="15"/>
    <col width="12" customWidth="1" min="16" max="16"/>
    <col width="26" customWidth="1" min="17" max="17"/>
    <col width="26" customWidth="1" min="18" max="18"/>
  </cols>
  <sheetData>
    <row r="1">
      <c r="A1" s="1" t="inlineStr">
        <is>
          <t>CLIENTES — Base de datos comercial</t>
        </is>
      </c>
    </row>
    <row r="2">
      <c r="A2" s="2" t="inlineStr">
        <is>
          <t>El «Nombre» es la llave que conecta con la hoja VENTAS: escríbalo aquí primero y luego selecciónelo en el desplegable de cada venta. Todo lo demás se calcula solo.</t>
        </is>
      </c>
    </row>
    <row r="6" ht="40" customHeight="1">
      <c r="A6" s="11" t="inlineStr">
        <is>
          <t>ID de cliente</t>
        </is>
      </c>
      <c r="B6" s="11" t="inlineStr">
        <is>
          <t>Nombre</t>
        </is>
      </c>
      <c r="C6" s="11" t="inlineStr">
        <is>
          <t>Teléfono</t>
        </is>
      </c>
      <c r="D6" s="11" t="inlineStr">
        <is>
          <t>Email</t>
        </is>
      </c>
      <c r="E6" s="11" t="inlineStr">
        <is>
          <t>Canal preferido</t>
        </is>
      </c>
      <c r="F6" s="11" t="inlineStr">
        <is>
          <t>Ciudad / zona</t>
        </is>
      </c>
      <c r="G6" s="11" t="inlineStr">
        <is>
          <t>Fecha de primera compra</t>
        </is>
      </c>
      <c r="H6" s="11" t="inlineStr">
        <is>
          <t>Fecha de última compra</t>
        </is>
      </c>
      <c r="I6" s="11" t="inlineStr">
        <is>
          <t>Número de compras</t>
        </is>
      </c>
      <c r="J6" s="11" t="inlineStr">
        <is>
          <t>Ventas acumuladas</t>
        </is>
      </c>
      <c r="K6" s="11" t="inlineStr">
        <is>
          <t>Utilidad generada</t>
        </is>
      </c>
      <c r="L6" s="11" t="inlineStr">
        <is>
          <t>Ticket promedio</t>
        </is>
      </c>
      <c r="M6" s="11" t="inlineStr">
        <is>
          <t>Saldo por cobrar</t>
        </is>
      </c>
      <c r="N6" s="11" t="inlineStr">
        <is>
          <t>Días desde la última compra</t>
        </is>
      </c>
      <c r="O6" s="11" t="inlineStr">
        <is>
          <t>Clasificación</t>
        </is>
      </c>
      <c r="P6" s="11" t="inlineStr">
        <is>
          <t>Estado</t>
        </is>
      </c>
      <c r="Q6" s="11" t="inlineStr">
        <is>
          <t>Observaciones</t>
        </is>
      </c>
      <c r="R6" s="11" t="inlineStr">
        <is>
          <t>ALERTA</t>
        </is>
      </c>
    </row>
    <row r="7">
      <c r="A7" s="51">
        <f>IF($B7="","","CLI-"&amp;TEXT(ROW()-6,"0000"))</f>
        <v/>
      </c>
      <c r="B7" s="33" t="n"/>
      <c r="C7" s="33" t="n"/>
      <c r="D7" s="33" t="n"/>
      <c r="E7" s="33" t="n"/>
      <c r="F7" s="33" t="n"/>
      <c r="G7" s="53">
        <f>IF($B7="","",IF(COUNTIFS(tblVentas[Cliente],$B7)=0,"",SUMPRODUCT(MIN((tblVentas[Cliente]=$B7)*tblVentas[Fecha]+(tblVentas[Cliente]&lt;&gt;$B7)*99999))))</f>
        <v/>
      </c>
      <c r="H7" s="53">
        <f>IF($B7="","",IF(COUNTIFS(tblVentas[Cliente],$B7)=0,"",SUMPRODUCT(MAX((tblVentas[Cliente]=$B7)*tblVentas[Fecha]))))</f>
        <v/>
      </c>
      <c r="I7" s="39">
        <f>IF($B7="","",COUNTIFS(tblVentas[Cliente],$B7))</f>
        <v/>
      </c>
      <c r="J7" s="37">
        <f>IF($B7="","",SUMIFS(tblVentas[Venta neta],tblVentas[Cliente],$B7))</f>
        <v/>
      </c>
      <c r="K7" s="37">
        <f>IF($B7="","",SUMIFS(tblVentas[Utilidad bruta],tblVentas[Cliente],$B7))</f>
        <v/>
      </c>
      <c r="L7" s="37">
        <f>IF(OR($B7="",$I7=0),"",$J7/$I7)</f>
        <v/>
      </c>
      <c r="M7" s="37">
        <f>IF($B7="","",SUMIFS(tblVentas[Saldo por cobrar],tblVentas[Cliente],$B7))</f>
        <v/>
      </c>
      <c r="N7" s="39">
        <f>IF(OR($B7="",NOT(ISNUMBER($H7))),"",TODAY()-$H7)</f>
        <v/>
      </c>
      <c r="O7" s="51">
        <f>IF($B7="","",IF($I7=0,"SIN COMPRAS",IF($N7&lt;=30,"ACTIVO",IF($N7&lt;=60,"EN SEGUIMIENTO",IF($N7&lt;=120,"EN RIESGO","INACTIVO")))))</f>
        <v/>
      </c>
      <c r="P7" s="33" t="n"/>
      <c r="Q7" s="33" t="n"/>
      <c r="R7" s="51">
        <f>IF($B7="","",IF(IF(AND($B7&lt;&gt;"",COUNTIF(tblClientes[Nombre],$B7)&gt;1)," · NOMBRE DUPLICADO","")&amp;IF(AND($B7&lt;&gt;"",$C7="",$D7="")," · Sin teléfono ni email","")&amp;IF(AND(ISNUMBER($M7),$M7&gt;0)," · Tiene saldo por cobrar","")="","OK",MID(IF(AND($B7&lt;&gt;"",COUNTIF(tblClientes[Nombre],$B7)&gt;1)," · NOMBRE DUPLICADO","")&amp;IF(AND($B7&lt;&gt;"",$C7="",$D7="")," · Sin teléfono ni email","")&amp;IF(AND(ISNUMBER($M7),$M7&gt;0)," · Tiene saldo por cobrar",""),4,900)))</f>
        <v/>
      </c>
    </row>
    <row r="8">
      <c r="A8" s="51">
        <f>IF($B8="","","CLI-"&amp;TEXT(ROW()-6,"0000"))</f>
        <v/>
      </c>
      <c r="B8" s="33" t="n"/>
      <c r="C8" s="33" t="n"/>
      <c r="D8" s="33" t="n"/>
      <c r="E8" s="33" t="n"/>
      <c r="F8" s="33" t="n"/>
      <c r="G8" s="53">
        <f>IF($B8="","",IF(COUNTIFS(tblVentas[Cliente],$B8)=0,"",SUMPRODUCT(MIN((tblVentas[Cliente]=$B8)*tblVentas[Fecha]+(tblVentas[Cliente]&lt;&gt;$B8)*99999))))</f>
        <v/>
      </c>
      <c r="H8" s="53">
        <f>IF($B8="","",IF(COUNTIFS(tblVentas[Cliente],$B8)=0,"",SUMPRODUCT(MAX((tblVentas[Cliente]=$B8)*tblVentas[Fecha]))))</f>
        <v/>
      </c>
      <c r="I8" s="39">
        <f>IF($B8="","",COUNTIFS(tblVentas[Cliente],$B8))</f>
        <v/>
      </c>
      <c r="J8" s="37">
        <f>IF($B8="","",SUMIFS(tblVentas[Venta neta],tblVentas[Cliente],$B8))</f>
        <v/>
      </c>
      <c r="K8" s="37">
        <f>IF($B8="","",SUMIFS(tblVentas[Utilidad bruta],tblVentas[Cliente],$B8))</f>
        <v/>
      </c>
      <c r="L8" s="37">
        <f>IF(OR($B8="",$I8=0),"",$J8/$I8)</f>
        <v/>
      </c>
      <c r="M8" s="37">
        <f>IF($B8="","",SUMIFS(tblVentas[Saldo por cobrar],tblVentas[Cliente],$B8))</f>
        <v/>
      </c>
      <c r="N8" s="39">
        <f>IF(OR($B8="",NOT(ISNUMBER($H8))),"",TODAY()-$H8)</f>
        <v/>
      </c>
      <c r="O8" s="51">
        <f>IF($B8="","",IF($I8=0,"SIN COMPRAS",IF($N8&lt;=30,"ACTIVO",IF($N8&lt;=60,"EN SEGUIMIENTO",IF($N8&lt;=120,"EN RIESGO","INACTIVO")))))</f>
        <v/>
      </c>
      <c r="P8" s="33" t="n"/>
      <c r="Q8" s="33" t="n"/>
      <c r="R8" s="51">
        <f>IF($B8="","",IF(IF(AND($B8&lt;&gt;"",COUNTIF(tblClientes[Nombre],$B8)&gt;1)," · NOMBRE DUPLICADO","")&amp;IF(AND($B8&lt;&gt;"",$C8="",$D8="")," · Sin teléfono ni email","")&amp;IF(AND(ISNUMBER($M8),$M8&gt;0)," · Tiene saldo por cobrar","")="","OK",MID(IF(AND($B8&lt;&gt;"",COUNTIF(tblClientes[Nombre],$B8)&gt;1)," · NOMBRE DUPLICADO","")&amp;IF(AND($B8&lt;&gt;"",$C8="",$D8="")," · Sin teléfono ni email","")&amp;IF(AND(ISNUMBER($M8),$M8&gt;0)," · Tiene saldo por cobrar",""),4,900)))</f>
        <v/>
      </c>
    </row>
    <row r="9">
      <c r="A9" s="51">
        <f>IF($B9="","","CLI-"&amp;TEXT(ROW()-6,"0000"))</f>
        <v/>
      </c>
      <c r="B9" s="33" t="n"/>
      <c r="C9" s="33" t="n"/>
      <c r="D9" s="33" t="n"/>
      <c r="E9" s="33" t="n"/>
      <c r="F9" s="33" t="n"/>
      <c r="G9" s="53">
        <f>IF($B9="","",IF(COUNTIFS(tblVentas[Cliente],$B9)=0,"",SUMPRODUCT(MIN((tblVentas[Cliente]=$B9)*tblVentas[Fecha]+(tblVentas[Cliente]&lt;&gt;$B9)*99999))))</f>
        <v/>
      </c>
      <c r="H9" s="53">
        <f>IF($B9="","",IF(COUNTIFS(tblVentas[Cliente],$B9)=0,"",SUMPRODUCT(MAX((tblVentas[Cliente]=$B9)*tblVentas[Fecha]))))</f>
        <v/>
      </c>
      <c r="I9" s="39">
        <f>IF($B9="","",COUNTIFS(tblVentas[Cliente],$B9))</f>
        <v/>
      </c>
      <c r="J9" s="37">
        <f>IF($B9="","",SUMIFS(tblVentas[Venta neta],tblVentas[Cliente],$B9))</f>
        <v/>
      </c>
      <c r="K9" s="37">
        <f>IF($B9="","",SUMIFS(tblVentas[Utilidad bruta],tblVentas[Cliente],$B9))</f>
        <v/>
      </c>
      <c r="L9" s="37">
        <f>IF(OR($B9="",$I9=0),"",$J9/$I9)</f>
        <v/>
      </c>
      <c r="M9" s="37">
        <f>IF($B9="","",SUMIFS(tblVentas[Saldo por cobrar],tblVentas[Cliente],$B9))</f>
        <v/>
      </c>
      <c r="N9" s="39">
        <f>IF(OR($B9="",NOT(ISNUMBER($H9))),"",TODAY()-$H9)</f>
        <v/>
      </c>
      <c r="O9" s="51">
        <f>IF($B9="","",IF($I9=0,"SIN COMPRAS",IF($N9&lt;=30,"ACTIVO",IF($N9&lt;=60,"EN SEGUIMIENTO",IF($N9&lt;=120,"EN RIESGO","INACTIVO")))))</f>
        <v/>
      </c>
      <c r="P9" s="33" t="n"/>
      <c r="Q9" s="33" t="n"/>
      <c r="R9" s="51">
        <f>IF($B9="","",IF(IF(AND($B9&lt;&gt;"",COUNTIF(tblClientes[Nombre],$B9)&gt;1)," · NOMBRE DUPLICADO","")&amp;IF(AND($B9&lt;&gt;"",$C9="",$D9="")," · Sin teléfono ni email","")&amp;IF(AND(ISNUMBER($M9),$M9&gt;0)," · Tiene saldo por cobrar","")="","OK",MID(IF(AND($B9&lt;&gt;"",COUNTIF(tblClientes[Nombre],$B9)&gt;1)," · NOMBRE DUPLICADO","")&amp;IF(AND($B9&lt;&gt;"",$C9="",$D9="")," · Sin teléfono ni email","")&amp;IF(AND(ISNUMBER($M9),$M9&gt;0)," · Tiene saldo por cobrar",""),4,900)))</f>
        <v/>
      </c>
    </row>
    <row r="10">
      <c r="A10" s="51">
        <f>IF($B10="","","CLI-"&amp;TEXT(ROW()-6,"0000"))</f>
        <v/>
      </c>
      <c r="B10" s="33" t="n"/>
      <c r="C10" s="33" t="n"/>
      <c r="D10" s="33" t="n"/>
      <c r="E10" s="33" t="n"/>
      <c r="F10" s="33" t="n"/>
      <c r="G10" s="53">
        <f>IF($B10="","",IF(COUNTIFS(tblVentas[Cliente],$B10)=0,"",SUMPRODUCT(MIN((tblVentas[Cliente]=$B10)*tblVentas[Fecha]+(tblVentas[Cliente]&lt;&gt;$B10)*99999))))</f>
        <v/>
      </c>
      <c r="H10" s="53">
        <f>IF($B10="","",IF(COUNTIFS(tblVentas[Cliente],$B10)=0,"",SUMPRODUCT(MAX((tblVentas[Cliente]=$B10)*tblVentas[Fecha]))))</f>
        <v/>
      </c>
      <c r="I10" s="39">
        <f>IF($B10="","",COUNTIFS(tblVentas[Cliente],$B10))</f>
        <v/>
      </c>
      <c r="J10" s="37">
        <f>IF($B10="","",SUMIFS(tblVentas[Venta neta],tblVentas[Cliente],$B10))</f>
        <v/>
      </c>
      <c r="K10" s="37">
        <f>IF($B10="","",SUMIFS(tblVentas[Utilidad bruta],tblVentas[Cliente],$B10))</f>
        <v/>
      </c>
      <c r="L10" s="37">
        <f>IF(OR($B10="",$I10=0),"",$J10/$I10)</f>
        <v/>
      </c>
      <c r="M10" s="37">
        <f>IF($B10="","",SUMIFS(tblVentas[Saldo por cobrar],tblVentas[Cliente],$B10))</f>
        <v/>
      </c>
      <c r="N10" s="39">
        <f>IF(OR($B10="",NOT(ISNUMBER($H10))),"",TODAY()-$H10)</f>
        <v/>
      </c>
      <c r="O10" s="51">
        <f>IF($B10="","",IF($I10=0,"SIN COMPRAS",IF($N10&lt;=30,"ACTIVO",IF($N10&lt;=60,"EN SEGUIMIENTO",IF($N10&lt;=120,"EN RIESGO","INACTIVO")))))</f>
        <v/>
      </c>
      <c r="P10" s="33" t="n"/>
      <c r="Q10" s="33" t="n"/>
      <c r="R10" s="51">
        <f>IF($B10="","",IF(IF(AND($B10&lt;&gt;"",COUNTIF(tblClientes[Nombre],$B10)&gt;1)," · NOMBRE DUPLICADO","")&amp;IF(AND($B10&lt;&gt;"",$C10="",$D10="")," · Sin teléfono ni email","")&amp;IF(AND(ISNUMBER($M10),$M10&gt;0)," · Tiene saldo por cobrar","")="","OK",MID(IF(AND($B10&lt;&gt;"",COUNTIF(tblClientes[Nombre],$B10)&gt;1)," · NOMBRE DUPLICADO","")&amp;IF(AND($B10&lt;&gt;"",$C10="",$D10="")," · Sin teléfono ni email","")&amp;IF(AND(ISNUMBER($M10),$M10&gt;0)," · Tiene saldo por cobrar",""),4,900)))</f>
        <v/>
      </c>
    </row>
    <row r="11">
      <c r="A11" s="51">
        <f>IF($B11="","","CLI-"&amp;TEXT(ROW()-6,"0000"))</f>
        <v/>
      </c>
      <c r="B11" s="33" t="n"/>
      <c r="C11" s="33" t="n"/>
      <c r="D11" s="33" t="n"/>
      <c r="E11" s="33" t="n"/>
      <c r="F11" s="33" t="n"/>
      <c r="G11" s="53">
        <f>IF($B11="","",IF(COUNTIFS(tblVentas[Cliente],$B11)=0,"",SUMPRODUCT(MIN((tblVentas[Cliente]=$B11)*tblVentas[Fecha]+(tblVentas[Cliente]&lt;&gt;$B11)*99999))))</f>
        <v/>
      </c>
      <c r="H11" s="53">
        <f>IF($B11="","",IF(COUNTIFS(tblVentas[Cliente],$B11)=0,"",SUMPRODUCT(MAX((tblVentas[Cliente]=$B11)*tblVentas[Fecha]))))</f>
        <v/>
      </c>
      <c r="I11" s="39">
        <f>IF($B11="","",COUNTIFS(tblVentas[Cliente],$B11))</f>
        <v/>
      </c>
      <c r="J11" s="37">
        <f>IF($B11="","",SUMIFS(tblVentas[Venta neta],tblVentas[Cliente],$B11))</f>
        <v/>
      </c>
      <c r="K11" s="37">
        <f>IF($B11="","",SUMIFS(tblVentas[Utilidad bruta],tblVentas[Cliente],$B11))</f>
        <v/>
      </c>
      <c r="L11" s="37">
        <f>IF(OR($B11="",$I11=0),"",$J11/$I11)</f>
        <v/>
      </c>
      <c r="M11" s="37">
        <f>IF($B11="","",SUMIFS(tblVentas[Saldo por cobrar],tblVentas[Cliente],$B11))</f>
        <v/>
      </c>
      <c r="N11" s="39">
        <f>IF(OR($B11="",NOT(ISNUMBER($H11))),"",TODAY()-$H11)</f>
        <v/>
      </c>
      <c r="O11" s="51">
        <f>IF($B11="","",IF($I11=0,"SIN COMPRAS",IF($N11&lt;=30,"ACTIVO",IF($N11&lt;=60,"EN SEGUIMIENTO",IF($N11&lt;=120,"EN RIESGO","INACTIVO")))))</f>
        <v/>
      </c>
      <c r="P11" s="33" t="n"/>
      <c r="Q11" s="33" t="n"/>
      <c r="R11" s="51">
        <f>IF($B11="","",IF(IF(AND($B11&lt;&gt;"",COUNTIF(tblClientes[Nombre],$B11)&gt;1)," · NOMBRE DUPLICADO","")&amp;IF(AND($B11&lt;&gt;"",$C11="",$D11="")," · Sin teléfono ni email","")&amp;IF(AND(ISNUMBER($M11),$M11&gt;0)," · Tiene saldo por cobrar","")="","OK",MID(IF(AND($B11&lt;&gt;"",COUNTIF(tblClientes[Nombre],$B11)&gt;1)," · NOMBRE DUPLICADO","")&amp;IF(AND($B11&lt;&gt;"",$C11="",$D11="")," · Sin teléfono ni email","")&amp;IF(AND(ISNUMBER($M11),$M11&gt;0)," · Tiene saldo por cobrar",""),4,900)))</f>
        <v/>
      </c>
    </row>
    <row r="12">
      <c r="A12" s="51">
        <f>IF($B12="","","CLI-"&amp;TEXT(ROW()-6,"0000"))</f>
        <v/>
      </c>
      <c r="B12" s="33" t="n"/>
      <c r="C12" s="33" t="n"/>
      <c r="D12" s="33" t="n"/>
      <c r="E12" s="33" t="n"/>
      <c r="F12" s="33" t="n"/>
      <c r="G12" s="53">
        <f>IF($B12="","",IF(COUNTIFS(tblVentas[Cliente],$B12)=0,"",SUMPRODUCT(MIN((tblVentas[Cliente]=$B12)*tblVentas[Fecha]+(tblVentas[Cliente]&lt;&gt;$B12)*99999))))</f>
        <v/>
      </c>
      <c r="H12" s="53">
        <f>IF($B12="","",IF(COUNTIFS(tblVentas[Cliente],$B12)=0,"",SUMPRODUCT(MAX((tblVentas[Cliente]=$B12)*tblVentas[Fecha]))))</f>
        <v/>
      </c>
      <c r="I12" s="39">
        <f>IF($B12="","",COUNTIFS(tblVentas[Cliente],$B12))</f>
        <v/>
      </c>
      <c r="J12" s="37">
        <f>IF($B12="","",SUMIFS(tblVentas[Venta neta],tblVentas[Cliente],$B12))</f>
        <v/>
      </c>
      <c r="K12" s="37">
        <f>IF($B12="","",SUMIFS(tblVentas[Utilidad bruta],tblVentas[Cliente],$B12))</f>
        <v/>
      </c>
      <c r="L12" s="37">
        <f>IF(OR($B12="",$I12=0),"",$J12/$I12)</f>
        <v/>
      </c>
      <c r="M12" s="37">
        <f>IF($B12="","",SUMIFS(tblVentas[Saldo por cobrar],tblVentas[Cliente],$B12))</f>
        <v/>
      </c>
      <c r="N12" s="39">
        <f>IF(OR($B12="",NOT(ISNUMBER($H12))),"",TODAY()-$H12)</f>
        <v/>
      </c>
      <c r="O12" s="51">
        <f>IF($B12="","",IF($I12=0,"SIN COMPRAS",IF($N12&lt;=30,"ACTIVO",IF($N12&lt;=60,"EN SEGUIMIENTO",IF($N12&lt;=120,"EN RIESGO","INACTIVO")))))</f>
        <v/>
      </c>
      <c r="P12" s="33" t="n"/>
      <c r="Q12" s="33" t="n"/>
      <c r="R12" s="51">
        <f>IF($B12="","",IF(IF(AND($B12&lt;&gt;"",COUNTIF(tblClientes[Nombre],$B12)&gt;1)," · NOMBRE DUPLICADO","")&amp;IF(AND($B12&lt;&gt;"",$C12="",$D12="")," · Sin teléfono ni email","")&amp;IF(AND(ISNUMBER($M12),$M12&gt;0)," · Tiene saldo por cobrar","")="","OK",MID(IF(AND($B12&lt;&gt;"",COUNTIF(tblClientes[Nombre],$B12)&gt;1)," · NOMBRE DUPLICADO","")&amp;IF(AND($B12&lt;&gt;"",$C12="",$D12="")," · Sin teléfono ni email","")&amp;IF(AND(ISNUMBER($M12),$M12&gt;0)," · Tiene saldo por cobrar",""),4,900)))</f>
        <v/>
      </c>
    </row>
    <row r="13">
      <c r="A13" s="51">
        <f>IF($B13="","","CLI-"&amp;TEXT(ROW()-6,"0000"))</f>
        <v/>
      </c>
      <c r="B13" s="33" t="n"/>
      <c r="C13" s="33" t="n"/>
      <c r="D13" s="33" t="n"/>
      <c r="E13" s="33" t="n"/>
      <c r="F13" s="33" t="n"/>
      <c r="G13" s="53">
        <f>IF($B13="","",IF(COUNTIFS(tblVentas[Cliente],$B13)=0,"",SUMPRODUCT(MIN((tblVentas[Cliente]=$B13)*tblVentas[Fecha]+(tblVentas[Cliente]&lt;&gt;$B13)*99999))))</f>
        <v/>
      </c>
      <c r="H13" s="53">
        <f>IF($B13="","",IF(COUNTIFS(tblVentas[Cliente],$B13)=0,"",SUMPRODUCT(MAX((tblVentas[Cliente]=$B13)*tblVentas[Fecha]))))</f>
        <v/>
      </c>
      <c r="I13" s="39">
        <f>IF($B13="","",COUNTIFS(tblVentas[Cliente],$B13))</f>
        <v/>
      </c>
      <c r="J13" s="37">
        <f>IF($B13="","",SUMIFS(tblVentas[Venta neta],tblVentas[Cliente],$B13))</f>
        <v/>
      </c>
      <c r="K13" s="37">
        <f>IF($B13="","",SUMIFS(tblVentas[Utilidad bruta],tblVentas[Cliente],$B13))</f>
        <v/>
      </c>
      <c r="L13" s="37">
        <f>IF(OR($B13="",$I13=0),"",$J13/$I13)</f>
        <v/>
      </c>
      <c r="M13" s="37">
        <f>IF($B13="","",SUMIFS(tblVentas[Saldo por cobrar],tblVentas[Cliente],$B13))</f>
        <v/>
      </c>
      <c r="N13" s="39">
        <f>IF(OR($B13="",NOT(ISNUMBER($H13))),"",TODAY()-$H13)</f>
        <v/>
      </c>
      <c r="O13" s="51">
        <f>IF($B13="","",IF($I13=0,"SIN COMPRAS",IF($N13&lt;=30,"ACTIVO",IF($N13&lt;=60,"EN SEGUIMIENTO",IF($N13&lt;=120,"EN RIESGO","INACTIVO")))))</f>
        <v/>
      </c>
      <c r="P13" s="33" t="n"/>
      <c r="Q13" s="33" t="n"/>
      <c r="R13" s="51">
        <f>IF($B13="","",IF(IF(AND($B13&lt;&gt;"",COUNTIF(tblClientes[Nombre],$B13)&gt;1)," · NOMBRE DUPLICADO","")&amp;IF(AND($B13&lt;&gt;"",$C13="",$D13="")," · Sin teléfono ni email","")&amp;IF(AND(ISNUMBER($M13),$M13&gt;0)," · Tiene saldo por cobrar","")="","OK",MID(IF(AND($B13&lt;&gt;"",COUNTIF(tblClientes[Nombre],$B13)&gt;1)," · NOMBRE DUPLICADO","")&amp;IF(AND($B13&lt;&gt;"",$C13="",$D13="")," · Sin teléfono ni email","")&amp;IF(AND(ISNUMBER($M13),$M13&gt;0)," · Tiene saldo por cobrar",""),4,900)))</f>
        <v/>
      </c>
    </row>
    <row r="14">
      <c r="A14" s="51">
        <f>IF($B14="","","CLI-"&amp;TEXT(ROW()-6,"0000"))</f>
        <v/>
      </c>
      <c r="B14" s="33" t="n"/>
      <c r="C14" s="33" t="n"/>
      <c r="D14" s="33" t="n"/>
      <c r="E14" s="33" t="n"/>
      <c r="F14" s="33" t="n"/>
      <c r="G14" s="53">
        <f>IF($B14="","",IF(COUNTIFS(tblVentas[Cliente],$B14)=0,"",SUMPRODUCT(MIN((tblVentas[Cliente]=$B14)*tblVentas[Fecha]+(tblVentas[Cliente]&lt;&gt;$B14)*99999))))</f>
        <v/>
      </c>
      <c r="H14" s="53">
        <f>IF($B14="","",IF(COUNTIFS(tblVentas[Cliente],$B14)=0,"",SUMPRODUCT(MAX((tblVentas[Cliente]=$B14)*tblVentas[Fecha]))))</f>
        <v/>
      </c>
      <c r="I14" s="39">
        <f>IF($B14="","",COUNTIFS(tblVentas[Cliente],$B14))</f>
        <v/>
      </c>
      <c r="J14" s="37">
        <f>IF($B14="","",SUMIFS(tblVentas[Venta neta],tblVentas[Cliente],$B14))</f>
        <v/>
      </c>
      <c r="K14" s="37">
        <f>IF($B14="","",SUMIFS(tblVentas[Utilidad bruta],tblVentas[Cliente],$B14))</f>
        <v/>
      </c>
      <c r="L14" s="37">
        <f>IF(OR($B14="",$I14=0),"",$J14/$I14)</f>
        <v/>
      </c>
      <c r="M14" s="37">
        <f>IF($B14="","",SUMIFS(tblVentas[Saldo por cobrar],tblVentas[Cliente],$B14))</f>
        <v/>
      </c>
      <c r="N14" s="39">
        <f>IF(OR($B14="",NOT(ISNUMBER($H14))),"",TODAY()-$H14)</f>
        <v/>
      </c>
      <c r="O14" s="51">
        <f>IF($B14="","",IF($I14=0,"SIN COMPRAS",IF($N14&lt;=30,"ACTIVO",IF($N14&lt;=60,"EN SEGUIMIENTO",IF($N14&lt;=120,"EN RIESGO","INACTIVO")))))</f>
        <v/>
      </c>
      <c r="P14" s="33" t="n"/>
      <c r="Q14" s="33" t="n"/>
      <c r="R14" s="51">
        <f>IF($B14="","",IF(IF(AND($B14&lt;&gt;"",COUNTIF(tblClientes[Nombre],$B14)&gt;1)," · NOMBRE DUPLICADO","")&amp;IF(AND($B14&lt;&gt;"",$C14="",$D14="")," · Sin teléfono ni email","")&amp;IF(AND(ISNUMBER($M14),$M14&gt;0)," · Tiene saldo por cobrar","")="","OK",MID(IF(AND($B14&lt;&gt;"",COUNTIF(tblClientes[Nombre],$B14)&gt;1)," · NOMBRE DUPLICADO","")&amp;IF(AND($B14&lt;&gt;"",$C14="",$D14="")," · Sin teléfono ni email","")&amp;IF(AND(ISNUMBER($M14),$M14&gt;0)," · Tiene saldo por cobrar",""),4,900)))</f>
        <v/>
      </c>
    </row>
    <row r="15">
      <c r="A15" s="51">
        <f>IF($B15="","","CLI-"&amp;TEXT(ROW()-6,"0000"))</f>
        <v/>
      </c>
      <c r="B15" s="33" t="n"/>
      <c r="C15" s="33" t="n"/>
      <c r="D15" s="33" t="n"/>
      <c r="E15" s="33" t="n"/>
      <c r="F15" s="33" t="n"/>
      <c r="G15" s="53">
        <f>IF($B15="","",IF(COUNTIFS(tblVentas[Cliente],$B15)=0,"",SUMPRODUCT(MIN((tblVentas[Cliente]=$B15)*tblVentas[Fecha]+(tblVentas[Cliente]&lt;&gt;$B15)*99999))))</f>
        <v/>
      </c>
      <c r="H15" s="53">
        <f>IF($B15="","",IF(COUNTIFS(tblVentas[Cliente],$B15)=0,"",SUMPRODUCT(MAX((tblVentas[Cliente]=$B15)*tblVentas[Fecha]))))</f>
        <v/>
      </c>
      <c r="I15" s="39">
        <f>IF($B15="","",COUNTIFS(tblVentas[Cliente],$B15))</f>
        <v/>
      </c>
      <c r="J15" s="37">
        <f>IF($B15="","",SUMIFS(tblVentas[Venta neta],tblVentas[Cliente],$B15))</f>
        <v/>
      </c>
      <c r="K15" s="37">
        <f>IF($B15="","",SUMIFS(tblVentas[Utilidad bruta],tblVentas[Cliente],$B15))</f>
        <v/>
      </c>
      <c r="L15" s="37">
        <f>IF(OR($B15="",$I15=0),"",$J15/$I15)</f>
        <v/>
      </c>
      <c r="M15" s="37">
        <f>IF($B15="","",SUMIFS(tblVentas[Saldo por cobrar],tblVentas[Cliente],$B15))</f>
        <v/>
      </c>
      <c r="N15" s="39">
        <f>IF(OR($B15="",NOT(ISNUMBER($H15))),"",TODAY()-$H15)</f>
        <v/>
      </c>
      <c r="O15" s="51">
        <f>IF($B15="","",IF($I15=0,"SIN COMPRAS",IF($N15&lt;=30,"ACTIVO",IF($N15&lt;=60,"EN SEGUIMIENTO",IF($N15&lt;=120,"EN RIESGO","INACTIVO")))))</f>
        <v/>
      </c>
      <c r="P15" s="33" t="n"/>
      <c r="Q15" s="33" t="n"/>
      <c r="R15" s="51">
        <f>IF($B15="","",IF(IF(AND($B15&lt;&gt;"",COUNTIF(tblClientes[Nombre],$B15)&gt;1)," · NOMBRE DUPLICADO","")&amp;IF(AND($B15&lt;&gt;"",$C15="",$D15="")," · Sin teléfono ni email","")&amp;IF(AND(ISNUMBER($M15),$M15&gt;0)," · Tiene saldo por cobrar","")="","OK",MID(IF(AND($B15&lt;&gt;"",COUNTIF(tblClientes[Nombre],$B15)&gt;1)," · NOMBRE DUPLICADO","")&amp;IF(AND($B15&lt;&gt;"",$C15="",$D15="")," · Sin teléfono ni email","")&amp;IF(AND(ISNUMBER($M15),$M15&gt;0)," · Tiene saldo por cobrar",""),4,900)))</f>
        <v/>
      </c>
    </row>
    <row r="16">
      <c r="A16" s="51">
        <f>IF($B16="","","CLI-"&amp;TEXT(ROW()-6,"0000"))</f>
        <v/>
      </c>
      <c r="B16" s="33" t="n"/>
      <c r="C16" s="33" t="n"/>
      <c r="D16" s="33" t="n"/>
      <c r="E16" s="33" t="n"/>
      <c r="F16" s="33" t="n"/>
      <c r="G16" s="53">
        <f>IF($B16="","",IF(COUNTIFS(tblVentas[Cliente],$B16)=0,"",SUMPRODUCT(MIN((tblVentas[Cliente]=$B16)*tblVentas[Fecha]+(tblVentas[Cliente]&lt;&gt;$B16)*99999))))</f>
        <v/>
      </c>
      <c r="H16" s="53">
        <f>IF($B16="","",IF(COUNTIFS(tblVentas[Cliente],$B16)=0,"",SUMPRODUCT(MAX((tblVentas[Cliente]=$B16)*tblVentas[Fecha]))))</f>
        <v/>
      </c>
      <c r="I16" s="39">
        <f>IF($B16="","",COUNTIFS(tblVentas[Cliente],$B16))</f>
        <v/>
      </c>
      <c r="J16" s="37">
        <f>IF($B16="","",SUMIFS(tblVentas[Venta neta],tblVentas[Cliente],$B16))</f>
        <v/>
      </c>
      <c r="K16" s="37">
        <f>IF($B16="","",SUMIFS(tblVentas[Utilidad bruta],tblVentas[Cliente],$B16))</f>
        <v/>
      </c>
      <c r="L16" s="37">
        <f>IF(OR($B16="",$I16=0),"",$J16/$I16)</f>
        <v/>
      </c>
      <c r="M16" s="37">
        <f>IF($B16="","",SUMIFS(tblVentas[Saldo por cobrar],tblVentas[Cliente],$B16))</f>
        <v/>
      </c>
      <c r="N16" s="39">
        <f>IF(OR($B16="",NOT(ISNUMBER($H16))),"",TODAY()-$H16)</f>
        <v/>
      </c>
      <c r="O16" s="51">
        <f>IF($B16="","",IF($I16=0,"SIN COMPRAS",IF($N16&lt;=30,"ACTIVO",IF($N16&lt;=60,"EN SEGUIMIENTO",IF($N16&lt;=120,"EN RIESGO","INACTIVO")))))</f>
        <v/>
      </c>
      <c r="P16" s="33" t="n"/>
      <c r="Q16" s="33" t="n"/>
      <c r="R16" s="51">
        <f>IF($B16="","",IF(IF(AND($B16&lt;&gt;"",COUNTIF(tblClientes[Nombre],$B16)&gt;1)," · NOMBRE DUPLICADO","")&amp;IF(AND($B16&lt;&gt;"",$C16="",$D16="")," · Sin teléfono ni email","")&amp;IF(AND(ISNUMBER($M16),$M16&gt;0)," · Tiene saldo por cobrar","")="","OK",MID(IF(AND($B16&lt;&gt;"",COUNTIF(tblClientes[Nombre],$B16)&gt;1)," · NOMBRE DUPLICADO","")&amp;IF(AND($B16&lt;&gt;"",$C16="",$D16="")," · Sin teléfono ni email","")&amp;IF(AND(ISNUMBER($M16),$M16&gt;0)," · Tiene saldo por cobrar",""),4,900)))</f>
        <v/>
      </c>
    </row>
    <row r="17">
      <c r="A17" s="51">
        <f>IF($B17="","","CLI-"&amp;TEXT(ROW()-6,"0000"))</f>
        <v/>
      </c>
      <c r="B17" s="33" t="n"/>
      <c r="C17" s="33" t="n"/>
      <c r="D17" s="33" t="n"/>
      <c r="E17" s="33" t="n"/>
      <c r="F17" s="33" t="n"/>
      <c r="G17" s="53">
        <f>IF($B17="","",IF(COUNTIFS(tblVentas[Cliente],$B17)=0,"",SUMPRODUCT(MIN((tblVentas[Cliente]=$B17)*tblVentas[Fecha]+(tblVentas[Cliente]&lt;&gt;$B17)*99999))))</f>
        <v/>
      </c>
      <c r="H17" s="53">
        <f>IF($B17="","",IF(COUNTIFS(tblVentas[Cliente],$B17)=0,"",SUMPRODUCT(MAX((tblVentas[Cliente]=$B17)*tblVentas[Fecha]))))</f>
        <v/>
      </c>
      <c r="I17" s="39">
        <f>IF($B17="","",COUNTIFS(tblVentas[Cliente],$B17))</f>
        <v/>
      </c>
      <c r="J17" s="37">
        <f>IF($B17="","",SUMIFS(tblVentas[Venta neta],tblVentas[Cliente],$B17))</f>
        <v/>
      </c>
      <c r="K17" s="37">
        <f>IF($B17="","",SUMIFS(tblVentas[Utilidad bruta],tblVentas[Cliente],$B17))</f>
        <v/>
      </c>
      <c r="L17" s="37">
        <f>IF(OR($B17="",$I17=0),"",$J17/$I17)</f>
        <v/>
      </c>
      <c r="M17" s="37">
        <f>IF($B17="","",SUMIFS(tblVentas[Saldo por cobrar],tblVentas[Cliente],$B17))</f>
        <v/>
      </c>
      <c r="N17" s="39">
        <f>IF(OR($B17="",NOT(ISNUMBER($H17))),"",TODAY()-$H17)</f>
        <v/>
      </c>
      <c r="O17" s="51">
        <f>IF($B17="","",IF($I17=0,"SIN COMPRAS",IF($N17&lt;=30,"ACTIVO",IF($N17&lt;=60,"EN SEGUIMIENTO",IF($N17&lt;=120,"EN RIESGO","INACTIVO")))))</f>
        <v/>
      </c>
      <c r="P17" s="33" t="n"/>
      <c r="Q17" s="33" t="n"/>
      <c r="R17" s="51">
        <f>IF($B17="","",IF(IF(AND($B17&lt;&gt;"",COUNTIF(tblClientes[Nombre],$B17)&gt;1)," · NOMBRE DUPLICADO","")&amp;IF(AND($B17&lt;&gt;"",$C17="",$D17="")," · Sin teléfono ni email","")&amp;IF(AND(ISNUMBER($M17),$M17&gt;0)," · Tiene saldo por cobrar","")="","OK",MID(IF(AND($B17&lt;&gt;"",COUNTIF(tblClientes[Nombre],$B17)&gt;1)," · NOMBRE DUPLICADO","")&amp;IF(AND($B17&lt;&gt;"",$C17="",$D17="")," · Sin teléfono ni email","")&amp;IF(AND(ISNUMBER($M17),$M17&gt;0)," · Tiene saldo por cobrar",""),4,900)))</f>
        <v/>
      </c>
    </row>
    <row r="18">
      <c r="A18" s="51">
        <f>IF($B18="","","CLI-"&amp;TEXT(ROW()-6,"0000"))</f>
        <v/>
      </c>
      <c r="B18" s="33" t="n"/>
      <c r="C18" s="33" t="n"/>
      <c r="D18" s="33" t="n"/>
      <c r="E18" s="33" t="n"/>
      <c r="F18" s="33" t="n"/>
      <c r="G18" s="53">
        <f>IF($B18="","",IF(COUNTIFS(tblVentas[Cliente],$B18)=0,"",SUMPRODUCT(MIN((tblVentas[Cliente]=$B18)*tblVentas[Fecha]+(tblVentas[Cliente]&lt;&gt;$B18)*99999))))</f>
        <v/>
      </c>
      <c r="H18" s="53">
        <f>IF($B18="","",IF(COUNTIFS(tblVentas[Cliente],$B18)=0,"",SUMPRODUCT(MAX((tblVentas[Cliente]=$B18)*tblVentas[Fecha]))))</f>
        <v/>
      </c>
      <c r="I18" s="39">
        <f>IF($B18="","",COUNTIFS(tblVentas[Cliente],$B18))</f>
        <v/>
      </c>
      <c r="J18" s="37">
        <f>IF($B18="","",SUMIFS(tblVentas[Venta neta],tblVentas[Cliente],$B18))</f>
        <v/>
      </c>
      <c r="K18" s="37">
        <f>IF($B18="","",SUMIFS(tblVentas[Utilidad bruta],tblVentas[Cliente],$B18))</f>
        <v/>
      </c>
      <c r="L18" s="37">
        <f>IF(OR($B18="",$I18=0),"",$J18/$I18)</f>
        <v/>
      </c>
      <c r="M18" s="37">
        <f>IF($B18="","",SUMIFS(tblVentas[Saldo por cobrar],tblVentas[Cliente],$B18))</f>
        <v/>
      </c>
      <c r="N18" s="39">
        <f>IF(OR($B18="",NOT(ISNUMBER($H18))),"",TODAY()-$H18)</f>
        <v/>
      </c>
      <c r="O18" s="51">
        <f>IF($B18="","",IF($I18=0,"SIN COMPRAS",IF($N18&lt;=30,"ACTIVO",IF($N18&lt;=60,"EN SEGUIMIENTO",IF($N18&lt;=120,"EN RIESGO","INACTIVO")))))</f>
        <v/>
      </c>
      <c r="P18" s="33" t="n"/>
      <c r="Q18" s="33" t="n"/>
      <c r="R18" s="51">
        <f>IF($B18="","",IF(IF(AND($B18&lt;&gt;"",COUNTIF(tblClientes[Nombre],$B18)&gt;1)," · NOMBRE DUPLICADO","")&amp;IF(AND($B18&lt;&gt;"",$C18="",$D18="")," · Sin teléfono ni email","")&amp;IF(AND(ISNUMBER($M18),$M18&gt;0)," · Tiene saldo por cobrar","")="","OK",MID(IF(AND($B18&lt;&gt;"",COUNTIF(tblClientes[Nombre],$B18)&gt;1)," · NOMBRE DUPLICADO","")&amp;IF(AND($B18&lt;&gt;"",$C18="",$D18="")," · Sin teléfono ni email","")&amp;IF(AND(ISNUMBER($M18),$M18&gt;0)," · Tiene saldo por cobrar",""),4,900)))</f>
        <v/>
      </c>
    </row>
    <row r="19">
      <c r="A19" s="51">
        <f>IF($B19="","","CLI-"&amp;TEXT(ROW()-6,"0000"))</f>
        <v/>
      </c>
      <c r="B19" s="33" t="n"/>
      <c r="C19" s="33" t="n"/>
      <c r="D19" s="33" t="n"/>
      <c r="E19" s="33" t="n"/>
      <c r="F19" s="33" t="n"/>
      <c r="G19" s="53">
        <f>IF($B19="","",IF(COUNTIFS(tblVentas[Cliente],$B19)=0,"",SUMPRODUCT(MIN((tblVentas[Cliente]=$B19)*tblVentas[Fecha]+(tblVentas[Cliente]&lt;&gt;$B19)*99999))))</f>
        <v/>
      </c>
      <c r="H19" s="53">
        <f>IF($B19="","",IF(COUNTIFS(tblVentas[Cliente],$B19)=0,"",SUMPRODUCT(MAX((tblVentas[Cliente]=$B19)*tblVentas[Fecha]))))</f>
        <v/>
      </c>
      <c r="I19" s="39">
        <f>IF($B19="","",COUNTIFS(tblVentas[Cliente],$B19))</f>
        <v/>
      </c>
      <c r="J19" s="37">
        <f>IF($B19="","",SUMIFS(tblVentas[Venta neta],tblVentas[Cliente],$B19))</f>
        <v/>
      </c>
      <c r="K19" s="37">
        <f>IF($B19="","",SUMIFS(tblVentas[Utilidad bruta],tblVentas[Cliente],$B19))</f>
        <v/>
      </c>
      <c r="L19" s="37">
        <f>IF(OR($B19="",$I19=0),"",$J19/$I19)</f>
        <v/>
      </c>
      <c r="M19" s="37">
        <f>IF($B19="","",SUMIFS(tblVentas[Saldo por cobrar],tblVentas[Cliente],$B19))</f>
        <v/>
      </c>
      <c r="N19" s="39">
        <f>IF(OR($B19="",NOT(ISNUMBER($H19))),"",TODAY()-$H19)</f>
        <v/>
      </c>
      <c r="O19" s="51">
        <f>IF($B19="","",IF($I19=0,"SIN COMPRAS",IF($N19&lt;=30,"ACTIVO",IF($N19&lt;=60,"EN SEGUIMIENTO",IF($N19&lt;=120,"EN RIESGO","INACTIVO")))))</f>
        <v/>
      </c>
      <c r="P19" s="33" t="n"/>
      <c r="Q19" s="33" t="n"/>
      <c r="R19" s="51">
        <f>IF($B19="","",IF(IF(AND($B19&lt;&gt;"",COUNTIF(tblClientes[Nombre],$B19)&gt;1)," · NOMBRE DUPLICADO","")&amp;IF(AND($B19&lt;&gt;"",$C19="",$D19="")," · Sin teléfono ni email","")&amp;IF(AND(ISNUMBER($M19),$M19&gt;0)," · Tiene saldo por cobrar","")="","OK",MID(IF(AND($B19&lt;&gt;"",COUNTIF(tblClientes[Nombre],$B19)&gt;1)," · NOMBRE DUPLICADO","")&amp;IF(AND($B19&lt;&gt;"",$C19="",$D19="")," · Sin teléfono ni email","")&amp;IF(AND(ISNUMBER($M19),$M19&gt;0)," · Tiene saldo por cobrar",""),4,900)))</f>
        <v/>
      </c>
    </row>
    <row r="20">
      <c r="A20" s="51">
        <f>IF($B20="","","CLI-"&amp;TEXT(ROW()-6,"0000"))</f>
        <v/>
      </c>
      <c r="B20" s="33" t="n"/>
      <c r="C20" s="33" t="n"/>
      <c r="D20" s="33" t="n"/>
      <c r="E20" s="33" t="n"/>
      <c r="F20" s="33" t="n"/>
      <c r="G20" s="53">
        <f>IF($B20="","",IF(COUNTIFS(tblVentas[Cliente],$B20)=0,"",SUMPRODUCT(MIN((tblVentas[Cliente]=$B20)*tblVentas[Fecha]+(tblVentas[Cliente]&lt;&gt;$B20)*99999))))</f>
        <v/>
      </c>
      <c r="H20" s="53">
        <f>IF($B20="","",IF(COUNTIFS(tblVentas[Cliente],$B20)=0,"",SUMPRODUCT(MAX((tblVentas[Cliente]=$B20)*tblVentas[Fecha]))))</f>
        <v/>
      </c>
      <c r="I20" s="39">
        <f>IF($B20="","",COUNTIFS(tblVentas[Cliente],$B20))</f>
        <v/>
      </c>
      <c r="J20" s="37">
        <f>IF($B20="","",SUMIFS(tblVentas[Venta neta],tblVentas[Cliente],$B20))</f>
        <v/>
      </c>
      <c r="K20" s="37">
        <f>IF($B20="","",SUMIFS(tblVentas[Utilidad bruta],tblVentas[Cliente],$B20))</f>
        <v/>
      </c>
      <c r="L20" s="37">
        <f>IF(OR($B20="",$I20=0),"",$J20/$I20)</f>
        <v/>
      </c>
      <c r="M20" s="37">
        <f>IF($B20="","",SUMIFS(tblVentas[Saldo por cobrar],tblVentas[Cliente],$B20))</f>
        <v/>
      </c>
      <c r="N20" s="39">
        <f>IF(OR($B20="",NOT(ISNUMBER($H20))),"",TODAY()-$H20)</f>
        <v/>
      </c>
      <c r="O20" s="51">
        <f>IF($B20="","",IF($I20=0,"SIN COMPRAS",IF($N20&lt;=30,"ACTIVO",IF($N20&lt;=60,"EN SEGUIMIENTO",IF($N20&lt;=120,"EN RIESGO","INACTIVO")))))</f>
        <v/>
      </c>
      <c r="P20" s="33" t="n"/>
      <c r="Q20" s="33" t="n"/>
      <c r="R20" s="51">
        <f>IF($B20="","",IF(IF(AND($B20&lt;&gt;"",COUNTIF(tblClientes[Nombre],$B20)&gt;1)," · NOMBRE DUPLICADO","")&amp;IF(AND($B20&lt;&gt;"",$C20="",$D20="")," · Sin teléfono ni email","")&amp;IF(AND(ISNUMBER($M20),$M20&gt;0)," · Tiene saldo por cobrar","")="","OK",MID(IF(AND($B20&lt;&gt;"",COUNTIF(tblClientes[Nombre],$B20)&gt;1)," · NOMBRE DUPLICADO","")&amp;IF(AND($B20&lt;&gt;"",$C20="",$D20="")," · Sin teléfono ni email","")&amp;IF(AND(ISNUMBER($M20),$M20&gt;0)," · Tiene saldo por cobrar",""),4,900)))</f>
        <v/>
      </c>
    </row>
    <row r="21">
      <c r="A21" s="51">
        <f>IF($B21="","","CLI-"&amp;TEXT(ROW()-6,"0000"))</f>
        <v/>
      </c>
      <c r="B21" s="33" t="n"/>
      <c r="C21" s="33" t="n"/>
      <c r="D21" s="33" t="n"/>
      <c r="E21" s="33" t="n"/>
      <c r="F21" s="33" t="n"/>
      <c r="G21" s="53">
        <f>IF($B21="","",IF(COUNTIFS(tblVentas[Cliente],$B21)=0,"",SUMPRODUCT(MIN((tblVentas[Cliente]=$B21)*tblVentas[Fecha]+(tblVentas[Cliente]&lt;&gt;$B21)*99999))))</f>
        <v/>
      </c>
      <c r="H21" s="53">
        <f>IF($B21="","",IF(COUNTIFS(tblVentas[Cliente],$B21)=0,"",SUMPRODUCT(MAX((tblVentas[Cliente]=$B21)*tblVentas[Fecha]))))</f>
        <v/>
      </c>
      <c r="I21" s="39">
        <f>IF($B21="","",COUNTIFS(tblVentas[Cliente],$B21))</f>
        <v/>
      </c>
      <c r="J21" s="37">
        <f>IF($B21="","",SUMIFS(tblVentas[Venta neta],tblVentas[Cliente],$B21))</f>
        <v/>
      </c>
      <c r="K21" s="37">
        <f>IF($B21="","",SUMIFS(tblVentas[Utilidad bruta],tblVentas[Cliente],$B21))</f>
        <v/>
      </c>
      <c r="L21" s="37">
        <f>IF(OR($B21="",$I21=0),"",$J21/$I21)</f>
        <v/>
      </c>
      <c r="M21" s="37">
        <f>IF($B21="","",SUMIFS(tblVentas[Saldo por cobrar],tblVentas[Cliente],$B21))</f>
        <v/>
      </c>
      <c r="N21" s="39">
        <f>IF(OR($B21="",NOT(ISNUMBER($H21))),"",TODAY()-$H21)</f>
        <v/>
      </c>
      <c r="O21" s="51">
        <f>IF($B21="","",IF($I21=0,"SIN COMPRAS",IF($N21&lt;=30,"ACTIVO",IF($N21&lt;=60,"EN SEGUIMIENTO",IF($N21&lt;=120,"EN RIESGO","INACTIVO")))))</f>
        <v/>
      </c>
      <c r="P21" s="33" t="n"/>
      <c r="Q21" s="33" t="n"/>
      <c r="R21" s="51">
        <f>IF($B21="","",IF(IF(AND($B21&lt;&gt;"",COUNTIF(tblClientes[Nombre],$B21)&gt;1)," · NOMBRE DUPLICADO","")&amp;IF(AND($B21&lt;&gt;"",$C21="",$D21="")," · Sin teléfono ni email","")&amp;IF(AND(ISNUMBER($M21),$M21&gt;0)," · Tiene saldo por cobrar","")="","OK",MID(IF(AND($B21&lt;&gt;"",COUNTIF(tblClientes[Nombre],$B21)&gt;1)," · NOMBRE DUPLICADO","")&amp;IF(AND($B21&lt;&gt;"",$C21="",$D21="")," · Sin teléfono ni email","")&amp;IF(AND(ISNUMBER($M21),$M21&gt;0)," · Tiene saldo por cobrar",""),4,900)))</f>
        <v/>
      </c>
    </row>
    <row r="22">
      <c r="A22" s="51">
        <f>IF($B22="","","CLI-"&amp;TEXT(ROW()-6,"0000"))</f>
        <v/>
      </c>
      <c r="B22" s="33" t="n"/>
      <c r="C22" s="33" t="n"/>
      <c r="D22" s="33" t="n"/>
      <c r="E22" s="33" t="n"/>
      <c r="F22" s="33" t="n"/>
      <c r="G22" s="53">
        <f>IF($B22="","",IF(COUNTIFS(tblVentas[Cliente],$B22)=0,"",SUMPRODUCT(MIN((tblVentas[Cliente]=$B22)*tblVentas[Fecha]+(tblVentas[Cliente]&lt;&gt;$B22)*99999))))</f>
        <v/>
      </c>
      <c r="H22" s="53">
        <f>IF($B22="","",IF(COUNTIFS(tblVentas[Cliente],$B22)=0,"",SUMPRODUCT(MAX((tblVentas[Cliente]=$B22)*tblVentas[Fecha]))))</f>
        <v/>
      </c>
      <c r="I22" s="39">
        <f>IF($B22="","",COUNTIFS(tblVentas[Cliente],$B22))</f>
        <v/>
      </c>
      <c r="J22" s="37">
        <f>IF($B22="","",SUMIFS(tblVentas[Venta neta],tblVentas[Cliente],$B22))</f>
        <v/>
      </c>
      <c r="K22" s="37">
        <f>IF($B22="","",SUMIFS(tblVentas[Utilidad bruta],tblVentas[Cliente],$B22))</f>
        <v/>
      </c>
      <c r="L22" s="37">
        <f>IF(OR($B22="",$I22=0),"",$J22/$I22)</f>
        <v/>
      </c>
      <c r="M22" s="37">
        <f>IF($B22="","",SUMIFS(tblVentas[Saldo por cobrar],tblVentas[Cliente],$B22))</f>
        <v/>
      </c>
      <c r="N22" s="39">
        <f>IF(OR($B22="",NOT(ISNUMBER($H22))),"",TODAY()-$H22)</f>
        <v/>
      </c>
      <c r="O22" s="51">
        <f>IF($B22="","",IF($I22=0,"SIN COMPRAS",IF($N22&lt;=30,"ACTIVO",IF($N22&lt;=60,"EN SEGUIMIENTO",IF($N22&lt;=120,"EN RIESGO","INACTIVO")))))</f>
        <v/>
      </c>
      <c r="P22" s="33" t="n"/>
      <c r="Q22" s="33" t="n"/>
      <c r="R22" s="51">
        <f>IF($B22="","",IF(IF(AND($B22&lt;&gt;"",COUNTIF(tblClientes[Nombre],$B22)&gt;1)," · NOMBRE DUPLICADO","")&amp;IF(AND($B22&lt;&gt;"",$C22="",$D22="")," · Sin teléfono ni email","")&amp;IF(AND(ISNUMBER($M22),$M22&gt;0)," · Tiene saldo por cobrar","")="","OK",MID(IF(AND($B22&lt;&gt;"",COUNTIF(tblClientes[Nombre],$B22)&gt;1)," · NOMBRE DUPLICADO","")&amp;IF(AND($B22&lt;&gt;"",$C22="",$D22="")," · Sin teléfono ni email","")&amp;IF(AND(ISNUMBER($M22),$M22&gt;0)," · Tiene saldo por cobrar",""),4,900)))</f>
        <v/>
      </c>
    </row>
    <row r="23">
      <c r="A23" s="51">
        <f>IF($B23="","","CLI-"&amp;TEXT(ROW()-6,"0000"))</f>
        <v/>
      </c>
      <c r="B23" s="33" t="n"/>
      <c r="C23" s="33" t="n"/>
      <c r="D23" s="33" t="n"/>
      <c r="E23" s="33" t="n"/>
      <c r="F23" s="33" t="n"/>
      <c r="G23" s="53">
        <f>IF($B23="","",IF(COUNTIFS(tblVentas[Cliente],$B23)=0,"",SUMPRODUCT(MIN((tblVentas[Cliente]=$B23)*tblVentas[Fecha]+(tblVentas[Cliente]&lt;&gt;$B23)*99999))))</f>
        <v/>
      </c>
      <c r="H23" s="53">
        <f>IF($B23="","",IF(COUNTIFS(tblVentas[Cliente],$B23)=0,"",SUMPRODUCT(MAX((tblVentas[Cliente]=$B23)*tblVentas[Fecha]))))</f>
        <v/>
      </c>
      <c r="I23" s="39">
        <f>IF($B23="","",COUNTIFS(tblVentas[Cliente],$B23))</f>
        <v/>
      </c>
      <c r="J23" s="37">
        <f>IF($B23="","",SUMIFS(tblVentas[Venta neta],tblVentas[Cliente],$B23))</f>
        <v/>
      </c>
      <c r="K23" s="37">
        <f>IF($B23="","",SUMIFS(tblVentas[Utilidad bruta],tblVentas[Cliente],$B23))</f>
        <v/>
      </c>
      <c r="L23" s="37">
        <f>IF(OR($B23="",$I23=0),"",$J23/$I23)</f>
        <v/>
      </c>
      <c r="M23" s="37">
        <f>IF($B23="","",SUMIFS(tblVentas[Saldo por cobrar],tblVentas[Cliente],$B23))</f>
        <v/>
      </c>
      <c r="N23" s="39">
        <f>IF(OR($B23="",NOT(ISNUMBER($H23))),"",TODAY()-$H23)</f>
        <v/>
      </c>
      <c r="O23" s="51">
        <f>IF($B23="","",IF($I23=0,"SIN COMPRAS",IF($N23&lt;=30,"ACTIVO",IF($N23&lt;=60,"EN SEGUIMIENTO",IF($N23&lt;=120,"EN RIESGO","INACTIVO")))))</f>
        <v/>
      </c>
      <c r="P23" s="33" t="n"/>
      <c r="Q23" s="33" t="n"/>
      <c r="R23" s="51">
        <f>IF($B23="","",IF(IF(AND($B23&lt;&gt;"",COUNTIF(tblClientes[Nombre],$B23)&gt;1)," · NOMBRE DUPLICADO","")&amp;IF(AND($B23&lt;&gt;"",$C23="",$D23="")," · Sin teléfono ni email","")&amp;IF(AND(ISNUMBER($M23),$M23&gt;0)," · Tiene saldo por cobrar","")="","OK",MID(IF(AND($B23&lt;&gt;"",COUNTIF(tblClientes[Nombre],$B23)&gt;1)," · NOMBRE DUPLICADO","")&amp;IF(AND($B23&lt;&gt;"",$C23="",$D23="")," · Sin teléfono ni email","")&amp;IF(AND(ISNUMBER($M23),$M23&gt;0)," · Tiene saldo por cobrar",""),4,900)))</f>
        <v/>
      </c>
    </row>
    <row r="24">
      <c r="A24" s="51">
        <f>IF($B24="","","CLI-"&amp;TEXT(ROW()-6,"0000"))</f>
        <v/>
      </c>
      <c r="B24" s="33" t="n"/>
      <c r="C24" s="33" t="n"/>
      <c r="D24" s="33" t="n"/>
      <c r="E24" s="33" t="n"/>
      <c r="F24" s="33" t="n"/>
      <c r="G24" s="53">
        <f>IF($B24="","",IF(COUNTIFS(tblVentas[Cliente],$B24)=0,"",SUMPRODUCT(MIN((tblVentas[Cliente]=$B24)*tblVentas[Fecha]+(tblVentas[Cliente]&lt;&gt;$B24)*99999))))</f>
        <v/>
      </c>
      <c r="H24" s="53">
        <f>IF($B24="","",IF(COUNTIFS(tblVentas[Cliente],$B24)=0,"",SUMPRODUCT(MAX((tblVentas[Cliente]=$B24)*tblVentas[Fecha]))))</f>
        <v/>
      </c>
      <c r="I24" s="39">
        <f>IF($B24="","",COUNTIFS(tblVentas[Cliente],$B24))</f>
        <v/>
      </c>
      <c r="J24" s="37">
        <f>IF($B24="","",SUMIFS(tblVentas[Venta neta],tblVentas[Cliente],$B24))</f>
        <v/>
      </c>
      <c r="K24" s="37">
        <f>IF($B24="","",SUMIFS(tblVentas[Utilidad bruta],tblVentas[Cliente],$B24))</f>
        <v/>
      </c>
      <c r="L24" s="37">
        <f>IF(OR($B24="",$I24=0),"",$J24/$I24)</f>
        <v/>
      </c>
      <c r="M24" s="37">
        <f>IF($B24="","",SUMIFS(tblVentas[Saldo por cobrar],tblVentas[Cliente],$B24))</f>
        <v/>
      </c>
      <c r="N24" s="39">
        <f>IF(OR($B24="",NOT(ISNUMBER($H24))),"",TODAY()-$H24)</f>
        <v/>
      </c>
      <c r="O24" s="51">
        <f>IF($B24="","",IF($I24=0,"SIN COMPRAS",IF($N24&lt;=30,"ACTIVO",IF($N24&lt;=60,"EN SEGUIMIENTO",IF($N24&lt;=120,"EN RIESGO","INACTIVO")))))</f>
        <v/>
      </c>
      <c r="P24" s="33" t="n"/>
      <c r="Q24" s="33" t="n"/>
      <c r="R24" s="51">
        <f>IF($B24="","",IF(IF(AND($B24&lt;&gt;"",COUNTIF(tblClientes[Nombre],$B24)&gt;1)," · NOMBRE DUPLICADO","")&amp;IF(AND($B24&lt;&gt;"",$C24="",$D24="")," · Sin teléfono ni email","")&amp;IF(AND(ISNUMBER($M24),$M24&gt;0)," · Tiene saldo por cobrar","")="","OK",MID(IF(AND($B24&lt;&gt;"",COUNTIF(tblClientes[Nombre],$B24)&gt;1)," · NOMBRE DUPLICADO","")&amp;IF(AND($B24&lt;&gt;"",$C24="",$D24="")," · Sin teléfono ni email","")&amp;IF(AND(ISNUMBER($M24),$M24&gt;0)," · Tiene saldo por cobrar",""),4,900)))</f>
        <v/>
      </c>
    </row>
    <row r="25">
      <c r="A25" s="51">
        <f>IF($B25="","","CLI-"&amp;TEXT(ROW()-6,"0000"))</f>
        <v/>
      </c>
      <c r="B25" s="33" t="n"/>
      <c r="C25" s="33" t="n"/>
      <c r="D25" s="33" t="n"/>
      <c r="E25" s="33" t="n"/>
      <c r="F25" s="33" t="n"/>
      <c r="G25" s="53">
        <f>IF($B25="","",IF(COUNTIFS(tblVentas[Cliente],$B25)=0,"",SUMPRODUCT(MIN((tblVentas[Cliente]=$B25)*tblVentas[Fecha]+(tblVentas[Cliente]&lt;&gt;$B25)*99999))))</f>
        <v/>
      </c>
      <c r="H25" s="53">
        <f>IF($B25="","",IF(COUNTIFS(tblVentas[Cliente],$B25)=0,"",SUMPRODUCT(MAX((tblVentas[Cliente]=$B25)*tblVentas[Fecha]))))</f>
        <v/>
      </c>
      <c r="I25" s="39">
        <f>IF($B25="","",COUNTIFS(tblVentas[Cliente],$B25))</f>
        <v/>
      </c>
      <c r="J25" s="37">
        <f>IF($B25="","",SUMIFS(tblVentas[Venta neta],tblVentas[Cliente],$B25))</f>
        <v/>
      </c>
      <c r="K25" s="37">
        <f>IF($B25="","",SUMIFS(tblVentas[Utilidad bruta],tblVentas[Cliente],$B25))</f>
        <v/>
      </c>
      <c r="L25" s="37">
        <f>IF(OR($B25="",$I25=0),"",$J25/$I25)</f>
        <v/>
      </c>
      <c r="M25" s="37">
        <f>IF($B25="","",SUMIFS(tblVentas[Saldo por cobrar],tblVentas[Cliente],$B25))</f>
        <v/>
      </c>
      <c r="N25" s="39">
        <f>IF(OR($B25="",NOT(ISNUMBER($H25))),"",TODAY()-$H25)</f>
        <v/>
      </c>
      <c r="O25" s="51">
        <f>IF($B25="","",IF($I25=0,"SIN COMPRAS",IF($N25&lt;=30,"ACTIVO",IF($N25&lt;=60,"EN SEGUIMIENTO",IF($N25&lt;=120,"EN RIESGO","INACTIVO")))))</f>
        <v/>
      </c>
      <c r="P25" s="33" t="n"/>
      <c r="Q25" s="33" t="n"/>
      <c r="R25" s="51">
        <f>IF($B25="","",IF(IF(AND($B25&lt;&gt;"",COUNTIF(tblClientes[Nombre],$B25)&gt;1)," · NOMBRE DUPLICADO","")&amp;IF(AND($B25&lt;&gt;"",$C25="",$D25="")," · Sin teléfono ni email","")&amp;IF(AND(ISNUMBER($M25),$M25&gt;0)," · Tiene saldo por cobrar","")="","OK",MID(IF(AND($B25&lt;&gt;"",COUNTIF(tblClientes[Nombre],$B25)&gt;1)," · NOMBRE DUPLICADO","")&amp;IF(AND($B25&lt;&gt;"",$C25="",$D25="")," · Sin teléfono ni email","")&amp;IF(AND(ISNUMBER($M25),$M25&gt;0)," · Tiene saldo por cobrar",""),4,900)))</f>
        <v/>
      </c>
    </row>
    <row r="26">
      <c r="A26" s="51">
        <f>IF($B26="","","CLI-"&amp;TEXT(ROW()-6,"0000"))</f>
        <v/>
      </c>
      <c r="B26" s="33" t="n"/>
      <c r="C26" s="33" t="n"/>
      <c r="D26" s="33" t="n"/>
      <c r="E26" s="33" t="n"/>
      <c r="F26" s="33" t="n"/>
      <c r="G26" s="53">
        <f>IF($B26="","",IF(COUNTIFS(tblVentas[Cliente],$B26)=0,"",SUMPRODUCT(MIN((tblVentas[Cliente]=$B26)*tblVentas[Fecha]+(tblVentas[Cliente]&lt;&gt;$B26)*99999))))</f>
        <v/>
      </c>
      <c r="H26" s="53">
        <f>IF($B26="","",IF(COUNTIFS(tblVentas[Cliente],$B26)=0,"",SUMPRODUCT(MAX((tblVentas[Cliente]=$B26)*tblVentas[Fecha]))))</f>
        <v/>
      </c>
      <c r="I26" s="39">
        <f>IF($B26="","",COUNTIFS(tblVentas[Cliente],$B26))</f>
        <v/>
      </c>
      <c r="J26" s="37">
        <f>IF($B26="","",SUMIFS(tblVentas[Venta neta],tblVentas[Cliente],$B26))</f>
        <v/>
      </c>
      <c r="K26" s="37">
        <f>IF($B26="","",SUMIFS(tblVentas[Utilidad bruta],tblVentas[Cliente],$B26))</f>
        <v/>
      </c>
      <c r="L26" s="37">
        <f>IF(OR($B26="",$I26=0),"",$J26/$I26)</f>
        <v/>
      </c>
      <c r="M26" s="37">
        <f>IF($B26="","",SUMIFS(tblVentas[Saldo por cobrar],tblVentas[Cliente],$B26))</f>
        <v/>
      </c>
      <c r="N26" s="39">
        <f>IF(OR($B26="",NOT(ISNUMBER($H26))),"",TODAY()-$H26)</f>
        <v/>
      </c>
      <c r="O26" s="51">
        <f>IF($B26="","",IF($I26=0,"SIN COMPRAS",IF($N26&lt;=30,"ACTIVO",IF($N26&lt;=60,"EN SEGUIMIENTO",IF($N26&lt;=120,"EN RIESGO","INACTIVO")))))</f>
        <v/>
      </c>
      <c r="P26" s="33" t="n"/>
      <c r="Q26" s="33" t="n"/>
      <c r="R26" s="51">
        <f>IF($B26="","",IF(IF(AND($B26&lt;&gt;"",COUNTIF(tblClientes[Nombre],$B26)&gt;1)," · NOMBRE DUPLICADO","")&amp;IF(AND($B26&lt;&gt;"",$C26="",$D26="")," · Sin teléfono ni email","")&amp;IF(AND(ISNUMBER($M26),$M26&gt;0)," · Tiene saldo por cobrar","")="","OK",MID(IF(AND($B26&lt;&gt;"",COUNTIF(tblClientes[Nombre],$B26)&gt;1)," · NOMBRE DUPLICADO","")&amp;IF(AND($B26&lt;&gt;"",$C26="",$D26="")," · Sin teléfono ni email","")&amp;IF(AND(ISNUMBER($M26),$M26&gt;0)," · Tiene saldo por cobrar",""),4,900)))</f>
        <v/>
      </c>
    </row>
    <row r="27">
      <c r="A27" s="51">
        <f>IF($B27="","","CLI-"&amp;TEXT(ROW()-6,"0000"))</f>
        <v/>
      </c>
      <c r="B27" s="33" t="n"/>
      <c r="C27" s="33" t="n"/>
      <c r="D27" s="33" t="n"/>
      <c r="E27" s="33" t="n"/>
      <c r="F27" s="33" t="n"/>
      <c r="G27" s="53">
        <f>IF($B27="","",IF(COUNTIFS(tblVentas[Cliente],$B27)=0,"",SUMPRODUCT(MIN((tblVentas[Cliente]=$B27)*tblVentas[Fecha]+(tblVentas[Cliente]&lt;&gt;$B27)*99999))))</f>
        <v/>
      </c>
      <c r="H27" s="53">
        <f>IF($B27="","",IF(COUNTIFS(tblVentas[Cliente],$B27)=0,"",SUMPRODUCT(MAX((tblVentas[Cliente]=$B27)*tblVentas[Fecha]))))</f>
        <v/>
      </c>
      <c r="I27" s="39">
        <f>IF($B27="","",COUNTIFS(tblVentas[Cliente],$B27))</f>
        <v/>
      </c>
      <c r="J27" s="37">
        <f>IF($B27="","",SUMIFS(tblVentas[Venta neta],tblVentas[Cliente],$B27))</f>
        <v/>
      </c>
      <c r="K27" s="37">
        <f>IF($B27="","",SUMIFS(tblVentas[Utilidad bruta],tblVentas[Cliente],$B27))</f>
        <v/>
      </c>
      <c r="L27" s="37">
        <f>IF(OR($B27="",$I27=0),"",$J27/$I27)</f>
        <v/>
      </c>
      <c r="M27" s="37">
        <f>IF($B27="","",SUMIFS(tblVentas[Saldo por cobrar],tblVentas[Cliente],$B27))</f>
        <v/>
      </c>
      <c r="N27" s="39">
        <f>IF(OR($B27="",NOT(ISNUMBER($H27))),"",TODAY()-$H27)</f>
        <v/>
      </c>
      <c r="O27" s="51">
        <f>IF($B27="","",IF($I27=0,"SIN COMPRAS",IF($N27&lt;=30,"ACTIVO",IF($N27&lt;=60,"EN SEGUIMIENTO",IF($N27&lt;=120,"EN RIESGO","INACTIVO")))))</f>
        <v/>
      </c>
      <c r="P27" s="33" t="n"/>
      <c r="Q27" s="33" t="n"/>
      <c r="R27" s="51">
        <f>IF($B27="","",IF(IF(AND($B27&lt;&gt;"",COUNTIF(tblClientes[Nombre],$B27)&gt;1)," · NOMBRE DUPLICADO","")&amp;IF(AND($B27&lt;&gt;"",$C27="",$D27="")," · Sin teléfono ni email","")&amp;IF(AND(ISNUMBER($M27),$M27&gt;0)," · Tiene saldo por cobrar","")="","OK",MID(IF(AND($B27&lt;&gt;"",COUNTIF(tblClientes[Nombre],$B27)&gt;1)," · NOMBRE DUPLICADO","")&amp;IF(AND($B27&lt;&gt;"",$C27="",$D27="")," · Sin teléfono ni email","")&amp;IF(AND(ISNUMBER($M27),$M27&gt;0)," · Tiene saldo por cobrar",""),4,900)))</f>
        <v/>
      </c>
    </row>
    <row r="28">
      <c r="A28" s="51">
        <f>IF($B28="","","CLI-"&amp;TEXT(ROW()-6,"0000"))</f>
        <v/>
      </c>
      <c r="B28" s="33" t="n"/>
      <c r="C28" s="33" t="n"/>
      <c r="D28" s="33" t="n"/>
      <c r="E28" s="33" t="n"/>
      <c r="F28" s="33" t="n"/>
      <c r="G28" s="53">
        <f>IF($B28="","",IF(COUNTIFS(tblVentas[Cliente],$B28)=0,"",SUMPRODUCT(MIN((tblVentas[Cliente]=$B28)*tblVentas[Fecha]+(tblVentas[Cliente]&lt;&gt;$B28)*99999))))</f>
        <v/>
      </c>
      <c r="H28" s="53">
        <f>IF($B28="","",IF(COUNTIFS(tblVentas[Cliente],$B28)=0,"",SUMPRODUCT(MAX((tblVentas[Cliente]=$B28)*tblVentas[Fecha]))))</f>
        <v/>
      </c>
      <c r="I28" s="39">
        <f>IF($B28="","",COUNTIFS(tblVentas[Cliente],$B28))</f>
        <v/>
      </c>
      <c r="J28" s="37">
        <f>IF($B28="","",SUMIFS(tblVentas[Venta neta],tblVentas[Cliente],$B28))</f>
        <v/>
      </c>
      <c r="K28" s="37">
        <f>IF($B28="","",SUMIFS(tblVentas[Utilidad bruta],tblVentas[Cliente],$B28))</f>
        <v/>
      </c>
      <c r="L28" s="37">
        <f>IF(OR($B28="",$I28=0),"",$J28/$I28)</f>
        <v/>
      </c>
      <c r="M28" s="37">
        <f>IF($B28="","",SUMIFS(tblVentas[Saldo por cobrar],tblVentas[Cliente],$B28))</f>
        <v/>
      </c>
      <c r="N28" s="39">
        <f>IF(OR($B28="",NOT(ISNUMBER($H28))),"",TODAY()-$H28)</f>
        <v/>
      </c>
      <c r="O28" s="51">
        <f>IF($B28="","",IF($I28=0,"SIN COMPRAS",IF($N28&lt;=30,"ACTIVO",IF($N28&lt;=60,"EN SEGUIMIENTO",IF($N28&lt;=120,"EN RIESGO","INACTIVO")))))</f>
        <v/>
      </c>
      <c r="P28" s="33" t="n"/>
      <c r="Q28" s="33" t="n"/>
      <c r="R28" s="51">
        <f>IF($B28="","",IF(IF(AND($B28&lt;&gt;"",COUNTIF(tblClientes[Nombre],$B28)&gt;1)," · NOMBRE DUPLICADO","")&amp;IF(AND($B28&lt;&gt;"",$C28="",$D28="")," · Sin teléfono ni email","")&amp;IF(AND(ISNUMBER($M28),$M28&gt;0)," · Tiene saldo por cobrar","")="","OK",MID(IF(AND($B28&lt;&gt;"",COUNTIF(tblClientes[Nombre],$B28)&gt;1)," · NOMBRE DUPLICADO","")&amp;IF(AND($B28&lt;&gt;"",$C28="",$D28="")," · Sin teléfono ni email","")&amp;IF(AND(ISNUMBER($M28),$M28&gt;0)," · Tiene saldo por cobrar",""),4,900)))</f>
        <v/>
      </c>
    </row>
    <row r="29">
      <c r="A29" s="51">
        <f>IF($B29="","","CLI-"&amp;TEXT(ROW()-6,"0000"))</f>
        <v/>
      </c>
      <c r="B29" s="33" t="n"/>
      <c r="C29" s="33" t="n"/>
      <c r="D29" s="33" t="n"/>
      <c r="E29" s="33" t="n"/>
      <c r="F29" s="33" t="n"/>
      <c r="G29" s="53">
        <f>IF($B29="","",IF(COUNTIFS(tblVentas[Cliente],$B29)=0,"",SUMPRODUCT(MIN((tblVentas[Cliente]=$B29)*tblVentas[Fecha]+(tblVentas[Cliente]&lt;&gt;$B29)*99999))))</f>
        <v/>
      </c>
      <c r="H29" s="53">
        <f>IF($B29="","",IF(COUNTIFS(tblVentas[Cliente],$B29)=0,"",SUMPRODUCT(MAX((tblVentas[Cliente]=$B29)*tblVentas[Fecha]))))</f>
        <v/>
      </c>
      <c r="I29" s="39">
        <f>IF($B29="","",COUNTIFS(tblVentas[Cliente],$B29))</f>
        <v/>
      </c>
      <c r="J29" s="37">
        <f>IF($B29="","",SUMIFS(tblVentas[Venta neta],tblVentas[Cliente],$B29))</f>
        <v/>
      </c>
      <c r="K29" s="37">
        <f>IF($B29="","",SUMIFS(tblVentas[Utilidad bruta],tblVentas[Cliente],$B29))</f>
        <v/>
      </c>
      <c r="L29" s="37">
        <f>IF(OR($B29="",$I29=0),"",$J29/$I29)</f>
        <v/>
      </c>
      <c r="M29" s="37">
        <f>IF($B29="","",SUMIFS(tblVentas[Saldo por cobrar],tblVentas[Cliente],$B29))</f>
        <v/>
      </c>
      <c r="N29" s="39">
        <f>IF(OR($B29="",NOT(ISNUMBER($H29))),"",TODAY()-$H29)</f>
        <v/>
      </c>
      <c r="O29" s="51">
        <f>IF($B29="","",IF($I29=0,"SIN COMPRAS",IF($N29&lt;=30,"ACTIVO",IF($N29&lt;=60,"EN SEGUIMIENTO",IF($N29&lt;=120,"EN RIESGO","INACTIVO")))))</f>
        <v/>
      </c>
      <c r="P29" s="33" t="n"/>
      <c r="Q29" s="33" t="n"/>
      <c r="R29" s="51">
        <f>IF($B29="","",IF(IF(AND($B29&lt;&gt;"",COUNTIF(tblClientes[Nombre],$B29)&gt;1)," · NOMBRE DUPLICADO","")&amp;IF(AND($B29&lt;&gt;"",$C29="",$D29="")," · Sin teléfono ni email","")&amp;IF(AND(ISNUMBER($M29),$M29&gt;0)," · Tiene saldo por cobrar","")="","OK",MID(IF(AND($B29&lt;&gt;"",COUNTIF(tblClientes[Nombre],$B29)&gt;1)," · NOMBRE DUPLICADO","")&amp;IF(AND($B29&lt;&gt;"",$C29="",$D29="")," · Sin teléfono ni email","")&amp;IF(AND(ISNUMBER($M29),$M29&gt;0)," · Tiene saldo por cobrar",""),4,900)))</f>
        <v/>
      </c>
    </row>
    <row r="30">
      <c r="A30" s="51">
        <f>IF($B30="","","CLI-"&amp;TEXT(ROW()-6,"0000"))</f>
        <v/>
      </c>
      <c r="B30" s="33" t="n"/>
      <c r="C30" s="33" t="n"/>
      <c r="D30" s="33" t="n"/>
      <c r="E30" s="33" t="n"/>
      <c r="F30" s="33" t="n"/>
      <c r="G30" s="53">
        <f>IF($B30="","",IF(COUNTIFS(tblVentas[Cliente],$B30)=0,"",SUMPRODUCT(MIN((tblVentas[Cliente]=$B30)*tblVentas[Fecha]+(tblVentas[Cliente]&lt;&gt;$B30)*99999))))</f>
        <v/>
      </c>
      <c r="H30" s="53">
        <f>IF($B30="","",IF(COUNTIFS(tblVentas[Cliente],$B30)=0,"",SUMPRODUCT(MAX((tblVentas[Cliente]=$B30)*tblVentas[Fecha]))))</f>
        <v/>
      </c>
      <c r="I30" s="39">
        <f>IF($B30="","",COUNTIFS(tblVentas[Cliente],$B30))</f>
        <v/>
      </c>
      <c r="J30" s="37">
        <f>IF($B30="","",SUMIFS(tblVentas[Venta neta],tblVentas[Cliente],$B30))</f>
        <v/>
      </c>
      <c r="K30" s="37">
        <f>IF($B30="","",SUMIFS(tblVentas[Utilidad bruta],tblVentas[Cliente],$B30))</f>
        <v/>
      </c>
      <c r="L30" s="37">
        <f>IF(OR($B30="",$I30=0),"",$J30/$I30)</f>
        <v/>
      </c>
      <c r="M30" s="37">
        <f>IF($B30="","",SUMIFS(tblVentas[Saldo por cobrar],tblVentas[Cliente],$B30))</f>
        <v/>
      </c>
      <c r="N30" s="39">
        <f>IF(OR($B30="",NOT(ISNUMBER($H30))),"",TODAY()-$H30)</f>
        <v/>
      </c>
      <c r="O30" s="51">
        <f>IF($B30="","",IF($I30=0,"SIN COMPRAS",IF($N30&lt;=30,"ACTIVO",IF($N30&lt;=60,"EN SEGUIMIENTO",IF($N30&lt;=120,"EN RIESGO","INACTIVO")))))</f>
        <v/>
      </c>
      <c r="P30" s="33" t="n"/>
      <c r="Q30" s="33" t="n"/>
      <c r="R30" s="51">
        <f>IF($B30="","",IF(IF(AND($B30&lt;&gt;"",COUNTIF(tblClientes[Nombre],$B30)&gt;1)," · NOMBRE DUPLICADO","")&amp;IF(AND($B30&lt;&gt;"",$C30="",$D30="")," · Sin teléfono ni email","")&amp;IF(AND(ISNUMBER($M30),$M30&gt;0)," · Tiene saldo por cobrar","")="","OK",MID(IF(AND($B30&lt;&gt;"",COUNTIF(tblClientes[Nombre],$B30)&gt;1)," · NOMBRE DUPLICADO","")&amp;IF(AND($B30&lt;&gt;"",$C30="",$D30="")," · Sin teléfono ni email","")&amp;IF(AND(ISNUMBER($M30),$M30&gt;0)," · Tiene saldo por cobrar",""),4,900)))</f>
        <v/>
      </c>
    </row>
    <row r="31">
      <c r="A31" s="51">
        <f>IF($B31="","","CLI-"&amp;TEXT(ROW()-6,"0000"))</f>
        <v/>
      </c>
      <c r="B31" s="33" t="n"/>
      <c r="C31" s="33" t="n"/>
      <c r="D31" s="33" t="n"/>
      <c r="E31" s="33" t="n"/>
      <c r="F31" s="33" t="n"/>
      <c r="G31" s="53">
        <f>IF($B31="","",IF(COUNTIFS(tblVentas[Cliente],$B31)=0,"",SUMPRODUCT(MIN((tblVentas[Cliente]=$B31)*tblVentas[Fecha]+(tblVentas[Cliente]&lt;&gt;$B31)*99999))))</f>
        <v/>
      </c>
      <c r="H31" s="53">
        <f>IF($B31="","",IF(COUNTIFS(tblVentas[Cliente],$B31)=0,"",SUMPRODUCT(MAX((tblVentas[Cliente]=$B31)*tblVentas[Fecha]))))</f>
        <v/>
      </c>
      <c r="I31" s="39">
        <f>IF($B31="","",COUNTIFS(tblVentas[Cliente],$B31))</f>
        <v/>
      </c>
      <c r="J31" s="37">
        <f>IF($B31="","",SUMIFS(tblVentas[Venta neta],tblVentas[Cliente],$B31))</f>
        <v/>
      </c>
      <c r="K31" s="37">
        <f>IF($B31="","",SUMIFS(tblVentas[Utilidad bruta],tblVentas[Cliente],$B31))</f>
        <v/>
      </c>
      <c r="L31" s="37">
        <f>IF(OR($B31="",$I31=0),"",$J31/$I31)</f>
        <v/>
      </c>
      <c r="M31" s="37">
        <f>IF($B31="","",SUMIFS(tblVentas[Saldo por cobrar],tblVentas[Cliente],$B31))</f>
        <v/>
      </c>
      <c r="N31" s="39">
        <f>IF(OR($B31="",NOT(ISNUMBER($H31))),"",TODAY()-$H31)</f>
        <v/>
      </c>
      <c r="O31" s="51">
        <f>IF($B31="","",IF($I31=0,"SIN COMPRAS",IF($N31&lt;=30,"ACTIVO",IF($N31&lt;=60,"EN SEGUIMIENTO",IF($N31&lt;=120,"EN RIESGO","INACTIVO")))))</f>
        <v/>
      </c>
      <c r="P31" s="33" t="n"/>
      <c r="Q31" s="33" t="n"/>
      <c r="R31" s="51">
        <f>IF($B31="","",IF(IF(AND($B31&lt;&gt;"",COUNTIF(tblClientes[Nombre],$B31)&gt;1)," · NOMBRE DUPLICADO","")&amp;IF(AND($B31&lt;&gt;"",$C31="",$D31="")," · Sin teléfono ni email","")&amp;IF(AND(ISNUMBER($M31),$M31&gt;0)," · Tiene saldo por cobrar","")="","OK",MID(IF(AND($B31&lt;&gt;"",COUNTIF(tblClientes[Nombre],$B31)&gt;1)," · NOMBRE DUPLICADO","")&amp;IF(AND($B31&lt;&gt;"",$C31="",$D31="")," · Sin teléfono ni email","")&amp;IF(AND(ISNUMBER($M31),$M31&gt;0)," · Tiene saldo por cobrar",""),4,900)))</f>
        <v/>
      </c>
    </row>
    <row r="32">
      <c r="A32" s="51">
        <f>IF($B32="","","CLI-"&amp;TEXT(ROW()-6,"0000"))</f>
        <v/>
      </c>
      <c r="B32" s="33" t="n"/>
      <c r="C32" s="33" t="n"/>
      <c r="D32" s="33" t="n"/>
      <c r="E32" s="33" t="n"/>
      <c r="F32" s="33" t="n"/>
      <c r="G32" s="53">
        <f>IF($B32="","",IF(COUNTIFS(tblVentas[Cliente],$B32)=0,"",SUMPRODUCT(MIN((tblVentas[Cliente]=$B32)*tblVentas[Fecha]+(tblVentas[Cliente]&lt;&gt;$B32)*99999))))</f>
        <v/>
      </c>
      <c r="H32" s="53">
        <f>IF($B32="","",IF(COUNTIFS(tblVentas[Cliente],$B32)=0,"",SUMPRODUCT(MAX((tblVentas[Cliente]=$B32)*tblVentas[Fecha]))))</f>
        <v/>
      </c>
      <c r="I32" s="39">
        <f>IF($B32="","",COUNTIFS(tblVentas[Cliente],$B32))</f>
        <v/>
      </c>
      <c r="J32" s="37">
        <f>IF($B32="","",SUMIFS(tblVentas[Venta neta],tblVentas[Cliente],$B32))</f>
        <v/>
      </c>
      <c r="K32" s="37">
        <f>IF($B32="","",SUMIFS(tblVentas[Utilidad bruta],tblVentas[Cliente],$B32))</f>
        <v/>
      </c>
      <c r="L32" s="37">
        <f>IF(OR($B32="",$I32=0),"",$J32/$I32)</f>
        <v/>
      </c>
      <c r="M32" s="37">
        <f>IF($B32="","",SUMIFS(tblVentas[Saldo por cobrar],tblVentas[Cliente],$B32))</f>
        <v/>
      </c>
      <c r="N32" s="39">
        <f>IF(OR($B32="",NOT(ISNUMBER($H32))),"",TODAY()-$H32)</f>
        <v/>
      </c>
      <c r="O32" s="51">
        <f>IF($B32="","",IF($I32=0,"SIN COMPRAS",IF($N32&lt;=30,"ACTIVO",IF($N32&lt;=60,"EN SEGUIMIENTO",IF($N32&lt;=120,"EN RIESGO","INACTIVO")))))</f>
        <v/>
      </c>
      <c r="P32" s="33" t="n"/>
      <c r="Q32" s="33" t="n"/>
      <c r="R32" s="51">
        <f>IF($B32="","",IF(IF(AND($B32&lt;&gt;"",COUNTIF(tblClientes[Nombre],$B32)&gt;1)," · NOMBRE DUPLICADO","")&amp;IF(AND($B32&lt;&gt;"",$C32="",$D32="")," · Sin teléfono ni email","")&amp;IF(AND(ISNUMBER($M32),$M32&gt;0)," · Tiene saldo por cobrar","")="","OK",MID(IF(AND($B32&lt;&gt;"",COUNTIF(tblClientes[Nombre],$B32)&gt;1)," · NOMBRE DUPLICADO","")&amp;IF(AND($B32&lt;&gt;"",$C32="",$D32="")," · Sin teléfono ni email","")&amp;IF(AND(ISNUMBER($M32),$M32&gt;0)," · Tiene saldo por cobrar",""),4,900)))</f>
        <v/>
      </c>
    </row>
    <row r="33">
      <c r="A33" s="51">
        <f>IF($B33="","","CLI-"&amp;TEXT(ROW()-6,"0000"))</f>
        <v/>
      </c>
      <c r="B33" s="33" t="n"/>
      <c r="C33" s="33" t="n"/>
      <c r="D33" s="33" t="n"/>
      <c r="E33" s="33" t="n"/>
      <c r="F33" s="33" t="n"/>
      <c r="G33" s="53">
        <f>IF($B33="","",IF(COUNTIFS(tblVentas[Cliente],$B33)=0,"",SUMPRODUCT(MIN((tblVentas[Cliente]=$B33)*tblVentas[Fecha]+(tblVentas[Cliente]&lt;&gt;$B33)*99999))))</f>
        <v/>
      </c>
      <c r="H33" s="53">
        <f>IF($B33="","",IF(COUNTIFS(tblVentas[Cliente],$B33)=0,"",SUMPRODUCT(MAX((tblVentas[Cliente]=$B33)*tblVentas[Fecha]))))</f>
        <v/>
      </c>
      <c r="I33" s="39">
        <f>IF($B33="","",COUNTIFS(tblVentas[Cliente],$B33))</f>
        <v/>
      </c>
      <c r="J33" s="37">
        <f>IF($B33="","",SUMIFS(tblVentas[Venta neta],tblVentas[Cliente],$B33))</f>
        <v/>
      </c>
      <c r="K33" s="37">
        <f>IF($B33="","",SUMIFS(tblVentas[Utilidad bruta],tblVentas[Cliente],$B33))</f>
        <v/>
      </c>
      <c r="L33" s="37">
        <f>IF(OR($B33="",$I33=0),"",$J33/$I33)</f>
        <v/>
      </c>
      <c r="M33" s="37">
        <f>IF($B33="","",SUMIFS(tblVentas[Saldo por cobrar],tblVentas[Cliente],$B33))</f>
        <v/>
      </c>
      <c r="N33" s="39">
        <f>IF(OR($B33="",NOT(ISNUMBER($H33))),"",TODAY()-$H33)</f>
        <v/>
      </c>
      <c r="O33" s="51">
        <f>IF($B33="","",IF($I33=0,"SIN COMPRAS",IF($N33&lt;=30,"ACTIVO",IF($N33&lt;=60,"EN SEGUIMIENTO",IF($N33&lt;=120,"EN RIESGO","INACTIVO")))))</f>
        <v/>
      </c>
      <c r="P33" s="33" t="n"/>
      <c r="Q33" s="33" t="n"/>
      <c r="R33" s="51">
        <f>IF($B33="","",IF(IF(AND($B33&lt;&gt;"",COUNTIF(tblClientes[Nombre],$B33)&gt;1)," · NOMBRE DUPLICADO","")&amp;IF(AND($B33&lt;&gt;"",$C33="",$D33="")," · Sin teléfono ni email","")&amp;IF(AND(ISNUMBER($M33),$M33&gt;0)," · Tiene saldo por cobrar","")="","OK",MID(IF(AND($B33&lt;&gt;"",COUNTIF(tblClientes[Nombre],$B33)&gt;1)," · NOMBRE DUPLICADO","")&amp;IF(AND($B33&lt;&gt;"",$C33="",$D33="")," · Sin teléfono ni email","")&amp;IF(AND(ISNUMBER($M33),$M33&gt;0)," · Tiene saldo por cobrar",""),4,900)))</f>
        <v/>
      </c>
    </row>
    <row r="34">
      <c r="A34" s="51">
        <f>IF($B34="","","CLI-"&amp;TEXT(ROW()-6,"0000"))</f>
        <v/>
      </c>
      <c r="B34" s="33" t="n"/>
      <c r="C34" s="33" t="n"/>
      <c r="D34" s="33" t="n"/>
      <c r="E34" s="33" t="n"/>
      <c r="F34" s="33" t="n"/>
      <c r="G34" s="53">
        <f>IF($B34="","",IF(COUNTIFS(tblVentas[Cliente],$B34)=0,"",SUMPRODUCT(MIN((tblVentas[Cliente]=$B34)*tblVentas[Fecha]+(tblVentas[Cliente]&lt;&gt;$B34)*99999))))</f>
        <v/>
      </c>
      <c r="H34" s="53">
        <f>IF($B34="","",IF(COUNTIFS(tblVentas[Cliente],$B34)=0,"",SUMPRODUCT(MAX((tblVentas[Cliente]=$B34)*tblVentas[Fecha]))))</f>
        <v/>
      </c>
      <c r="I34" s="39">
        <f>IF($B34="","",COUNTIFS(tblVentas[Cliente],$B34))</f>
        <v/>
      </c>
      <c r="J34" s="37">
        <f>IF($B34="","",SUMIFS(tblVentas[Venta neta],tblVentas[Cliente],$B34))</f>
        <v/>
      </c>
      <c r="K34" s="37">
        <f>IF($B34="","",SUMIFS(tblVentas[Utilidad bruta],tblVentas[Cliente],$B34))</f>
        <v/>
      </c>
      <c r="L34" s="37">
        <f>IF(OR($B34="",$I34=0),"",$J34/$I34)</f>
        <v/>
      </c>
      <c r="M34" s="37">
        <f>IF($B34="","",SUMIFS(tblVentas[Saldo por cobrar],tblVentas[Cliente],$B34))</f>
        <v/>
      </c>
      <c r="N34" s="39">
        <f>IF(OR($B34="",NOT(ISNUMBER($H34))),"",TODAY()-$H34)</f>
        <v/>
      </c>
      <c r="O34" s="51">
        <f>IF($B34="","",IF($I34=0,"SIN COMPRAS",IF($N34&lt;=30,"ACTIVO",IF($N34&lt;=60,"EN SEGUIMIENTO",IF($N34&lt;=120,"EN RIESGO","INACTIVO")))))</f>
        <v/>
      </c>
      <c r="P34" s="33" t="n"/>
      <c r="Q34" s="33" t="n"/>
      <c r="R34" s="51">
        <f>IF($B34="","",IF(IF(AND($B34&lt;&gt;"",COUNTIF(tblClientes[Nombre],$B34)&gt;1)," · NOMBRE DUPLICADO","")&amp;IF(AND($B34&lt;&gt;"",$C34="",$D34="")," · Sin teléfono ni email","")&amp;IF(AND(ISNUMBER($M34),$M34&gt;0)," · Tiene saldo por cobrar","")="","OK",MID(IF(AND($B34&lt;&gt;"",COUNTIF(tblClientes[Nombre],$B34)&gt;1)," · NOMBRE DUPLICADO","")&amp;IF(AND($B34&lt;&gt;"",$C34="",$D34="")," · Sin teléfono ni email","")&amp;IF(AND(ISNUMBER($M34),$M34&gt;0)," · Tiene saldo por cobrar",""),4,900)))</f>
        <v/>
      </c>
    </row>
    <row r="35">
      <c r="A35" s="51">
        <f>IF($B35="","","CLI-"&amp;TEXT(ROW()-6,"0000"))</f>
        <v/>
      </c>
      <c r="B35" s="33" t="n"/>
      <c r="C35" s="33" t="n"/>
      <c r="D35" s="33" t="n"/>
      <c r="E35" s="33" t="n"/>
      <c r="F35" s="33" t="n"/>
      <c r="G35" s="53">
        <f>IF($B35="","",IF(COUNTIFS(tblVentas[Cliente],$B35)=0,"",SUMPRODUCT(MIN((tblVentas[Cliente]=$B35)*tblVentas[Fecha]+(tblVentas[Cliente]&lt;&gt;$B35)*99999))))</f>
        <v/>
      </c>
      <c r="H35" s="53">
        <f>IF($B35="","",IF(COUNTIFS(tblVentas[Cliente],$B35)=0,"",SUMPRODUCT(MAX((tblVentas[Cliente]=$B35)*tblVentas[Fecha]))))</f>
        <v/>
      </c>
      <c r="I35" s="39">
        <f>IF($B35="","",COUNTIFS(tblVentas[Cliente],$B35))</f>
        <v/>
      </c>
      <c r="J35" s="37">
        <f>IF($B35="","",SUMIFS(tblVentas[Venta neta],tblVentas[Cliente],$B35))</f>
        <v/>
      </c>
      <c r="K35" s="37">
        <f>IF($B35="","",SUMIFS(tblVentas[Utilidad bruta],tblVentas[Cliente],$B35))</f>
        <v/>
      </c>
      <c r="L35" s="37">
        <f>IF(OR($B35="",$I35=0),"",$J35/$I35)</f>
        <v/>
      </c>
      <c r="M35" s="37">
        <f>IF($B35="","",SUMIFS(tblVentas[Saldo por cobrar],tblVentas[Cliente],$B35))</f>
        <v/>
      </c>
      <c r="N35" s="39">
        <f>IF(OR($B35="",NOT(ISNUMBER($H35))),"",TODAY()-$H35)</f>
        <v/>
      </c>
      <c r="O35" s="51">
        <f>IF($B35="","",IF($I35=0,"SIN COMPRAS",IF($N35&lt;=30,"ACTIVO",IF($N35&lt;=60,"EN SEGUIMIENTO",IF($N35&lt;=120,"EN RIESGO","INACTIVO")))))</f>
        <v/>
      </c>
      <c r="P35" s="33" t="n"/>
      <c r="Q35" s="33" t="n"/>
      <c r="R35" s="51">
        <f>IF($B35="","",IF(IF(AND($B35&lt;&gt;"",COUNTIF(tblClientes[Nombre],$B35)&gt;1)," · NOMBRE DUPLICADO","")&amp;IF(AND($B35&lt;&gt;"",$C35="",$D35="")," · Sin teléfono ni email","")&amp;IF(AND(ISNUMBER($M35),$M35&gt;0)," · Tiene saldo por cobrar","")="","OK",MID(IF(AND($B35&lt;&gt;"",COUNTIF(tblClientes[Nombre],$B35)&gt;1)," · NOMBRE DUPLICADO","")&amp;IF(AND($B35&lt;&gt;"",$C35="",$D35="")," · Sin teléfono ni email","")&amp;IF(AND(ISNUMBER($M35),$M35&gt;0)," · Tiene saldo por cobrar",""),4,900)))</f>
        <v/>
      </c>
    </row>
    <row r="36">
      <c r="A36" s="51">
        <f>IF($B36="","","CLI-"&amp;TEXT(ROW()-6,"0000"))</f>
        <v/>
      </c>
      <c r="B36" s="33" t="n"/>
      <c r="C36" s="33" t="n"/>
      <c r="D36" s="33" t="n"/>
      <c r="E36" s="33" t="n"/>
      <c r="F36" s="33" t="n"/>
      <c r="G36" s="53">
        <f>IF($B36="","",IF(COUNTIFS(tblVentas[Cliente],$B36)=0,"",SUMPRODUCT(MIN((tblVentas[Cliente]=$B36)*tblVentas[Fecha]+(tblVentas[Cliente]&lt;&gt;$B36)*99999))))</f>
        <v/>
      </c>
      <c r="H36" s="53">
        <f>IF($B36="","",IF(COUNTIFS(tblVentas[Cliente],$B36)=0,"",SUMPRODUCT(MAX((tblVentas[Cliente]=$B36)*tblVentas[Fecha]))))</f>
        <v/>
      </c>
      <c r="I36" s="39">
        <f>IF($B36="","",COUNTIFS(tblVentas[Cliente],$B36))</f>
        <v/>
      </c>
      <c r="J36" s="37">
        <f>IF($B36="","",SUMIFS(tblVentas[Venta neta],tblVentas[Cliente],$B36))</f>
        <v/>
      </c>
      <c r="K36" s="37">
        <f>IF($B36="","",SUMIFS(tblVentas[Utilidad bruta],tblVentas[Cliente],$B36))</f>
        <v/>
      </c>
      <c r="L36" s="37">
        <f>IF(OR($B36="",$I36=0),"",$J36/$I36)</f>
        <v/>
      </c>
      <c r="M36" s="37">
        <f>IF($B36="","",SUMIFS(tblVentas[Saldo por cobrar],tblVentas[Cliente],$B36))</f>
        <v/>
      </c>
      <c r="N36" s="39">
        <f>IF(OR($B36="",NOT(ISNUMBER($H36))),"",TODAY()-$H36)</f>
        <v/>
      </c>
      <c r="O36" s="51">
        <f>IF($B36="","",IF($I36=0,"SIN COMPRAS",IF($N36&lt;=30,"ACTIVO",IF($N36&lt;=60,"EN SEGUIMIENTO",IF($N36&lt;=120,"EN RIESGO","INACTIVO")))))</f>
        <v/>
      </c>
      <c r="P36" s="33" t="n"/>
      <c r="Q36" s="33" t="n"/>
      <c r="R36" s="51">
        <f>IF($B36="","",IF(IF(AND($B36&lt;&gt;"",COUNTIF(tblClientes[Nombre],$B36)&gt;1)," · NOMBRE DUPLICADO","")&amp;IF(AND($B36&lt;&gt;"",$C36="",$D36="")," · Sin teléfono ni email","")&amp;IF(AND(ISNUMBER($M36),$M36&gt;0)," · Tiene saldo por cobrar","")="","OK",MID(IF(AND($B36&lt;&gt;"",COUNTIF(tblClientes[Nombre],$B36)&gt;1)," · NOMBRE DUPLICADO","")&amp;IF(AND($B36&lt;&gt;"",$C36="",$D36="")," · Sin teléfono ni email","")&amp;IF(AND(ISNUMBER($M36),$M36&gt;0)," · Tiene saldo por cobrar",""),4,900)))</f>
        <v/>
      </c>
    </row>
    <row r="37">
      <c r="A37" s="51">
        <f>IF($B37="","","CLI-"&amp;TEXT(ROW()-6,"0000"))</f>
        <v/>
      </c>
      <c r="B37" s="33" t="n"/>
      <c r="C37" s="33" t="n"/>
      <c r="D37" s="33" t="n"/>
      <c r="E37" s="33" t="n"/>
      <c r="F37" s="33" t="n"/>
      <c r="G37" s="53">
        <f>IF($B37="","",IF(COUNTIFS(tblVentas[Cliente],$B37)=0,"",SUMPRODUCT(MIN((tblVentas[Cliente]=$B37)*tblVentas[Fecha]+(tblVentas[Cliente]&lt;&gt;$B37)*99999))))</f>
        <v/>
      </c>
      <c r="H37" s="53">
        <f>IF($B37="","",IF(COUNTIFS(tblVentas[Cliente],$B37)=0,"",SUMPRODUCT(MAX((tblVentas[Cliente]=$B37)*tblVentas[Fecha]))))</f>
        <v/>
      </c>
      <c r="I37" s="39">
        <f>IF($B37="","",COUNTIFS(tblVentas[Cliente],$B37))</f>
        <v/>
      </c>
      <c r="J37" s="37">
        <f>IF($B37="","",SUMIFS(tblVentas[Venta neta],tblVentas[Cliente],$B37))</f>
        <v/>
      </c>
      <c r="K37" s="37">
        <f>IF($B37="","",SUMIFS(tblVentas[Utilidad bruta],tblVentas[Cliente],$B37))</f>
        <v/>
      </c>
      <c r="L37" s="37">
        <f>IF(OR($B37="",$I37=0),"",$J37/$I37)</f>
        <v/>
      </c>
      <c r="M37" s="37">
        <f>IF($B37="","",SUMIFS(tblVentas[Saldo por cobrar],tblVentas[Cliente],$B37))</f>
        <v/>
      </c>
      <c r="N37" s="39">
        <f>IF(OR($B37="",NOT(ISNUMBER($H37))),"",TODAY()-$H37)</f>
        <v/>
      </c>
      <c r="O37" s="51">
        <f>IF($B37="","",IF($I37=0,"SIN COMPRAS",IF($N37&lt;=30,"ACTIVO",IF($N37&lt;=60,"EN SEGUIMIENTO",IF($N37&lt;=120,"EN RIESGO","INACTIVO")))))</f>
        <v/>
      </c>
      <c r="P37" s="33" t="n"/>
      <c r="Q37" s="33" t="n"/>
      <c r="R37" s="51">
        <f>IF($B37="","",IF(IF(AND($B37&lt;&gt;"",COUNTIF(tblClientes[Nombre],$B37)&gt;1)," · NOMBRE DUPLICADO","")&amp;IF(AND($B37&lt;&gt;"",$C37="",$D37="")," · Sin teléfono ni email","")&amp;IF(AND(ISNUMBER($M37),$M37&gt;0)," · Tiene saldo por cobrar","")="","OK",MID(IF(AND($B37&lt;&gt;"",COUNTIF(tblClientes[Nombre],$B37)&gt;1)," · NOMBRE DUPLICADO","")&amp;IF(AND($B37&lt;&gt;"",$C37="",$D37="")," · Sin teléfono ni email","")&amp;IF(AND(ISNUMBER($M37),$M37&gt;0)," · Tiene saldo por cobrar",""),4,900)))</f>
        <v/>
      </c>
    </row>
    <row r="38">
      <c r="A38" s="51">
        <f>IF($B38="","","CLI-"&amp;TEXT(ROW()-6,"0000"))</f>
        <v/>
      </c>
      <c r="B38" s="33" t="n"/>
      <c r="C38" s="33" t="n"/>
      <c r="D38" s="33" t="n"/>
      <c r="E38" s="33" t="n"/>
      <c r="F38" s="33" t="n"/>
      <c r="G38" s="53">
        <f>IF($B38="","",IF(COUNTIFS(tblVentas[Cliente],$B38)=0,"",SUMPRODUCT(MIN((tblVentas[Cliente]=$B38)*tblVentas[Fecha]+(tblVentas[Cliente]&lt;&gt;$B38)*99999))))</f>
        <v/>
      </c>
      <c r="H38" s="53">
        <f>IF($B38="","",IF(COUNTIFS(tblVentas[Cliente],$B38)=0,"",SUMPRODUCT(MAX((tblVentas[Cliente]=$B38)*tblVentas[Fecha]))))</f>
        <v/>
      </c>
      <c r="I38" s="39">
        <f>IF($B38="","",COUNTIFS(tblVentas[Cliente],$B38))</f>
        <v/>
      </c>
      <c r="J38" s="37">
        <f>IF($B38="","",SUMIFS(tblVentas[Venta neta],tblVentas[Cliente],$B38))</f>
        <v/>
      </c>
      <c r="K38" s="37">
        <f>IF($B38="","",SUMIFS(tblVentas[Utilidad bruta],tblVentas[Cliente],$B38))</f>
        <v/>
      </c>
      <c r="L38" s="37">
        <f>IF(OR($B38="",$I38=0),"",$J38/$I38)</f>
        <v/>
      </c>
      <c r="M38" s="37">
        <f>IF($B38="","",SUMIFS(tblVentas[Saldo por cobrar],tblVentas[Cliente],$B38))</f>
        <v/>
      </c>
      <c r="N38" s="39">
        <f>IF(OR($B38="",NOT(ISNUMBER($H38))),"",TODAY()-$H38)</f>
        <v/>
      </c>
      <c r="O38" s="51">
        <f>IF($B38="","",IF($I38=0,"SIN COMPRAS",IF($N38&lt;=30,"ACTIVO",IF($N38&lt;=60,"EN SEGUIMIENTO",IF($N38&lt;=120,"EN RIESGO","INACTIVO")))))</f>
        <v/>
      </c>
      <c r="P38" s="33" t="n"/>
      <c r="Q38" s="33" t="n"/>
      <c r="R38" s="51">
        <f>IF($B38="","",IF(IF(AND($B38&lt;&gt;"",COUNTIF(tblClientes[Nombre],$B38)&gt;1)," · NOMBRE DUPLICADO","")&amp;IF(AND($B38&lt;&gt;"",$C38="",$D38="")," · Sin teléfono ni email","")&amp;IF(AND(ISNUMBER($M38),$M38&gt;0)," · Tiene saldo por cobrar","")="","OK",MID(IF(AND($B38&lt;&gt;"",COUNTIF(tblClientes[Nombre],$B38)&gt;1)," · NOMBRE DUPLICADO","")&amp;IF(AND($B38&lt;&gt;"",$C38="",$D38="")," · Sin teléfono ni email","")&amp;IF(AND(ISNUMBER($M38),$M38&gt;0)," · Tiene saldo por cobrar",""),4,900)))</f>
        <v/>
      </c>
    </row>
    <row r="39">
      <c r="A39" s="51">
        <f>IF($B39="","","CLI-"&amp;TEXT(ROW()-6,"0000"))</f>
        <v/>
      </c>
      <c r="B39" s="33" t="n"/>
      <c r="C39" s="33" t="n"/>
      <c r="D39" s="33" t="n"/>
      <c r="E39" s="33" t="n"/>
      <c r="F39" s="33" t="n"/>
      <c r="G39" s="53">
        <f>IF($B39="","",IF(COUNTIFS(tblVentas[Cliente],$B39)=0,"",SUMPRODUCT(MIN((tblVentas[Cliente]=$B39)*tblVentas[Fecha]+(tblVentas[Cliente]&lt;&gt;$B39)*99999))))</f>
        <v/>
      </c>
      <c r="H39" s="53">
        <f>IF($B39="","",IF(COUNTIFS(tblVentas[Cliente],$B39)=0,"",SUMPRODUCT(MAX((tblVentas[Cliente]=$B39)*tblVentas[Fecha]))))</f>
        <v/>
      </c>
      <c r="I39" s="39">
        <f>IF($B39="","",COUNTIFS(tblVentas[Cliente],$B39))</f>
        <v/>
      </c>
      <c r="J39" s="37">
        <f>IF($B39="","",SUMIFS(tblVentas[Venta neta],tblVentas[Cliente],$B39))</f>
        <v/>
      </c>
      <c r="K39" s="37">
        <f>IF($B39="","",SUMIFS(tblVentas[Utilidad bruta],tblVentas[Cliente],$B39))</f>
        <v/>
      </c>
      <c r="L39" s="37">
        <f>IF(OR($B39="",$I39=0),"",$J39/$I39)</f>
        <v/>
      </c>
      <c r="M39" s="37">
        <f>IF($B39="","",SUMIFS(tblVentas[Saldo por cobrar],tblVentas[Cliente],$B39))</f>
        <v/>
      </c>
      <c r="N39" s="39">
        <f>IF(OR($B39="",NOT(ISNUMBER($H39))),"",TODAY()-$H39)</f>
        <v/>
      </c>
      <c r="O39" s="51">
        <f>IF($B39="","",IF($I39=0,"SIN COMPRAS",IF($N39&lt;=30,"ACTIVO",IF($N39&lt;=60,"EN SEGUIMIENTO",IF($N39&lt;=120,"EN RIESGO","INACTIVO")))))</f>
        <v/>
      </c>
      <c r="P39" s="33" t="n"/>
      <c r="Q39" s="33" t="n"/>
      <c r="R39" s="51">
        <f>IF($B39="","",IF(IF(AND($B39&lt;&gt;"",COUNTIF(tblClientes[Nombre],$B39)&gt;1)," · NOMBRE DUPLICADO","")&amp;IF(AND($B39&lt;&gt;"",$C39="",$D39="")," · Sin teléfono ni email","")&amp;IF(AND(ISNUMBER($M39),$M39&gt;0)," · Tiene saldo por cobrar","")="","OK",MID(IF(AND($B39&lt;&gt;"",COUNTIF(tblClientes[Nombre],$B39)&gt;1)," · NOMBRE DUPLICADO","")&amp;IF(AND($B39&lt;&gt;"",$C39="",$D39="")," · Sin teléfono ni email","")&amp;IF(AND(ISNUMBER($M39),$M39&gt;0)," · Tiene saldo por cobrar",""),4,900)))</f>
        <v/>
      </c>
    </row>
    <row r="40">
      <c r="A40" s="51">
        <f>IF($B40="","","CLI-"&amp;TEXT(ROW()-6,"0000"))</f>
        <v/>
      </c>
      <c r="B40" s="33" t="n"/>
      <c r="C40" s="33" t="n"/>
      <c r="D40" s="33" t="n"/>
      <c r="E40" s="33" t="n"/>
      <c r="F40" s="33" t="n"/>
      <c r="G40" s="53">
        <f>IF($B40="","",IF(COUNTIFS(tblVentas[Cliente],$B40)=0,"",SUMPRODUCT(MIN((tblVentas[Cliente]=$B40)*tblVentas[Fecha]+(tblVentas[Cliente]&lt;&gt;$B40)*99999))))</f>
        <v/>
      </c>
      <c r="H40" s="53">
        <f>IF($B40="","",IF(COUNTIFS(tblVentas[Cliente],$B40)=0,"",SUMPRODUCT(MAX((tblVentas[Cliente]=$B40)*tblVentas[Fecha]))))</f>
        <v/>
      </c>
      <c r="I40" s="39">
        <f>IF($B40="","",COUNTIFS(tblVentas[Cliente],$B40))</f>
        <v/>
      </c>
      <c r="J40" s="37">
        <f>IF($B40="","",SUMIFS(tblVentas[Venta neta],tblVentas[Cliente],$B40))</f>
        <v/>
      </c>
      <c r="K40" s="37">
        <f>IF($B40="","",SUMIFS(tblVentas[Utilidad bruta],tblVentas[Cliente],$B40))</f>
        <v/>
      </c>
      <c r="L40" s="37">
        <f>IF(OR($B40="",$I40=0),"",$J40/$I40)</f>
        <v/>
      </c>
      <c r="M40" s="37">
        <f>IF($B40="","",SUMIFS(tblVentas[Saldo por cobrar],tblVentas[Cliente],$B40))</f>
        <v/>
      </c>
      <c r="N40" s="39">
        <f>IF(OR($B40="",NOT(ISNUMBER($H40))),"",TODAY()-$H40)</f>
        <v/>
      </c>
      <c r="O40" s="51">
        <f>IF($B40="","",IF($I40=0,"SIN COMPRAS",IF($N40&lt;=30,"ACTIVO",IF($N40&lt;=60,"EN SEGUIMIENTO",IF($N40&lt;=120,"EN RIESGO","INACTIVO")))))</f>
        <v/>
      </c>
      <c r="P40" s="33" t="n"/>
      <c r="Q40" s="33" t="n"/>
      <c r="R40" s="51">
        <f>IF($B40="","",IF(IF(AND($B40&lt;&gt;"",COUNTIF(tblClientes[Nombre],$B40)&gt;1)," · NOMBRE DUPLICADO","")&amp;IF(AND($B40&lt;&gt;"",$C40="",$D40="")," · Sin teléfono ni email","")&amp;IF(AND(ISNUMBER($M40),$M40&gt;0)," · Tiene saldo por cobrar","")="","OK",MID(IF(AND($B40&lt;&gt;"",COUNTIF(tblClientes[Nombre],$B40)&gt;1)," · NOMBRE DUPLICADO","")&amp;IF(AND($B40&lt;&gt;"",$C40="",$D40="")," · Sin teléfono ni email","")&amp;IF(AND(ISNUMBER($M40),$M40&gt;0)," · Tiene saldo por cobrar",""),4,900)))</f>
        <v/>
      </c>
    </row>
    <row r="41">
      <c r="A41" s="51">
        <f>IF($B41="","","CLI-"&amp;TEXT(ROW()-6,"0000"))</f>
        <v/>
      </c>
      <c r="B41" s="33" t="n"/>
      <c r="C41" s="33" t="n"/>
      <c r="D41" s="33" t="n"/>
      <c r="E41" s="33" t="n"/>
      <c r="F41" s="33" t="n"/>
      <c r="G41" s="53">
        <f>IF($B41="","",IF(COUNTIFS(tblVentas[Cliente],$B41)=0,"",SUMPRODUCT(MIN((tblVentas[Cliente]=$B41)*tblVentas[Fecha]+(tblVentas[Cliente]&lt;&gt;$B41)*99999))))</f>
        <v/>
      </c>
      <c r="H41" s="53">
        <f>IF($B41="","",IF(COUNTIFS(tblVentas[Cliente],$B41)=0,"",SUMPRODUCT(MAX((tblVentas[Cliente]=$B41)*tblVentas[Fecha]))))</f>
        <v/>
      </c>
      <c r="I41" s="39">
        <f>IF($B41="","",COUNTIFS(tblVentas[Cliente],$B41))</f>
        <v/>
      </c>
      <c r="J41" s="37">
        <f>IF($B41="","",SUMIFS(tblVentas[Venta neta],tblVentas[Cliente],$B41))</f>
        <v/>
      </c>
      <c r="K41" s="37">
        <f>IF($B41="","",SUMIFS(tblVentas[Utilidad bruta],tblVentas[Cliente],$B41))</f>
        <v/>
      </c>
      <c r="L41" s="37">
        <f>IF(OR($B41="",$I41=0),"",$J41/$I41)</f>
        <v/>
      </c>
      <c r="M41" s="37">
        <f>IF($B41="","",SUMIFS(tblVentas[Saldo por cobrar],tblVentas[Cliente],$B41))</f>
        <v/>
      </c>
      <c r="N41" s="39">
        <f>IF(OR($B41="",NOT(ISNUMBER($H41))),"",TODAY()-$H41)</f>
        <v/>
      </c>
      <c r="O41" s="51">
        <f>IF($B41="","",IF($I41=0,"SIN COMPRAS",IF($N41&lt;=30,"ACTIVO",IF($N41&lt;=60,"EN SEGUIMIENTO",IF($N41&lt;=120,"EN RIESGO","INACTIVO")))))</f>
        <v/>
      </c>
      <c r="P41" s="33" t="n"/>
      <c r="Q41" s="33" t="n"/>
      <c r="R41" s="51">
        <f>IF($B41="","",IF(IF(AND($B41&lt;&gt;"",COUNTIF(tblClientes[Nombre],$B41)&gt;1)," · NOMBRE DUPLICADO","")&amp;IF(AND($B41&lt;&gt;"",$C41="",$D41="")," · Sin teléfono ni email","")&amp;IF(AND(ISNUMBER($M41),$M41&gt;0)," · Tiene saldo por cobrar","")="","OK",MID(IF(AND($B41&lt;&gt;"",COUNTIF(tblClientes[Nombre],$B41)&gt;1)," · NOMBRE DUPLICADO","")&amp;IF(AND($B41&lt;&gt;"",$C41="",$D41="")," · Sin teléfono ni email","")&amp;IF(AND(ISNUMBER($M41),$M41&gt;0)," · Tiene saldo por cobrar",""),4,900)))</f>
        <v/>
      </c>
    </row>
    <row r="42">
      <c r="A42" s="51">
        <f>IF($B42="","","CLI-"&amp;TEXT(ROW()-6,"0000"))</f>
        <v/>
      </c>
      <c r="B42" s="33" t="n"/>
      <c r="C42" s="33" t="n"/>
      <c r="D42" s="33" t="n"/>
      <c r="E42" s="33" t="n"/>
      <c r="F42" s="33" t="n"/>
      <c r="G42" s="53">
        <f>IF($B42="","",IF(COUNTIFS(tblVentas[Cliente],$B42)=0,"",SUMPRODUCT(MIN((tblVentas[Cliente]=$B42)*tblVentas[Fecha]+(tblVentas[Cliente]&lt;&gt;$B42)*99999))))</f>
        <v/>
      </c>
      <c r="H42" s="53">
        <f>IF($B42="","",IF(COUNTIFS(tblVentas[Cliente],$B42)=0,"",SUMPRODUCT(MAX((tblVentas[Cliente]=$B42)*tblVentas[Fecha]))))</f>
        <v/>
      </c>
      <c r="I42" s="39">
        <f>IF($B42="","",COUNTIFS(tblVentas[Cliente],$B42))</f>
        <v/>
      </c>
      <c r="J42" s="37">
        <f>IF($B42="","",SUMIFS(tblVentas[Venta neta],tblVentas[Cliente],$B42))</f>
        <v/>
      </c>
      <c r="K42" s="37">
        <f>IF($B42="","",SUMIFS(tblVentas[Utilidad bruta],tblVentas[Cliente],$B42))</f>
        <v/>
      </c>
      <c r="L42" s="37">
        <f>IF(OR($B42="",$I42=0),"",$J42/$I42)</f>
        <v/>
      </c>
      <c r="M42" s="37">
        <f>IF($B42="","",SUMIFS(tblVentas[Saldo por cobrar],tblVentas[Cliente],$B42))</f>
        <v/>
      </c>
      <c r="N42" s="39">
        <f>IF(OR($B42="",NOT(ISNUMBER($H42))),"",TODAY()-$H42)</f>
        <v/>
      </c>
      <c r="O42" s="51">
        <f>IF($B42="","",IF($I42=0,"SIN COMPRAS",IF($N42&lt;=30,"ACTIVO",IF($N42&lt;=60,"EN SEGUIMIENTO",IF($N42&lt;=120,"EN RIESGO","INACTIVO")))))</f>
        <v/>
      </c>
      <c r="P42" s="33" t="n"/>
      <c r="Q42" s="33" t="n"/>
      <c r="R42" s="51">
        <f>IF($B42="","",IF(IF(AND($B42&lt;&gt;"",COUNTIF(tblClientes[Nombre],$B42)&gt;1)," · NOMBRE DUPLICADO","")&amp;IF(AND($B42&lt;&gt;"",$C42="",$D42="")," · Sin teléfono ni email","")&amp;IF(AND(ISNUMBER($M42),$M42&gt;0)," · Tiene saldo por cobrar","")="","OK",MID(IF(AND($B42&lt;&gt;"",COUNTIF(tblClientes[Nombre],$B42)&gt;1)," · NOMBRE DUPLICADO","")&amp;IF(AND($B42&lt;&gt;"",$C42="",$D42="")," · Sin teléfono ni email","")&amp;IF(AND(ISNUMBER($M42),$M42&gt;0)," · Tiene saldo por cobrar",""),4,900)))</f>
        <v/>
      </c>
    </row>
    <row r="43">
      <c r="A43" s="51">
        <f>IF($B43="","","CLI-"&amp;TEXT(ROW()-6,"0000"))</f>
        <v/>
      </c>
      <c r="B43" s="33" t="n"/>
      <c r="C43" s="33" t="n"/>
      <c r="D43" s="33" t="n"/>
      <c r="E43" s="33" t="n"/>
      <c r="F43" s="33" t="n"/>
      <c r="G43" s="53">
        <f>IF($B43="","",IF(COUNTIFS(tblVentas[Cliente],$B43)=0,"",SUMPRODUCT(MIN((tblVentas[Cliente]=$B43)*tblVentas[Fecha]+(tblVentas[Cliente]&lt;&gt;$B43)*99999))))</f>
        <v/>
      </c>
      <c r="H43" s="53">
        <f>IF($B43="","",IF(COUNTIFS(tblVentas[Cliente],$B43)=0,"",SUMPRODUCT(MAX((tblVentas[Cliente]=$B43)*tblVentas[Fecha]))))</f>
        <v/>
      </c>
      <c r="I43" s="39">
        <f>IF($B43="","",COUNTIFS(tblVentas[Cliente],$B43))</f>
        <v/>
      </c>
      <c r="J43" s="37">
        <f>IF($B43="","",SUMIFS(tblVentas[Venta neta],tblVentas[Cliente],$B43))</f>
        <v/>
      </c>
      <c r="K43" s="37">
        <f>IF($B43="","",SUMIFS(tblVentas[Utilidad bruta],tblVentas[Cliente],$B43))</f>
        <v/>
      </c>
      <c r="L43" s="37">
        <f>IF(OR($B43="",$I43=0),"",$J43/$I43)</f>
        <v/>
      </c>
      <c r="M43" s="37">
        <f>IF($B43="","",SUMIFS(tblVentas[Saldo por cobrar],tblVentas[Cliente],$B43))</f>
        <v/>
      </c>
      <c r="N43" s="39">
        <f>IF(OR($B43="",NOT(ISNUMBER($H43))),"",TODAY()-$H43)</f>
        <v/>
      </c>
      <c r="O43" s="51">
        <f>IF($B43="","",IF($I43=0,"SIN COMPRAS",IF($N43&lt;=30,"ACTIVO",IF($N43&lt;=60,"EN SEGUIMIENTO",IF($N43&lt;=120,"EN RIESGO","INACTIVO")))))</f>
        <v/>
      </c>
      <c r="P43" s="33" t="n"/>
      <c r="Q43" s="33" t="n"/>
      <c r="R43" s="51">
        <f>IF($B43="","",IF(IF(AND($B43&lt;&gt;"",COUNTIF(tblClientes[Nombre],$B43)&gt;1)," · NOMBRE DUPLICADO","")&amp;IF(AND($B43&lt;&gt;"",$C43="",$D43="")," · Sin teléfono ni email","")&amp;IF(AND(ISNUMBER($M43),$M43&gt;0)," · Tiene saldo por cobrar","")="","OK",MID(IF(AND($B43&lt;&gt;"",COUNTIF(tblClientes[Nombre],$B43)&gt;1)," · NOMBRE DUPLICADO","")&amp;IF(AND($B43&lt;&gt;"",$C43="",$D43="")," · Sin teléfono ni email","")&amp;IF(AND(ISNUMBER($M43),$M43&gt;0)," · Tiene saldo por cobrar",""),4,900)))</f>
        <v/>
      </c>
    </row>
    <row r="44">
      <c r="A44" s="51">
        <f>IF($B44="","","CLI-"&amp;TEXT(ROW()-6,"0000"))</f>
        <v/>
      </c>
      <c r="B44" s="33" t="n"/>
      <c r="C44" s="33" t="n"/>
      <c r="D44" s="33" t="n"/>
      <c r="E44" s="33" t="n"/>
      <c r="F44" s="33" t="n"/>
      <c r="G44" s="53">
        <f>IF($B44="","",IF(COUNTIFS(tblVentas[Cliente],$B44)=0,"",SUMPRODUCT(MIN((tblVentas[Cliente]=$B44)*tblVentas[Fecha]+(tblVentas[Cliente]&lt;&gt;$B44)*99999))))</f>
        <v/>
      </c>
      <c r="H44" s="53">
        <f>IF($B44="","",IF(COUNTIFS(tblVentas[Cliente],$B44)=0,"",SUMPRODUCT(MAX((tblVentas[Cliente]=$B44)*tblVentas[Fecha]))))</f>
        <v/>
      </c>
      <c r="I44" s="39">
        <f>IF($B44="","",COUNTIFS(tblVentas[Cliente],$B44))</f>
        <v/>
      </c>
      <c r="J44" s="37">
        <f>IF($B44="","",SUMIFS(tblVentas[Venta neta],tblVentas[Cliente],$B44))</f>
        <v/>
      </c>
      <c r="K44" s="37">
        <f>IF($B44="","",SUMIFS(tblVentas[Utilidad bruta],tblVentas[Cliente],$B44))</f>
        <v/>
      </c>
      <c r="L44" s="37">
        <f>IF(OR($B44="",$I44=0),"",$J44/$I44)</f>
        <v/>
      </c>
      <c r="M44" s="37">
        <f>IF($B44="","",SUMIFS(tblVentas[Saldo por cobrar],tblVentas[Cliente],$B44))</f>
        <v/>
      </c>
      <c r="N44" s="39">
        <f>IF(OR($B44="",NOT(ISNUMBER($H44))),"",TODAY()-$H44)</f>
        <v/>
      </c>
      <c r="O44" s="51">
        <f>IF($B44="","",IF($I44=0,"SIN COMPRAS",IF($N44&lt;=30,"ACTIVO",IF($N44&lt;=60,"EN SEGUIMIENTO",IF($N44&lt;=120,"EN RIESGO","INACTIVO")))))</f>
        <v/>
      </c>
      <c r="P44" s="33" t="n"/>
      <c r="Q44" s="33" t="n"/>
      <c r="R44" s="51">
        <f>IF($B44="","",IF(IF(AND($B44&lt;&gt;"",COUNTIF(tblClientes[Nombre],$B44)&gt;1)," · NOMBRE DUPLICADO","")&amp;IF(AND($B44&lt;&gt;"",$C44="",$D44="")," · Sin teléfono ni email","")&amp;IF(AND(ISNUMBER($M44),$M44&gt;0)," · Tiene saldo por cobrar","")="","OK",MID(IF(AND($B44&lt;&gt;"",COUNTIF(tblClientes[Nombre],$B44)&gt;1)," · NOMBRE DUPLICADO","")&amp;IF(AND($B44&lt;&gt;"",$C44="",$D44="")," · Sin teléfono ni email","")&amp;IF(AND(ISNUMBER($M44),$M44&gt;0)," · Tiene saldo por cobrar",""),4,900)))</f>
        <v/>
      </c>
    </row>
    <row r="45">
      <c r="A45" s="51">
        <f>IF($B45="","","CLI-"&amp;TEXT(ROW()-6,"0000"))</f>
        <v/>
      </c>
      <c r="B45" s="33" t="n"/>
      <c r="C45" s="33" t="n"/>
      <c r="D45" s="33" t="n"/>
      <c r="E45" s="33" t="n"/>
      <c r="F45" s="33" t="n"/>
      <c r="G45" s="53">
        <f>IF($B45="","",IF(COUNTIFS(tblVentas[Cliente],$B45)=0,"",SUMPRODUCT(MIN((tblVentas[Cliente]=$B45)*tblVentas[Fecha]+(tblVentas[Cliente]&lt;&gt;$B45)*99999))))</f>
        <v/>
      </c>
      <c r="H45" s="53">
        <f>IF($B45="","",IF(COUNTIFS(tblVentas[Cliente],$B45)=0,"",SUMPRODUCT(MAX((tblVentas[Cliente]=$B45)*tblVentas[Fecha]))))</f>
        <v/>
      </c>
      <c r="I45" s="39">
        <f>IF($B45="","",COUNTIFS(tblVentas[Cliente],$B45))</f>
        <v/>
      </c>
      <c r="J45" s="37">
        <f>IF($B45="","",SUMIFS(tblVentas[Venta neta],tblVentas[Cliente],$B45))</f>
        <v/>
      </c>
      <c r="K45" s="37">
        <f>IF($B45="","",SUMIFS(tblVentas[Utilidad bruta],tblVentas[Cliente],$B45))</f>
        <v/>
      </c>
      <c r="L45" s="37">
        <f>IF(OR($B45="",$I45=0),"",$J45/$I45)</f>
        <v/>
      </c>
      <c r="M45" s="37">
        <f>IF($B45="","",SUMIFS(tblVentas[Saldo por cobrar],tblVentas[Cliente],$B45))</f>
        <v/>
      </c>
      <c r="N45" s="39">
        <f>IF(OR($B45="",NOT(ISNUMBER($H45))),"",TODAY()-$H45)</f>
        <v/>
      </c>
      <c r="O45" s="51">
        <f>IF($B45="","",IF($I45=0,"SIN COMPRAS",IF($N45&lt;=30,"ACTIVO",IF($N45&lt;=60,"EN SEGUIMIENTO",IF($N45&lt;=120,"EN RIESGO","INACTIVO")))))</f>
        <v/>
      </c>
      <c r="P45" s="33" t="n"/>
      <c r="Q45" s="33" t="n"/>
      <c r="R45" s="51">
        <f>IF($B45="","",IF(IF(AND($B45&lt;&gt;"",COUNTIF(tblClientes[Nombre],$B45)&gt;1)," · NOMBRE DUPLICADO","")&amp;IF(AND($B45&lt;&gt;"",$C45="",$D45="")," · Sin teléfono ni email","")&amp;IF(AND(ISNUMBER($M45),$M45&gt;0)," · Tiene saldo por cobrar","")="","OK",MID(IF(AND($B45&lt;&gt;"",COUNTIF(tblClientes[Nombre],$B45)&gt;1)," · NOMBRE DUPLICADO","")&amp;IF(AND($B45&lt;&gt;"",$C45="",$D45="")," · Sin teléfono ni email","")&amp;IF(AND(ISNUMBER($M45),$M45&gt;0)," · Tiene saldo por cobrar",""),4,900)))</f>
        <v/>
      </c>
    </row>
    <row r="46">
      <c r="A46" s="51">
        <f>IF($B46="","","CLI-"&amp;TEXT(ROW()-6,"0000"))</f>
        <v/>
      </c>
      <c r="B46" s="33" t="n"/>
      <c r="C46" s="33" t="n"/>
      <c r="D46" s="33" t="n"/>
      <c r="E46" s="33" t="n"/>
      <c r="F46" s="33" t="n"/>
      <c r="G46" s="53">
        <f>IF($B46="","",IF(COUNTIFS(tblVentas[Cliente],$B46)=0,"",SUMPRODUCT(MIN((tblVentas[Cliente]=$B46)*tblVentas[Fecha]+(tblVentas[Cliente]&lt;&gt;$B46)*99999))))</f>
        <v/>
      </c>
      <c r="H46" s="53">
        <f>IF($B46="","",IF(COUNTIFS(tblVentas[Cliente],$B46)=0,"",SUMPRODUCT(MAX((tblVentas[Cliente]=$B46)*tblVentas[Fecha]))))</f>
        <v/>
      </c>
      <c r="I46" s="39">
        <f>IF($B46="","",COUNTIFS(tblVentas[Cliente],$B46))</f>
        <v/>
      </c>
      <c r="J46" s="37">
        <f>IF($B46="","",SUMIFS(tblVentas[Venta neta],tblVentas[Cliente],$B46))</f>
        <v/>
      </c>
      <c r="K46" s="37">
        <f>IF($B46="","",SUMIFS(tblVentas[Utilidad bruta],tblVentas[Cliente],$B46))</f>
        <v/>
      </c>
      <c r="L46" s="37">
        <f>IF(OR($B46="",$I46=0),"",$J46/$I46)</f>
        <v/>
      </c>
      <c r="M46" s="37">
        <f>IF($B46="","",SUMIFS(tblVentas[Saldo por cobrar],tblVentas[Cliente],$B46))</f>
        <v/>
      </c>
      <c r="N46" s="39">
        <f>IF(OR($B46="",NOT(ISNUMBER($H46))),"",TODAY()-$H46)</f>
        <v/>
      </c>
      <c r="O46" s="51">
        <f>IF($B46="","",IF($I46=0,"SIN COMPRAS",IF($N46&lt;=30,"ACTIVO",IF($N46&lt;=60,"EN SEGUIMIENTO",IF($N46&lt;=120,"EN RIESGO","INACTIVO")))))</f>
        <v/>
      </c>
      <c r="P46" s="33" t="n"/>
      <c r="Q46" s="33" t="n"/>
      <c r="R46" s="51">
        <f>IF($B46="","",IF(IF(AND($B46&lt;&gt;"",COUNTIF(tblClientes[Nombre],$B46)&gt;1)," · NOMBRE DUPLICADO","")&amp;IF(AND($B46&lt;&gt;"",$C46="",$D46="")," · Sin teléfono ni email","")&amp;IF(AND(ISNUMBER($M46),$M46&gt;0)," · Tiene saldo por cobrar","")="","OK",MID(IF(AND($B46&lt;&gt;"",COUNTIF(tblClientes[Nombre],$B46)&gt;1)," · NOMBRE DUPLICADO","")&amp;IF(AND($B46&lt;&gt;"",$C46="",$D46="")," · Sin teléfono ni email","")&amp;IF(AND(ISNUMBER($M46),$M46&gt;0)," · Tiene saldo por cobrar",""),4,900)))</f>
        <v/>
      </c>
    </row>
    <row r="47">
      <c r="A47" s="51">
        <f>IF($B47="","","CLI-"&amp;TEXT(ROW()-6,"0000"))</f>
        <v/>
      </c>
      <c r="B47" s="33" t="n"/>
      <c r="C47" s="33" t="n"/>
      <c r="D47" s="33" t="n"/>
      <c r="E47" s="33" t="n"/>
      <c r="F47" s="33" t="n"/>
      <c r="G47" s="53">
        <f>IF($B47="","",IF(COUNTIFS(tblVentas[Cliente],$B47)=0,"",SUMPRODUCT(MIN((tblVentas[Cliente]=$B47)*tblVentas[Fecha]+(tblVentas[Cliente]&lt;&gt;$B47)*99999))))</f>
        <v/>
      </c>
      <c r="H47" s="53">
        <f>IF($B47="","",IF(COUNTIFS(tblVentas[Cliente],$B47)=0,"",SUMPRODUCT(MAX((tblVentas[Cliente]=$B47)*tblVentas[Fecha]))))</f>
        <v/>
      </c>
      <c r="I47" s="39">
        <f>IF($B47="","",COUNTIFS(tblVentas[Cliente],$B47))</f>
        <v/>
      </c>
      <c r="J47" s="37">
        <f>IF($B47="","",SUMIFS(tblVentas[Venta neta],tblVentas[Cliente],$B47))</f>
        <v/>
      </c>
      <c r="K47" s="37">
        <f>IF($B47="","",SUMIFS(tblVentas[Utilidad bruta],tblVentas[Cliente],$B47))</f>
        <v/>
      </c>
      <c r="L47" s="37">
        <f>IF(OR($B47="",$I47=0),"",$J47/$I47)</f>
        <v/>
      </c>
      <c r="M47" s="37">
        <f>IF($B47="","",SUMIFS(tblVentas[Saldo por cobrar],tblVentas[Cliente],$B47))</f>
        <v/>
      </c>
      <c r="N47" s="39">
        <f>IF(OR($B47="",NOT(ISNUMBER($H47))),"",TODAY()-$H47)</f>
        <v/>
      </c>
      <c r="O47" s="51">
        <f>IF($B47="","",IF($I47=0,"SIN COMPRAS",IF($N47&lt;=30,"ACTIVO",IF($N47&lt;=60,"EN SEGUIMIENTO",IF($N47&lt;=120,"EN RIESGO","INACTIVO")))))</f>
        <v/>
      </c>
      <c r="P47" s="33" t="n"/>
      <c r="Q47" s="33" t="n"/>
      <c r="R47" s="51">
        <f>IF($B47="","",IF(IF(AND($B47&lt;&gt;"",COUNTIF(tblClientes[Nombre],$B47)&gt;1)," · NOMBRE DUPLICADO","")&amp;IF(AND($B47&lt;&gt;"",$C47="",$D47="")," · Sin teléfono ni email","")&amp;IF(AND(ISNUMBER($M47),$M47&gt;0)," · Tiene saldo por cobrar","")="","OK",MID(IF(AND($B47&lt;&gt;"",COUNTIF(tblClientes[Nombre],$B47)&gt;1)," · NOMBRE DUPLICADO","")&amp;IF(AND($B47&lt;&gt;"",$C47="",$D47="")," · Sin teléfono ni email","")&amp;IF(AND(ISNUMBER($M47),$M47&gt;0)," · Tiene saldo por cobrar",""),4,900)))</f>
        <v/>
      </c>
    </row>
    <row r="48">
      <c r="A48" s="51">
        <f>IF($B48="","","CLI-"&amp;TEXT(ROW()-6,"0000"))</f>
        <v/>
      </c>
      <c r="B48" s="33" t="n"/>
      <c r="C48" s="33" t="n"/>
      <c r="D48" s="33" t="n"/>
      <c r="E48" s="33" t="n"/>
      <c r="F48" s="33" t="n"/>
      <c r="G48" s="53">
        <f>IF($B48="","",IF(COUNTIFS(tblVentas[Cliente],$B48)=0,"",SUMPRODUCT(MIN((tblVentas[Cliente]=$B48)*tblVentas[Fecha]+(tblVentas[Cliente]&lt;&gt;$B48)*99999))))</f>
        <v/>
      </c>
      <c r="H48" s="53">
        <f>IF($B48="","",IF(COUNTIFS(tblVentas[Cliente],$B48)=0,"",SUMPRODUCT(MAX((tblVentas[Cliente]=$B48)*tblVentas[Fecha]))))</f>
        <v/>
      </c>
      <c r="I48" s="39">
        <f>IF($B48="","",COUNTIFS(tblVentas[Cliente],$B48))</f>
        <v/>
      </c>
      <c r="J48" s="37">
        <f>IF($B48="","",SUMIFS(tblVentas[Venta neta],tblVentas[Cliente],$B48))</f>
        <v/>
      </c>
      <c r="K48" s="37">
        <f>IF($B48="","",SUMIFS(tblVentas[Utilidad bruta],tblVentas[Cliente],$B48))</f>
        <v/>
      </c>
      <c r="L48" s="37">
        <f>IF(OR($B48="",$I48=0),"",$J48/$I48)</f>
        <v/>
      </c>
      <c r="M48" s="37">
        <f>IF($B48="","",SUMIFS(tblVentas[Saldo por cobrar],tblVentas[Cliente],$B48))</f>
        <v/>
      </c>
      <c r="N48" s="39">
        <f>IF(OR($B48="",NOT(ISNUMBER($H48))),"",TODAY()-$H48)</f>
        <v/>
      </c>
      <c r="O48" s="51">
        <f>IF($B48="","",IF($I48=0,"SIN COMPRAS",IF($N48&lt;=30,"ACTIVO",IF($N48&lt;=60,"EN SEGUIMIENTO",IF($N48&lt;=120,"EN RIESGO","INACTIVO")))))</f>
        <v/>
      </c>
      <c r="P48" s="33" t="n"/>
      <c r="Q48" s="33" t="n"/>
      <c r="R48" s="51">
        <f>IF($B48="","",IF(IF(AND($B48&lt;&gt;"",COUNTIF(tblClientes[Nombre],$B48)&gt;1)," · NOMBRE DUPLICADO","")&amp;IF(AND($B48&lt;&gt;"",$C48="",$D48="")," · Sin teléfono ni email","")&amp;IF(AND(ISNUMBER($M48),$M48&gt;0)," · Tiene saldo por cobrar","")="","OK",MID(IF(AND($B48&lt;&gt;"",COUNTIF(tblClientes[Nombre],$B48)&gt;1)," · NOMBRE DUPLICADO","")&amp;IF(AND($B48&lt;&gt;"",$C48="",$D48="")," · Sin teléfono ni email","")&amp;IF(AND(ISNUMBER($M48),$M48&gt;0)," · Tiene saldo por cobrar",""),4,900)))</f>
        <v/>
      </c>
    </row>
    <row r="49">
      <c r="A49" s="51">
        <f>IF($B49="","","CLI-"&amp;TEXT(ROW()-6,"0000"))</f>
        <v/>
      </c>
      <c r="B49" s="33" t="n"/>
      <c r="C49" s="33" t="n"/>
      <c r="D49" s="33" t="n"/>
      <c r="E49" s="33" t="n"/>
      <c r="F49" s="33" t="n"/>
      <c r="G49" s="53">
        <f>IF($B49="","",IF(COUNTIFS(tblVentas[Cliente],$B49)=0,"",SUMPRODUCT(MIN((tblVentas[Cliente]=$B49)*tblVentas[Fecha]+(tblVentas[Cliente]&lt;&gt;$B49)*99999))))</f>
        <v/>
      </c>
      <c r="H49" s="53">
        <f>IF($B49="","",IF(COUNTIFS(tblVentas[Cliente],$B49)=0,"",SUMPRODUCT(MAX((tblVentas[Cliente]=$B49)*tblVentas[Fecha]))))</f>
        <v/>
      </c>
      <c r="I49" s="39">
        <f>IF($B49="","",COUNTIFS(tblVentas[Cliente],$B49))</f>
        <v/>
      </c>
      <c r="J49" s="37">
        <f>IF($B49="","",SUMIFS(tblVentas[Venta neta],tblVentas[Cliente],$B49))</f>
        <v/>
      </c>
      <c r="K49" s="37">
        <f>IF($B49="","",SUMIFS(tblVentas[Utilidad bruta],tblVentas[Cliente],$B49))</f>
        <v/>
      </c>
      <c r="L49" s="37">
        <f>IF(OR($B49="",$I49=0),"",$J49/$I49)</f>
        <v/>
      </c>
      <c r="M49" s="37">
        <f>IF($B49="","",SUMIFS(tblVentas[Saldo por cobrar],tblVentas[Cliente],$B49))</f>
        <v/>
      </c>
      <c r="N49" s="39">
        <f>IF(OR($B49="",NOT(ISNUMBER($H49))),"",TODAY()-$H49)</f>
        <v/>
      </c>
      <c r="O49" s="51">
        <f>IF($B49="","",IF($I49=0,"SIN COMPRAS",IF($N49&lt;=30,"ACTIVO",IF($N49&lt;=60,"EN SEGUIMIENTO",IF($N49&lt;=120,"EN RIESGO","INACTIVO")))))</f>
        <v/>
      </c>
      <c r="P49" s="33" t="n"/>
      <c r="Q49" s="33" t="n"/>
      <c r="R49" s="51">
        <f>IF($B49="","",IF(IF(AND($B49&lt;&gt;"",COUNTIF(tblClientes[Nombre],$B49)&gt;1)," · NOMBRE DUPLICADO","")&amp;IF(AND($B49&lt;&gt;"",$C49="",$D49="")," · Sin teléfono ni email","")&amp;IF(AND(ISNUMBER($M49),$M49&gt;0)," · Tiene saldo por cobrar","")="","OK",MID(IF(AND($B49&lt;&gt;"",COUNTIF(tblClientes[Nombre],$B49)&gt;1)," · NOMBRE DUPLICADO","")&amp;IF(AND($B49&lt;&gt;"",$C49="",$D49="")," · Sin teléfono ni email","")&amp;IF(AND(ISNUMBER($M49),$M49&gt;0)," · Tiene saldo por cobrar",""),4,900)))</f>
        <v/>
      </c>
    </row>
    <row r="50">
      <c r="A50" s="51">
        <f>IF($B50="","","CLI-"&amp;TEXT(ROW()-6,"0000"))</f>
        <v/>
      </c>
      <c r="B50" s="33" t="n"/>
      <c r="C50" s="33" t="n"/>
      <c r="D50" s="33" t="n"/>
      <c r="E50" s="33" t="n"/>
      <c r="F50" s="33" t="n"/>
      <c r="G50" s="53">
        <f>IF($B50="","",IF(COUNTIFS(tblVentas[Cliente],$B50)=0,"",SUMPRODUCT(MIN((tblVentas[Cliente]=$B50)*tblVentas[Fecha]+(tblVentas[Cliente]&lt;&gt;$B50)*99999))))</f>
        <v/>
      </c>
      <c r="H50" s="53">
        <f>IF($B50="","",IF(COUNTIFS(tblVentas[Cliente],$B50)=0,"",SUMPRODUCT(MAX((tblVentas[Cliente]=$B50)*tblVentas[Fecha]))))</f>
        <v/>
      </c>
      <c r="I50" s="39">
        <f>IF($B50="","",COUNTIFS(tblVentas[Cliente],$B50))</f>
        <v/>
      </c>
      <c r="J50" s="37">
        <f>IF($B50="","",SUMIFS(tblVentas[Venta neta],tblVentas[Cliente],$B50))</f>
        <v/>
      </c>
      <c r="K50" s="37">
        <f>IF($B50="","",SUMIFS(tblVentas[Utilidad bruta],tblVentas[Cliente],$B50))</f>
        <v/>
      </c>
      <c r="L50" s="37">
        <f>IF(OR($B50="",$I50=0),"",$J50/$I50)</f>
        <v/>
      </c>
      <c r="M50" s="37">
        <f>IF($B50="","",SUMIFS(tblVentas[Saldo por cobrar],tblVentas[Cliente],$B50))</f>
        <v/>
      </c>
      <c r="N50" s="39">
        <f>IF(OR($B50="",NOT(ISNUMBER($H50))),"",TODAY()-$H50)</f>
        <v/>
      </c>
      <c r="O50" s="51">
        <f>IF($B50="","",IF($I50=0,"SIN COMPRAS",IF($N50&lt;=30,"ACTIVO",IF($N50&lt;=60,"EN SEGUIMIENTO",IF($N50&lt;=120,"EN RIESGO","INACTIVO")))))</f>
        <v/>
      </c>
      <c r="P50" s="33" t="n"/>
      <c r="Q50" s="33" t="n"/>
      <c r="R50" s="51">
        <f>IF($B50="","",IF(IF(AND($B50&lt;&gt;"",COUNTIF(tblClientes[Nombre],$B50)&gt;1)," · NOMBRE DUPLICADO","")&amp;IF(AND($B50&lt;&gt;"",$C50="",$D50="")," · Sin teléfono ni email","")&amp;IF(AND(ISNUMBER($M50),$M50&gt;0)," · Tiene saldo por cobrar","")="","OK",MID(IF(AND($B50&lt;&gt;"",COUNTIF(tblClientes[Nombre],$B50)&gt;1)," · NOMBRE DUPLICADO","")&amp;IF(AND($B50&lt;&gt;"",$C50="",$D50="")," · Sin teléfono ni email","")&amp;IF(AND(ISNUMBER($M50),$M50&gt;0)," · Tiene saldo por cobrar",""),4,900)))</f>
        <v/>
      </c>
    </row>
    <row r="51">
      <c r="A51" s="51">
        <f>IF($B51="","","CLI-"&amp;TEXT(ROW()-6,"0000"))</f>
        <v/>
      </c>
      <c r="B51" s="33" t="n"/>
      <c r="C51" s="33" t="n"/>
      <c r="D51" s="33" t="n"/>
      <c r="E51" s="33" t="n"/>
      <c r="F51" s="33" t="n"/>
      <c r="G51" s="53">
        <f>IF($B51="","",IF(COUNTIFS(tblVentas[Cliente],$B51)=0,"",SUMPRODUCT(MIN((tblVentas[Cliente]=$B51)*tblVentas[Fecha]+(tblVentas[Cliente]&lt;&gt;$B51)*99999))))</f>
        <v/>
      </c>
      <c r="H51" s="53">
        <f>IF($B51="","",IF(COUNTIFS(tblVentas[Cliente],$B51)=0,"",SUMPRODUCT(MAX((tblVentas[Cliente]=$B51)*tblVentas[Fecha]))))</f>
        <v/>
      </c>
      <c r="I51" s="39">
        <f>IF($B51="","",COUNTIFS(tblVentas[Cliente],$B51))</f>
        <v/>
      </c>
      <c r="J51" s="37">
        <f>IF($B51="","",SUMIFS(tblVentas[Venta neta],tblVentas[Cliente],$B51))</f>
        <v/>
      </c>
      <c r="K51" s="37">
        <f>IF($B51="","",SUMIFS(tblVentas[Utilidad bruta],tblVentas[Cliente],$B51))</f>
        <v/>
      </c>
      <c r="L51" s="37">
        <f>IF(OR($B51="",$I51=0),"",$J51/$I51)</f>
        <v/>
      </c>
      <c r="M51" s="37">
        <f>IF($B51="","",SUMIFS(tblVentas[Saldo por cobrar],tblVentas[Cliente],$B51))</f>
        <v/>
      </c>
      <c r="N51" s="39">
        <f>IF(OR($B51="",NOT(ISNUMBER($H51))),"",TODAY()-$H51)</f>
        <v/>
      </c>
      <c r="O51" s="51">
        <f>IF($B51="","",IF($I51=0,"SIN COMPRAS",IF($N51&lt;=30,"ACTIVO",IF($N51&lt;=60,"EN SEGUIMIENTO",IF($N51&lt;=120,"EN RIESGO","INACTIVO")))))</f>
        <v/>
      </c>
      <c r="P51" s="33" t="n"/>
      <c r="Q51" s="33" t="n"/>
      <c r="R51" s="51">
        <f>IF($B51="","",IF(IF(AND($B51&lt;&gt;"",COUNTIF(tblClientes[Nombre],$B51)&gt;1)," · NOMBRE DUPLICADO","")&amp;IF(AND($B51&lt;&gt;"",$C51="",$D51="")," · Sin teléfono ni email","")&amp;IF(AND(ISNUMBER($M51),$M51&gt;0)," · Tiene saldo por cobrar","")="","OK",MID(IF(AND($B51&lt;&gt;"",COUNTIF(tblClientes[Nombre],$B51)&gt;1)," · NOMBRE DUPLICADO","")&amp;IF(AND($B51&lt;&gt;"",$C51="",$D51="")," · Sin teléfono ni email","")&amp;IF(AND(ISNUMBER($M51),$M51&gt;0)," · Tiene saldo por cobrar",""),4,900)))</f>
        <v/>
      </c>
    </row>
    <row r="52">
      <c r="A52" s="51">
        <f>IF($B52="","","CLI-"&amp;TEXT(ROW()-6,"0000"))</f>
        <v/>
      </c>
      <c r="B52" s="33" t="n"/>
      <c r="C52" s="33" t="n"/>
      <c r="D52" s="33" t="n"/>
      <c r="E52" s="33" t="n"/>
      <c r="F52" s="33" t="n"/>
      <c r="G52" s="53">
        <f>IF($B52="","",IF(COUNTIFS(tblVentas[Cliente],$B52)=0,"",SUMPRODUCT(MIN((tblVentas[Cliente]=$B52)*tblVentas[Fecha]+(tblVentas[Cliente]&lt;&gt;$B52)*99999))))</f>
        <v/>
      </c>
      <c r="H52" s="53">
        <f>IF($B52="","",IF(COUNTIFS(tblVentas[Cliente],$B52)=0,"",SUMPRODUCT(MAX((tblVentas[Cliente]=$B52)*tblVentas[Fecha]))))</f>
        <v/>
      </c>
      <c r="I52" s="39">
        <f>IF($B52="","",COUNTIFS(tblVentas[Cliente],$B52))</f>
        <v/>
      </c>
      <c r="J52" s="37">
        <f>IF($B52="","",SUMIFS(tblVentas[Venta neta],tblVentas[Cliente],$B52))</f>
        <v/>
      </c>
      <c r="K52" s="37">
        <f>IF($B52="","",SUMIFS(tblVentas[Utilidad bruta],tblVentas[Cliente],$B52))</f>
        <v/>
      </c>
      <c r="L52" s="37">
        <f>IF(OR($B52="",$I52=0),"",$J52/$I52)</f>
        <v/>
      </c>
      <c r="M52" s="37">
        <f>IF($B52="","",SUMIFS(tblVentas[Saldo por cobrar],tblVentas[Cliente],$B52))</f>
        <v/>
      </c>
      <c r="N52" s="39">
        <f>IF(OR($B52="",NOT(ISNUMBER($H52))),"",TODAY()-$H52)</f>
        <v/>
      </c>
      <c r="O52" s="51">
        <f>IF($B52="","",IF($I52=0,"SIN COMPRAS",IF($N52&lt;=30,"ACTIVO",IF($N52&lt;=60,"EN SEGUIMIENTO",IF($N52&lt;=120,"EN RIESGO","INACTIVO")))))</f>
        <v/>
      </c>
      <c r="P52" s="33" t="n"/>
      <c r="Q52" s="33" t="n"/>
      <c r="R52" s="51">
        <f>IF($B52="","",IF(IF(AND($B52&lt;&gt;"",COUNTIF(tblClientes[Nombre],$B52)&gt;1)," · NOMBRE DUPLICADO","")&amp;IF(AND($B52&lt;&gt;"",$C52="",$D52="")," · Sin teléfono ni email","")&amp;IF(AND(ISNUMBER($M52),$M52&gt;0)," · Tiene saldo por cobrar","")="","OK",MID(IF(AND($B52&lt;&gt;"",COUNTIF(tblClientes[Nombre],$B52)&gt;1)," · NOMBRE DUPLICADO","")&amp;IF(AND($B52&lt;&gt;"",$C52="",$D52="")," · Sin teléfono ni email","")&amp;IF(AND(ISNUMBER($M52),$M52&gt;0)," · Tiene saldo por cobrar",""),4,900)))</f>
        <v/>
      </c>
    </row>
    <row r="53">
      <c r="A53" s="51">
        <f>IF($B53="","","CLI-"&amp;TEXT(ROW()-6,"0000"))</f>
        <v/>
      </c>
      <c r="B53" s="33" t="n"/>
      <c r="C53" s="33" t="n"/>
      <c r="D53" s="33" t="n"/>
      <c r="E53" s="33" t="n"/>
      <c r="F53" s="33" t="n"/>
      <c r="G53" s="53">
        <f>IF($B53="","",IF(COUNTIFS(tblVentas[Cliente],$B53)=0,"",SUMPRODUCT(MIN((tblVentas[Cliente]=$B53)*tblVentas[Fecha]+(tblVentas[Cliente]&lt;&gt;$B53)*99999))))</f>
        <v/>
      </c>
      <c r="H53" s="53">
        <f>IF($B53="","",IF(COUNTIFS(tblVentas[Cliente],$B53)=0,"",SUMPRODUCT(MAX((tblVentas[Cliente]=$B53)*tblVentas[Fecha]))))</f>
        <v/>
      </c>
      <c r="I53" s="39">
        <f>IF($B53="","",COUNTIFS(tblVentas[Cliente],$B53))</f>
        <v/>
      </c>
      <c r="J53" s="37">
        <f>IF($B53="","",SUMIFS(tblVentas[Venta neta],tblVentas[Cliente],$B53))</f>
        <v/>
      </c>
      <c r="K53" s="37">
        <f>IF($B53="","",SUMIFS(tblVentas[Utilidad bruta],tblVentas[Cliente],$B53))</f>
        <v/>
      </c>
      <c r="L53" s="37">
        <f>IF(OR($B53="",$I53=0),"",$J53/$I53)</f>
        <v/>
      </c>
      <c r="M53" s="37">
        <f>IF($B53="","",SUMIFS(tblVentas[Saldo por cobrar],tblVentas[Cliente],$B53))</f>
        <v/>
      </c>
      <c r="N53" s="39">
        <f>IF(OR($B53="",NOT(ISNUMBER($H53))),"",TODAY()-$H53)</f>
        <v/>
      </c>
      <c r="O53" s="51">
        <f>IF($B53="","",IF($I53=0,"SIN COMPRAS",IF($N53&lt;=30,"ACTIVO",IF($N53&lt;=60,"EN SEGUIMIENTO",IF($N53&lt;=120,"EN RIESGO","INACTIVO")))))</f>
        <v/>
      </c>
      <c r="P53" s="33" t="n"/>
      <c r="Q53" s="33" t="n"/>
      <c r="R53" s="51">
        <f>IF($B53="","",IF(IF(AND($B53&lt;&gt;"",COUNTIF(tblClientes[Nombre],$B53)&gt;1)," · NOMBRE DUPLICADO","")&amp;IF(AND($B53&lt;&gt;"",$C53="",$D53="")," · Sin teléfono ni email","")&amp;IF(AND(ISNUMBER($M53),$M53&gt;0)," · Tiene saldo por cobrar","")="","OK",MID(IF(AND($B53&lt;&gt;"",COUNTIF(tblClientes[Nombre],$B53)&gt;1)," · NOMBRE DUPLICADO","")&amp;IF(AND($B53&lt;&gt;"",$C53="",$D53="")," · Sin teléfono ni email","")&amp;IF(AND(ISNUMBER($M53),$M53&gt;0)," · Tiene saldo por cobrar",""),4,900)))</f>
        <v/>
      </c>
    </row>
    <row r="54">
      <c r="A54" s="51">
        <f>IF($B54="","","CLI-"&amp;TEXT(ROW()-6,"0000"))</f>
        <v/>
      </c>
      <c r="B54" s="33" t="n"/>
      <c r="C54" s="33" t="n"/>
      <c r="D54" s="33" t="n"/>
      <c r="E54" s="33" t="n"/>
      <c r="F54" s="33" t="n"/>
      <c r="G54" s="53">
        <f>IF($B54="","",IF(COUNTIFS(tblVentas[Cliente],$B54)=0,"",SUMPRODUCT(MIN((tblVentas[Cliente]=$B54)*tblVentas[Fecha]+(tblVentas[Cliente]&lt;&gt;$B54)*99999))))</f>
        <v/>
      </c>
      <c r="H54" s="53">
        <f>IF($B54="","",IF(COUNTIFS(tblVentas[Cliente],$B54)=0,"",SUMPRODUCT(MAX((tblVentas[Cliente]=$B54)*tblVentas[Fecha]))))</f>
        <v/>
      </c>
      <c r="I54" s="39">
        <f>IF($B54="","",COUNTIFS(tblVentas[Cliente],$B54))</f>
        <v/>
      </c>
      <c r="J54" s="37">
        <f>IF($B54="","",SUMIFS(tblVentas[Venta neta],tblVentas[Cliente],$B54))</f>
        <v/>
      </c>
      <c r="K54" s="37">
        <f>IF($B54="","",SUMIFS(tblVentas[Utilidad bruta],tblVentas[Cliente],$B54))</f>
        <v/>
      </c>
      <c r="L54" s="37">
        <f>IF(OR($B54="",$I54=0),"",$J54/$I54)</f>
        <v/>
      </c>
      <c r="M54" s="37">
        <f>IF($B54="","",SUMIFS(tblVentas[Saldo por cobrar],tblVentas[Cliente],$B54))</f>
        <v/>
      </c>
      <c r="N54" s="39">
        <f>IF(OR($B54="",NOT(ISNUMBER($H54))),"",TODAY()-$H54)</f>
        <v/>
      </c>
      <c r="O54" s="51">
        <f>IF($B54="","",IF($I54=0,"SIN COMPRAS",IF($N54&lt;=30,"ACTIVO",IF($N54&lt;=60,"EN SEGUIMIENTO",IF($N54&lt;=120,"EN RIESGO","INACTIVO")))))</f>
        <v/>
      </c>
      <c r="P54" s="33" t="n"/>
      <c r="Q54" s="33" t="n"/>
      <c r="R54" s="51">
        <f>IF($B54="","",IF(IF(AND($B54&lt;&gt;"",COUNTIF(tblClientes[Nombre],$B54)&gt;1)," · NOMBRE DUPLICADO","")&amp;IF(AND($B54&lt;&gt;"",$C54="",$D54="")," · Sin teléfono ni email","")&amp;IF(AND(ISNUMBER($M54),$M54&gt;0)," · Tiene saldo por cobrar","")="","OK",MID(IF(AND($B54&lt;&gt;"",COUNTIF(tblClientes[Nombre],$B54)&gt;1)," · NOMBRE DUPLICADO","")&amp;IF(AND($B54&lt;&gt;"",$C54="",$D54="")," · Sin teléfono ni email","")&amp;IF(AND(ISNUMBER($M54),$M54&gt;0)," · Tiene saldo por cobrar",""),4,900)))</f>
        <v/>
      </c>
    </row>
    <row r="55">
      <c r="A55" s="51">
        <f>IF($B55="","","CLI-"&amp;TEXT(ROW()-6,"0000"))</f>
        <v/>
      </c>
      <c r="B55" s="33" t="n"/>
      <c r="C55" s="33" t="n"/>
      <c r="D55" s="33" t="n"/>
      <c r="E55" s="33" t="n"/>
      <c r="F55" s="33" t="n"/>
      <c r="G55" s="53">
        <f>IF($B55="","",IF(COUNTIFS(tblVentas[Cliente],$B55)=0,"",SUMPRODUCT(MIN((tblVentas[Cliente]=$B55)*tblVentas[Fecha]+(tblVentas[Cliente]&lt;&gt;$B55)*99999))))</f>
        <v/>
      </c>
      <c r="H55" s="53">
        <f>IF($B55="","",IF(COUNTIFS(tblVentas[Cliente],$B55)=0,"",SUMPRODUCT(MAX((tblVentas[Cliente]=$B55)*tblVentas[Fecha]))))</f>
        <v/>
      </c>
      <c r="I55" s="39">
        <f>IF($B55="","",COUNTIFS(tblVentas[Cliente],$B55))</f>
        <v/>
      </c>
      <c r="J55" s="37">
        <f>IF($B55="","",SUMIFS(tblVentas[Venta neta],tblVentas[Cliente],$B55))</f>
        <v/>
      </c>
      <c r="K55" s="37">
        <f>IF($B55="","",SUMIFS(tblVentas[Utilidad bruta],tblVentas[Cliente],$B55))</f>
        <v/>
      </c>
      <c r="L55" s="37">
        <f>IF(OR($B55="",$I55=0),"",$J55/$I55)</f>
        <v/>
      </c>
      <c r="M55" s="37">
        <f>IF($B55="","",SUMIFS(tblVentas[Saldo por cobrar],tblVentas[Cliente],$B55))</f>
        <v/>
      </c>
      <c r="N55" s="39">
        <f>IF(OR($B55="",NOT(ISNUMBER($H55))),"",TODAY()-$H55)</f>
        <v/>
      </c>
      <c r="O55" s="51">
        <f>IF($B55="","",IF($I55=0,"SIN COMPRAS",IF($N55&lt;=30,"ACTIVO",IF($N55&lt;=60,"EN SEGUIMIENTO",IF($N55&lt;=120,"EN RIESGO","INACTIVO")))))</f>
        <v/>
      </c>
      <c r="P55" s="33" t="n"/>
      <c r="Q55" s="33" t="n"/>
      <c r="R55" s="51">
        <f>IF($B55="","",IF(IF(AND($B55&lt;&gt;"",COUNTIF(tblClientes[Nombre],$B55)&gt;1)," · NOMBRE DUPLICADO","")&amp;IF(AND($B55&lt;&gt;"",$C55="",$D55="")," · Sin teléfono ni email","")&amp;IF(AND(ISNUMBER($M55),$M55&gt;0)," · Tiene saldo por cobrar","")="","OK",MID(IF(AND($B55&lt;&gt;"",COUNTIF(tblClientes[Nombre],$B55)&gt;1)," · NOMBRE DUPLICADO","")&amp;IF(AND($B55&lt;&gt;"",$C55="",$D55="")," · Sin teléfono ni email","")&amp;IF(AND(ISNUMBER($M55),$M55&gt;0)," · Tiene saldo por cobrar",""),4,900)))</f>
        <v/>
      </c>
    </row>
    <row r="56">
      <c r="A56" s="51">
        <f>IF($B56="","","CLI-"&amp;TEXT(ROW()-6,"0000"))</f>
        <v/>
      </c>
      <c r="B56" s="33" t="n"/>
      <c r="C56" s="33" t="n"/>
      <c r="D56" s="33" t="n"/>
      <c r="E56" s="33" t="n"/>
      <c r="F56" s="33" t="n"/>
      <c r="G56" s="53">
        <f>IF($B56="","",IF(COUNTIFS(tblVentas[Cliente],$B56)=0,"",SUMPRODUCT(MIN((tblVentas[Cliente]=$B56)*tblVentas[Fecha]+(tblVentas[Cliente]&lt;&gt;$B56)*99999))))</f>
        <v/>
      </c>
      <c r="H56" s="53">
        <f>IF($B56="","",IF(COUNTIFS(tblVentas[Cliente],$B56)=0,"",SUMPRODUCT(MAX((tblVentas[Cliente]=$B56)*tblVentas[Fecha]))))</f>
        <v/>
      </c>
      <c r="I56" s="39">
        <f>IF($B56="","",COUNTIFS(tblVentas[Cliente],$B56))</f>
        <v/>
      </c>
      <c r="J56" s="37">
        <f>IF($B56="","",SUMIFS(tblVentas[Venta neta],tblVentas[Cliente],$B56))</f>
        <v/>
      </c>
      <c r="K56" s="37">
        <f>IF($B56="","",SUMIFS(tblVentas[Utilidad bruta],tblVentas[Cliente],$B56))</f>
        <v/>
      </c>
      <c r="L56" s="37">
        <f>IF(OR($B56="",$I56=0),"",$J56/$I56)</f>
        <v/>
      </c>
      <c r="M56" s="37">
        <f>IF($B56="","",SUMIFS(tblVentas[Saldo por cobrar],tblVentas[Cliente],$B56))</f>
        <v/>
      </c>
      <c r="N56" s="39">
        <f>IF(OR($B56="",NOT(ISNUMBER($H56))),"",TODAY()-$H56)</f>
        <v/>
      </c>
      <c r="O56" s="51">
        <f>IF($B56="","",IF($I56=0,"SIN COMPRAS",IF($N56&lt;=30,"ACTIVO",IF($N56&lt;=60,"EN SEGUIMIENTO",IF($N56&lt;=120,"EN RIESGO","INACTIVO")))))</f>
        <v/>
      </c>
      <c r="P56" s="33" t="n"/>
      <c r="Q56" s="33" t="n"/>
      <c r="R56" s="51">
        <f>IF($B56="","",IF(IF(AND($B56&lt;&gt;"",COUNTIF(tblClientes[Nombre],$B56)&gt;1)," · NOMBRE DUPLICADO","")&amp;IF(AND($B56&lt;&gt;"",$C56="",$D56="")," · Sin teléfono ni email","")&amp;IF(AND(ISNUMBER($M56),$M56&gt;0)," · Tiene saldo por cobrar","")="","OK",MID(IF(AND($B56&lt;&gt;"",COUNTIF(tblClientes[Nombre],$B56)&gt;1)," · NOMBRE DUPLICADO","")&amp;IF(AND($B56&lt;&gt;"",$C56="",$D56="")," · Sin teléfono ni email","")&amp;IF(AND(ISNUMBER($M56),$M56&gt;0)," · Tiene saldo por cobrar",""),4,900)))</f>
        <v/>
      </c>
    </row>
    <row r="57">
      <c r="A57" s="51">
        <f>IF($B57="","","CLI-"&amp;TEXT(ROW()-6,"0000"))</f>
        <v/>
      </c>
      <c r="B57" s="33" t="n"/>
      <c r="C57" s="33" t="n"/>
      <c r="D57" s="33" t="n"/>
      <c r="E57" s="33" t="n"/>
      <c r="F57" s="33" t="n"/>
      <c r="G57" s="53">
        <f>IF($B57="","",IF(COUNTIFS(tblVentas[Cliente],$B57)=0,"",SUMPRODUCT(MIN((tblVentas[Cliente]=$B57)*tblVentas[Fecha]+(tblVentas[Cliente]&lt;&gt;$B57)*99999))))</f>
        <v/>
      </c>
      <c r="H57" s="53">
        <f>IF($B57="","",IF(COUNTIFS(tblVentas[Cliente],$B57)=0,"",SUMPRODUCT(MAX((tblVentas[Cliente]=$B57)*tblVentas[Fecha]))))</f>
        <v/>
      </c>
      <c r="I57" s="39">
        <f>IF($B57="","",COUNTIFS(tblVentas[Cliente],$B57))</f>
        <v/>
      </c>
      <c r="J57" s="37">
        <f>IF($B57="","",SUMIFS(tblVentas[Venta neta],tblVentas[Cliente],$B57))</f>
        <v/>
      </c>
      <c r="K57" s="37">
        <f>IF($B57="","",SUMIFS(tblVentas[Utilidad bruta],tblVentas[Cliente],$B57))</f>
        <v/>
      </c>
      <c r="L57" s="37">
        <f>IF(OR($B57="",$I57=0),"",$J57/$I57)</f>
        <v/>
      </c>
      <c r="M57" s="37">
        <f>IF($B57="","",SUMIFS(tblVentas[Saldo por cobrar],tblVentas[Cliente],$B57))</f>
        <v/>
      </c>
      <c r="N57" s="39">
        <f>IF(OR($B57="",NOT(ISNUMBER($H57))),"",TODAY()-$H57)</f>
        <v/>
      </c>
      <c r="O57" s="51">
        <f>IF($B57="","",IF($I57=0,"SIN COMPRAS",IF($N57&lt;=30,"ACTIVO",IF($N57&lt;=60,"EN SEGUIMIENTO",IF($N57&lt;=120,"EN RIESGO","INACTIVO")))))</f>
        <v/>
      </c>
      <c r="P57" s="33" t="n"/>
      <c r="Q57" s="33" t="n"/>
      <c r="R57" s="51">
        <f>IF($B57="","",IF(IF(AND($B57&lt;&gt;"",COUNTIF(tblClientes[Nombre],$B57)&gt;1)," · NOMBRE DUPLICADO","")&amp;IF(AND($B57&lt;&gt;"",$C57="",$D57="")," · Sin teléfono ni email","")&amp;IF(AND(ISNUMBER($M57),$M57&gt;0)," · Tiene saldo por cobrar","")="","OK",MID(IF(AND($B57&lt;&gt;"",COUNTIF(tblClientes[Nombre],$B57)&gt;1)," · NOMBRE DUPLICADO","")&amp;IF(AND($B57&lt;&gt;"",$C57="",$D57="")," · Sin teléfono ni email","")&amp;IF(AND(ISNUMBER($M57),$M57&gt;0)," · Tiene saldo por cobrar",""),4,900)))</f>
        <v/>
      </c>
    </row>
    <row r="58">
      <c r="A58" s="51">
        <f>IF($B58="","","CLI-"&amp;TEXT(ROW()-6,"0000"))</f>
        <v/>
      </c>
      <c r="B58" s="33" t="n"/>
      <c r="C58" s="33" t="n"/>
      <c r="D58" s="33" t="n"/>
      <c r="E58" s="33" t="n"/>
      <c r="F58" s="33" t="n"/>
      <c r="G58" s="53">
        <f>IF($B58="","",IF(COUNTIFS(tblVentas[Cliente],$B58)=0,"",SUMPRODUCT(MIN((tblVentas[Cliente]=$B58)*tblVentas[Fecha]+(tblVentas[Cliente]&lt;&gt;$B58)*99999))))</f>
        <v/>
      </c>
      <c r="H58" s="53">
        <f>IF($B58="","",IF(COUNTIFS(tblVentas[Cliente],$B58)=0,"",SUMPRODUCT(MAX((tblVentas[Cliente]=$B58)*tblVentas[Fecha]))))</f>
        <v/>
      </c>
      <c r="I58" s="39">
        <f>IF($B58="","",COUNTIFS(tblVentas[Cliente],$B58))</f>
        <v/>
      </c>
      <c r="J58" s="37">
        <f>IF($B58="","",SUMIFS(tblVentas[Venta neta],tblVentas[Cliente],$B58))</f>
        <v/>
      </c>
      <c r="K58" s="37">
        <f>IF($B58="","",SUMIFS(tblVentas[Utilidad bruta],tblVentas[Cliente],$B58))</f>
        <v/>
      </c>
      <c r="L58" s="37">
        <f>IF(OR($B58="",$I58=0),"",$J58/$I58)</f>
        <v/>
      </c>
      <c r="M58" s="37">
        <f>IF($B58="","",SUMIFS(tblVentas[Saldo por cobrar],tblVentas[Cliente],$B58))</f>
        <v/>
      </c>
      <c r="N58" s="39">
        <f>IF(OR($B58="",NOT(ISNUMBER($H58))),"",TODAY()-$H58)</f>
        <v/>
      </c>
      <c r="O58" s="51">
        <f>IF($B58="","",IF($I58=0,"SIN COMPRAS",IF($N58&lt;=30,"ACTIVO",IF($N58&lt;=60,"EN SEGUIMIENTO",IF($N58&lt;=120,"EN RIESGO","INACTIVO")))))</f>
        <v/>
      </c>
      <c r="P58" s="33" t="n"/>
      <c r="Q58" s="33" t="n"/>
      <c r="R58" s="51">
        <f>IF($B58="","",IF(IF(AND($B58&lt;&gt;"",COUNTIF(tblClientes[Nombre],$B58)&gt;1)," · NOMBRE DUPLICADO","")&amp;IF(AND($B58&lt;&gt;"",$C58="",$D58="")," · Sin teléfono ni email","")&amp;IF(AND(ISNUMBER($M58),$M58&gt;0)," · Tiene saldo por cobrar","")="","OK",MID(IF(AND($B58&lt;&gt;"",COUNTIF(tblClientes[Nombre],$B58)&gt;1)," · NOMBRE DUPLICADO","")&amp;IF(AND($B58&lt;&gt;"",$C58="",$D58="")," · Sin teléfono ni email","")&amp;IF(AND(ISNUMBER($M58),$M58&gt;0)," · Tiene saldo por cobrar",""),4,900)))</f>
        <v/>
      </c>
    </row>
    <row r="59">
      <c r="A59" s="51">
        <f>IF($B59="","","CLI-"&amp;TEXT(ROW()-6,"0000"))</f>
        <v/>
      </c>
      <c r="B59" s="33" t="n"/>
      <c r="C59" s="33" t="n"/>
      <c r="D59" s="33" t="n"/>
      <c r="E59" s="33" t="n"/>
      <c r="F59" s="33" t="n"/>
      <c r="G59" s="53">
        <f>IF($B59="","",IF(COUNTIFS(tblVentas[Cliente],$B59)=0,"",SUMPRODUCT(MIN((tblVentas[Cliente]=$B59)*tblVentas[Fecha]+(tblVentas[Cliente]&lt;&gt;$B59)*99999))))</f>
        <v/>
      </c>
      <c r="H59" s="53">
        <f>IF($B59="","",IF(COUNTIFS(tblVentas[Cliente],$B59)=0,"",SUMPRODUCT(MAX((tblVentas[Cliente]=$B59)*tblVentas[Fecha]))))</f>
        <v/>
      </c>
      <c r="I59" s="39">
        <f>IF($B59="","",COUNTIFS(tblVentas[Cliente],$B59))</f>
        <v/>
      </c>
      <c r="J59" s="37">
        <f>IF($B59="","",SUMIFS(tblVentas[Venta neta],tblVentas[Cliente],$B59))</f>
        <v/>
      </c>
      <c r="K59" s="37">
        <f>IF($B59="","",SUMIFS(tblVentas[Utilidad bruta],tblVentas[Cliente],$B59))</f>
        <v/>
      </c>
      <c r="L59" s="37">
        <f>IF(OR($B59="",$I59=0),"",$J59/$I59)</f>
        <v/>
      </c>
      <c r="M59" s="37">
        <f>IF($B59="","",SUMIFS(tblVentas[Saldo por cobrar],tblVentas[Cliente],$B59))</f>
        <v/>
      </c>
      <c r="N59" s="39">
        <f>IF(OR($B59="",NOT(ISNUMBER($H59))),"",TODAY()-$H59)</f>
        <v/>
      </c>
      <c r="O59" s="51">
        <f>IF($B59="","",IF($I59=0,"SIN COMPRAS",IF($N59&lt;=30,"ACTIVO",IF($N59&lt;=60,"EN SEGUIMIENTO",IF($N59&lt;=120,"EN RIESGO","INACTIVO")))))</f>
        <v/>
      </c>
      <c r="P59" s="33" t="n"/>
      <c r="Q59" s="33" t="n"/>
      <c r="R59" s="51">
        <f>IF($B59="","",IF(IF(AND($B59&lt;&gt;"",COUNTIF(tblClientes[Nombre],$B59)&gt;1)," · NOMBRE DUPLICADO","")&amp;IF(AND($B59&lt;&gt;"",$C59="",$D59="")," · Sin teléfono ni email","")&amp;IF(AND(ISNUMBER($M59),$M59&gt;0)," · Tiene saldo por cobrar","")="","OK",MID(IF(AND($B59&lt;&gt;"",COUNTIF(tblClientes[Nombre],$B59)&gt;1)," · NOMBRE DUPLICADO","")&amp;IF(AND($B59&lt;&gt;"",$C59="",$D59="")," · Sin teléfono ni email","")&amp;IF(AND(ISNUMBER($M59),$M59&gt;0)," · Tiene saldo por cobrar",""),4,900)))</f>
        <v/>
      </c>
    </row>
    <row r="60">
      <c r="A60" s="51">
        <f>IF($B60="","","CLI-"&amp;TEXT(ROW()-6,"0000"))</f>
        <v/>
      </c>
      <c r="B60" s="33" t="n"/>
      <c r="C60" s="33" t="n"/>
      <c r="D60" s="33" t="n"/>
      <c r="E60" s="33" t="n"/>
      <c r="F60" s="33" t="n"/>
      <c r="G60" s="53">
        <f>IF($B60="","",IF(COUNTIFS(tblVentas[Cliente],$B60)=0,"",SUMPRODUCT(MIN((tblVentas[Cliente]=$B60)*tblVentas[Fecha]+(tblVentas[Cliente]&lt;&gt;$B60)*99999))))</f>
        <v/>
      </c>
      <c r="H60" s="53">
        <f>IF($B60="","",IF(COUNTIFS(tblVentas[Cliente],$B60)=0,"",SUMPRODUCT(MAX((tblVentas[Cliente]=$B60)*tblVentas[Fecha]))))</f>
        <v/>
      </c>
      <c r="I60" s="39">
        <f>IF($B60="","",COUNTIFS(tblVentas[Cliente],$B60))</f>
        <v/>
      </c>
      <c r="J60" s="37">
        <f>IF($B60="","",SUMIFS(tblVentas[Venta neta],tblVentas[Cliente],$B60))</f>
        <v/>
      </c>
      <c r="K60" s="37">
        <f>IF($B60="","",SUMIFS(tblVentas[Utilidad bruta],tblVentas[Cliente],$B60))</f>
        <v/>
      </c>
      <c r="L60" s="37">
        <f>IF(OR($B60="",$I60=0),"",$J60/$I60)</f>
        <v/>
      </c>
      <c r="M60" s="37">
        <f>IF($B60="","",SUMIFS(tblVentas[Saldo por cobrar],tblVentas[Cliente],$B60))</f>
        <v/>
      </c>
      <c r="N60" s="39">
        <f>IF(OR($B60="",NOT(ISNUMBER($H60))),"",TODAY()-$H60)</f>
        <v/>
      </c>
      <c r="O60" s="51">
        <f>IF($B60="","",IF($I60=0,"SIN COMPRAS",IF($N60&lt;=30,"ACTIVO",IF($N60&lt;=60,"EN SEGUIMIENTO",IF($N60&lt;=120,"EN RIESGO","INACTIVO")))))</f>
        <v/>
      </c>
      <c r="P60" s="33" t="n"/>
      <c r="Q60" s="33" t="n"/>
      <c r="R60" s="51">
        <f>IF($B60="","",IF(IF(AND($B60&lt;&gt;"",COUNTIF(tblClientes[Nombre],$B60)&gt;1)," · NOMBRE DUPLICADO","")&amp;IF(AND($B60&lt;&gt;"",$C60="",$D60="")," · Sin teléfono ni email","")&amp;IF(AND(ISNUMBER($M60),$M60&gt;0)," · Tiene saldo por cobrar","")="","OK",MID(IF(AND($B60&lt;&gt;"",COUNTIF(tblClientes[Nombre],$B60)&gt;1)," · NOMBRE DUPLICADO","")&amp;IF(AND($B60&lt;&gt;"",$C60="",$D60="")," · Sin teléfono ni email","")&amp;IF(AND(ISNUMBER($M60),$M60&gt;0)," · Tiene saldo por cobrar",""),4,900)))</f>
        <v/>
      </c>
    </row>
    <row r="61">
      <c r="A61" s="51">
        <f>IF($B61="","","CLI-"&amp;TEXT(ROW()-6,"0000"))</f>
        <v/>
      </c>
      <c r="B61" s="33" t="n"/>
      <c r="C61" s="33" t="n"/>
      <c r="D61" s="33" t="n"/>
      <c r="E61" s="33" t="n"/>
      <c r="F61" s="33" t="n"/>
      <c r="G61" s="53">
        <f>IF($B61="","",IF(COUNTIFS(tblVentas[Cliente],$B61)=0,"",SUMPRODUCT(MIN((tblVentas[Cliente]=$B61)*tblVentas[Fecha]+(tblVentas[Cliente]&lt;&gt;$B61)*99999))))</f>
        <v/>
      </c>
      <c r="H61" s="53">
        <f>IF($B61="","",IF(COUNTIFS(tblVentas[Cliente],$B61)=0,"",SUMPRODUCT(MAX((tblVentas[Cliente]=$B61)*tblVentas[Fecha]))))</f>
        <v/>
      </c>
      <c r="I61" s="39">
        <f>IF($B61="","",COUNTIFS(tblVentas[Cliente],$B61))</f>
        <v/>
      </c>
      <c r="J61" s="37">
        <f>IF($B61="","",SUMIFS(tblVentas[Venta neta],tblVentas[Cliente],$B61))</f>
        <v/>
      </c>
      <c r="K61" s="37">
        <f>IF($B61="","",SUMIFS(tblVentas[Utilidad bruta],tblVentas[Cliente],$B61))</f>
        <v/>
      </c>
      <c r="L61" s="37">
        <f>IF(OR($B61="",$I61=0),"",$J61/$I61)</f>
        <v/>
      </c>
      <c r="M61" s="37">
        <f>IF($B61="","",SUMIFS(tblVentas[Saldo por cobrar],tblVentas[Cliente],$B61))</f>
        <v/>
      </c>
      <c r="N61" s="39">
        <f>IF(OR($B61="",NOT(ISNUMBER($H61))),"",TODAY()-$H61)</f>
        <v/>
      </c>
      <c r="O61" s="51">
        <f>IF($B61="","",IF($I61=0,"SIN COMPRAS",IF($N61&lt;=30,"ACTIVO",IF($N61&lt;=60,"EN SEGUIMIENTO",IF($N61&lt;=120,"EN RIESGO","INACTIVO")))))</f>
        <v/>
      </c>
      <c r="P61" s="33" t="n"/>
      <c r="Q61" s="33" t="n"/>
      <c r="R61" s="51">
        <f>IF($B61="","",IF(IF(AND($B61&lt;&gt;"",COUNTIF(tblClientes[Nombre],$B61)&gt;1)," · NOMBRE DUPLICADO","")&amp;IF(AND($B61&lt;&gt;"",$C61="",$D61="")," · Sin teléfono ni email","")&amp;IF(AND(ISNUMBER($M61),$M61&gt;0)," · Tiene saldo por cobrar","")="","OK",MID(IF(AND($B61&lt;&gt;"",COUNTIF(tblClientes[Nombre],$B61)&gt;1)," · NOMBRE DUPLICADO","")&amp;IF(AND($B61&lt;&gt;"",$C61="",$D61="")," · Sin teléfono ni email","")&amp;IF(AND(ISNUMBER($M61),$M61&gt;0)," · Tiene saldo por cobrar",""),4,900)))</f>
        <v/>
      </c>
    </row>
    <row r="62">
      <c r="A62" s="51">
        <f>IF($B62="","","CLI-"&amp;TEXT(ROW()-6,"0000"))</f>
        <v/>
      </c>
      <c r="B62" s="33" t="n"/>
      <c r="C62" s="33" t="n"/>
      <c r="D62" s="33" t="n"/>
      <c r="E62" s="33" t="n"/>
      <c r="F62" s="33" t="n"/>
      <c r="G62" s="53">
        <f>IF($B62="","",IF(COUNTIFS(tblVentas[Cliente],$B62)=0,"",SUMPRODUCT(MIN((tblVentas[Cliente]=$B62)*tblVentas[Fecha]+(tblVentas[Cliente]&lt;&gt;$B62)*99999))))</f>
        <v/>
      </c>
      <c r="H62" s="53">
        <f>IF($B62="","",IF(COUNTIFS(tblVentas[Cliente],$B62)=0,"",SUMPRODUCT(MAX((tblVentas[Cliente]=$B62)*tblVentas[Fecha]))))</f>
        <v/>
      </c>
      <c r="I62" s="39">
        <f>IF($B62="","",COUNTIFS(tblVentas[Cliente],$B62))</f>
        <v/>
      </c>
      <c r="J62" s="37">
        <f>IF($B62="","",SUMIFS(tblVentas[Venta neta],tblVentas[Cliente],$B62))</f>
        <v/>
      </c>
      <c r="K62" s="37">
        <f>IF($B62="","",SUMIFS(tblVentas[Utilidad bruta],tblVentas[Cliente],$B62))</f>
        <v/>
      </c>
      <c r="L62" s="37">
        <f>IF(OR($B62="",$I62=0),"",$J62/$I62)</f>
        <v/>
      </c>
      <c r="M62" s="37">
        <f>IF($B62="","",SUMIFS(tblVentas[Saldo por cobrar],tblVentas[Cliente],$B62))</f>
        <v/>
      </c>
      <c r="N62" s="39">
        <f>IF(OR($B62="",NOT(ISNUMBER($H62))),"",TODAY()-$H62)</f>
        <v/>
      </c>
      <c r="O62" s="51">
        <f>IF($B62="","",IF($I62=0,"SIN COMPRAS",IF($N62&lt;=30,"ACTIVO",IF($N62&lt;=60,"EN SEGUIMIENTO",IF($N62&lt;=120,"EN RIESGO","INACTIVO")))))</f>
        <v/>
      </c>
      <c r="P62" s="33" t="n"/>
      <c r="Q62" s="33" t="n"/>
      <c r="R62" s="51">
        <f>IF($B62="","",IF(IF(AND($B62&lt;&gt;"",COUNTIF(tblClientes[Nombre],$B62)&gt;1)," · NOMBRE DUPLICADO","")&amp;IF(AND($B62&lt;&gt;"",$C62="",$D62="")," · Sin teléfono ni email","")&amp;IF(AND(ISNUMBER($M62),$M62&gt;0)," · Tiene saldo por cobrar","")="","OK",MID(IF(AND($B62&lt;&gt;"",COUNTIF(tblClientes[Nombre],$B62)&gt;1)," · NOMBRE DUPLICADO","")&amp;IF(AND($B62&lt;&gt;"",$C62="",$D62="")," · Sin teléfono ni email","")&amp;IF(AND(ISNUMBER($M62),$M62&gt;0)," · Tiene saldo por cobrar",""),4,900)))</f>
        <v/>
      </c>
    </row>
    <row r="63">
      <c r="A63" s="51">
        <f>IF($B63="","","CLI-"&amp;TEXT(ROW()-6,"0000"))</f>
        <v/>
      </c>
      <c r="B63" s="33" t="n"/>
      <c r="C63" s="33" t="n"/>
      <c r="D63" s="33" t="n"/>
      <c r="E63" s="33" t="n"/>
      <c r="F63" s="33" t="n"/>
      <c r="G63" s="53">
        <f>IF($B63="","",IF(COUNTIFS(tblVentas[Cliente],$B63)=0,"",SUMPRODUCT(MIN((tblVentas[Cliente]=$B63)*tblVentas[Fecha]+(tblVentas[Cliente]&lt;&gt;$B63)*99999))))</f>
        <v/>
      </c>
      <c r="H63" s="53">
        <f>IF($B63="","",IF(COUNTIFS(tblVentas[Cliente],$B63)=0,"",SUMPRODUCT(MAX((tblVentas[Cliente]=$B63)*tblVentas[Fecha]))))</f>
        <v/>
      </c>
      <c r="I63" s="39">
        <f>IF($B63="","",COUNTIFS(tblVentas[Cliente],$B63))</f>
        <v/>
      </c>
      <c r="J63" s="37">
        <f>IF($B63="","",SUMIFS(tblVentas[Venta neta],tblVentas[Cliente],$B63))</f>
        <v/>
      </c>
      <c r="K63" s="37">
        <f>IF($B63="","",SUMIFS(tblVentas[Utilidad bruta],tblVentas[Cliente],$B63))</f>
        <v/>
      </c>
      <c r="L63" s="37">
        <f>IF(OR($B63="",$I63=0),"",$J63/$I63)</f>
        <v/>
      </c>
      <c r="M63" s="37">
        <f>IF($B63="","",SUMIFS(tblVentas[Saldo por cobrar],tblVentas[Cliente],$B63))</f>
        <v/>
      </c>
      <c r="N63" s="39">
        <f>IF(OR($B63="",NOT(ISNUMBER($H63))),"",TODAY()-$H63)</f>
        <v/>
      </c>
      <c r="O63" s="51">
        <f>IF($B63="","",IF($I63=0,"SIN COMPRAS",IF($N63&lt;=30,"ACTIVO",IF($N63&lt;=60,"EN SEGUIMIENTO",IF($N63&lt;=120,"EN RIESGO","INACTIVO")))))</f>
        <v/>
      </c>
      <c r="P63" s="33" t="n"/>
      <c r="Q63" s="33" t="n"/>
      <c r="R63" s="51">
        <f>IF($B63="","",IF(IF(AND($B63&lt;&gt;"",COUNTIF(tblClientes[Nombre],$B63)&gt;1)," · NOMBRE DUPLICADO","")&amp;IF(AND($B63&lt;&gt;"",$C63="",$D63="")," · Sin teléfono ni email","")&amp;IF(AND(ISNUMBER($M63),$M63&gt;0)," · Tiene saldo por cobrar","")="","OK",MID(IF(AND($B63&lt;&gt;"",COUNTIF(tblClientes[Nombre],$B63)&gt;1)," · NOMBRE DUPLICADO","")&amp;IF(AND($B63&lt;&gt;"",$C63="",$D63="")," · Sin teléfono ni email","")&amp;IF(AND(ISNUMBER($M63),$M63&gt;0)," · Tiene saldo por cobrar",""),4,900)))</f>
        <v/>
      </c>
    </row>
    <row r="64">
      <c r="A64" s="51">
        <f>IF($B64="","","CLI-"&amp;TEXT(ROW()-6,"0000"))</f>
        <v/>
      </c>
      <c r="B64" s="33" t="n"/>
      <c r="C64" s="33" t="n"/>
      <c r="D64" s="33" t="n"/>
      <c r="E64" s="33" t="n"/>
      <c r="F64" s="33" t="n"/>
      <c r="G64" s="53">
        <f>IF($B64="","",IF(COUNTIFS(tblVentas[Cliente],$B64)=0,"",SUMPRODUCT(MIN((tblVentas[Cliente]=$B64)*tblVentas[Fecha]+(tblVentas[Cliente]&lt;&gt;$B64)*99999))))</f>
        <v/>
      </c>
      <c r="H64" s="53">
        <f>IF($B64="","",IF(COUNTIFS(tblVentas[Cliente],$B64)=0,"",SUMPRODUCT(MAX((tblVentas[Cliente]=$B64)*tblVentas[Fecha]))))</f>
        <v/>
      </c>
      <c r="I64" s="39">
        <f>IF($B64="","",COUNTIFS(tblVentas[Cliente],$B64))</f>
        <v/>
      </c>
      <c r="J64" s="37">
        <f>IF($B64="","",SUMIFS(tblVentas[Venta neta],tblVentas[Cliente],$B64))</f>
        <v/>
      </c>
      <c r="K64" s="37">
        <f>IF($B64="","",SUMIFS(tblVentas[Utilidad bruta],tblVentas[Cliente],$B64))</f>
        <v/>
      </c>
      <c r="L64" s="37">
        <f>IF(OR($B64="",$I64=0),"",$J64/$I64)</f>
        <v/>
      </c>
      <c r="M64" s="37">
        <f>IF($B64="","",SUMIFS(tblVentas[Saldo por cobrar],tblVentas[Cliente],$B64))</f>
        <v/>
      </c>
      <c r="N64" s="39">
        <f>IF(OR($B64="",NOT(ISNUMBER($H64))),"",TODAY()-$H64)</f>
        <v/>
      </c>
      <c r="O64" s="51">
        <f>IF($B64="","",IF($I64=0,"SIN COMPRAS",IF($N64&lt;=30,"ACTIVO",IF($N64&lt;=60,"EN SEGUIMIENTO",IF($N64&lt;=120,"EN RIESGO","INACTIVO")))))</f>
        <v/>
      </c>
      <c r="P64" s="33" t="n"/>
      <c r="Q64" s="33" t="n"/>
      <c r="R64" s="51">
        <f>IF($B64="","",IF(IF(AND($B64&lt;&gt;"",COUNTIF(tblClientes[Nombre],$B64)&gt;1)," · NOMBRE DUPLICADO","")&amp;IF(AND($B64&lt;&gt;"",$C64="",$D64="")," · Sin teléfono ni email","")&amp;IF(AND(ISNUMBER($M64),$M64&gt;0)," · Tiene saldo por cobrar","")="","OK",MID(IF(AND($B64&lt;&gt;"",COUNTIF(tblClientes[Nombre],$B64)&gt;1)," · NOMBRE DUPLICADO","")&amp;IF(AND($B64&lt;&gt;"",$C64="",$D64="")," · Sin teléfono ni email","")&amp;IF(AND(ISNUMBER($M64),$M64&gt;0)," · Tiene saldo por cobrar",""),4,900)))</f>
        <v/>
      </c>
    </row>
    <row r="65">
      <c r="A65" s="51">
        <f>IF($B65="","","CLI-"&amp;TEXT(ROW()-6,"0000"))</f>
        <v/>
      </c>
      <c r="B65" s="33" t="n"/>
      <c r="C65" s="33" t="n"/>
      <c r="D65" s="33" t="n"/>
      <c r="E65" s="33" t="n"/>
      <c r="F65" s="33" t="n"/>
      <c r="G65" s="53">
        <f>IF($B65="","",IF(COUNTIFS(tblVentas[Cliente],$B65)=0,"",SUMPRODUCT(MIN((tblVentas[Cliente]=$B65)*tblVentas[Fecha]+(tblVentas[Cliente]&lt;&gt;$B65)*99999))))</f>
        <v/>
      </c>
      <c r="H65" s="53">
        <f>IF($B65="","",IF(COUNTIFS(tblVentas[Cliente],$B65)=0,"",SUMPRODUCT(MAX((tblVentas[Cliente]=$B65)*tblVentas[Fecha]))))</f>
        <v/>
      </c>
      <c r="I65" s="39">
        <f>IF($B65="","",COUNTIFS(tblVentas[Cliente],$B65))</f>
        <v/>
      </c>
      <c r="J65" s="37">
        <f>IF($B65="","",SUMIFS(tblVentas[Venta neta],tblVentas[Cliente],$B65))</f>
        <v/>
      </c>
      <c r="K65" s="37">
        <f>IF($B65="","",SUMIFS(tblVentas[Utilidad bruta],tblVentas[Cliente],$B65))</f>
        <v/>
      </c>
      <c r="L65" s="37">
        <f>IF(OR($B65="",$I65=0),"",$J65/$I65)</f>
        <v/>
      </c>
      <c r="M65" s="37">
        <f>IF($B65="","",SUMIFS(tblVentas[Saldo por cobrar],tblVentas[Cliente],$B65))</f>
        <v/>
      </c>
      <c r="N65" s="39">
        <f>IF(OR($B65="",NOT(ISNUMBER($H65))),"",TODAY()-$H65)</f>
        <v/>
      </c>
      <c r="O65" s="51">
        <f>IF($B65="","",IF($I65=0,"SIN COMPRAS",IF($N65&lt;=30,"ACTIVO",IF($N65&lt;=60,"EN SEGUIMIENTO",IF($N65&lt;=120,"EN RIESGO","INACTIVO")))))</f>
        <v/>
      </c>
      <c r="P65" s="33" t="n"/>
      <c r="Q65" s="33" t="n"/>
      <c r="R65" s="51">
        <f>IF($B65="","",IF(IF(AND($B65&lt;&gt;"",COUNTIF(tblClientes[Nombre],$B65)&gt;1)," · NOMBRE DUPLICADO","")&amp;IF(AND($B65&lt;&gt;"",$C65="",$D65="")," · Sin teléfono ni email","")&amp;IF(AND(ISNUMBER($M65),$M65&gt;0)," · Tiene saldo por cobrar","")="","OK",MID(IF(AND($B65&lt;&gt;"",COUNTIF(tblClientes[Nombre],$B65)&gt;1)," · NOMBRE DUPLICADO","")&amp;IF(AND($B65&lt;&gt;"",$C65="",$D65="")," · Sin teléfono ni email","")&amp;IF(AND(ISNUMBER($M65),$M65&gt;0)," · Tiene saldo por cobrar",""),4,900)))</f>
        <v/>
      </c>
    </row>
    <row r="66">
      <c r="A66" s="51">
        <f>IF($B66="","","CLI-"&amp;TEXT(ROW()-6,"0000"))</f>
        <v/>
      </c>
      <c r="B66" s="33" t="n"/>
      <c r="C66" s="33" t="n"/>
      <c r="D66" s="33" t="n"/>
      <c r="E66" s="33" t="n"/>
      <c r="F66" s="33" t="n"/>
      <c r="G66" s="53">
        <f>IF($B66="","",IF(COUNTIFS(tblVentas[Cliente],$B66)=0,"",SUMPRODUCT(MIN((tblVentas[Cliente]=$B66)*tblVentas[Fecha]+(tblVentas[Cliente]&lt;&gt;$B66)*99999))))</f>
        <v/>
      </c>
      <c r="H66" s="53">
        <f>IF($B66="","",IF(COUNTIFS(tblVentas[Cliente],$B66)=0,"",SUMPRODUCT(MAX((tblVentas[Cliente]=$B66)*tblVentas[Fecha]))))</f>
        <v/>
      </c>
      <c r="I66" s="39">
        <f>IF($B66="","",COUNTIFS(tblVentas[Cliente],$B66))</f>
        <v/>
      </c>
      <c r="J66" s="37">
        <f>IF($B66="","",SUMIFS(tblVentas[Venta neta],tblVentas[Cliente],$B66))</f>
        <v/>
      </c>
      <c r="K66" s="37">
        <f>IF($B66="","",SUMIFS(tblVentas[Utilidad bruta],tblVentas[Cliente],$B66))</f>
        <v/>
      </c>
      <c r="L66" s="37">
        <f>IF(OR($B66="",$I66=0),"",$J66/$I66)</f>
        <v/>
      </c>
      <c r="M66" s="37">
        <f>IF($B66="","",SUMIFS(tblVentas[Saldo por cobrar],tblVentas[Cliente],$B66))</f>
        <v/>
      </c>
      <c r="N66" s="39">
        <f>IF(OR($B66="",NOT(ISNUMBER($H66))),"",TODAY()-$H66)</f>
        <v/>
      </c>
      <c r="O66" s="51">
        <f>IF($B66="","",IF($I66=0,"SIN COMPRAS",IF($N66&lt;=30,"ACTIVO",IF($N66&lt;=60,"EN SEGUIMIENTO",IF($N66&lt;=120,"EN RIESGO","INACTIVO")))))</f>
        <v/>
      </c>
      <c r="P66" s="33" t="n"/>
      <c r="Q66" s="33" t="n"/>
      <c r="R66" s="51">
        <f>IF($B66="","",IF(IF(AND($B66&lt;&gt;"",COUNTIF(tblClientes[Nombre],$B66)&gt;1)," · NOMBRE DUPLICADO","")&amp;IF(AND($B66&lt;&gt;"",$C66="",$D66="")," · Sin teléfono ni email","")&amp;IF(AND(ISNUMBER($M66),$M66&gt;0)," · Tiene saldo por cobrar","")="","OK",MID(IF(AND($B66&lt;&gt;"",COUNTIF(tblClientes[Nombre],$B66)&gt;1)," · NOMBRE DUPLICADO","")&amp;IF(AND($B66&lt;&gt;"",$C66="",$D66="")," · Sin teléfono ni email","")&amp;IF(AND(ISNUMBER($M66),$M66&gt;0)," · Tiene saldo por cobrar",""),4,900)))</f>
        <v/>
      </c>
    </row>
    <row r="67">
      <c r="A67" s="51">
        <f>IF($B67="","","CLI-"&amp;TEXT(ROW()-6,"0000"))</f>
        <v/>
      </c>
      <c r="B67" s="33" t="n"/>
      <c r="C67" s="33" t="n"/>
      <c r="D67" s="33" t="n"/>
      <c r="E67" s="33" t="n"/>
      <c r="F67" s="33" t="n"/>
      <c r="G67" s="53">
        <f>IF($B67="","",IF(COUNTIFS(tblVentas[Cliente],$B67)=0,"",SUMPRODUCT(MIN((tblVentas[Cliente]=$B67)*tblVentas[Fecha]+(tblVentas[Cliente]&lt;&gt;$B67)*99999))))</f>
        <v/>
      </c>
      <c r="H67" s="53">
        <f>IF($B67="","",IF(COUNTIFS(tblVentas[Cliente],$B67)=0,"",SUMPRODUCT(MAX((tblVentas[Cliente]=$B67)*tblVentas[Fecha]))))</f>
        <v/>
      </c>
      <c r="I67" s="39">
        <f>IF($B67="","",COUNTIFS(tblVentas[Cliente],$B67))</f>
        <v/>
      </c>
      <c r="J67" s="37">
        <f>IF($B67="","",SUMIFS(tblVentas[Venta neta],tblVentas[Cliente],$B67))</f>
        <v/>
      </c>
      <c r="K67" s="37">
        <f>IF($B67="","",SUMIFS(tblVentas[Utilidad bruta],tblVentas[Cliente],$B67))</f>
        <v/>
      </c>
      <c r="L67" s="37">
        <f>IF(OR($B67="",$I67=0),"",$J67/$I67)</f>
        <v/>
      </c>
      <c r="M67" s="37">
        <f>IF($B67="","",SUMIFS(tblVentas[Saldo por cobrar],tblVentas[Cliente],$B67))</f>
        <v/>
      </c>
      <c r="N67" s="39">
        <f>IF(OR($B67="",NOT(ISNUMBER($H67))),"",TODAY()-$H67)</f>
        <v/>
      </c>
      <c r="O67" s="51">
        <f>IF($B67="","",IF($I67=0,"SIN COMPRAS",IF($N67&lt;=30,"ACTIVO",IF($N67&lt;=60,"EN SEGUIMIENTO",IF($N67&lt;=120,"EN RIESGO","INACTIVO")))))</f>
        <v/>
      </c>
      <c r="P67" s="33" t="n"/>
      <c r="Q67" s="33" t="n"/>
      <c r="R67" s="51">
        <f>IF($B67="","",IF(IF(AND($B67&lt;&gt;"",COUNTIF(tblClientes[Nombre],$B67)&gt;1)," · NOMBRE DUPLICADO","")&amp;IF(AND($B67&lt;&gt;"",$C67="",$D67="")," · Sin teléfono ni email","")&amp;IF(AND(ISNUMBER($M67),$M67&gt;0)," · Tiene saldo por cobrar","")="","OK",MID(IF(AND($B67&lt;&gt;"",COUNTIF(tblClientes[Nombre],$B67)&gt;1)," · NOMBRE DUPLICADO","")&amp;IF(AND($B67&lt;&gt;"",$C67="",$D67="")," · Sin teléfono ni email","")&amp;IF(AND(ISNUMBER($M67),$M67&gt;0)," · Tiene saldo por cobrar",""),4,900)))</f>
        <v/>
      </c>
    </row>
    <row r="68">
      <c r="A68" s="51">
        <f>IF($B68="","","CLI-"&amp;TEXT(ROW()-6,"0000"))</f>
        <v/>
      </c>
      <c r="B68" s="33" t="n"/>
      <c r="C68" s="33" t="n"/>
      <c r="D68" s="33" t="n"/>
      <c r="E68" s="33" t="n"/>
      <c r="F68" s="33" t="n"/>
      <c r="G68" s="53">
        <f>IF($B68="","",IF(COUNTIFS(tblVentas[Cliente],$B68)=0,"",SUMPRODUCT(MIN((tblVentas[Cliente]=$B68)*tblVentas[Fecha]+(tblVentas[Cliente]&lt;&gt;$B68)*99999))))</f>
        <v/>
      </c>
      <c r="H68" s="53">
        <f>IF($B68="","",IF(COUNTIFS(tblVentas[Cliente],$B68)=0,"",SUMPRODUCT(MAX((tblVentas[Cliente]=$B68)*tblVentas[Fecha]))))</f>
        <v/>
      </c>
      <c r="I68" s="39">
        <f>IF($B68="","",COUNTIFS(tblVentas[Cliente],$B68))</f>
        <v/>
      </c>
      <c r="J68" s="37">
        <f>IF($B68="","",SUMIFS(tblVentas[Venta neta],tblVentas[Cliente],$B68))</f>
        <v/>
      </c>
      <c r="K68" s="37">
        <f>IF($B68="","",SUMIFS(tblVentas[Utilidad bruta],tblVentas[Cliente],$B68))</f>
        <v/>
      </c>
      <c r="L68" s="37">
        <f>IF(OR($B68="",$I68=0),"",$J68/$I68)</f>
        <v/>
      </c>
      <c r="M68" s="37">
        <f>IF($B68="","",SUMIFS(tblVentas[Saldo por cobrar],tblVentas[Cliente],$B68))</f>
        <v/>
      </c>
      <c r="N68" s="39">
        <f>IF(OR($B68="",NOT(ISNUMBER($H68))),"",TODAY()-$H68)</f>
        <v/>
      </c>
      <c r="O68" s="51">
        <f>IF($B68="","",IF($I68=0,"SIN COMPRAS",IF($N68&lt;=30,"ACTIVO",IF($N68&lt;=60,"EN SEGUIMIENTO",IF($N68&lt;=120,"EN RIESGO","INACTIVO")))))</f>
        <v/>
      </c>
      <c r="P68" s="33" t="n"/>
      <c r="Q68" s="33" t="n"/>
      <c r="R68" s="51">
        <f>IF($B68="","",IF(IF(AND($B68&lt;&gt;"",COUNTIF(tblClientes[Nombre],$B68)&gt;1)," · NOMBRE DUPLICADO","")&amp;IF(AND($B68&lt;&gt;"",$C68="",$D68="")," · Sin teléfono ni email","")&amp;IF(AND(ISNUMBER($M68),$M68&gt;0)," · Tiene saldo por cobrar","")="","OK",MID(IF(AND($B68&lt;&gt;"",COUNTIF(tblClientes[Nombre],$B68)&gt;1)," · NOMBRE DUPLICADO","")&amp;IF(AND($B68&lt;&gt;"",$C68="",$D68="")," · Sin teléfono ni email","")&amp;IF(AND(ISNUMBER($M68),$M68&gt;0)," · Tiene saldo por cobrar",""),4,900)))</f>
        <v/>
      </c>
    </row>
    <row r="69">
      <c r="A69" s="51">
        <f>IF($B69="","","CLI-"&amp;TEXT(ROW()-6,"0000"))</f>
        <v/>
      </c>
      <c r="B69" s="33" t="n"/>
      <c r="C69" s="33" t="n"/>
      <c r="D69" s="33" t="n"/>
      <c r="E69" s="33" t="n"/>
      <c r="F69" s="33" t="n"/>
      <c r="G69" s="53">
        <f>IF($B69="","",IF(COUNTIFS(tblVentas[Cliente],$B69)=0,"",SUMPRODUCT(MIN((tblVentas[Cliente]=$B69)*tblVentas[Fecha]+(tblVentas[Cliente]&lt;&gt;$B69)*99999))))</f>
        <v/>
      </c>
      <c r="H69" s="53">
        <f>IF($B69="","",IF(COUNTIFS(tblVentas[Cliente],$B69)=0,"",SUMPRODUCT(MAX((tblVentas[Cliente]=$B69)*tblVentas[Fecha]))))</f>
        <v/>
      </c>
      <c r="I69" s="39">
        <f>IF($B69="","",COUNTIFS(tblVentas[Cliente],$B69))</f>
        <v/>
      </c>
      <c r="J69" s="37">
        <f>IF($B69="","",SUMIFS(tblVentas[Venta neta],tblVentas[Cliente],$B69))</f>
        <v/>
      </c>
      <c r="K69" s="37">
        <f>IF($B69="","",SUMIFS(tblVentas[Utilidad bruta],tblVentas[Cliente],$B69))</f>
        <v/>
      </c>
      <c r="L69" s="37">
        <f>IF(OR($B69="",$I69=0),"",$J69/$I69)</f>
        <v/>
      </c>
      <c r="M69" s="37">
        <f>IF($B69="","",SUMIFS(tblVentas[Saldo por cobrar],tblVentas[Cliente],$B69))</f>
        <v/>
      </c>
      <c r="N69" s="39">
        <f>IF(OR($B69="",NOT(ISNUMBER($H69))),"",TODAY()-$H69)</f>
        <v/>
      </c>
      <c r="O69" s="51">
        <f>IF($B69="","",IF($I69=0,"SIN COMPRAS",IF($N69&lt;=30,"ACTIVO",IF($N69&lt;=60,"EN SEGUIMIENTO",IF($N69&lt;=120,"EN RIESGO","INACTIVO")))))</f>
        <v/>
      </c>
      <c r="P69" s="33" t="n"/>
      <c r="Q69" s="33" t="n"/>
      <c r="R69" s="51">
        <f>IF($B69="","",IF(IF(AND($B69&lt;&gt;"",COUNTIF(tblClientes[Nombre],$B69)&gt;1)," · NOMBRE DUPLICADO","")&amp;IF(AND($B69&lt;&gt;"",$C69="",$D69="")," · Sin teléfono ni email","")&amp;IF(AND(ISNUMBER($M69),$M69&gt;0)," · Tiene saldo por cobrar","")="","OK",MID(IF(AND($B69&lt;&gt;"",COUNTIF(tblClientes[Nombre],$B69)&gt;1)," · NOMBRE DUPLICADO","")&amp;IF(AND($B69&lt;&gt;"",$C69="",$D69="")," · Sin teléfono ni email","")&amp;IF(AND(ISNUMBER($M69),$M69&gt;0)," · Tiene saldo por cobrar",""),4,900)))</f>
        <v/>
      </c>
    </row>
    <row r="70">
      <c r="A70" s="51">
        <f>IF($B70="","","CLI-"&amp;TEXT(ROW()-6,"0000"))</f>
        <v/>
      </c>
      <c r="B70" s="33" t="n"/>
      <c r="C70" s="33" t="n"/>
      <c r="D70" s="33" t="n"/>
      <c r="E70" s="33" t="n"/>
      <c r="F70" s="33" t="n"/>
      <c r="G70" s="53">
        <f>IF($B70="","",IF(COUNTIFS(tblVentas[Cliente],$B70)=0,"",SUMPRODUCT(MIN((tblVentas[Cliente]=$B70)*tblVentas[Fecha]+(tblVentas[Cliente]&lt;&gt;$B70)*99999))))</f>
        <v/>
      </c>
      <c r="H70" s="53">
        <f>IF($B70="","",IF(COUNTIFS(tblVentas[Cliente],$B70)=0,"",SUMPRODUCT(MAX((tblVentas[Cliente]=$B70)*tblVentas[Fecha]))))</f>
        <v/>
      </c>
      <c r="I70" s="39">
        <f>IF($B70="","",COUNTIFS(tblVentas[Cliente],$B70))</f>
        <v/>
      </c>
      <c r="J70" s="37">
        <f>IF($B70="","",SUMIFS(tblVentas[Venta neta],tblVentas[Cliente],$B70))</f>
        <v/>
      </c>
      <c r="K70" s="37">
        <f>IF($B70="","",SUMIFS(tblVentas[Utilidad bruta],tblVentas[Cliente],$B70))</f>
        <v/>
      </c>
      <c r="L70" s="37">
        <f>IF(OR($B70="",$I70=0),"",$J70/$I70)</f>
        <v/>
      </c>
      <c r="M70" s="37">
        <f>IF($B70="","",SUMIFS(tblVentas[Saldo por cobrar],tblVentas[Cliente],$B70))</f>
        <v/>
      </c>
      <c r="N70" s="39">
        <f>IF(OR($B70="",NOT(ISNUMBER($H70))),"",TODAY()-$H70)</f>
        <v/>
      </c>
      <c r="O70" s="51">
        <f>IF($B70="","",IF($I70=0,"SIN COMPRAS",IF($N70&lt;=30,"ACTIVO",IF($N70&lt;=60,"EN SEGUIMIENTO",IF($N70&lt;=120,"EN RIESGO","INACTIVO")))))</f>
        <v/>
      </c>
      <c r="P70" s="33" t="n"/>
      <c r="Q70" s="33" t="n"/>
      <c r="R70" s="51">
        <f>IF($B70="","",IF(IF(AND($B70&lt;&gt;"",COUNTIF(tblClientes[Nombre],$B70)&gt;1)," · NOMBRE DUPLICADO","")&amp;IF(AND($B70&lt;&gt;"",$C70="",$D70="")," · Sin teléfono ni email","")&amp;IF(AND(ISNUMBER($M70),$M70&gt;0)," · Tiene saldo por cobrar","")="","OK",MID(IF(AND($B70&lt;&gt;"",COUNTIF(tblClientes[Nombre],$B70)&gt;1)," · NOMBRE DUPLICADO","")&amp;IF(AND($B70&lt;&gt;"",$C70="",$D70="")," · Sin teléfono ni email","")&amp;IF(AND(ISNUMBER($M70),$M70&gt;0)," · Tiene saldo por cobrar",""),4,900)))</f>
        <v/>
      </c>
    </row>
    <row r="71">
      <c r="A71" s="51">
        <f>IF($B71="","","CLI-"&amp;TEXT(ROW()-6,"0000"))</f>
        <v/>
      </c>
      <c r="B71" s="33" t="n"/>
      <c r="C71" s="33" t="n"/>
      <c r="D71" s="33" t="n"/>
      <c r="E71" s="33" t="n"/>
      <c r="F71" s="33" t="n"/>
      <c r="G71" s="53">
        <f>IF($B71="","",IF(COUNTIFS(tblVentas[Cliente],$B71)=0,"",SUMPRODUCT(MIN((tblVentas[Cliente]=$B71)*tblVentas[Fecha]+(tblVentas[Cliente]&lt;&gt;$B71)*99999))))</f>
        <v/>
      </c>
      <c r="H71" s="53">
        <f>IF($B71="","",IF(COUNTIFS(tblVentas[Cliente],$B71)=0,"",SUMPRODUCT(MAX((tblVentas[Cliente]=$B71)*tblVentas[Fecha]))))</f>
        <v/>
      </c>
      <c r="I71" s="39">
        <f>IF($B71="","",COUNTIFS(tblVentas[Cliente],$B71))</f>
        <v/>
      </c>
      <c r="J71" s="37">
        <f>IF($B71="","",SUMIFS(tblVentas[Venta neta],tblVentas[Cliente],$B71))</f>
        <v/>
      </c>
      <c r="K71" s="37">
        <f>IF($B71="","",SUMIFS(tblVentas[Utilidad bruta],tblVentas[Cliente],$B71))</f>
        <v/>
      </c>
      <c r="L71" s="37">
        <f>IF(OR($B71="",$I71=0),"",$J71/$I71)</f>
        <v/>
      </c>
      <c r="M71" s="37">
        <f>IF($B71="","",SUMIFS(tblVentas[Saldo por cobrar],tblVentas[Cliente],$B71))</f>
        <v/>
      </c>
      <c r="N71" s="39">
        <f>IF(OR($B71="",NOT(ISNUMBER($H71))),"",TODAY()-$H71)</f>
        <v/>
      </c>
      <c r="O71" s="51">
        <f>IF($B71="","",IF($I71=0,"SIN COMPRAS",IF($N71&lt;=30,"ACTIVO",IF($N71&lt;=60,"EN SEGUIMIENTO",IF($N71&lt;=120,"EN RIESGO","INACTIVO")))))</f>
        <v/>
      </c>
      <c r="P71" s="33" t="n"/>
      <c r="Q71" s="33" t="n"/>
      <c r="R71" s="51">
        <f>IF($B71="","",IF(IF(AND($B71&lt;&gt;"",COUNTIF(tblClientes[Nombre],$B71)&gt;1)," · NOMBRE DUPLICADO","")&amp;IF(AND($B71&lt;&gt;"",$C71="",$D71="")," · Sin teléfono ni email","")&amp;IF(AND(ISNUMBER($M71),$M71&gt;0)," · Tiene saldo por cobrar","")="","OK",MID(IF(AND($B71&lt;&gt;"",COUNTIF(tblClientes[Nombre],$B71)&gt;1)," · NOMBRE DUPLICADO","")&amp;IF(AND($B71&lt;&gt;"",$C71="",$D71="")," · Sin teléfono ni email","")&amp;IF(AND(ISNUMBER($M71),$M71&gt;0)," · Tiene saldo por cobrar",""),4,900)))</f>
        <v/>
      </c>
    </row>
    <row r="72">
      <c r="A72" s="51">
        <f>IF($B72="","","CLI-"&amp;TEXT(ROW()-6,"0000"))</f>
        <v/>
      </c>
      <c r="B72" s="33" t="n"/>
      <c r="C72" s="33" t="n"/>
      <c r="D72" s="33" t="n"/>
      <c r="E72" s="33" t="n"/>
      <c r="F72" s="33" t="n"/>
      <c r="G72" s="53">
        <f>IF($B72="","",IF(COUNTIFS(tblVentas[Cliente],$B72)=0,"",SUMPRODUCT(MIN((tblVentas[Cliente]=$B72)*tblVentas[Fecha]+(tblVentas[Cliente]&lt;&gt;$B72)*99999))))</f>
        <v/>
      </c>
      <c r="H72" s="53">
        <f>IF($B72="","",IF(COUNTIFS(tblVentas[Cliente],$B72)=0,"",SUMPRODUCT(MAX((tblVentas[Cliente]=$B72)*tblVentas[Fecha]))))</f>
        <v/>
      </c>
      <c r="I72" s="39">
        <f>IF($B72="","",COUNTIFS(tblVentas[Cliente],$B72))</f>
        <v/>
      </c>
      <c r="J72" s="37">
        <f>IF($B72="","",SUMIFS(tblVentas[Venta neta],tblVentas[Cliente],$B72))</f>
        <v/>
      </c>
      <c r="K72" s="37">
        <f>IF($B72="","",SUMIFS(tblVentas[Utilidad bruta],tblVentas[Cliente],$B72))</f>
        <v/>
      </c>
      <c r="L72" s="37">
        <f>IF(OR($B72="",$I72=0),"",$J72/$I72)</f>
        <v/>
      </c>
      <c r="M72" s="37">
        <f>IF($B72="","",SUMIFS(tblVentas[Saldo por cobrar],tblVentas[Cliente],$B72))</f>
        <v/>
      </c>
      <c r="N72" s="39">
        <f>IF(OR($B72="",NOT(ISNUMBER($H72))),"",TODAY()-$H72)</f>
        <v/>
      </c>
      <c r="O72" s="51">
        <f>IF($B72="","",IF($I72=0,"SIN COMPRAS",IF($N72&lt;=30,"ACTIVO",IF($N72&lt;=60,"EN SEGUIMIENTO",IF($N72&lt;=120,"EN RIESGO","INACTIVO")))))</f>
        <v/>
      </c>
      <c r="P72" s="33" t="n"/>
      <c r="Q72" s="33" t="n"/>
      <c r="R72" s="51">
        <f>IF($B72="","",IF(IF(AND($B72&lt;&gt;"",COUNTIF(tblClientes[Nombre],$B72)&gt;1)," · NOMBRE DUPLICADO","")&amp;IF(AND($B72&lt;&gt;"",$C72="",$D72="")," · Sin teléfono ni email","")&amp;IF(AND(ISNUMBER($M72),$M72&gt;0)," · Tiene saldo por cobrar","")="","OK",MID(IF(AND($B72&lt;&gt;"",COUNTIF(tblClientes[Nombre],$B72)&gt;1)," · NOMBRE DUPLICADO","")&amp;IF(AND($B72&lt;&gt;"",$C72="",$D72="")," · Sin teléfono ni email","")&amp;IF(AND(ISNUMBER($M72),$M72&gt;0)," · Tiene saldo por cobrar",""),4,900)))</f>
        <v/>
      </c>
    </row>
    <row r="73">
      <c r="A73" s="51">
        <f>IF($B73="","","CLI-"&amp;TEXT(ROW()-6,"0000"))</f>
        <v/>
      </c>
      <c r="B73" s="33" t="n"/>
      <c r="C73" s="33" t="n"/>
      <c r="D73" s="33" t="n"/>
      <c r="E73" s="33" t="n"/>
      <c r="F73" s="33" t="n"/>
      <c r="G73" s="53">
        <f>IF($B73="","",IF(COUNTIFS(tblVentas[Cliente],$B73)=0,"",SUMPRODUCT(MIN((tblVentas[Cliente]=$B73)*tblVentas[Fecha]+(tblVentas[Cliente]&lt;&gt;$B73)*99999))))</f>
        <v/>
      </c>
      <c r="H73" s="53">
        <f>IF($B73="","",IF(COUNTIFS(tblVentas[Cliente],$B73)=0,"",SUMPRODUCT(MAX((tblVentas[Cliente]=$B73)*tblVentas[Fecha]))))</f>
        <v/>
      </c>
      <c r="I73" s="39">
        <f>IF($B73="","",COUNTIFS(tblVentas[Cliente],$B73))</f>
        <v/>
      </c>
      <c r="J73" s="37">
        <f>IF($B73="","",SUMIFS(tblVentas[Venta neta],tblVentas[Cliente],$B73))</f>
        <v/>
      </c>
      <c r="K73" s="37">
        <f>IF($B73="","",SUMIFS(tblVentas[Utilidad bruta],tblVentas[Cliente],$B73))</f>
        <v/>
      </c>
      <c r="L73" s="37">
        <f>IF(OR($B73="",$I73=0),"",$J73/$I73)</f>
        <v/>
      </c>
      <c r="M73" s="37">
        <f>IF($B73="","",SUMIFS(tblVentas[Saldo por cobrar],tblVentas[Cliente],$B73))</f>
        <v/>
      </c>
      <c r="N73" s="39">
        <f>IF(OR($B73="",NOT(ISNUMBER($H73))),"",TODAY()-$H73)</f>
        <v/>
      </c>
      <c r="O73" s="51">
        <f>IF($B73="","",IF($I73=0,"SIN COMPRAS",IF($N73&lt;=30,"ACTIVO",IF($N73&lt;=60,"EN SEGUIMIENTO",IF($N73&lt;=120,"EN RIESGO","INACTIVO")))))</f>
        <v/>
      </c>
      <c r="P73" s="33" t="n"/>
      <c r="Q73" s="33" t="n"/>
      <c r="R73" s="51">
        <f>IF($B73="","",IF(IF(AND($B73&lt;&gt;"",COUNTIF(tblClientes[Nombre],$B73)&gt;1)," · NOMBRE DUPLICADO","")&amp;IF(AND($B73&lt;&gt;"",$C73="",$D73="")," · Sin teléfono ni email","")&amp;IF(AND(ISNUMBER($M73),$M73&gt;0)," · Tiene saldo por cobrar","")="","OK",MID(IF(AND($B73&lt;&gt;"",COUNTIF(tblClientes[Nombre],$B73)&gt;1)," · NOMBRE DUPLICADO","")&amp;IF(AND($B73&lt;&gt;"",$C73="",$D73="")," · Sin teléfono ni email","")&amp;IF(AND(ISNUMBER($M73),$M73&gt;0)," · Tiene saldo por cobrar",""),4,900)))</f>
        <v/>
      </c>
    </row>
    <row r="74">
      <c r="A74" s="51">
        <f>IF($B74="","","CLI-"&amp;TEXT(ROW()-6,"0000"))</f>
        <v/>
      </c>
      <c r="B74" s="33" t="n"/>
      <c r="C74" s="33" t="n"/>
      <c r="D74" s="33" t="n"/>
      <c r="E74" s="33" t="n"/>
      <c r="F74" s="33" t="n"/>
      <c r="G74" s="53">
        <f>IF($B74="","",IF(COUNTIFS(tblVentas[Cliente],$B74)=0,"",SUMPRODUCT(MIN((tblVentas[Cliente]=$B74)*tblVentas[Fecha]+(tblVentas[Cliente]&lt;&gt;$B74)*99999))))</f>
        <v/>
      </c>
      <c r="H74" s="53">
        <f>IF($B74="","",IF(COUNTIFS(tblVentas[Cliente],$B74)=0,"",SUMPRODUCT(MAX((tblVentas[Cliente]=$B74)*tblVentas[Fecha]))))</f>
        <v/>
      </c>
      <c r="I74" s="39">
        <f>IF($B74="","",COUNTIFS(tblVentas[Cliente],$B74))</f>
        <v/>
      </c>
      <c r="J74" s="37">
        <f>IF($B74="","",SUMIFS(tblVentas[Venta neta],tblVentas[Cliente],$B74))</f>
        <v/>
      </c>
      <c r="K74" s="37">
        <f>IF($B74="","",SUMIFS(tblVentas[Utilidad bruta],tblVentas[Cliente],$B74))</f>
        <v/>
      </c>
      <c r="L74" s="37">
        <f>IF(OR($B74="",$I74=0),"",$J74/$I74)</f>
        <v/>
      </c>
      <c r="M74" s="37">
        <f>IF($B74="","",SUMIFS(tblVentas[Saldo por cobrar],tblVentas[Cliente],$B74))</f>
        <v/>
      </c>
      <c r="N74" s="39">
        <f>IF(OR($B74="",NOT(ISNUMBER($H74))),"",TODAY()-$H74)</f>
        <v/>
      </c>
      <c r="O74" s="51">
        <f>IF($B74="","",IF($I74=0,"SIN COMPRAS",IF($N74&lt;=30,"ACTIVO",IF($N74&lt;=60,"EN SEGUIMIENTO",IF($N74&lt;=120,"EN RIESGO","INACTIVO")))))</f>
        <v/>
      </c>
      <c r="P74" s="33" t="n"/>
      <c r="Q74" s="33" t="n"/>
      <c r="R74" s="51">
        <f>IF($B74="","",IF(IF(AND($B74&lt;&gt;"",COUNTIF(tblClientes[Nombre],$B74)&gt;1)," · NOMBRE DUPLICADO","")&amp;IF(AND($B74&lt;&gt;"",$C74="",$D74="")," · Sin teléfono ni email","")&amp;IF(AND(ISNUMBER($M74),$M74&gt;0)," · Tiene saldo por cobrar","")="","OK",MID(IF(AND($B74&lt;&gt;"",COUNTIF(tblClientes[Nombre],$B74)&gt;1)," · NOMBRE DUPLICADO","")&amp;IF(AND($B74&lt;&gt;"",$C74="",$D74="")," · Sin teléfono ni email","")&amp;IF(AND(ISNUMBER($M74),$M74&gt;0)," · Tiene saldo por cobrar",""),4,900)))</f>
        <v/>
      </c>
    </row>
    <row r="75">
      <c r="A75" s="51">
        <f>IF($B75="","","CLI-"&amp;TEXT(ROW()-6,"0000"))</f>
        <v/>
      </c>
      <c r="B75" s="33" t="n"/>
      <c r="C75" s="33" t="n"/>
      <c r="D75" s="33" t="n"/>
      <c r="E75" s="33" t="n"/>
      <c r="F75" s="33" t="n"/>
      <c r="G75" s="53">
        <f>IF($B75="","",IF(COUNTIFS(tblVentas[Cliente],$B75)=0,"",SUMPRODUCT(MIN((tblVentas[Cliente]=$B75)*tblVentas[Fecha]+(tblVentas[Cliente]&lt;&gt;$B75)*99999))))</f>
        <v/>
      </c>
      <c r="H75" s="53">
        <f>IF($B75="","",IF(COUNTIFS(tblVentas[Cliente],$B75)=0,"",SUMPRODUCT(MAX((tblVentas[Cliente]=$B75)*tblVentas[Fecha]))))</f>
        <v/>
      </c>
      <c r="I75" s="39">
        <f>IF($B75="","",COUNTIFS(tblVentas[Cliente],$B75))</f>
        <v/>
      </c>
      <c r="J75" s="37">
        <f>IF($B75="","",SUMIFS(tblVentas[Venta neta],tblVentas[Cliente],$B75))</f>
        <v/>
      </c>
      <c r="K75" s="37">
        <f>IF($B75="","",SUMIFS(tblVentas[Utilidad bruta],tblVentas[Cliente],$B75))</f>
        <v/>
      </c>
      <c r="L75" s="37">
        <f>IF(OR($B75="",$I75=0),"",$J75/$I75)</f>
        <v/>
      </c>
      <c r="M75" s="37">
        <f>IF($B75="","",SUMIFS(tblVentas[Saldo por cobrar],tblVentas[Cliente],$B75))</f>
        <v/>
      </c>
      <c r="N75" s="39">
        <f>IF(OR($B75="",NOT(ISNUMBER($H75))),"",TODAY()-$H75)</f>
        <v/>
      </c>
      <c r="O75" s="51">
        <f>IF($B75="","",IF($I75=0,"SIN COMPRAS",IF($N75&lt;=30,"ACTIVO",IF($N75&lt;=60,"EN SEGUIMIENTO",IF($N75&lt;=120,"EN RIESGO","INACTIVO")))))</f>
        <v/>
      </c>
      <c r="P75" s="33" t="n"/>
      <c r="Q75" s="33" t="n"/>
      <c r="R75" s="51">
        <f>IF($B75="","",IF(IF(AND($B75&lt;&gt;"",COUNTIF(tblClientes[Nombre],$B75)&gt;1)," · NOMBRE DUPLICADO","")&amp;IF(AND($B75&lt;&gt;"",$C75="",$D75="")," · Sin teléfono ni email","")&amp;IF(AND(ISNUMBER($M75),$M75&gt;0)," · Tiene saldo por cobrar","")="","OK",MID(IF(AND($B75&lt;&gt;"",COUNTIF(tblClientes[Nombre],$B75)&gt;1)," · NOMBRE DUPLICADO","")&amp;IF(AND($B75&lt;&gt;"",$C75="",$D75="")," · Sin teléfono ni email","")&amp;IF(AND(ISNUMBER($M75),$M75&gt;0)," · Tiene saldo por cobrar",""),4,900)))</f>
        <v/>
      </c>
    </row>
    <row r="76">
      <c r="A76" s="51">
        <f>IF($B76="","","CLI-"&amp;TEXT(ROW()-6,"0000"))</f>
        <v/>
      </c>
      <c r="B76" s="33" t="n"/>
      <c r="C76" s="33" t="n"/>
      <c r="D76" s="33" t="n"/>
      <c r="E76" s="33" t="n"/>
      <c r="F76" s="33" t="n"/>
      <c r="G76" s="53">
        <f>IF($B76="","",IF(COUNTIFS(tblVentas[Cliente],$B76)=0,"",SUMPRODUCT(MIN((tblVentas[Cliente]=$B76)*tblVentas[Fecha]+(tblVentas[Cliente]&lt;&gt;$B76)*99999))))</f>
        <v/>
      </c>
      <c r="H76" s="53">
        <f>IF($B76="","",IF(COUNTIFS(tblVentas[Cliente],$B76)=0,"",SUMPRODUCT(MAX((tblVentas[Cliente]=$B76)*tblVentas[Fecha]))))</f>
        <v/>
      </c>
      <c r="I76" s="39">
        <f>IF($B76="","",COUNTIFS(tblVentas[Cliente],$B76))</f>
        <v/>
      </c>
      <c r="J76" s="37">
        <f>IF($B76="","",SUMIFS(tblVentas[Venta neta],tblVentas[Cliente],$B76))</f>
        <v/>
      </c>
      <c r="K76" s="37">
        <f>IF($B76="","",SUMIFS(tblVentas[Utilidad bruta],tblVentas[Cliente],$B76))</f>
        <v/>
      </c>
      <c r="L76" s="37">
        <f>IF(OR($B76="",$I76=0),"",$J76/$I76)</f>
        <v/>
      </c>
      <c r="M76" s="37">
        <f>IF($B76="","",SUMIFS(tblVentas[Saldo por cobrar],tblVentas[Cliente],$B76))</f>
        <v/>
      </c>
      <c r="N76" s="39">
        <f>IF(OR($B76="",NOT(ISNUMBER($H76))),"",TODAY()-$H76)</f>
        <v/>
      </c>
      <c r="O76" s="51">
        <f>IF($B76="","",IF($I76=0,"SIN COMPRAS",IF($N76&lt;=30,"ACTIVO",IF($N76&lt;=60,"EN SEGUIMIENTO",IF($N76&lt;=120,"EN RIESGO","INACTIVO")))))</f>
        <v/>
      </c>
      <c r="P76" s="33" t="n"/>
      <c r="Q76" s="33" t="n"/>
      <c r="R76" s="51">
        <f>IF($B76="","",IF(IF(AND($B76&lt;&gt;"",COUNTIF(tblClientes[Nombre],$B76)&gt;1)," · NOMBRE DUPLICADO","")&amp;IF(AND($B76&lt;&gt;"",$C76="",$D76="")," · Sin teléfono ni email","")&amp;IF(AND(ISNUMBER($M76),$M76&gt;0)," · Tiene saldo por cobrar","")="","OK",MID(IF(AND($B76&lt;&gt;"",COUNTIF(tblClientes[Nombre],$B76)&gt;1)," · NOMBRE DUPLICADO","")&amp;IF(AND($B76&lt;&gt;"",$C76="",$D76="")," · Sin teléfono ni email","")&amp;IF(AND(ISNUMBER($M76),$M76&gt;0)," · Tiene saldo por cobrar",""),4,900)))</f>
        <v/>
      </c>
    </row>
    <row r="77">
      <c r="A77" s="51">
        <f>IF($B77="","","CLI-"&amp;TEXT(ROW()-6,"0000"))</f>
        <v/>
      </c>
      <c r="B77" s="33" t="n"/>
      <c r="C77" s="33" t="n"/>
      <c r="D77" s="33" t="n"/>
      <c r="E77" s="33" t="n"/>
      <c r="F77" s="33" t="n"/>
      <c r="G77" s="53">
        <f>IF($B77="","",IF(COUNTIFS(tblVentas[Cliente],$B77)=0,"",SUMPRODUCT(MIN((tblVentas[Cliente]=$B77)*tblVentas[Fecha]+(tblVentas[Cliente]&lt;&gt;$B77)*99999))))</f>
        <v/>
      </c>
      <c r="H77" s="53">
        <f>IF($B77="","",IF(COUNTIFS(tblVentas[Cliente],$B77)=0,"",SUMPRODUCT(MAX((tblVentas[Cliente]=$B77)*tblVentas[Fecha]))))</f>
        <v/>
      </c>
      <c r="I77" s="39">
        <f>IF($B77="","",COUNTIFS(tblVentas[Cliente],$B77))</f>
        <v/>
      </c>
      <c r="J77" s="37">
        <f>IF($B77="","",SUMIFS(tblVentas[Venta neta],tblVentas[Cliente],$B77))</f>
        <v/>
      </c>
      <c r="K77" s="37">
        <f>IF($B77="","",SUMIFS(tblVentas[Utilidad bruta],tblVentas[Cliente],$B77))</f>
        <v/>
      </c>
      <c r="L77" s="37">
        <f>IF(OR($B77="",$I77=0),"",$J77/$I77)</f>
        <v/>
      </c>
      <c r="M77" s="37">
        <f>IF($B77="","",SUMIFS(tblVentas[Saldo por cobrar],tblVentas[Cliente],$B77))</f>
        <v/>
      </c>
      <c r="N77" s="39">
        <f>IF(OR($B77="",NOT(ISNUMBER($H77))),"",TODAY()-$H77)</f>
        <v/>
      </c>
      <c r="O77" s="51">
        <f>IF($B77="","",IF($I77=0,"SIN COMPRAS",IF($N77&lt;=30,"ACTIVO",IF($N77&lt;=60,"EN SEGUIMIENTO",IF($N77&lt;=120,"EN RIESGO","INACTIVO")))))</f>
        <v/>
      </c>
      <c r="P77" s="33" t="n"/>
      <c r="Q77" s="33" t="n"/>
      <c r="R77" s="51">
        <f>IF($B77="","",IF(IF(AND($B77&lt;&gt;"",COUNTIF(tblClientes[Nombre],$B77)&gt;1)," · NOMBRE DUPLICADO","")&amp;IF(AND($B77&lt;&gt;"",$C77="",$D77="")," · Sin teléfono ni email","")&amp;IF(AND(ISNUMBER($M77),$M77&gt;0)," · Tiene saldo por cobrar","")="","OK",MID(IF(AND($B77&lt;&gt;"",COUNTIF(tblClientes[Nombre],$B77)&gt;1)," · NOMBRE DUPLICADO","")&amp;IF(AND($B77&lt;&gt;"",$C77="",$D77="")," · Sin teléfono ni email","")&amp;IF(AND(ISNUMBER($M77),$M77&gt;0)," · Tiene saldo por cobrar",""),4,900)))</f>
        <v/>
      </c>
    </row>
    <row r="78">
      <c r="A78" s="51">
        <f>IF($B78="","","CLI-"&amp;TEXT(ROW()-6,"0000"))</f>
        <v/>
      </c>
      <c r="B78" s="33" t="n"/>
      <c r="C78" s="33" t="n"/>
      <c r="D78" s="33" t="n"/>
      <c r="E78" s="33" t="n"/>
      <c r="F78" s="33" t="n"/>
      <c r="G78" s="53">
        <f>IF($B78="","",IF(COUNTIFS(tblVentas[Cliente],$B78)=0,"",SUMPRODUCT(MIN((tblVentas[Cliente]=$B78)*tblVentas[Fecha]+(tblVentas[Cliente]&lt;&gt;$B78)*99999))))</f>
        <v/>
      </c>
      <c r="H78" s="53">
        <f>IF($B78="","",IF(COUNTIFS(tblVentas[Cliente],$B78)=0,"",SUMPRODUCT(MAX((tblVentas[Cliente]=$B78)*tblVentas[Fecha]))))</f>
        <v/>
      </c>
      <c r="I78" s="39">
        <f>IF($B78="","",COUNTIFS(tblVentas[Cliente],$B78))</f>
        <v/>
      </c>
      <c r="J78" s="37">
        <f>IF($B78="","",SUMIFS(tblVentas[Venta neta],tblVentas[Cliente],$B78))</f>
        <v/>
      </c>
      <c r="K78" s="37">
        <f>IF($B78="","",SUMIFS(tblVentas[Utilidad bruta],tblVentas[Cliente],$B78))</f>
        <v/>
      </c>
      <c r="L78" s="37">
        <f>IF(OR($B78="",$I78=0),"",$J78/$I78)</f>
        <v/>
      </c>
      <c r="M78" s="37">
        <f>IF($B78="","",SUMIFS(tblVentas[Saldo por cobrar],tblVentas[Cliente],$B78))</f>
        <v/>
      </c>
      <c r="N78" s="39">
        <f>IF(OR($B78="",NOT(ISNUMBER($H78))),"",TODAY()-$H78)</f>
        <v/>
      </c>
      <c r="O78" s="51">
        <f>IF($B78="","",IF($I78=0,"SIN COMPRAS",IF($N78&lt;=30,"ACTIVO",IF($N78&lt;=60,"EN SEGUIMIENTO",IF($N78&lt;=120,"EN RIESGO","INACTIVO")))))</f>
        <v/>
      </c>
      <c r="P78" s="33" t="n"/>
      <c r="Q78" s="33" t="n"/>
      <c r="R78" s="51">
        <f>IF($B78="","",IF(IF(AND($B78&lt;&gt;"",COUNTIF(tblClientes[Nombre],$B78)&gt;1)," · NOMBRE DUPLICADO","")&amp;IF(AND($B78&lt;&gt;"",$C78="",$D78="")," · Sin teléfono ni email","")&amp;IF(AND(ISNUMBER($M78),$M78&gt;0)," · Tiene saldo por cobrar","")="","OK",MID(IF(AND($B78&lt;&gt;"",COUNTIF(tblClientes[Nombre],$B78)&gt;1)," · NOMBRE DUPLICADO","")&amp;IF(AND($B78&lt;&gt;"",$C78="",$D78="")," · Sin teléfono ni email","")&amp;IF(AND(ISNUMBER($M78),$M78&gt;0)," · Tiene saldo por cobrar",""),4,900)))</f>
        <v/>
      </c>
    </row>
    <row r="79">
      <c r="A79" s="51">
        <f>IF($B79="","","CLI-"&amp;TEXT(ROW()-6,"0000"))</f>
        <v/>
      </c>
      <c r="B79" s="33" t="n"/>
      <c r="C79" s="33" t="n"/>
      <c r="D79" s="33" t="n"/>
      <c r="E79" s="33" t="n"/>
      <c r="F79" s="33" t="n"/>
      <c r="G79" s="53">
        <f>IF($B79="","",IF(COUNTIFS(tblVentas[Cliente],$B79)=0,"",SUMPRODUCT(MIN((tblVentas[Cliente]=$B79)*tblVentas[Fecha]+(tblVentas[Cliente]&lt;&gt;$B79)*99999))))</f>
        <v/>
      </c>
      <c r="H79" s="53">
        <f>IF($B79="","",IF(COUNTIFS(tblVentas[Cliente],$B79)=0,"",SUMPRODUCT(MAX((tblVentas[Cliente]=$B79)*tblVentas[Fecha]))))</f>
        <v/>
      </c>
      <c r="I79" s="39">
        <f>IF($B79="","",COUNTIFS(tblVentas[Cliente],$B79))</f>
        <v/>
      </c>
      <c r="J79" s="37">
        <f>IF($B79="","",SUMIFS(tblVentas[Venta neta],tblVentas[Cliente],$B79))</f>
        <v/>
      </c>
      <c r="K79" s="37">
        <f>IF($B79="","",SUMIFS(tblVentas[Utilidad bruta],tblVentas[Cliente],$B79))</f>
        <v/>
      </c>
      <c r="L79" s="37">
        <f>IF(OR($B79="",$I79=0),"",$J79/$I79)</f>
        <v/>
      </c>
      <c r="M79" s="37">
        <f>IF($B79="","",SUMIFS(tblVentas[Saldo por cobrar],tblVentas[Cliente],$B79))</f>
        <v/>
      </c>
      <c r="N79" s="39">
        <f>IF(OR($B79="",NOT(ISNUMBER($H79))),"",TODAY()-$H79)</f>
        <v/>
      </c>
      <c r="O79" s="51">
        <f>IF($B79="","",IF($I79=0,"SIN COMPRAS",IF($N79&lt;=30,"ACTIVO",IF($N79&lt;=60,"EN SEGUIMIENTO",IF($N79&lt;=120,"EN RIESGO","INACTIVO")))))</f>
        <v/>
      </c>
      <c r="P79" s="33" t="n"/>
      <c r="Q79" s="33" t="n"/>
      <c r="R79" s="51">
        <f>IF($B79="","",IF(IF(AND($B79&lt;&gt;"",COUNTIF(tblClientes[Nombre],$B79)&gt;1)," · NOMBRE DUPLICADO","")&amp;IF(AND($B79&lt;&gt;"",$C79="",$D79="")," · Sin teléfono ni email","")&amp;IF(AND(ISNUMBER($M79),$M79&gt;0)," · Tiene saldo por cobrar","")="","OK",MID(IF(AND($B79&lt;&gt;"",COUNTIF(tblClientes[Nombre],$B79)&gt;1)," · NOMBRE DUPLICADO","")&amp;IF(AND($B79&lt;&gt;"",$C79="",$D79="")," · Sin teléfono ni email","")&amp;IF(AND(ISNUMBER($M79),$M79&gt;0)," · Tiene saldo por cobrar",""),4,900)))</f>
        <v/>
      </c>
    </row>
    <row r="80">
      <c r="A80" s="51">
        <f>IF($B80="","","CLI-"&amp;TEXT(ROW()-6,"0000"))</f>
        <v/>
      </c>
      <c r="B80" s="33" t="n"/>
      <c r="C80" s="33" t="n"/>
      <c r="D80" s="33" t="n"/>
      <c r="E80" s="33" t="n"/>
      <c r="F80" s="33" t="n"/>
      <c r="G80" s="53">
        <f>IF($B80="","",IF(COUNTIFS(tblVentas[Cliente],$B80)=0,"",SUMPRODUCT(MIN((tblVentas[Cliente]=$B80)*tblVentas[Fecha]+(tblVentas[Cliente]&lt;&gt;$B80)*99999))))</f>
        <v/>
      </c>
      <c r="H80" s="53">
        <f>IF($B80="","",IF(COUNTIFS(tblVentas[Cliente],$B80)=0,"",SUMPRODUCT(MAX((tblVentas[Cliente]=$B80)*tblVentas[Fecha]))))</f>
        <v/>
      </c>
      <c r="I80" s="39">
        <f>IF($B80="","",COUNTIFS(tblVentas[Cliente],$B80))</f>
        <v/>
      </c>
      <c r="J80" s="37">
        <f>IF($B80="","",SUMIFS(tblVentas[Venta neta],tblVentas[Cliente],$B80))</f>
        <v/>
      </c>
      <c r="K80" s="37">
        <f>IF($B80="","",SUMIFS(tblVentas[Utilidad bruta],tblVentas[Cliente],$B80))</f>
        <v/>
      </c>
      <c r="L80" s="37">
        <f>IF(OR($B80="",$I80=0),"",$J80/$I80)</f>
        <v/>
      </c>
      <c r="M80" s="37">
        <f>IF($B80="","",SUMIFS(tblVentas[Saldo por cobrar],tblVentas[Cliente],$B80))</f>
        <v/>
      </c>
      <c r="N80" s="39">
        <f>IF(OR($B80="",NOT(ISNUMBER($H80))),"",TODAY()-$H80)</f>
        <v/>
      </c>
      <c r="O80" s="51">
        <f>IF($B80="","",IF($I80=0,"SIN COMPRAS",IF($N80&lt;=30,"ACTIVO",IF($N80&lt;=60,"EN SEGUIMIENTO",IF($N80&lt;=120,"EN RIESGO","INACTIVO")))))</f>
        <v/>
      </c>
      <c r="P80" s="33" t="n"/>
      <c r="Q80" s="33" t="n"/>
      <c r="R80" s="51">
        <f>IF($B80="","",IF(IF(AND($B80&lt;&gt;"",COUNTIF(tblClientes[Nombre],$B80)&gt;1)," · NOMBRE DUPLICADO","")&amp;IF(AND($B80&lt;&gt;"",$C80="",$D80="")," · Sin teléfono ni email","")&amp;IF(AND(ISNUMBER($M80),$M80&gt;0)," · Tiene saldo por cobrar","")="","OK",MID(IF(AND($B80&lt;&gt;"",COUNTIF(tblClientes[Nombre],$B80)&gt;1)," · NOMBRE DUPLICADO","")&amp;IF(AND($B80&lt;&gt;"",$C80="",$D80="")," · Sin teléfono ni email","")&amp;IF(AND(ISNUMBER($M80),$M80&gt;0)," · Tiene saldo por cobrar",""),4,900)))</f>
        <v/>
      </c>
    </row>
    <row r="81">
      <c r="A81" s="51">
        <f>IF($B81="","","CLI-"&amp;TEXT(ROW()-6,"0000"))</f>
        <v/>
      </c>
      <c r="B81" s="33" t="n"/>
      <c r="C81" s="33" t="n"/>
      <c r="D81" s="33" t="n"/>
      <c r="E81" s="33" t="n"/>
      <c r="F81" s="33" t="n"/>
      <c r="G81" s="53">
        <f>IF($B81="","",IF(COUNTIFS(tblVentas[Cliente],$B81)=0,"",SUMPRODUCT(MIN((tblVentas[Cliente]=$B81)*tblVentas[Fecha]+(tblVentas[Cliente]&lt;&gt;$B81)*99999))))</f>
        <v/>
      </c>
      <c r="H81" s="53">
        <f>IF($B81="","",IF(COUNTIFS(tblVentas[Cliente],$B81)=0,"",SUMPRODUCT(MAX((tblVentas[Cliente]=$B81)*tblVentas[Fecha]))))</f>
        <v/>
      </c>
      <c r="I81" s="39">
        <f>IF($B81="","",COUNTIFS(tblVentas[Cliente],$B81))</f>
        <v/>
      </c>
      <c r="J81" s="37">
        <f>IF($B81="","",SUMIFS(tblVentas[Venta neta],tblVentas[Cliente],$B81))</f>
        <v/>
      </c>
      <c r="K81" s="37">
        <f>IF($B81="","",SUMIFS(tblVentas[Utilidad bruta],tblVentas[Cliente],$B81))</f>
        <v/>
      </c>
      <c r="L81" s="37">
        <f>IF(OR($B81="",$I81=0),"",$J81/$I81)</f>
        <v/>
      </c>
      <c r="M81" s="37">
        <f>IF($B81="","",SUMIFS(tblVentas[Saldo por cobrar],tblVentas[Cliente],$B81))</f>
        <v/>
      </c>
      <c r="N81" s="39">
        <f>IF(OR($B81="",NOT(ISNUMBER($H81))),"",TODAY()-$H81)</f>
        <v/>
      </c>
      <c r="O81" s="51">
        <f>IF($B81="","",IF($I81=0,"SIN COMPRAS",IF($N81&lt;=30,"ACTIVO",IF($N81&lt;=60,"EN SEGUIMIENTO",IF($N81&lt;=120,"EN RIESGO","INACTIVO")))))</f>
        <v/>
      </c>
      <c r="P81" s="33" t="n"/>
      <c r="Q81" s="33" t="n"/>
      <c r="R81" s="51">
        <f>IF($B81="","",IF(IF(AND($B81&lt;&gt;"",COUNTIF(tblClientes[Nombre],$B81)&gt;1)," · NOMBRE DUPLICADO","")&amp;IF(AND($B81&lt;&gt;"",$C81="",$D81="")," · Sin teléfono ni email","")&amp;IF(AND(ISNUMBER($M81),$M81&gt;0)," · Tiene saldo por cobrar","")="","OK",MID(IF(AND($B81&lt;&gt;"",COUNTIF(tblClientes[Nombre],$B81)&gt;1)," · NOMBRE DUPLICADO","")&amp;IF(AND($B81&lt;&gt;"",$C81="",$D81="")," · Sin teléfono ni email","")&amp;IF(AND(ISNUMBER($M81),$M81&gt;0)," · Tiene saldo por cobrar",""),4,900)))</f>
        <v/>
      </c>
    </row>
    <row r="82">
      <c r="A82" s="51">
        <f>IF($B82="","","CLI-"&amp;TEXT(ROW()-6,"0000"))</f>
        <v/>
      </c>
      <c r="B82" s="33" t="n"/>
      <c r="C82" s="33" t="n"/>
      <c r="D82" s="33" t="n"/>
      <c r="E82" s="33" t="n"/>
      <c r="F82" s="33" t="n"/>
      <c r="G82" s="53">
        <f>IF($B82="","",IF(COUNTIFS(tblVentas[Cliente],$B82)=0,"",SUMPRODUCT(MIN((tblVentas[Cliente]=$B82)*tblVentas[Fecha]+(tblVentas[Cliente]&lt;&gt;$B82)*99999))))</f>
        <v/>
      </c>
      <c r="H82" s="53">
        <f>IF($B82="","",IF(COUNTIFS(tblVentas[Cliente],$B82)=0,"",SUMPRODUCT(MAX((tblVentas[Cliente]=$B82)*tblVentas[Fecha]))))</f>
        <v/>
      </c>
      <c r="I82" s="39">
        <f>IF($B82="","",COUNTIFS(tblVentas[Cliente],$B82))</f>
        <v/>
      </c>
      <c r="J82" s="37">
        <f>IF($B82="","",SUMIFS(tblVentas[Venta neta],tblVentas[Cliente],$B82))</f>
        <v/>
      </c>
      <c r="K82" s="37">
        <f>IF($B82="","",SUMIFS(tblVentas[Utilidad bruta],tblVentas[Cliente],$B82))</f>
        <v/>
      </c>
      <c r="L82" s="37">
        <f>IF(OR($B82="",$I82=0),"",$J82/$I82)</f>
        <v/>
      </c>
      <c r="M82" s="37">
        <f>IF($B82="","",SUMIFS(tblVentas[Saldo por cobrar],tblVentas[Cliente],$B82))</f>
        <v/>
      </c>
      <c r="N82" s="39">
        <f>IF(OR($B82="",NOT(ISNUMBER($H82))),"",TODAY()-$H82)</f>
        <v/>
      </c>
      <c r="O82" s="51">
        <f>IF($B82="","",IF($I82=0,"SIN COMPRAS",IF($N82&lt;=30,"ACTIVO",IF($N82&lt;=60,"EN SEGUIMIENTO",IF($N82&lt;=120,"EN RIESGO","INACTIVO")))))</f>
        <v/>
      </c>
      <c r="P82" s="33" t="n"/>
      <c r="Q82" s="33" t="n"/>
      <c r="R82" s="51">
        <f>IF($B82="","",IF(IF(AND($B82&lt;&gt;"",COUNTIF(tblClientes[Nombre],$B82)&gt;1)," · NOMBRE DUPLICADO","")&amp;IF(AND($B82&lt;&gt;"",$C82="",$D82="")," · Sin teléfono ni email","")&amp;IF(AND(ISNUMBER($M82),$M82&gt;0)," · Tiene saldo por cobrar","")="","OK",MID(IF(AND($B82&lt;&gt;"",COUNTIF(tblClientes[Nombre],$B82)&gt;1)," · NOMBRE DUPLICADO","")&amp;IF(AND($B82&lt;&gt;"",$C82="",$D82="")," · Sin teléfono ni email","")&amp;IF(AND(ISNUMBER($M82),$M82&gt;0)," · Tiene saldo por cobrar",""),4,900)))</f>
        <v/>
      </c>
    </row>
    <row r="83">
      <c r="A83" s="51">
        <f>IF($B83="","","CLI-"&amp;TEXT(ROW()-6,"0000"))</f>
        <v/>
      </c>
      <c r="B83" s="33" t="n"/>
      <c r="C83" s="33" t="n"/>
      <c r="D83" s="33" t="n"/>
      <c r="E83" s="33" t="n"/>
      <c r="F83" s="33" t="n"/>
      <c r="G83" s="53">
        <f>IF($B83="","",IF(COUNTIFS(tblVentas[Cliente],$B83)=0,"",SUMPRODUCT(MIN((tblVentas[Cliente]=$B83)*tblVentas[Fecha]+(tblVentas[Cliente]&lt;&gt;$B83)*99999))))</f>
        <v/>
      </c>
      <c r="H83" s="53">
        <f>IF($B83="","",IF(COUNTIFS(tblVentas[Cliente],$B83)=0,"",SUMPRODUCT(MAX((tblVentas[Cliente]=$B83)*tblVentas[Fecha]))))</f>
        <v/>
      </c>
      <c r="I83" s="39">
        <f>IF($B83="","",COUNTIFS(tblVentas[Cliente],$B83))</f>
        <v/>
      </c>
      <c r="J83" s="37">
        <f>IF($B83="","",SUMIFS(tblVentas[Venta neta],tblVentas[Cliente],$B83))</f>
        <v/>
      </c>
      <c r="K83" s="37">
        <f>IF($B83="","",SUMIFS(tblVentas[Utilidad bruta],tblVentas[Cliente],$B83))</f>
        <v/>
      </c>
      <c r="L83" s="37">
        <f>IF(OR($B83="",$I83=0),"",$J83/$I83)</f>
        <v/>
      </c>
      <c r="M83" s="37">
        <f>IF($B83="","",SUMIFS(tblVentas[Saldo por cobrar],tblVentas[Cliente],$B83))</f>
        <v/>
      </c>
      <c r="N83" s="39">
        <f>IF(OR($B83="",NOT(ISNUMBER($H83))),"",TODAY()-$H83)</f>
        <v/>
      </c>
      <c r="O83" s="51">
        <f>IF($B83="","",IF($I83=0,"SIN COMPRAS",IF($N83&lt;=30,"ACTIVO",IF($N83&lt;=60,"EN SEGUIMIENTO",IF($N83&lt;=120,"EN RIESGO","INACTIVO")))))</f>
        <v/>
      </c>
      <c r="P83" s="33" t="n"/>
      <c r="Q83" s="33" t="n"/>
      <c r="R83" s="51">
        <f>IF($B83="","",IF(IF(AND($B83&lt;&gt;"",COUNTIF(tblClientes[Nombre],$B83)&gt;1)," · NOMBRE DUPLICADO","")&amp;IF(AND($B83&lt;&gt;"",$C83="",$D83="")," · Sin teléfono ni email","")&amp;IF(AND(ISNUMBER($M83),$M83&gt;0)," · Tiene saldo por cobrar","")="","OK",MID(IF(AND($B83&lt;&gt;"",COUNTIF(tblClientes[Nombre],$B83)&gt;1)," · NOMBRE DUPLICADO","")&amp;IF(AND($B83&lt;&gt;"",$C83="",$D83="")," · Sin teléfono ni email","")&amp;IF(AND(ISNUMBER($M83),$M83&gt;0)," · Tiene saldo por cobrar",""),4,900)))</f>
        <v/>
      </c>
    </row>
    <row r="84">
      <c r="A84" s="51">
        <f>IF($B84="","","CLI-"&amp;TEXT(ROW()-6,"0000"))</f>
        <v/>
      </c>
      <c r="B84" s="33" t="n"/>
      <c r="C84" s="33" t="n"/>
      <c r="D84" s="33" t="n"/>
      <c r="E84" s="33" t="n"/>
      <c r="F84" s="33" t="n"/>
      <c r="G84" s="53">
        <f>IF($B84="","",IF(COUNTIFS(tblVentas[Cliente],$B84)=0,"",SUMPRODUCT(MIN((tblVentas[Cliente]=$B84)*tblVentas[Fecha]+(tblVentas[Cliente]&lt;&gt;$B84)*99999))))</f>
        <v/>
      </c>
      <c r="H84" s="53">
        <f>IF($B84="","",IF(COUNTIFS(tblVentas[Cliente],$B84)=0,"",SUMPRODUCT(MAX((tblVentas[Cliente]=$B84)*tblVentas[Fecha]))))</f>
        <v/>
      </c>
      <c r="I84" s="39">
        <f>IF($B84="","",COUNTIFS(tblVentas[Cliente],$B84))</f>
        <v/>
      </c>
      <c r="J84" s="37">
        <f>IF($B84="","",SUMIFS(tblVentas[Venta neta],tblVentas[Cliente],$B84))</f>
        <v/>
      </c>
      <c r="K84" s="37">
        <f>IF($B84="","",SUMIFS(tblVentas[Utilidad bruta],tblVentas[Cliente],$B84))</f>
        <v/>
      </c>
      <c r="L84" s="37">
        <f>IF(OR($B84="",$I84=0),"",$J84/$I84)</f>
        <v/>
      </c>
      <c r="M84" s="37">
        <f>IF($B84="","",SUMIFS(tblVentas[Saldo por cobrar],tblVentas[Cliente],$B84))</f>
        <v/>
      </c>
      <c r="N84" s="39">
        <f>IF(OR($B84="",NOT(ISNUMBER($H84))),"",TODAY()-$H84)</f>
        <v/>
      </c>
      <c r="O84" s="51">
        <f>IF($B84="","",IF($I84=0,"SIN COMPRAS",IF($N84&lt;=30,"ACTIVO",IF($N84&lt;=60,"EN SEGUIMIENTO",IF($N84&lt;=120,"EN RIESGO","INACTIVO")))))</f>
        <v/>
      </c>
      <c r="P84" s="33" t="n"/>
      <c r="Q84" s="33" t="n"/>
      <c r="R84" s="51">
        <f>IF($B84="","",IF(IF(AND($B84&lt;&gt;"",COUNTIF(tblClientes[Nombre],$B84)&gt;1)," · NOMBRE DUPLICADO","")&amp;IF(AND($B84&lt;&gt;"",$C84="",$D84="")," · Sin teléfono ni email","")&amp;IF(AND(ISNUMBER($M84),$M84&gt;0)," · Tiene saldo por cobrar","")="","OK",MID(IF(AND($B84&lt;&gt;"",COUNTIF(tblClientes[Nombre],$B84)&gt;1)," · NOMBRE DUPLICADO","")&amp;IF(AND($B84&lt;&gt;"",$C84="",$D84="")," · Sin teléfono ni email","")&amp;IF(AND(ISNUMBER($M84),$M84&gt;0)," · Tiene saldo por cobrar",""),4,900)))</f>
        <v/>
      </c>
    </row>
    <row r="85">
      <c r="A85" s="51">
        <f>IF($B85="","","CLI-"&amp;TEXT(ROW()-6,"0000"))</f>
        <v/>
      </c>
      <c r="B85" s="33" t="n"/>
      <c r="C85" s="33" t="n"/>
      <c r="D85" s="33" t="n"/>
      <c r="E85" s="33" t="n"/>
      <c r="F85" s="33" t="n"/>
      <c r="G85" s="53">
        <f>IF($B85="","",IF(COUNTIFS(tblVentas[Cliente],$B85)=0,"",SUMPRODUCT(MIN((tblVentas[Cliente]=$B85)*tblVentas[Fecha]+(tblVentas[Cliente]&lt;&gt;$B85)*99999))))</f>
        <v/>
      </c>
      <c r="H85" s="53">
        <f>IF($B85="","",IF(COUNTIFS(tblVentas[Cliente],$B85)=0,"",SUMPRODUCT(MAX((tblVentas[Cliente]=$B85)*tblVentas[Fecha]))))</f>
        <v/>
      </c>
      <c r="I85" s="39">
        <f>IF($B85="","",COUNTIFS(tblVentas[Cliente],$B85))</f>
        <v/>
      </c>
      <c r="J85" s="37">
        <f>IF($B85="","",SUMIFS(tblVentas[Venta neta],tblVentas[Cliente],$B85))</f>
        <v/>
      </c>
      <c r="K85" s="37">
        <f>IF($B85="","",SUMIFS(tblVentas[Utilidad bruta],tblVentas[Cliente],$B85))</f>
        <v/>
      </c>
      <c r="L85" s="37">
        <f>IF(OR($B85="",$I85=0),"",$J85/$I85)</f>
        <v/>
      </c>
      <c r="M85" s="37">
        <f>IF($B85="","",SUMIFS(tblVentas[Saldo por cobrar],tblVentas[Cliente],$B85))</f>
        <v/>
      </c>
      <c r="N85" s="39">
        <f>IF(OR($B85="",NOT(ISNUMBER($H85))),"",TODAY()-$H85)</f>
        <v/>
      </c>
      <c r="O85" s="51">
        <f>IF($B85="","",IF($I85=0,"SIN COMPRAS",IF($N85&lt;=30,"ACTIVO",IF($N85&lt;=60,"EN SEGUIMIENTO",IF($N85&lt;=120,"EN RIESGO","INACTIVO")))))</f>
        <v/>
      </c>
      <c r="P85" s="33" t="n"/>
      <c r="Q85" s="33" t="n"/>
      <c r="R85" s="51">
        <f>IF($B85="","",IF(IF(AND($B85&lt;&gt;"",COUNTIF(tblClientes[Nombre],$B85)&gt;1)," · NOMBRE DUPLICADO","")&amp;IF(AND($B85&lt;&gt;"",$C85="",$D85="")," · Sin teléfono ni email","")&amp;IF(AND(ISNUMBER($M85),$M85&gt;0)," · Tiene saldo por cobrar","")="","OK",MID(IF(AND($B85&lt;&gt;"",COUNTIF(tblClientes[Nombre],$B85)&gt;1)," · NOMBRE DUPLICADO","")&amp;IF(AND($B85&lt;&gt;"",$C85="",$D85="")," · Sin teléfono ni email","")&amp;IF(AND(ISNUMBER($M85),$M85&gt;0)," · Tiene saldo por cobrar",""),4,900)))</f>
        <v/>
      </c>
    </row>
    <row r="86">
      <c r="A86" s="51">
        <f>IF($B86="","","CLI-"&amp;TEXT(ROW()-6,"0000"))</f>
        <v/>
      </c>
      <c r="B86" s="33" t="n"/>
      <c r="C86" s="33" t="n"/>
      <c r="D86" s="33" t="n"/>
      <c r="E86" s="33" t="n"/>
      <c r="F86" s="33" t="n"/>
      <c r="G86" s="53">
        <f>IF($B86="","",IF(COUNTIFS(tblVentas[Cliente],$B86)=0,"",SUMPRODUCT(MIN((tblVentas[Cliente]=$B86)*tblVentas[Fecha]+(tblVentas[Cliente]&lt;&gt;$B86)*99999))))</f>
        <v/>
      </c>
      <c r="H86" s="53">
        <f>IF($B86="","",IF(COUNTIFS(tblVentas[Cliente],$B86)=0,"",SUMPRODUCT(MAX((tblVentas[Cliente]=$B86)*tblVentas[Fecha]))))</f>
        <v/>
      </c>
      <c r="I86" s="39">
        <f>IF($B86="","",COUNTIFS(tblVentas[Cliente],$B86))</f>
        <v/>
      </c>
      <c r="J86" s="37">
        <f>IF($B86="","",SUMIFS(tblVentas[Venta neta],tblVentas[Cliente],$B86))</f>
        <v/>
      </c>
      <c r="K86" s="37">
        <f>IF($B86="","",SUMIFS(tblVentas[Utilidad bruta],tblVentas[Cliente],$B86))</f>
        <v/>
      </c>
      <c r="L86" s="37">
        <f>IF(OR($B86="",$I86=0),"",$J86/$I86)</f>
        <v/>
      </c>
      <c r="M86" s="37">
        <f>IF($B86="","",SUMIFS(tblVentas[Saldo por cobrar],tblVentas[Cliente],$B86))</f>
        <v/>
      </c>
      <c r="N86" s="39">
        <f>IF(OR($B86="",NOT(ISNUMBER($H86))),"",TODAY()-$H86)</f>
        <v/>
      </c>
      <c r="O86" s="51">
        <f>IF($B86="","",IF($I86=0,"SIN COMPRAS",IF($N86&lt;=30,"ACTIVO",IF($N86&lt;=60,"EN SEGUIMIENTO",IF($N86&lt;=120,"EN RIESGO","INACTIVO")))))</f>
        <v/>
      </c>
      <c r="P86" s="33" t="n"/>
      <c r="Q86" s="33" t="n"/>
      <c r="R86" s="51">
        <f>IF($B86="","",IF(IF(AND($B86&lt;&gt;"",COUNTIF(tblClientes[Nombre],$B86)&gt;1)," · NOMBRE DUPLICADO","")&amp;IF(AND($B86&lt;&gt;"",$C86="",$D86="")," · Sin teléfono ni email","")&amp;IF(AND(ISNUMBER($M86),$M86&gt;0)," · Tiene saldo por cobrar","")="","OK",MID(IF(AND($B86&lt;&gt;"",COUNTIF(tblClientes[Nombre],$B86)&gt;1)," · NOMBRE DUPLICADO","")&amp;IF(AND($B86&lt;&gt;"",$C86="",$D86="")," · Sin teléfono ni email","")&amp;IF(AND(ISNUMBER($M86),$M86&gt;0)," · Tiene saldo por cobrar",""),4,900)))</f>
        <v/>
      </c>
    </row>
    <row r="87">
      <c r="A87" s="51">
        <f>IF($B87="","","CLI-"&amp;TEXT(ROW()-6,"0000"))</f>
        <v/>
      </c>
      <c r="B87" s="33" t="n"/>
      <c r="C87" s="33" t="n"/>
      <c r="D87" s="33" t="n"/>
      <c r="E87" s="33" t="n"/>
      <c r="F87" s="33" t="n"/>
      <c r="G87" s="53">
        <f>IF($B87="","",IF(COUNTIFS(tblVentas[Cliente],$B87)=0,"",SUMPRODUCT(MIN((tblVentas[Cliente]=$B87)*tblVentas[Fecha]+(tblVentas[Cliente]&lt;&gt;$B87)*99999))))</f>
        <v/>
      </c>
      <c r="H87" s="53">
        <f>IF($B87="","",IF(COUNTIFS(tblVentas[Cliente],$B87)=0,"",SUMPRODUCT(MAX((tblVentas[Cliente]=$B87)*tblVentas[Fecha]))))</f>
        <v/>
      </c>
      <c r="I87" s="39">
        <f>IF($B87="","",COUNTIFS(tblVentas[Cliente],$B87))</f>
        <v/>
      </c>
      <c r="J87" s="37">
        <f>IF($B87="","",SUMIFS(tblVentas[Venta neta],tblVentas[Cliente],$B87))</f>
        <v/>
      </c>
      <c r="K87" s="37">
        <f>IF($B87="","",SUMIFS(tblVentas[Utilidad bruta],tblVentas[Cliente],$B87))</f>
        <v/>
      </c>
      <c r="L87" s="37">
        <f>IF(OR($B87="",$I87=0),"",$J87/$I87)</f>
        <v/>
      </c>
      <c r="M87" s="37">
        <f>IF($B87="","",SUMIFS(tblVentas[Saldo por cobrar],tblVentas[Cliente],$B87))</f>
        <v/>
      </c>
      <c r="N87" s="39">
        <f>IF(OR($B87="",NOT(ISNUMBER($H87))),"",TODAY()-$H87)</f>
        <v/>
      </c>
      <c r="O87" s="51">
        <f>IF($B87="","",IF($I87=0,"SIN COMPRAS",IF($N87&lt;=30,"ACTIVO",IF($N87&lt;=60,"EN SEGUIMIENTO",IF($N87&lt;=120,"EN RIESGO","INACTIVO")))))</f>
        <v/>
      </c>
      <c r="P87" s="33" t="n"/>
      <c r="Q87" s="33" t="n"/>
      <c r="R87" s="51">
        <f>IF($B87="","",IF(IF(AND($B87&lt;&gt;"",COUNTIF(tblClientes[Nombre],$B87)&gt;1)," · NOMBRE DUPLICADO","")&amp;IF(AND($B87&lt;&gt;"",$C87="",$D87="")," · Sin teléfono ni email","")&amp;IF(AND(ISNUMBER($M87),$M87&gt;0)," · Tiene saldo por cobrar","")="","OK",MID(IF(AND($B87&lt;&gt;"",COUNTIF(tblClientes[Nombre],$B87)&gt;1)," · NOMBRE DUPLICADO","")&amp;IF(AND($B87&lt;&gt;"",$C87="",$D87="")," · Sin teléfono ni email","")&amp;IF(AND(ISNUMBER($M87),$M87&gt;0)," · Tiene saldo por cobrar",""),4,900)))</f>
        <v/>
      </c>
    </row>
    <row r="88">
      <c r="A88" s="51">
        <f>IF($B88="","","CLI-"&amp;TEXT(ROW()-6,"0000"))</f>
        <v/>
      </c>
      <c r="B88" s="33" t="n"/>
      <c r="C88" s="33" t="n"/>
      <c r="D88" s="33" t="n"/>
      <c r="E88" s="33" t="n"/>
      <c r="F88" s="33" t="n"/>
      <c r="G88" s="53">
        <f>IF($B88="","",IF(COUNTIFS(tblVentas[Cliente],$B88)=0,"",SUMPRODUCT(MIN((tblVentas[Cliente]=$B88)*tblVentas[Fecha]+(tblVentas[Cliente]&lt;&gt;$B88)*99999))))</f>
        <v/>
      </c>
      <c r="H88" s="53">
        <f>IF($B88="","",IF(COUNTIFS(tblVentas[Cliente],$B88)=0,"",SUMPRODUCT(MAX((tblVentas[Cliente]=$B88)*tblVentas[Fecha]))))</f>
        <v/>
      </c>
      <c r="I88" s="39">
        <f>IF($B88="","",COUNTIFS(tblVentas[Cliente],$B88))</f>
        <v/>
      </c>
      <c r="J88" s="37">
        <f>IF($B88="","",SUMIFS(tblVentas[Venta neta],tblVentas[Cliente],$B88))</f>
        <v/>
      </c>
      <c r="K88" s="37">
        <f>IF($B88="","",SUMIFS(tblVentas[Utilidad bruta],tblVentas[Cliente],$B88))</f>
        <v/>
      </c>
      <c r="L88" s="37">
        <f>IF(OR($B88="",$I88=0),"",$J88/$I88)</f>
        <v/>
      </c>
      <c r="M88" s="37">
        <f>IF($B88="","",SUMIFS(tblVentas[Saldo por cobrar],tblVentas[Cliente],$B88))</f>
        <v/>
      </c>
      <c r="N88" s="39">
        <f>IF(OR($B88="",NOT(ISNUMBER($H88))),"",TODAY()-$H88)</f>
        <v/>
      </c>
      <c r="O88" s="51">
        <f>IF($B88="","",IF($I88=0,"SIN COMPRAS",IF($N88&lt;=30,"ACTIVO",IF($N88&lt;=60,"EN SEGUIMIENTO",IF($N88&lt;=120,"EN RIESGO","INACTIVO")))))</f>
        <v/>
      </c>
      <c r="P88" s="33" t="n"/>
      <c r="Q88" s="33" t="n"/>
      <c r="R88" s="51">
        <f>IF($B88="","",IF(IF(AND($B88&lt;&gt;"",COUNTIF(tblClientes[Nombre],$B88)&gt;1)," · NOMBRE DUPLICADO","")&amp;IF(AND($B88&lt;&gt;"",$C88="",$D88="")," · Sin teléfono ni email","")&amp;IF(AND(ISNUMBER($M88),$M88&gt;0)," · Tiene saldo por cobrar","")="","OK",MID(IF(AND($B88&lt;&gt;"",COUNTIF(tblClientes[Nombre],$B88)&gt;1)," · NOMBRE DUPLICADO","")&amp;IF(AND($B88&lt;&gt;"",$C88="",$D88="")," · Sin teléfono ni email","")&amp;IF(AND(ISNUMBER($M88),$M88&gt;0)," · Tiene saldo por cobrar",""),4,900)))</f>
        <v/>
      </c>
    </row>
    <row r="89">
      <c r="A89" s="51">
        <f>IF($B89="","","CLI-"&amp;TEXT(ROW()-6,"0000"))</f>
        <v/>
      </c>
      <c r="B89" s="33" t="n"/>
      <c r="C89" s="33" t="n"/>
      <c r="D89" s="33" t="n"/>
      <c r="E89" s="33" t="n"/>
      <c r="F89" s="33" t="n"/>
      <c r="G89" s="53">
        <f>IF($B89="","",IF(COUNTIFS(tblVentas[Cliente],$B89)=0,"",SUMPRODUCT(MIN((tblVentas[Cliente]=$B89)*tblVentas[Fecha]+(tblVentas[Cliente]&lt;&gt;$B89)*99999))))</f>
        <v/>
      </c>
      <c r="H89" s="53">
        <f>IF($B89="","",IF(COUNTIFS(tblVentas[Cliente],$B89)=0,"",SUMPRODUCT(MAX((tblVentas[Cliente]=$B89)*tblVentas[Fecha]))))</f>
        <v/>
      </c>
      <c r="I89" s="39">
        <f>IF($B89="","",COUNTIFS(tblVentas[Cliente],$B89))</f>
        <v/>
      </c>
      <c r="J89" s="37">
        <f>IF($B89="","",SUMIFS(tblVentas[Venta neta],tblVentas[Cliente],$B89))</f>
        <v/>
      </c>
      <c r="K89" s="37">
        <f>IF($B89="","",SUMIFS(tblVentas[Utilidad bruta],tblVentas[Cliente],$B89))</f>
        <v/>
      </c>
      <c r="L89" s="37">
        <f>IF(OR($B89="",$I89=0),"",$J89/$I89)</f>
        <v/>
      </c>
      <c r="M89" s="37">
        <f>IF($B89="","",SUMIFS(tblVentas[Saldo por cobrar],tblVentas[Cliente],$B89))</f>
        <v/>
      </c>
      <c r="N89" s="39">
        <f>IF(OR($B89="",NOT(ISNUMBER($H89))),"",TODAY()-$H89)</f>
        <v/>
      </c>
      <c r="O89" s="51">
        <f>IF($B89="","",IF($I89=0,"SIN COMPRAS",IF($N89&lt;=30,"ACTIVO",IF($N89&lt;=60,"EN SEGUIMIENTO",IF($N89&lt;=120,"EN RIESGO","INACTIVO")))))</f>
        <v/>
      </c>
      <c r="P89" s="33" t="n"/>
      <c r="Q89" s="33" t="n"/>
      <c r="R89" s="51">
        <f>IF($B89="","",IF(IF(AND($B89&lt;&gt;"",COUNTIF(tblClientes[Nombre],$B89)&gt;1)," · NOMBRE DUPLICADO","")&amp;IF(AND($B89&lt;&gt;"",$C89="",$D89="")," · Sin teléfono ni email","")&amp;IF(AND(ISNUMBER($M89),$M89&gt;0)," · Tiene saldo por cobrar","")="","OK",MID(IF(AND($B89&lt;&gt;"",COUNTIF(tblClientes[Nombre],$B89)&gt;1)," · NOMBRE DUPLICADO","")&amp;IF(AND($B89&lt;&gt;"",$C89="",$D89="")," · Sin teléfono ni email","")&amp;IF(AND(ISNUMBER($M89),$M89&gt;0)," · Tiene saldo por cobrar",""),4,900)))</f>
        <v/>
      </c>
    </row>
    <row r="90">
      <c r="A90" s="51">
        <f>IF($B90="","","CLI-"&amp;TEXT(ROW()-6,"0000"))</f>
        <v/>
      </c>
      <c r="B90" s="33" t="n"/>
      <c r="C90" s="33" t="n"/>
      <c r="D90" s="33" t="n"/>
      <c r="E90" s="33" t="n"/>
      <c r="F90" s="33" t="n"/>
      <c r="G90" s="53">
        <f>IF($B90="","",IF(COUNTIFS(tblVentas[Cliente],$B90)=0,"",SUMPRODUCT(MIN((tblVentas[Cliente]=$B90)*tblVentas[Fecha]+(tblVentas[Cliente]&lt;&gt;$B90)*99999))))</f>
        <v/>
      </c>
      <c r="H90" s="53">
        <f>IF($B90="","",IF(COUNTIFS(tblVentas[Cliente],$B90)=0,"",SUMPRODUCT(MAX((tblVentas[Cliente]=$B90)*tblVentas[Fecha]))))</f>
        <v/>
      </c>
      <c r="I90" s="39">
        <f>IF($B90="","",COUNTIFS(tblVentas[Cliente],$B90))</f>
        <v/>
      </c>
      <c r="J90" s="37">
        <f>IF($B90="","",SUMIFS(tblVentas[Venta neta],tblVentas[Cliente],$B90))</f>
        <v/>
      </c>
      <c r="K90" s="37">
        <f>IF($B90="","",SUMIFS(tblVentas[Utilidad bruta],tblVentas[Cliente],$B90))</f>
        <v/>
      </c>
      <c r="L90" s="37">
        <f>IF(OR($B90="",$I90=0),"",$J90/$I90)</f>
        <v/>
      </c>
      <c r="M90" s="37">
        <f>IF($B90="","",SUMIFS(tblVentas[Saldo por cobrar],tblVentas[Cliente],$B90))</f>
        <v/>
      </c>
      <c r="N90" s="39">
        <f>IF(OR($B90="",NOT(ISNUMBER($H90))),"",TODAY()-$H90)</f>
        <v/>
      </c>
      <c r="O90" s="51">
        <f>IF($B90="","",IF($I90=0,"SIN COMPRAS",IF($N90&lt;=30,"ACTIVO",IF($N90&lt;=60,"EN SEGUIMIENTO",IF($N90&lt;=120,"EN RIESGO","INACTIVO")))))</f>
        <v/>
      </c>
      <c r="P90" s="33" t="n"/>
      <c r="Q90" s="33" t="n"/>
      <c r="R90" s="51">
        <f>IF($B90="","",IF(IF(AND($B90&lt;&gt;"",COUNTIF(tblClientes[Nombre],$B90)&gt;1)," · NOMBRE DUPLICADO","")&amp;IF(AND($B90&lt;&gt;"",$C90="",$D90="")," · Sin teléfono ni email","")&amp;IF(AND(ISNUMBER($M90),$M90&gt;0)," · Tiene saldo por cobrar","")="","OK",MID(IF(AND($B90&lt;&gt;"",COUNTIF(tblClientes[Nombre],$B90)&gt;1)," · NOMBRE DUPLICADO","")&amp;IF(AND($B90&lt;&gt;"",$C90="",$D90="")," · Sin teléfono ni email","")&amp;IF(AND(ISNUMBER($M90),$M90&gt;0)," · Tiene saldo por cobrar",""),4,900)))</f>
        <v/>
      </c>
    </row>
    <row r="91">
      <c r="A91" s="51">
        <f>IF($B91="","","CLI-"&amp;TEXT(ROW()-6,"0000"))</f>
        <v/>
      </c>
      <c r="B91" s="33" t="n"/>
      <c r="C91" s="33" t="n"/>
      <c r="D91" s="33" t="n"/>
      <c r="E91" s="33" t="n"/>
      <c r="F91" s="33" t="n"/>
      <c r="G91" s="53">
        <f>IF($B91="","",IF(COUNTIFS(tblVentas[Cliente],$B91)=0,"",SUMPRODUCT(MIN((tblVentas[Cliente]=$B91)*tblVentas[Fecha]+(tblVentas[Cliente]&lt;&gt;$B91)*99999))))</f>
        <v/>
      </c>
      <c r="H91" s="53">
        <f>IF($B91="","",IF(COUNTIFS(tblVentas[Cliente],$B91)=0,"",SUMPRODUCT(MAX((tblVentas[Cliente]=$B91)*tblVentas[Fecha]))))</f>
        <v/>
      </c>
      <c r="I91" s="39">
        <f>IF($B91="","",COUNTIFS(tblVentas[Cliente],$B91))</f>
        <v/>
      </c>
      <c r="J91" s="37">
        <f>IF($B91="","",SUMIFS(tblVentas[Venta neta],tblVentas[Cliente],$B91))</f>
        <v/>
      </c>
      <c r="K91" s="37">
        <f>IF($B91="","",SUMIFS(tblVentas[Utilidad bruta],tblVentas[Cliente],$B91))</f>
        <v/>
      </c>
      <c r="L91" s="37">
        <f>IF(OR($B91="",$I91=0),"",$J91/$I91)</f>
        <v/>
      </c>
      <c r="M91" s="37">
        <f>IF($B91="","",SUMIFS(tblVentas[Saldo por cobrar],tblVentas[Cliente],$B91))</f>
        <v/>
      </c>
      <c r="N91" s="39">
        <f>IF(OR($B91="",NOT(ISNUMBER($H91))),"",TODAY()-$H91)</f>
        <v/>
      </c>
      <c r="O91" s="51">
        <f>IF($B91="","",IF($I91=0,"SIN COMPRAS",IF($N91&lt;=30,"ACTIVO",IF($N91&lt;=60,"EN SEGUIMIENTO",IF($N91&lt;=120,"EN RIESGO","INACTIVO")))))</f>
        <v/>
      </c>
      <c r="P91" s="33" t="n"/>
      <c r="Q91" s="33" t="n"/>
      <c r="R91" s="51">
        <f>IF($B91="","",IF(IF(AND($B91&lt;&gt;"",COUNTIF(tblClientes[Nombre],$B91)&gt;1)," · NOMBRE DUPLICADO","")&amp;IF(AND($B91&lt;&gt;"",$C91="",$D91="")," · Sin teléfono ni email","")&amp;IF(AND(ISNUMBER($M91),$M91&gt;0)," · Tiene saldo por cobrar","")="","OK",MID(IF(AND($B91&lt;&gt;"",COUNTIF(tblClientes[Nombre],$B91)&gt;1)," · NOMBRE DUPLICADO","")&amp;IF(AND($B91&lt;&gt;"",$C91="",$D91="")," · Sin teléfono ni email","")&amp;IF(AND(ISNUMBER($M91),$M91&gt;0)," · Tiene saldo por cobrar",""),4,900)))</f>
        <v/>
      </c>
    </row>
    <row r="92">
      <c r="A92" s="51">
        <f>IF($B92="","","CLI-"&amp;TEXT(ROW()-6,"0000"))</f>
        <v/>
      </c>
      <c r="B92" s="33" t="n"/>
      <c r="C92" s="33" t="n"/>
      <c r="D92" s="33" t="n"/>
      <c r="E92" s="33" t="n"/>
      <c r="F92" s="33" t="n"/>
      <c r="G92" s="53">
        <f>IF($B92="","",IF(COUNTIFS(tblVentas[Cliente],$B92)=0,"",SUMPRODUCT(MIN((tblVentas[Cliente]=$B92)*tblVentas[Fecha]+(tblVentas[Cliente]&lt;&gt;$B92)*99999))))</f>
        <v/>
      </c>
      <c r="H92" s="53">
        <f>IF($B92="","",IF(COUNTIFS(tblVentas[Cliente],$B92)=0,"",SUMPRODUCT(MAX((tblVentas[Cliente]=$B92)*tblVentas[Fecha]))))</f>
        <v/>
      </c>
      <c r="I92" s="39">
        <f>IF($B92="","",COUNTIFS(tblVentas[Cliente],$B92))</f>
        <v/>
      </c>
      <c r="J92" s="37">
        <f>IF($B92="","",SUMIFS(tblVentas[Venta neta],tblVentas[Cliente],$B92))</f>
        <v/>
      </c>
      <c r="K92" s="37">
        <f>IF($B92="","",SUMIFS(tblVentas[Utilidad bruta],tblVentas[Cliente],$B92))</f>
        <v/>
      </c>
      <c r="L92" s="37">
        <f>IF(OR($B92="",$I92=0),"",$J92/$I92)</f>
        <v/>
      </c>
      <c r="M92" s="37">
        <f>IF($B92="","",SUMIFS(tblVentas[Saldo por cobrar],tblVentas[Cliente],$B92))</f>
        <v/>
      </c>
      <c r="N92" s="39">
        <f>IF(OR($B92="",NOT(ISNUMBER($H92))),"",TODAY()-$H92)</f>
        <v/>
      </c>
      <c r="O92" s="51">
        <f>IF($B92="","",IF($I92=0,"SIN COMPRAS",IF($N92&lt;=30,"ACTIVO",IF($N92&lt;=60,"EN SEGUIMIENTO",IF($N92&lt;=120,"EN RIESGO","INACTIVO")))))</f>
        <v/>
      </c>
      <c r="P92" s="33" t="n"/>
      <c r="Q92" s="33" t="n"/>
      <c r="R92" s="51">
        <f>IF($B92="","",IF(IF(AND($B92&lt;&gt;"",COUNTIF(tblClientes[Nombre],$B92)&gt;1)," · NOMBRE DUPLICADO","")&amp;IF(AND($B92&lt;&gt;"",$C92="",$D92="")," · Sin teléfono ni email","")&amp;IF(AND(ISNUMBER($M92),$M92&gt;0)," · Tiene saldo por cobrar","")="","OK",MID(IF(AND($B92&lt;&gt;"",COUNTIF(tblClientes[Nombre],$B92)&gt;1)," · NOMBRE DUPLICADO","")&amp;IF(AND($B92&lt;&gt;"",$C92="",$D92="")," · Sin teléfono ni email","")&amp;IF(AND(ISNUMBER($M92),$M92&gt;0)," · Tiene saldo por cobrar",""),4,900)))</f>
        <v/>
      </c>
    </row>
    <row r="93">
      <c r="A93" s="51">
        <f>IF($B93="","","CLI-"&amp;TEXT(ROW()-6,"0000"))</f>
        <v/>
      </c>
      <c r="B93" s="33" t="n"/>
      <c r="C93" s="33" t="n"/>
      <c r="D93" s="33" t="n"/>
      <c r="E93" s="33" t="n"/>
      <c r="F93" s="33" t="n"/>
      <c r="G93" s="53">
        <f>IF($B93="","",IF(COUNTIFS(tblVentas[Cliente],$B93)=0,"",SUMPRODUCT(MIN((tblVentas[Cliente]=$B93)*tblVentas[Fecha]+(tblVentas[Cliente]&lt;&gt;$B93)*99999))))</f>
        <v/>
      </c>
      <c r="H93" s="53">
        <f>IF($B93="","",IF(COUNTIFS(tblVentas[Cliente],$B93)=0,"",SUMPRODUCT(MAX((tblVentas[Cliente]=$B93)*tblVentas[Fecha]))))</f>
        <v/>
      </c>
      <c r="I93" s="39">
        <f>IF($B93="","",COUNTIFS(tblVentas[Cliente],$B93))</f>
        <v/>
      </c>
      <c r="J93" s="37">
        <f>IF($B93="","",SUMIFS(tblVentas[Venta neta],tblVentas[Cliente],$B93))</f>
        <v/>
      </c>
      <c r="K93" s="37">
        <f>IF($B93="","",SUMIFS(tblVentas[Utilidad bruta],tblVentas[Cliente],$B93))</f>
        <v/>
      </c>
      <c r="L93" s="37">
        <f>IF(OR($B93="",$I93=0),"",$J93/$I93)</f>
        <v/>
      </c>
      <c r="M93" s="37">
        <f>IF($B93="","",SUMIFS(tblVentas[Saldo por cobrar],tblVentas[Cliente],$B93))</f>
        <v/>
      </c>
      <c r="N93" s="39">
        <f>IF(OR($B93="",NOT(ISNUMBER($H93))),"",TODAY()-$H93)</f>
        <v/>
      </c>
      <c r="O93" s="51">
        <f>IF($B93="","",IF($I93=0,"SIN COMPRAS",IF($N93&lt;=30,"ACTIVO",IF($N93&lt;=60,"EN SEGUIMIENTO",IF($N93&lt;=120,"EN RIESGO","INACTIVO")))))</f>
        <v/>
      </c>
      <c r="P93" s="33" t="n"/>
      <c r="Q93" s="33" t="n"/>
      <c r="R93" s="51">
        <f>IF($B93="","",IF(IF(AND($B93&lt;&gt;"",COUNTIF(tblClientes[Nombre],$B93)&gt;1)," · NOMBRE DUPLICADO","")&amp;IF(AND($B93&lt;&gt;"",$C93="",$D93="")," · Sin teléfono ni email","")&amp;IF(AND(ISNUMBER($M93),$M93&gt;0)," · Tiene saldo por cobrar","")="","OK",MID(IF(AND($B93&lt;&gt;"",COUNTIF(tblClientes[Nombre],$B93)&gt;1)," · NOMBRE DUPLICADO","")&amp;IF(AND($B93&lt;&gt;"",$C93="",$D93="")," · Sin teléfono ni email","")&amp;IF(AND(ISNUMBER($M93),$M93&gt;0)," · Tiene saldo por cobrar",""),4,900)))</f>
        <v/>
      </c>
    </row>
    <row r="94">
      <c r="A94" s="51">
        <f>IF($B94="","","CLI-"&amp;TEXT(ROW()-6,"0000"))</f>
        <v/>
      </c>
      <c r="B94" s="33" t="n"/>
      <c r="C94" s="33" t="n"/>
      <c r="D94" s="33" t="n"/>
      <c r="E94" s="33" t="n"/>
      <c r="F94" s="33" t="n"/>
      <c r="G94" s="53">
        <f>IF($B94="","",IF(COUNTIFS(tblVentas[Cliente],$B94)=0,"",SUMPRODUCT(MIN((tblVentas[Cliente]=$B94)*tblVentas[Fecha]+(tblVentas[Cliente]&lt;&gt;$B94)*99999))))</f>
        <v/>
      </c>
      <c r="H94" s="53">
        <f>IF($B94="","",IF(COUNTIFS(tblVentas[Cliente],$B94)=0,"",SUMPRODUCT(MAX((tblVentas[Cliente]=$B94)*tblVentas[Fecha]))))</f>
        <v/>
      </c>
      <c r="I94" s="39">
        <f>IF($B94="","",COUNTIFS(tblVentas[Cliente],$B94))</f>
        <v/>
      </c>
      <c r="J94" s="37">
        <f>IF($B94="","",SUMIFS(tblVentas[Venta neta],tblVentas[Cliente],$B94))</f>
        <v/>
      </c>
      <c r="K94" s="37">
        <f>IF($B94="","",SUMIFS(tblVentas[Utilidad bruta],tblVentas[Cliente],$B94))</f>
        <v/>
      </c>
      <c r="L94" s="37">
        <f>IF(OR($B94="",$I94=0),"",$J94/$I94)</f>
        <v/>
      </c>
      <c r="M94" s="37">
        <f>IF($B94="","",SUMIFS(tblVentas[Saldo por cobrar],tblVentas[Cliente],$B94))</f>
        <v/>
      </c>
      <c r="N94" s="39">
        <f>IF(OR($B94="",NOT(ISNUMBER($H94))),"",TODAY()-$H94)</f>
        <v/>
      </c>
      <c r="O94" s="51">
        <f>IF($B94="","",IF($I94=0,"SIN COMPRAS",IF($N94&lt;=30,"ACTIVO",IF($N94&lt;=60,"EN SEGUIMIENTO",IF($N94&lt;=120,"EN RIESGO","INACTIVO")))))</f>
        <v/>
      </c>
      <c r="P94" s="33" t="n"/>
      <c r="Q94" s="33" t="n"/>
      <c r="R94" s="51">
        <f>IF($B94="","",IF(IF(AND($B94&lt;&gt;"",COUNTIF(tblClientes[Nombre],$B94)&gt;1)," · NOMBRE DUPLICADO","")&amp;IF(AND($B94&lt;&gt;"",$C94="",$D94="")," · Sin teléfono ni email","")&amp;IF(AND(ISNUMBER($M94),$M94&gt;0)," · Tiene saldo por cobrar","")="","OK",MID(IF(AND($B94&lt;&gt;"",COUNTIF(tblClientes[Nombre],$B94)&gt;1)," · NOMBRE DUPLICADO","")&amp;IF(AND($B94&lt;&gt;"",$C94="",$D94="")," · Sin teléfono ni email","")&amp;IF(AND(ISNUMBER($M94),$M94&gt;0)," · Tiene saldo por cobrar",""),4,900)))</f>
        <v/>
      </c>
    </row>
    <row r="95">
      <c r="A95" s="51">
        <f>IF($B95="","","CLI-"&amp;TEXT(ROW()-6,"0000"))</f>
        <v/>
      </c>
      <c r="B95" s="33" t="n"/>
      <c r="C95" s="33" t="n"/>
      <c r="D95" s="33" t="n"/>
      <c r="E95" s="33" t="n"/>
      <c r="F95" s="33" t="n"/>
      <c r="G95" s="53">
        <f>IF($B95="","",IF(COUNTIFS(tblVentas[Cliente],$B95)=0,"",SUMPRODUCT(MIN((tblVentas[Cliente]=$B95)*tblVentas[Fecha]+(tblVentas[Cliente]&lt;&gt;$B95)*99999))))</f>
        <v/>
      </c>
      <c r="H95" s="53">
        <f>IF($B95="","",IF(COUNTIFS(tblVentas[Cliente],$B95)=0,"",SUMPRODUCT(MAX((tblVentas[Cliente]=$B95)*tblVentas[Fecha]))))</f>
        <v/>
      </c>
      <c r="I95" s="39">
        <f>IF($B95="","",COUNTIFS(tblVentas[Cliente],$B95))</f>
        <v/>
      </c>
      <c r="J95" s="37">
        <f>IF($B95="","",SUMIFS(tblVentas[Venta neta],tblVentas[Cliente],$B95))</f>
        <v/>
      </c>
      <c r="K95" s="37">
        <f>IF($B95="","",SUMIFS(tblVentas[Utilidad bruta],tblVentas[Cliente],$B95))</f>
        <v/>
      </c>
      <c r="L95" s="37">
        <f>IF(OR($B95="",$I95=0),"",$J95/$I95)</f>
        <v/>
      </c>
      <c r="M95" s="37">
        <f>IF($B95="","",SUMIFS(tblVentas[Saldo por cobrar],tblVentas[Cliente],$B95))</f>
        <v/>
      </c>
      <c r="N95" s="39">
        <f>IF(OR($B95="",NOT(ISNUMBER($H95))),"",TODAY()-$H95)</f>
        <v/>
      </c>
      <c r="O95" s="51">
        <f>IF($B95="","",IF($I95=0,"SIN COMPRAS",IF($N95&lt;=30,"ACTIVO",IF($N95&lt;=60,"EN SEGUIMIENTO",IF($N95&lt;=120,"EN RIESGO","INACTIVO")))))</f>
        <v/>
      </c>
      <c r="P95" s="33" t="n"/>
      <c r="Q95" s="33" t="n"/>
      <c r="R95" s="51">
        <f>IF($B95="","",IF(IF(AND($B95&lt;&gt;"",COUNTIF(tblClientes[Nombre],$B95)&gt;1)," · NOMBRE DUPLICADO","")&amp;IF(AND($B95&lt;&gt;"",$C95="",$D95="")," · Sin teléfono ni email","")&amp;IF(AND(ISNUMBER($M95),$M95&gt;0)," · Tiene saldo por cobrar","")="","OK",MID(IF(AND($B95&lt;&gt;"",COUNTIF(tblClientes[Nombre],$B95)&gt;1)," · NOMBRE DUPLICADO","")&amp;IF(AND($B95&lt;&gt;"",$C95="",$D95="")," · Sin teléfono ni email","")&amp;IF(AND(ISNUMBER($M95),$M95&gt;0)," · Tiene saldo por cobrar",""),4,900)))</f>
        <v/>
      </c>
    </row>
    <row r="96">
      <c r="A96" s="51">
        <f>IF($B96="","","CLI-"&amp;TEXT(ROW()-6,"0000"))</f>
        <v/>
      </c>
      <c r="B96" s="33" t="n"/>
      <c r="C96" s="33" t="n"/>
      <c r="D96" s="33" t="n"/>
      <c r="E96" s="33" t="n"/>
      <c r="F96" s="33" t="n"/>
      <c r="G96" s="53">
        <f>IF($B96="","",IF(COUNTIFS(tblVentas[Cliente],$B96)=0,"",SUMPRODUCT(MIN((tblVentas[Cliente]=$B96)*tblVentas[Fecha]+(tblVentas[Cliente]&lt;&gt;$B96)*99999))))</f>
        <v/>
      </c>
      <c r="H96" s="53">
        <f>IF($B96="","",IF(COUNTIFS(tblVentas[Cliente],$B96)=0,"",SUMPRODUCT(MAX((tblVentas[Cliente]=$B96)*tblVentas[Fecha]))))</f>
        <v/>
      </c>
      <c r="I96" s="39">
        <f>IF($B96="","",COUNTIFS(tblVentas[Cliente],$B96))</f>
        <v/>
      </c>
      <c r="J96" s="37">
        <f>IF($B96="","",SUMIFS(tblVentas[Venta neta],tblVentas[Cliente],$B96))</f>
        <v/>
      </c>
      <c r="K96" s="37">
        <f>IF($B96="","",SUMIFS(tblVentas[Utilidad bruta],tblVentas[Cliente],$B96))</f>
        <v/>
      </c>
      <c r="L96" s="37">
        <f>IF(OR($B96="",$I96=0),"",$J96/$I96)</f>
        <v/>
      </c>
      <c r="M96" s="37">
        <f>IF($B96="","",SUMIFS(tblVentas[Saldo por cobrar],tblVentas[Cliente],$B96))</f>
        <v/>
      </c>
      <c r="N96" s="39">
        <f>IF(OR($B96="",NOT(ISNUMBER($H96))),"",TODAY()-$H96)</f>
        <v/>
      </c>
      <c r="O96" s="51">
        <f>IF($B96="","",IF($I96=0,"SIN COMPRAS",IF($N96&lt;=30,"ACTIVO",IF($N96&lt;=60,"EN SEGUIMIENTO",IF($N96&lt;=120,"EN RIESGO","INACTIVO")))))</f>
        <v/>
      </c>
      <c r="P96" s="33" t="n"/>
      <c r="Q96" s="33" t="n"/>
      <c r="R96" s="51">
        <f>IF($B96="","",IF(IF(AND($B96&lt;&gt;"",COUNTIF(tblClientes[Nombre],$B96)&gt;1)," · NOMBRE DUPLICADO","")&amp;IF(AND($B96&lt;&gt;"",$C96="",$D96="")," · Sin teléfono ni email","")&amp;IF(AND(ISNUMBER($M96),$M96&gt;0)," · Tiene saldo por cobrar","")="","OK",MID(IF(AND($B96&lt;&gt;"",COUNTIF(tblClientes[Nombre],$B96)&gt;1)," · NOMBRE DUPLICADO","")&amp;IF(AND($B96&lt;&gt;"",$C96="",$D96="")," · Sin teléfono ni email","")&amp;IF(AND(ISNUMBER($M96),$M96&gt;0)," · Tiene saldo por cobrar",""),4,900)))</f>
        <v/>
      </c>
    </row>
    <row r="97">
      <c r="A97" s="51">
        <f>IF($B97="","","CLI-"&amp;TEXT(ROW()-6,"0000"))</f>
        <v/>
      </c>
      <c r="B97" s="33" t="n"/>
      <c r="C97" s="33" t="n"/>
      <c r="D97" s="33" t="n"/>
      <c r="E97" s="33" t="n"/>
      <c r="F97" s="33" t="n"/>
      <c r="G97" s="53">
        <f>IF($B97="","",IF(COUNTIFS(tblVentas[Cliente],$B97)=0,"",SUMPRODUCT(MIN((tblVentas[Cliente]=$B97)*tblVentas[Fecha]+(tblVentas[Cliente]&lt;&gt;$B97)*99999))))</f>
        <v/>
      </c>
      <c r="H97" s="53">
        <f>IF($B97="","",IF(COUNTIFS(tblVentas[Cliente],$B97)=0,"",SUMPRODUCT(MAX((tblVentas[Cliente]=$B97)*tblVentas[Fecha]))))</f>
        <v/>
      </c>
      <c r="I97" s="39">
        <f>IF($B97="","",COUNTIFS(tblVentas[Cliente],$B97))</f>
        <v/>
      </c>
      <c r="J97" s="37">
        <f>IF($B97="","",SUMIFS(tblVentas[Venta neta],tblVentas[Cliente],$B97))</f>
        <v/>
      </c>
      <c r="K97" s="37">
        <f>IF($B97="","",SUMIFS(tblVentas[Utilidad bruta],tblVentas[Cliente],$B97))</f>
        <v/>
      </c>
      <c r="L97" s="37">
        <f>IF(OR($B97="",$I97=0),"",$J97/$I97)</f>
        <v/>
      </c>
      <c r="M97" s="37">
        <f>IF($B97="","",SUMIFS(tblVentas[Saldo por cobrar],tblVentas[Cliente],$B97))</f>
        <v/>
      </c>
      <c r="N97" s="39">
        <f>IF(OR($B97="",NOT(ISNUMBER($H97))),"",TODAY()-$H97)</f>
        <v/>
      </c>
      <c r="O97" s="51">
        <f>IF($B97="","",IF($I97=0,"SIN COMPRAS",IF($N97&lt;=30,"ACTIVO",IF($N97&lt;=60,"EN SEGUIMIENTO",IF($N97&lt;=120,"EN RIESGO","INACTIVO")))))</f>
        <v/>
      </c>
      <c r="P97" s="33" t="n"/>
      <c r="Q97" s="33" t="n"/>
      <c r="R97" s="51">
        <f>IF($B97="","",IF(IF(AND($B97&lt;&gt;"",COUNTIF(tblClientes[Nombre],$B97)&gt;1)," · NOMBRE DUPLICADO","")&amp;IF(AND($B97&lt;&gt;"",$C97="",$D97="")," · Sin teléfono ni email","")&amp;IF(AND(ISNUMBER($M97),$M97&gt;0)," · Tiene saldo por cobrar","")="","OK",MID(IF(AND($B97&lt;&gt;"",COUNTIF(tblClientes[Nombre],$B97)&gt;1)," · NOMBRE DUPLICADO","")&amp;IF(AND($B97&lt;&gt;"",$C97="",$D97="")," · Sin teléfono ni email","")&amp;IF(AND(ISNUMBER($M97),$M97&gt;0)," · Tiene saldo por cobrar",""),4,900)))</f>
        <v/>
      </c>
    </row>
    <row r="98">
      <c r="A98" s="51">
        <f>IF($B98="","","CLI-"&amp;TEXT(ROW()-6,"0000"))</f>
        <v/>
      </c>
      <c r="B98" s="33" t="n"/>
      <c r="C98" s="33" t="n"/>
      <c r="D98" s="33" t="n"/>
      <c r="E98" s="33" t="n"/>
      <c r="F98" s="33" t="n"/>
      <c r="G98" s="53">
        <f>IF($B98="","",IF(COUNTIFS(tblVentas[Cliente],$B98)=0,"",SUMPRODUCT(MIN((tblVentas[Cliente]=$B98)*tblVentas[Fecha]+(tblVentas[Cliente]&lt;&gt;$B98)*99999))))</f>
        <v/>
      </c>
      <c r="H98" s="53">
        <f>IF($B98="","",IF(COUNTIFS(tblVentas[Cliente],$B98)=0,"",SUMPRODUCT(MAX((tblVentas[Cliente]=$B98)*tblVentas[Fecha]))))</f>
        <v/>
      </c>
      <c r="I98" s="39">
        <f>IF($B98="","",COUNTIFS(tblVentas[Cliente],$B98))</f>
        <v/>
      </c>
      <c r="J98" s="37">
        <f>IF($B98="","",SUMIFS(tblVentas[Venta neta],tblVentas[Cliente],$B98))</f>
        <v/>
      </c>
      <c r="K98" s="37">
        <f>IF($B98="","",SUMIFS(tblVentas[Utilidad bruta],tblVentas[Cliente],$B98))</f>
        <v/>
      </c>
      <c r="L98" s="37">
        <f>IF(OR($B98="",$I98=0),"",$J98/$I98)</f>
        <v/>
      </c>
      <c r="M98" s="37">
        <f>IF($B98="","",SUMIFS(tblVentas[Saldo por cobrar],tblVentas[Cliente],$B98))</f>
        <v/>
      </c>
      <c r="N98" s="39">
        <f>IF(OR($B98="",NOT(ISNUMBER($H98))),"",TODAY()-$H98)</f>
        <v/>
      </c>
      <c r="O98" s="51">
        <f>IF($B98="","",IF($I98=0,"SIN COMPRAS",IF($N98&lt;=30,"ACTIVO",IF($N98&lt;=60,"EN SEGUIMIENTO",IF($N98&lt;=120,"EN RIESGO","INACTIVO")))))</f>
        <v/>
      </c>
      <c r="P98" s="33" t="n"/>
      <c r="Q98" s="33" t="n"/>
      <c r="R98" s="51">
        <f>IF($B98="","",IF(IF(AND($B98&lt;&gt;"",COUNTIF(tblClientes[Nombre],$B98)&gt;1)," · NOMBRE DUPLICADO","")&amp;IF(AND($B98&lt;&gt;"",$C98="",$D98="")," · Sin teléfono ni email","")&amp;IF(AND(ISNUMBER($M98),$M98&gt;0)," · Tiene saldo por cobrar","")="","OK",MID(IF(AND($B98&lt;&gt;"",COUNTIF(tblClientes[Nombre],$B98)&gt;1)," · NOMBRE DUPLICADO","")&amp;IF(AND($B98&lt;&gt;"",$C98="",$D98="")," · Sin teléfono ni email","")&amp;IF(AND(ISNUMBER($M98),$M98&gt;0)," · Tiene saldo por cobrar",""),4,900)))</f>
        <v/>
      </c>
    </row>
    <row r="99">
      <c r="A99" s="51">
        <f>IF($B99="","","CLI-"&amp;TEXT(ROW()-6,"0000"))</f>
        <v/>
      </c>
      <c r="B99" s="33" t="n"/>
      <c r="C99" s="33" t="n"/>
      <c r="D99" s="33" t="n"/>
      <c r="E99" s="33" t="n"/>
      <c r="F99" s="33" t="n"/>
      <c r="G99" s="53">
        <f>IF($B99="","",IF(COUNTIFS(tblVentas[Cliente],$B99)=0,"",SUMPRODUCT(MIN((tblVentas[Cliente]=$B99)*tblVentas[Fecha]+(tblVentas[Cliente]&lt;&gt;$B99)*99999))))</f>
        <v/>
      </c>
      <c r="H99" s="53">
        <f>IF($B99="","",IF(COUNTIFS(tblVentas[Cliente],$B99)=0,"",SUMPRODUCT(MAX((tblVentas[Cliente]=$B99)*tblVentas[Fecha]))))</f>
        <v/>
      </c>
      <c r="I99" s="39">
        <f>IF($B99="","",COUNTIFS(tblVentas[Cliente],$B99))</f>
        <v/>
      </c>
      <c r="J99" s="37">
        <f>IF($B99="","",SUMIFS(tblVentas[Venta neta],tblVentas[Cliente],$B99))</f>
        <v/>
      </c>
      <c r="K99" s="37">
        <f>IF($B99="","",SUMIFS(tblVentas[Utilidad bruta],tblVentas[Cliente],$B99))</f>
        <v/>
      </c>
      <c r="L99" s="37">
        <f>IF(OR($B99="",$I99=0),"",$J99/$I99)</f>
        <v/>
      </c>
      <c r="M99" s="37">
        <f>IF($B99="","",SUMIFS(tblVentas[Saldo por cobrar],tblVentas[Cliente],$B99))</f>
        <v/>
      </c>
      <c r="N99" s="39">
        <f>IF(OR($B99="",NOT(ISNUMBER($H99))),"",TODAY()-$H99)</f>
        <v/>
      </c>
      <c r="O99" s="51">
        <f>IF($B99="","",IF($I99=0,"SIN COMPRAS",IF($N99&lt;=30,"ACTIVO",IF($N99&lt;=60,"EN SEGUIMIENTO",IF($N99&lt;=120,"EN RIESGO","INACTIVO")))))</f>
        <v/>
      </c>
      <c r="P99" s="33" t="n"/>
      <c r="Q99" s="33" t="n"/>
      <c r="R99" s="51">
        <f>IF($B99="","",IF(IF(AND($B99&lt;&gt;"",COUNTIF(tblClientes[Nombre],$B99)&gt;1)," · NOMBRE DUPLICADO","")&amp;IF(AND($B99&lt;&gt;"",$C99="",$D99="")," · Sin teléfono ni email","")&amp;IF(AND(ISNUMBER($M99),$M99&gt;0)," · Tiene saldo por cobrar","")="","OK",MID(IF(AND($B99&lt;&gt;"",COUNTIF(tblClientes[Nombre],$B99)&gt;1)," · NOMBRE DUPLICADO","")&amp;IF(AND($B99&lt;&gt;"",$C99="",$D99="")," · Sin teléfono ni email","")&amp;IF(AND(ISNUMBER($M99),$M99&gt;0)," · Tiene saldo por cobrar",""),4,900)))</f>
        <v/>
      </c>
    </row>
    <row r="100">
      <c r="A100" s="51">
        <f>IF($B100="","","CLI-"&amp;TEXT(ROW()-6,"0000"))</f>
        <v/>
      </c>
      <c r="B100" s="33" t="n"/>
      <c r="C100" s="33" t="n"/>
      <c r="D100" s="33" t="n"/>
      <c r="E100" s="33" t="n"/>
      <c r="F100" s="33" t="n"/>
      <c r="G100" s="53">
        <f>IF($B100="","",IF(COUNTIFS(tblVentas[Cliente],$B100)=0,"",SUMPRODUCT(MIN((tblVentas[Cliente]=$B100)*tblVentas[Fecha]+(tblVentas[Cliente]&lt;&gt;$B100)*99999))))</f>
        <v/>
      </c>
      <c r="H100" s="53">
        <f>IF($B100="","",IF(COUNTIFS(tblVentas[Cliente],$B100)=0,"",SUMPRODUCT(MAX((tblVentas[Cliente]=$B100)*tblVentas[Fecha]))))</f>
        <v/>
      </c>
      <c r="I100" s="39">
        <f>IF($B100="","",COUNTIFS(tblVentas[Cliente],$B100))</f>
        <v/>
      </c>
      <c r="J100" s="37">
        <f>IF($B100="","",SUMIFS(tblVentas[Venta neta],tblVentas[Cliente],$B100))</f>
        <v/>
      </c>
      <c r="K100" s="37">
        <f>IF($B100="","",SUMIFS(tblVentas[Utilidad bruta],tblVentas[Cliente],$B100))</f>
        <v/>
      </c>
      <c r="L100" s="37">
        <f>IF(OR($B100="",$I100=0),"",$J100/$I100)</f>
        <v/>
      </c>
      <c r="M100" s="37">
        <f>IF($B100="","",SUMIFS(tblVentas[Saldo por cobrar],tblVentas[Cliente],$B100))</f>
        <v/>
      </c>
      <c r="N100" s="39">
        <f>IF(OR($B100="",NOT(ISNUMBER($H100))),"",TODAY()-$H100)</f>
        <v/>
      </c>
      <c r="O100" s="51">
        <f>IF($B100="","",IF($I100=0,"SIN COMPRAS",IF($N100&lt;=30,"ACTIVO",IF($N100&lt;=60,"EN SEGUIMIENTO",IF($N100&lt;=120,"EN RIESGO","INACTIVO")))))</f>
        <v/>
      </c>
      <c r="P100" s="33" t="n"/>
      <c r="Q100" s="33" t="n"/>
      <c r="R100" s="51">
        <f>IF($B100="","",IF(IF(AND($B100&lt;&gt;"",COUNTIF(tblClientes[Nombre],$B100)&gt;1)," · NOMBRE DUPLICADO","")&amp;IF(AND($B100&lt;&gt;"",$C100="",$D100="")," · Sin teléfono ni email","")&amp;IF(AND(ISNUMBER($M100),$M100&gt;0)," · Tiene saldo por cobrar","")="","OK",MID(IF(AND($B100&lt;&gt;"",COUNTIF(tblClientes[Nombre],$B100)&gt;1)," · NOMBRE DUPLICADO","")&amp;IF(AND($B100&lt;&gt;"",$C100="",$D100="")," · Sin teléfono ni email","")&amp;IF(AND(ISNUMBER($M100),$M100&gt;0)," · Tiene saldo por cobrar",""),4,900)))</f>
        <v/>
      </c>
    </row>
    <row r="101">
      <c r="A101" s="51">
        <f>IF($B101="","","CLI-"&amp;TEXT(ROW()-6,"0000"))</f>
        <v/>
      </c>
      <c r="B101" s="33" t="n"/>
      <c r="C101" s="33" t="n"/>
      <c r="D101" s="33" t="n"/>
      <c r="E101" s="33" t="n"/>
      <c r="F101" s="33" t="n"/>
      <c r="G101" s="53">
        <f>IF($B101="","",IF(COUNTIFS(tblVentas[Cliente],$B101)=0,"",SUMPRODUCT(MIN((tblVentas[Cliente]=$B101)*tblVentas[Fecha]+(tblVentas[Cliente]&lt;&gt;$B101)*99999))))</f>
        <v/>
      </c>
      <c r="H101" s="53">
        <f>IF($B101="","",IF(COUNTIFS(tblVentas[Cliente],$B101)=0,"",SUMPRODUCT(MAX((tblVentas[Cliente]=$B101)*tblVentas[Fecha]))))</f>
        <v/>
      </c>
      <c r="I101" s="39">
        <f>IF($B101="","",COUNTIFS(tblVentas[Cliente],$B101))</f>
        <v/>
      </c>
      <c r="J101" s="37">
        <f>IF($B101="","",SUMIFS(tblVentas[Venta neta],tblVentas[Cliente],$B101))</f>
        <v/>
      </c>
      <c r="K101" s="37">
        <f>IF($B101="","",SUMIFS(tblVentas[Utilidad bruta],tblVentas[Cliente],$B101))</f>
        <v/>
      </c>
      <c r="L101" s="37">
        <f>IF(OR($B101="",$I101=0),"",$J101/$I101)</f>
        <v/>
      </c>
      <c r="M101" s="37">
        <f>IF($B101="","",SUMIFS(tblVentas[Saldo por cobrar],tblVentas[Cliente],$B101))</f>
        <v/>
      </c>
      <c r="N101" s="39">
        <f>IF(OR($B101="",NOT(ISNUMBER($H101))),"",TODAY()-$H101)</f>
        <v/>
      </c>
      <c r="O101" s="51">
        <f>IF($B101="","",IF($I101=0,"SIN COMPRAS",IF($N101&lt;=30,"ACTIVO",IF($N101&lt;=60,"EN SEGUIMIENTO",IF($N101&lt;=120,"EN RIESGO","INACTIVO")))))</f>
        <v/>
      </c>
      <c r="P101" s="33" t="n"/>
      <c r="Q101" s="33" t="n"/>
      <c r="R101" s="51">
        <f>IF($B101="","",IF(IF(AND($B101&lt;&gt;"",COUNTIF(tblClientes[Nombre],$B101)&gt;1)," · NOMBRE DUPLICADO","")&amp;IF(AND($B101&lt;&gt;"",$C101="",$D101="")," · Sin teléfono ni email","")&amp;IF(AND(ISNUMBER($M101),$M101&gt;0)," · Tiene saldo por cobrar","")="","OK",MID(IF(AND($B101&lt;&gt;"",COUNTIF(tblClientes[Nombre],$B101)&gt;1)," · NOMBRE DUPLICADO","")&amp;IF(AND($B101&lt;&gt;"",$C101="",$D101="")," · Sin teléfono ni email","")&amp;IF(AND(ISNUMBER($M101),$M101&gt;0)," · Tiene saldo por cobrar",""),4,900)))</f>
        <v/>
      </c>
    </row>
    <row r="102">
      <c r="A102" s="51">
        <f>IF($B102="","","CLI-"&amp;TEXT(ROW()-6,"0000"))</f>
        <v/>
      </c>
      <c r="B102" s="33" t="n"/>
      <c r="C102" s="33" t="n"/>
      <c r="D102" s="33" t="n"/>
      <c r="E102" s="33" t="n"/>
      <c r="F102" s="33" t="n"/>
      <c r="G102" s="53">
        <f>IF($B102="","",IF(COUNTIFS(tblVentas[Cliente],$B102)=0,"",SUMPRODUCT(MIN((tblVentas[Cliente]=$B102)*tblVentas[Fecha]+(tblVentas[Cliente]&lt;&gt;$B102)*99999))))</f>
        <v/>
      </c>
      <c r="H102" s="53">
        <f>IF($B102="","",IF(COUNTIFS(tblVentas[Cliente],$B102)=0,"",SUMPRODUCT(MAX((tblVentas[Cliente]=$B102)*tblVentas[Fecha]))))</f>
        <v/>
      </c>
      <c r="I102" s="39">
        <f>IF($B102="","",COUNTIFS(tblVentas[Cliente],$B102))</f>
        <v/>
      </c>
      <c r="J102" s="37">
        <f>IF($B102="","",SUMIFS(tblVentas[Venta neta],tblVentas[Cliente],$B102))</f>
        <v/>
      </c>
      <c r="K102" s="37">
        <f>IF($B102="","",SUMIFS(tblVentas[Utilidad bruta],tblVentas[Cliente],$B102))</f>
        <v/>
      </c>
      <c r="L102" s="37">
        <f>IF(OR($B102="",$I102=0),"",$J102/$I102)</f>
        <v/>
      </c>
      <c r="M102" s="37">
        <f>IF($B102="","",SUMIFS(tblVentas[Saldo por cobrar],tblVentas[Cliente],$B102))</f>
        <v/>
      </c>
      <c r="N102" s="39">
        <f>IF(OR($B102="",NOT(ISNUMBER($H102))),"",TODAY()-$H102)</f>
        <v/>
      </c>
      <c r="O102" s="51">
        <f>IF($B102="","",IF($I102=0,"SIN COMPRAS",IF($N102&lt;=30,"ACTIVO",IF($N102&lt;=60,"EN SEGUIMIENTO",IF($N102&lt;=120,"EN RIESGO","INACTIVO")))))</f>
        <v/>
      </c>
      <c r="P102" s="33" t="n"/>
      <c r="Q102" s="33" t="n"/>
      <c r="R102" s="51">
        <f>IF($B102="","",IF(IF(AND($B102&lt;&gt;"",COUNTIF(tblClientes[Nombre],$B102)&gt;1)," · NOMBRE DUPLICADO","")&amp;IF(AND($B102&lt;&gt;"",$C102="",$D102="")," · Sin teléfono ni email","")&amp;IF(AND(ISNUMBER($M102),$M102&gt;0)," · Tiene saldo por cobrar","")="","OK",MID(IF(AND($B102&lt;&gt;"",COUNTIF(tblClientes[Nombre],$B102)&gt;1)," · NOMBRE DUPLICADO","")&amp;IF(AND($B102&lt;&gt;"",$C102="",$D102="")," · Sin teléfono ni email","")&amp;IF(AND(ISNUMBER($M102),$M102&gt;0)," · Tiene saldo por cobrar",""),4,900)))</f>
        <v/>
      </c>
    </row>
    <row r="103">
      <c r="A103" s="51">
        <f>IF($B103="","","CLI-"&amp;TEXT(ROW()-6,"0000"))</f>
        <v/>
      </c>
      <c r="B103" s="33" t="n"/>
      <c r="C103" s="33" t="n"/>
      <c r="D103" s="33" t="n"/>
      <c r="E103" s="33" t="n"/>
      <c r="F103" s="33" t="n"/>
      <c r="G103" s="53">
        <f>IF($B103="","",IF(COUNTIFS(tblVentas[Cliente],$B103)=0,"",SUMPRODUCT(MIN((tblVentas[Cliente]=$B103)*tblVentas[Fecha]+(tblVentas[Cliente]&lt;&gt;$B103)*99999))))</f>
        <v/>
      </c>
      <c r="H103" s="53">
        <f>IF($B103="","",IF(COUNTIFS(tblVentas[Cliente],$B103)=0,"",SUMPRODUCT(MAX((tblVentas[Cliente]=$B103)*tblVentas[Fecha]))))</f>
        <v/>
      </c>
      <c r="I103" s="39">
        <f>IF($B103="","",COUNTIFS(tblVentas[Cliente],$B103))</f>
        <v/>
      </c>
      <c r="J103" s="37">
        <f>IF($B103="","",SUMIFS(tblVentas[Venta neta],tblVentas[Cliente],$B103))</f>
        <v/>
      </c>
      <c r="K103" s="37">
        <f>IF($B103="","",SUMIFS(tblVentas[Utilidad bruta],tblVentas[Cliente],$B103))</f>
        <v/>
      </c>
      <c r="L103" s="37">
        <f>IF(OR($B103="",$I103=0),"",$J103/$I103)</f>
        <v/>
      </c>
      <c r="M103" s="37">
        <f>IF($B103="","",SUMIFS(tblVentas[Saldo por cobrar],tblVentas[Cliente],$B103))</f>
        <v/>
      </c>
      <c r="N103" s="39">
        <f>IF(OR($B103="",NOT(ISNUMBER($H103))),"",TODAY()-$H103)</f>
        <v/>
      </c>
      <c r="O103" s="51">
        <f>IF($B103="","",IF($I103=0,"SIN COMPRAS",IF($N103&lt;=30,"ACTIVO",IF($N103&lt;=60,"EN SEGUIMIENTO",IF($N103&lt;=120,"EN RIESGO","INACTIVO")))))</f>
        <v/>
      </c>
      <c r="P103" s="33" t="n"/>
      <c r="Q103" s="33" t="n"/>
      <c r="R103" s="51">
        <f>IF($B103="","",IF(IF(AND($B103&lt;&gt;"",COUNTIF(tblClientes[Nombre],$B103)&gt;1)," · NOMBRE DUPLICADO","")&amp;IF(AND($B103&lt;&gt;"",$C103="",$D103="")," · Sin teléfono ni email","")&amp;IF(AND(ISNUMBER($M103),$M103&gt;0)," · Tiene saldo por cobrar","")="","OK",MID(IF(AND($B103&lt;&gt;"",COUNTIF(tblClientes[Nombre],$B103)&gt;1)," · NOMBRE DUPLICADO","")&amp;IF(AND($B103&lt;&gt;"",$C103="",$D103="")," · Sin teléfono ni email","")&amp;IF(AND(ISNUMBER($M103),$M103&gt;0)," · Tiene saldo por cobrar",""),4,900)))</f>
        <v/>
      </c>
    </row>
    <row r="104">
      <c r="A104" s="51">
        <f>IF($B104="","","CLI-"&amp;TEXT(ROW()-6,"0000"))</f>
        <v/>
      </c>
      <c r="B104" s="33" t="n"/>
      <c r="C104" s="33" t="n"/>
      <c r="D104" s="33" t="n"/>
      <c r="E104" s="33" t="n"/>
      <c r="F104" s="33" t="n"/>
      <c r="G104" s="53">
        <f>IF($B104="","",IF(COUNTIFS(tblVentas[Cliente],$B104)=0,"",SUMPRODUCT(MIN((tblVentas[Cliente]=$B104)*tblVentas[Fecha]+(tblVentas[Cliente]&lt;&gt;$B104)*99999))))</f>
        <v/>
      </c>
      <c r="H104" s="53">
        <f>IF($B104="","",IF(COUNTIFS(tblVentas[Cliente],$B104)=0,"",SUMPRODUCT(MAX((tblVentas[Cliente]=$B104)*tblVentas[Fecha]))))</f>
        <v/>
      </c>
      <c r="I104" s="39">
        <f>IF($B104="","",COUNTIFS(tblVentas[Cliente],$B104))</f>
        <v/>
      </c>
      <c r="J104" s="37">
        <f>IF($B104="","",SUMIFS(tblVentas[Venta neta],tblVentas[Cliente],$B104))</f>
        <v/>
      </c>
      <c r="K104" s="37">
        <f>IF($B104="","",SUMIFS(tblVentas[Utilidad bruta],tblVentas[Cliente],$B104))</f>
        <v/>
      </c>
      <c r="L104" s="37">
        <f>IF(OR($B104="",$I104=0),"",$J104/$I104)</f>
        <v/>
      </c>
      <c r="M104" s="37">
        <f>IF($B104="","",SUMIFS(tblVentas[Saldo por cobrar],tblVentas[Cliente],$B104))</f>
        <v/>
      </c>
      <c r="N104" s="39">
        <f>IF(OR($B104="",NOT(ISNUMBER($H104))),"",TODAY()-$H104)</f>
        <v/>
      </c>
      <c r="O104" s="51">
        <f>IF($B104="","",IF($I104=0,"SIN COMPRAS",IF($N104&lt;=30,"ACTIVO",IF($N104&lt;=60,"EN SEGUIMIENTO",IF($N104&lt;=120,"EN RIESGO","INACTIVO")))))</f>
        <v/>
      </c>
      <c r="P104" s="33" t="n"/>
      <c r="Q104" s="33" t="n"/>
      <c r="R104" s="51">
        <f>IF($B104="","",IF(IF(AND($B104&lt;&gt;"",COUNTIF(tblClientes[Nombre],$B104)&gt;1)," · NOMBRE DUPLICADO","")&amp;IF(AND($B104&lt;&gt;"",$C104="",$D104="")," · Sin teléfono ni email","")&amp;IF(AND(ISNUMBER($M104),$M104&gt;0)," · Tiene saldo por cobrar","")="","OK",MID(IF(AND($B104&lt;&gt;"",COUNTIF(tblClientes[Nombre],$B104)&gt;1)," · NOMBRE DUPLICADO","")&amp;IF(AND($B104&lt;&gt;"",$C104="",$D104="")," · Sin teléfono ni email","")&amp;IF(AND(ISNUMBER($M104),$M104&gt;0)," · Tiene saldo por cobrar",""),4,900)))</f>
        <v/>
      </c>
    </row>
    <row r="105">
      <c r="A105" s="51">
        <f>IF($B105="","","CLI-"&amp;TEXT(ROW()-6,"0000"))</f>
        <v/>
      </c>
      <c r="B105" s="33" t="n"/>
      <c r="C105" s="33" t="n"/>
      <c r="D105" s="33" t="n"/>
      <c r="E105" s="33" t="n"/>
      <c r="F105" s="33" t="n"/>
      <c r="G105" s="53">
        <f>IF($B105="","",IF(COUNTIFS(tblVentas[Cliente],$B105)=0,"",SUMPRODUCT(MIN((tblVentas[Cliente]=$B105)*tblVentas[Fecha]+(tblVentas[Cliente]&lt;&gt;$B105)*99999))))</f>
        <v/>
      </c>
      <c r="H105" s="53">
        <f>IF($B105="","",IF(COUNTIFS(tblVentas[Cliente],$B105)=0,"",SUMPRODUCT(MAX((tblVentas[Cliente]=$B105)*tblVentas[Fecha]))))</f>
        <v/>
      </c>
      <c r="I105" s="39">
        <f>IF($B105="","",COUNTIFS(tblVentas[Cliente],$B105))</f>
        <v/>
      </c>
      <c r="J105" s="37">
        <f>IF($B105="","",SUMIFS(tblVentas[Venta neta],tblVentas[Cliente],$B105))</f>
        <v/>
      </c>
      <c r="K105" s="37">
        <f>IF($B105="","",SUMIFS(tblVentas[Utilidad bruta],tblVentas[Cliente],$B105))</f>
        <v/>
      </c>
      <c r="L105" s="37">
        <f>IF(OR($B105="",$I105=0),"",$J105/$I105)</f>
        <v/>
      </c>
      <c r="M105" s="37">
        <f>IF($B105="","",SUMIFS(tblVentas[Saldo por cobrar],tblVentas[Cliente],$B105))</f>
        <v/>
      </c>
      <c r="N105" s="39">
        <f>IF(OR($B105="",NOT(ISNUMBER($H105))),"",TODAY()-$H105)</f>
        <v/>
      </c>
      <c r="O105" s="51">
        <f>IF($B105="","",IF($I105=0,"SIN COMPRAS",IF($N105&lt;=30,"ACTIVO",IF($N105&lt;=60,"EN SEGUIMIENTO",IF($N105&lt;=120,"EN RIESGO","INACTIVO")))))</f>
        <v/>
      </c>
      <c r="P105" s="33" t="n"/>
      <c r="Q105" s="33" t="n"/>
      <c r="R105" s="51">
        <f>IF($B105="","",IF(IF(AND($B105&lt;&gt;"",COUNTIF(tblClientes[Nombre],$B105)&gt;1)," · NOMBRE DUPLICADO","")&amp;IF(AND($B105&lt;&gt;"",$C105="",$D105="")," · Sin teléfono ni email","")&amp;IF(AND(ISNUMBER($M105),$M105&gt;0)," · Tiene saldo por cobrar","")="","OK",MID(IF(AND($B105&lt;&gt;"",COUNTIF(tblClientes[Nombre],$B105)&gt;1)," · NOMBRE DUPLICADO","")&amp;IF(AND($B105&lt;&gt;"",$C105="",$D105="")," · Sin teléfono ni email","")&amp;IF(AND(ISNUMBER($M105),$M105&gt;0)," · Tiene saldo por cobrar",""),4,900)))</f>
        <v/>
      </c>
    </row>
    <row r="106">
      <c r="A106" s="51">
        <f>IF($B106="","","CLI-"&amp;TEXT(ROW()-6,"0000"))</f>
        <v/>
      </c>
      <c r="B106" s="33" t="n"/>
      <c r="C106" s="33" t="n"/>
      <c r="D106" s="33" t="n"/>
      <c r="E106" s="33" t="n"/>
      <c r="F106" s="33" t="n"/>
      <c r="G106" s="53">
        <f>IF($B106="","",IF(COUNTIFS(tblVentas[Cliente],$B106)=0,"",SUMPRODUCT(MIN((tblVentas[Cliente]=$B106)*tblVentas[Fecha]+(tblVentas[Cliente]&lt;&gt;$B106)*99999))))</f>
        <v/>
      </c>
      <c r="H106" s="53">
        <f>IF($B106="","",IF(COUNTIFS(tblVentas[Cliente],$B106)=0,"",SUMPRODUCT(MAX((tblVentas[Cliente]=$B106)*tblVentas[Fecha]))))</f>
        <v/>
      </c>
      <c r="I106" s="39">
        <f>IF($B106="","",COUNTIFS(tblVentas[Cliente],$B106))</f>
        <v/>
      </c>
      <c r="J106" s="37">
        <f>IF($B106="","",SUMIFS(tblVentas[Venta neta],tblVentas[Cliente],$B106))</f>
        <v/>
      </c>
      <c r="K106" s="37">
        <f>IF($B106="","",SUMIFS(tblVentas[Utilidad bruta],tblVentas[Cliente],$B106))</f>
        <v/>
      </c>
      <c r="L106" s="37">
        <f>IF(OR($B106="",$I106=0),"",$J106/$I106)</f>
        <v/>
      </c>
      <c r="M106" s="37">
        <f>IF($B106="","",SUMIFS(tblVentas[Saldo por cobrar],tblVentas[Cliente],$B106))</f>
        <v/>
      </c>
      <c r="N106" s="39">
        <f>IF(OR($B106="",NOT(ISNUMBER($H106))),"",TODAY()-$H106)</f>
        <v/>
      </c>
      <c r="O106" s="51">
        <f>IF($B106="","",IF($I106=0,"SIN COMPRAS",IF($N106&lt;=30,"ACTIVO",IF($N106&lt;=60,"EN SEGUIMIENTO",IF($N106&lt;=120,"EN RIESGO","INACTIVO")))))</f>
        <v/>
      </c>
      <c r="P106" s="33" t="n"/>
      <c r="Q106" s="33" t="n"/>
      <c r="R106" s="51">
        <f>IF($B106="","",IF(IF(AND($B106&lt;&gt;"",COUNTIF(tblClientes[Nombre],$B106)&gt;1)," · NOMBRE DUPLICADO","")&amp;IF(AND($B106&lt;&gt;"",$C106="",$D106="")," · Sin teléfono ni email","")&amp;IF(AND(ISNUMBER($M106),$M106&gt;0)," · Tiene saldo por cobrar","")="","OK",MID(IF(AND($B106&lt;&gt;"",COUNTIF(tblClientes[Nombre],$B106)&gt;1)," · NOMBRE DUPLICADO","")&amp;IF(AND($B106&lt;&gt;"",$C106="",$D106="")," · Sin teléfono ni email","")&amp;IF(AND(ISNUMBER($M106),$M106&gt;0)," · Tiene saldo por cobrar",""),4,900)))</f>
        <v/>
      </c>
    </row>
    <row r="107">
      <c r="A107" s="51">
        <f>IF($B107="","","CLI-"&amp;TEXT(ROW()-6,"0000"))</f>
        <v/>
      </c>
      <c r="B107" s="33" t="n"/>
      <c r="C107" s="33" t="n"/>
      <c r="D107" s="33" t="n"/>
      <c r="E107" s="33" t="n"/>
      <c r="F107" s="33" t="n"/>
      <c r="G107" s="53">
        <f>IF($B107="","",IF(COUNTIFS(tblVentas[Cliente],$B107)=0,"",SUMPRODUCT(MIN((tblVentas[Cliente]=$B107)*tblVentas[Fecha]+(tblVentas[Cliente]&lt;&gt;$B107)*99999))))</f>
        <v/>
      </c>
      <c r="H107" s="53">
        <f>IF($B107="","",IF(COUNTIFS(tblVentas[Cliente],$B107)=0,"",SUMPRODUCT(MAX((tblVentas[Cliente]=$B107)*tblVentas[Fecha]))))</f>
        <v/>
      </c>
      <c r="I107" s="39">
        <f>IF($B107="","",COUNTIFS(tblVentas[Cliente],$B107))</f>
        <v/>
      </c>
      <c r="J107" s="37">
        <f>IF($B107="","",SUMIFS(tblVentas[Venta neta],tblVentas[Cliente],$B107))</f>
        <v/>
      </c>
      <c r="K107" s="37">
        <f>IF($B107="","",SUMIFS(tblVentas[Utilidad bruta],tblVentas[Cliente],$B107))</f>
        <v/>
      </c>
      <c r="L107" s="37">
        <f>IF(OR($B107="",$I107=0),"",$J107/$I107)</f>
        <v/>
      </c>
      <c r="M107" s="37">
        <f>IF($B107="","",SUMIFS(tblVentas[Saldo por cobrar],tblVentas[Cliente],$B107))</f>
        <v/>
      </c>
      <c r="N107" s="39">
        <f>IF(OR($B107="",NOT(ISNUMBER($H107))),"",TODAY()-$H107)</f>
        <v/>
      </c>
      <c r="O107" s="51">
        <f>IF($B107="","",IF($I107=0,"SIN COMPRAS",IF($N107&lt;=30,"ACTIVO",IF($N107&lt;=60,"EN SEGUIMIENTO",IF($N107&lt;=120,"EN RIESGO","INACTIVO")))))</f>
        <v/>
      </c>
      <c r="P107" s="33" t="n"/>
      <c r="Q107" s="33" t="n"/>
      <c r="R107" s="51">
        <f>IF($B107="","",IF(IF(AND($B107&lt;&gt;"",COUNTIF(tblClientes[Nombre],$B107)&gt;1)," · NOMBRE DUPLICADO","")&amp;IF(AND($B107&lt;&gt;"",$C107="",$D107="")," · Sin teléfono ni email","")&amp;IF(AND(ISNUMBER($M107),$M107&gt;0)," · Tiene saldo por cobrar","")="","OK",MID(IF(AND($B107&lt;&gt;"",COUNTIF(tblClientes[Nombre],$B107)&gt;1)," · NOMBRE DUPLICADO","")&amp;IF(AND($B107&lt;&gt;"",$C107="",$D107="")," · Sin teléfono ni email","")&amp;IF(AND(ISNUMBER($M107),$M107&gt;0)," · Tiene saldo por cobrar",""),4,900)))</f>
        <v/>
      </c>
    </row>
    <row r="108">
      <c r="A108" s="51">
        <f>IF($B108="","","CLI-"&amp;TEXT(ROW()-6,"0000"))</f>
        <v/>
      </c>
      <c r="B108" s="33" t="n"/>
      <c r="C108" s="33" t="n"/>
      <c r="D108" s="33" t="n"/>
      <c r="E108" s="33" t="n"/>
      <c r="F108" s="33" t="n"/>
      <c r="G108" s="53">
        <f>IF($B108="","",IF(COUNTIFS(tblVentas[Cliente],$B108)=0,"",SUMPRODUCT(MIN((tblVentas[Cliente]=$B108)*tblVentas[Fecha]+(tblVentas[Cliente]&lt;&gt;$B108)*99999))))</f>
        <v/>
      </c>
      <c r="H108" s="53">
        <f>IF($B108="","",IF(COUNTIFS(tblVentas[Cliente],$B108)=0,"",SUMPRODUCT(MAX((tblVentas[Cliente]=$B108)*tblVentas[Fecha]))))</f>
        <v/>
      </c>
      <c r="I108" s="39">
        <f>IF($B108="","",COUNTIFS(tblVentas[Cliente],$B108))</f>
        <v/>
      </c>
      <c r="J108" s="37">
        <f>IF($B108="","",SUMIFS(tblVentas[Venta neta],tblVentas[Cliente],$B108))</f>
        <v/>
      </c>
      <c r="K108" s="37">
        <f>IF($B108="","",SUMIFS(tblVentas[Utilidad bruta],tblVentas[Cliente],$B108))</f>
        <v/>
      </c>
      <c r="L108" s="37">
        <f>IF(OR($B108="",$I108=0),"",$J108/$I108)</f>
        <v/>
      </c>
      <c r="M108" s="37">
        <f>IF($B108="","",SUMIFS(tblVentas[Saldo por cobrar],tblVentas[Cliente],$B108))</f>
        <v/>
      </c>
      <c r="N108" s="39">
        <f>IF(OR($B108="",NOT(ISNUMBER($H108))),"",TODAY()-$H108)</f>
        <v/>
      </c>
      <c r="O108" s="51">
        <f>IF($B108="","",IF($I108=0,"SIN COMPRAS",IF($N108&lt;=30,"ACTIVO",IF($N108&lt;=60,"EN SEGUIMIENTO",IF($N108&lt;=120,"EN RIESGO","INACTIVO")))))</f>
        <v/>
      </c>
      <c r="P108" s="33" t="n"/>
      <c r="Q108" s="33" t="n"/>
      <c r="R108" s="51">
        <f>IF($B108="","",IF(IF(AND($B108&lt;&gt;"",COUNTIF(tblClientes[Nombre],$B108)&gt;1)," · NOMBRE DUPLICADO","")&amp;IF(AND($B108&lt;&gt;"",$C108="",$D108="")," · Sin teléfono ni email","")&amp;IF(AND(ISNUMBER($M108),$M108&gt;0)," · Tiene saldo por cobrar","")="","OK",MID(IF(AND($B108&lt;&gt;"",COUNTIF(tblClientes[Nombre],$B108)&gt;1)," · NOMBRE DUPLICADO","")&amp;IF(AND($B108&lt;&gt;"",$C108="",$D108="")," · Sin teléfono ni email","")&amp;IF(AND(ISNUMBER($M108),$M108&gt;0)," · Tiene saldo por cobrar",""),4,900)))</f>
        <v/>
      </c>
    </row>
    <row r="109">
      <c r="A109" s="51">
        <f>IF($B109="","","CLI-"&amp;TEXT(ROW()-6,"0000"))</f>
        <v/>
      </c>
      <c r="B109" s="33" t="n"/>
      <c r="C109" s="33" t="n"/>
      <c r="D109" s="33" t="n"/>
      <c r="E109" s="33" t="n"/>
      <c r="F109" s="33" t="n"/>
      <c r="G109" s="53">
        <f>IF($B109="","",IF(COUNTIFS(tblVentas[Cliente],$B109)=0,"",SUMPRODUCT(MIN((tblVentas[Cliente]=$B109)*tblVentas[Fecha]+(tblVentas[Cliente]&lt;&gt;$B109)*99999))))</f>
        <v/>
      </c>
      <c r="H109" s="53">
        <f>IF($B109="","",IF(COUNTIFS(tblVentas[Cliente],$B109)=0,"",SUMPRODUCT(MAX((tblVentas[Cliente]=$B109)*tblVentas[Fecha]))))</f>
        <v/>
      </c>
      <c r="I109" s="39">
        <f>IF($B109="","",COUNTIFS(tblVentas[Cliente],$B109))</f>
        <v/>
      </c>
      <c r="J109" s="37">
        <f>IF($B109="","",SUMIFS(tblVentas[Venta neta],tblVentas[Cliente],$B109))</f>
        <v/>
      </c>
      <c r="K109" s="37">
        <f>IF($B109="","",SUMIFS(tblVentas[Utilidad bruta],tblVentas[Cliente],$B109))</f>
        <v/>
      </c>
      <c r="L109" s="37">
        <f>IF(OR($B109="",$I109=0),"",$J109/$I109)</f>
        <v/>
      </c>
      <c r="M109" s="37">
        <f>IF($B109="","",SUMIFS(tblVentas[Saldo por cobrar],tblVentas[Cliente],$B109))</f>
        <v/>
      </c>
      <c r="N109" s="39">
        <f>IF(OR($B109="",NOT(ISNUMBER($H109))),"",TODAY()-$H109)</f>
        <v/>
      </c>
      <c r="O109" s="51">
        <f>IF($B109="","",IF($I109=0,"SIN COMPRAS",IF($N109&lt;=30,"ACTIVO",IF($N109&lt;=60,"EN SEGUIMIENTO",IF($N109&lt;=120,"EN RIESGO","INACTIVO")))))</f>
        <v/>
      </c>
      <c r="P109" s="33" t="n"/>
      <c r="Q109" s="33" t="n"/>
      <c r="R109" s="51">
        <f>IF($B109="","",IF(IF(AND($B109&lt;&gt;"",COUNTIF(tblClientes[Nombre],$B109)&gt;1)," · NOMBRE DUPLICADO","")&amp;IF(AND($B109&lt;&gt;"",$C109="",$D109="")," · Sin teléfono ni email","")&amp;IF(AND(ISNUMBER($M109),$M109&gt;0)," · Tiene saldo por cobrar","")="","OK",MID(IF(AND($B109&lt;&gt;"",COUNTIF(tblClientes[Nombre],$B109)&gt;1)," · NOMBRE DUPLICADO","")&amp;IF(AND($B109&lt;&gt;"",$C109="",$D109="")," · Sin teléfono ni email","")&amp;IF(AND(ISNUMBER($M109),$M109&gt;0)," · Tiene saldo por cobrar",""),4,900)))</f>
        <v/>
      </c>
    </row>
    <row r="110">
      <c r="A110" s="51">
        <f>IF($B110="","","CLI-"&amp;TEXT(ROW()-6,"0000"))</f>
        <v/>
      </c>
      <c r="B110" s="33" t="n"/>
      <c r="C110" s="33" t="n"/>
      <c r="D110" s="33" t="n"/>
      <c r="E110" s="33" t="n"/>
      <c r="F110" s="33" t="n"/>
      <c r="G110" s="53">
        <f>IF($B110="","",IF(COUNTIFS(tblVentas[Cliente],$B110)=0,"",SUMPRODUCT(MIN((tblVentas[Cliente]=$B110)*tblVentas[Fecha]+(tblVentas[Cliente]&lt;&gt;$B110)*99999))))</f>
        <v/>
      </c>
      <c r="H110" s="53">
        <f>IF($B110="","",IF(COUNTIFS(tblVentas[Cliente],$B110)=0,"",SUMPRODUCT(MAX((tblVentas[Cliente]=$B110)*tblVentas[Fecha]))))</f>
        <v/>
      </c>
      <c r="I110" s="39">
        <f>IF($B110="","",COUNTIFS(tblVentas[Cliente],$B110))</f>
        <v/>
      </c>
      <c r="J110" s="37">
        <f>IF($B110="","",SUMIFS(tblVentas[Venta neta],tblVentas[Cliente],$B110))</f>
        <v/>
      </c>
      <c r="K110" s="37">
        <f>IF($B110="","",SUMIFS(tblVentas[Utilidad bruta],tblVentas[Cliente],$B110))</f>
        <v/>
      </c>
      <c r="L110" s="37">
        <f>IF(OR($B110="",$I110=0),"",$J110/$I110)</f>
        <v/>
      </c>
      <c r="M110" s="37">
        <f>IF($B110="","",SUMIFS(tblVentas[Saldo por cobrar],tblVentas[Cliente],$B110))</f>
        <v/>
      </c>
      <c r="N110" s="39">
        <f>IF(OR($B110="",NOT(ISNUMBER($H110))),"",TODAY()-$H110)</f>
        <v/>
      </c>
      <c r="O110" s="51">
        <f>IF($B110="","",IF($I110=0,"SIN COMPRAS",IF($N110&lt;=30,"ACTIVO",IF($N110&lt;=60,"EN SEGUIMIENTO",IF($N110&lt;=120,"EN RIESGO","INACTIVO")))))</f>
        <v/>
      </c>
      <c r="P110" s="33" t="n"/>
      <c r="Q110" s="33" t="n"/>
      <c r="R110" s="51">
        <f>IF($B110="","",IF(IF(AND($B110&lt;&gt;"",COUNTIF(tblClientes[Nombre],$B110)&gt;1)," · NOMBRE DUPLICADO","")&amp;IF(AND($B110&lt;&gt;"",$C110="",$D110="")," · Sin teléfono ni email","")&amp;IF(AND(ISNUMBER($M110),$M110&gt;0)," · Tiene saldo por cobrar","")="","OK",MID(IF(AND($B110&lt;&gt;"",COUNTIF(tblClientes[Nombre],$B110)&gt;1)," · NOMBRE DUPLICADO","")&amp;IF(AND($B110&lt;&gt;"",$C110="",$D110="")," · Sin teléfono ni email","")&amp;IF(AND(ISNUMBER($M110),$M110&gt;0)," · Tiene saldo por cobrar",""),4,900)))</f>
        <v/>
      </c>
    </row>
    <row r="111">
      <c r="A111" s="51">
        <f>IF($B111="","","CLI-"&amp;TEXT(ROW()-6,"0000"))</f>
        <v/>
      </c>
      <c r="B111" s="33" t="n"/>
      <c r="C111" s="33" t="n"/>
      <c r="D111" s="33" t="n"/>
      <c r="E111" s="33" t="n"/>
      <c r="F111" s="33" t="n"/>
      <c r="G111" s="53">
        <f>IF($B111="","",IF(COUNTIFS(tblVentas[Cliente],$B111)=0,"",SUMPRODUCT(MIN((tblVentas[Cliente]=$B111)*tblVentas[Fecha]+(tblVentas[Cliente]&lt;&gt;$B111)*99999))))</f>
        <v/>
      </c>
      <c r="H111" s="53">
        <f>IF($B111="","",IF(COUNTIFS(tblVentas[Cliente],$B111)=0,"",SUMPRODUCT(MAX((tblVentas[Cliente]=$B111)*tblVentas[Fecha]))))</f>
        <v/>
      </c>
      <c r="I111" s="39">
        <f>IF($B111="","",COUNTIFS(tblVentas[Cliente],$B111))</f>
        <v/>
      </c>
      <c r="J111" s="37">
        <f>IF($B111="","",SUMIFS(tblVentas[Venta neta],tblVentas[Cliente],$B111))</f>
        <v/>
      </c>
      <c r="K111" s="37">
        <f>IF($B111="","",SUMIFS(tblVentas[Utilidad bruta],tblVentas[Cliente],$B111))</f>
        <v/>
      </c>
      <c r="L111" s="37">
        <f>IF(OR($B111="",$I111=0),"",$J111/$I111)</f>
        <v/>
      </c>
      <c r="M111" s="37">
        <f>IF($B111="","",SUMIFS(tblVentas[Saldo por cobrar],tblVentas[Cliente],$B111))</f>
        <v/>
      </c>
      <c r="N111" s="39">
        <f>IF(OR($B111="",NOT(ISNUMBER($H111))),"",TODAY()-$H111)</f>
        <v/>
      </c>
      <c r="O111" s="51">
        <f>IF($B111="","",IF($I111=0,"SIN COMPRAS",IF($N111&lt;=30,"ACTIVO",IF($N111&lt;=60,"EN SEGUIMIENTO",IF($N111&lt;=120,"EN RIESGO","INACTIVO")))))</f>
        <v/>
      </c>
      <c r="P111" s="33" t="n"/>
      <c r="Q111" s="33" t="n"/>
      <c r="R111" s="51">
        <f>IF($B111="","",IF(IF(AND($B111&lt;&gt;"",COUNTIF(tblClientes[Nombre],$B111)&gt;1)," · NOMBRE DUPLICADO","")&amp;IF(AND($B111&lt;&gt;"",$C111="",$D111="")," · Sin teléfono ni email","")&amp;IF(AND(ISNUMBER($M111),$M111&gt;0)," · Tiene saldo por cobrar","")="","OK",MID(IF(AND($B111&lt;&gt;"",COUNTIF(tblClientes[Nombre],$B111)&gt;1)," · NOMBRE DUPLICADO","")&amp;IF(AND($B111&lt;&gt;"",$C111="",$D111="")," · Sin teléfono ni email","")&amp;IF(AND(ISNUMBER($M111),$M111&gt;0)," · Tiene saldo por cobrar",""),4,900)))</f>
        <v/>
      </c>
    </row>
    <row r="112">
      <c r="A112" s="51">
        <f>IF($B112="","","CLI-"&amp;TEXT(ROW()-6,"0000"))</f>
        <v/>
      </c>
      <c r="B112" s="33" t="n"/>
      <c r="C112" s="33" t="n"/>
      <c r="D112" s="33" t="n"/>
      <c r="E112" s="33" t="n"/>
      <c r="F112" s="33" t="n"/>
      <c r="G112" s="53">
        <f>IF($B112="","",IF(COUNTIFS(tblVentas[Cliente],$B112)=0,"",SUMPRODUCT(MIN((tblVentas[Cliente]=$B112)*tblVentas[Fecha]+(tblVentas[Cliente]&lt;&gt;$B112)*99999))))</f>
        <v/>
      </c>
      <c r="H112" s="53">
        <f>IF($B112="","",IF(COUNTIFS(tblVentas[Cliente],$B112)=0,"",SUMPRODUCT(MAX((tblVentas[Cliente]=$B112)*tblVentas[Fecha]))))</f>
        <v/>
      </c>
      <c r="I112" s="39">
        <f>IF($B112="","",COUNTIFS(tblVentas[Cliente],$B112))</f>
        <v/>
      </c>
      <c r="J112" s="37">
        <f>IF($B112="","",SUMIFS(tblVentas[Venta neta],tblVentas[Cliente],$B112))</f>
        <v/>
      </c>
      <c r="K112" s="37">
        <f>IF($B112="","",SUMIFS(tblVentas[Utilidad bruta],tblVentas[Cliente],$B112))</f>
        <v/>
      </c>
      <c r="L112" s="37">
        <f>IF(OR($B112="",$I112=0),"",$J112/$I112)</f>
        <v/>
      </c>
      <c r="M112" s="37">
        <f>IF($B112="","",SUMIFS(tblVentas[Saldo por cobrar],tblVentas[Cliente],$B112))</f>
        <v/>
      </c>
      <c r="N112" s="39">
        <f>IF(OR($B112="",NOT(ISNUMBER($H112))),"",TODAY()-$H112)</f>
        <v/>
      </c>
      <c r="O112" s="51">
        <f>IF($B112="","",IF($I112=0,"SIN COMPRAS",IF($N112&lt;=30,"ACTIVO",IF($N112&lt;=60,"EN SEGUIMIENTO",IF($N112&lt;=120,"EN RIESGO","INACTIVO")))))</f>
        <v/>
      </c>
      <c r="P112" s="33" t="n"/>
      <c r="Q112" s="33" t="n"/>
      <c r="R112" s="51">
        <f>IF($B112="","",IF(IF(AND($B112&lt;&gt;"",COUNTIF(tblClientes[Nombre],$B112)&gt;1)," · NOMBRE DUPLICADO","")&amp;IF(AND($B112&lt;&gt;"",$C112="",$D112="")," · Sin teléfono ni email","")&amp;IF(AND(ISNUMBER($M112),$M112&gt;0)," · Tiene saldo por cobrar","")="","OK",MID(IF(AND($B112&lt;&gt;"",COUNTIF(tblClientes[Nombre],$B112)&gt;1)," · NOMBRE DUPLICADO","")&amp;IF(AND($B112&lt;&gt;"",$C112="",$D112="")," · Sin teléfono ni email","")&amp;IF(AND(ISNUMBER($M112),$M112&gt;0)," · Tiene saldo por cobrar",""),4,900)))</f>
        <v/>
      </c>
    </row>
    <row r="113">
      <c r="A113" s="51">
        <f>IF($B113="","","CLI-"&amp;TEXT(ROW()-6,"0000"))</f>
        <v/>
      </c>
      <c r="B113" s="33" t="n"/>
      <c r="C113" s="33" t="n"/>
      <c r="D113" s="33" t="n"/>
      <c r="E113" s="33" t="n"/>
      <c r="F113" s="33" t="n"/>
      <c r="G113" s="53">
        <f>IF($B113="","",IF(COUNTIFS(tblVentas[Cliente],$B113)=0,"",SUMPRODUCT(MIN((tblVentas[Cliente]=$B113)*tblVentas[Fecha]+(tblVentas[Cliente]&lt;&gt;$B113)*99999))))</f>
        <v/>
      </c>
      <c r="H113" s="53">
        <f>IF($B113="","",IF(COUNTIFS(tblVentas[Cliente],$B113)=0,"",SUMPRODUCT(MAX((tblVentas[Cliente]=$B113)*tblVentas[Fecha]))))</f>
        <v/>
      </c>
      <c r="I113" s="39">
        <f>IF($B113="","",COUNTIFS(tblVentas[Cliente],$B113))</f>
        <v/>
      </c>
      <c r="J113" s="37">
        <f>IF($B113="","",SUMIFS(tblVentas[Venta neta],tblVentas[Cliente],$B113))</f>
        <v/>
      </c>
      <c r="K113" s="37">
        <f>IF($B113="","",SUMIFS(tblVentas[Utilidad bruta],tblVentas[Cliente],$B113))</f>
        <v/>
      </c>
      <c r="L113" s="37">
        <f>IF(OR($B113="",$I113=0),"",$J113/$I113)</f>
        <v/>
      </c>
      <c r="M113" s="37">
        <f>IF($B113="","",SUMIFS(tblVentas[Saldo por cobrar],tblVentas[Cliente],$B113))</f>
        <v/>
      </c>
      <c r="N113" s="39">
        <f>IF(OR($B113="",NOT(ISNUMBER($H113))),"",TODAY()-$H113)</f>
        <v/>
      </c>
      <c r="O113" s="51">
        <f>IF($B113="","",IF($I113=0,"SIN COMPRAS",IF($N113&lt;=30,"ACTIVO",IF($N113&lt;=60,"EN SEGUIMIENTO",IF($N113&lt;=120,"EN RIESGO","INACTIVO")))))</f>
        <v/>
      </c>
      <c r="P113" s="33" t="n"/>
      <c r="Q113" s="33" t="n"/>
      <c r="R113" s="51">
        <f>IF($B113="","",IF(IF(AND($B113&lt;&gt;"",COUNTIF(tblClientes[Nombre],$B113)&gt;1)," · NOMBRE DUPLICADO","")&amp;IF(AND($B113&lt;&gt;"",$C113="",$D113="")," · Sin teléfono ni email","")&amp;IF(AND(ISNUMBER($M113),$M113&gt;0)," · Tiene saldo por cobrar","")="","OK",MID(IF(AND($B113&lt;&gt;"",COUNTIF(tblClientes[Nombre],$B113)&gt;1)," · NOMBRE DUPLICADO","")&amp;IF(AND($B113&lt;&gt;"",$C113="",$D113="")," · Sin teléfono ni email","")&amp;IF(AND(ISNUMBER($M113),$M113&gt;0)," · Tiene saldo por cobrar",""),4,900)))</f>
        <v/>
      </c>
    </row>
    <row r="114">
      <c r="A114" s="51">
        <f>IF($B114="","","CLI-"&amp;TEXT(ROW()-6,"0000"))</f>
        <v/>
      </c>
      <c r="B114" s="33" t="n"/>
      <c r="C114" s="33" t="n"/>
      <c r="D114" s="33" t="n"/>
      <c r="E114" s="33" t="n"/>
      <c r="F114" s="33" t="n"/>
      <c r="G114" s="53">
        <f>IF($B114="","",IF(COUNTIFS(tblVentas[Cliente],$B114)=0,"",SUMPRODUCT(MIN((tblVentas[Cliente]=$B114)*tblVentas[Fecha]+(tblVentas[Cliente]&lt;&gt;$B114)*99999))))</f>
        <v/>
      </c>
      <c r="H114" s="53">
        <f>IF($B114="","",IF(COUNTIFS(tblVentas[Cliente],$B114)=0,"",SUMPRODUCT(MAX((tblVentas[Cliente]=$B114)*tblVentas[Fecha]))))</f>
        <v/>
      </c>
      <c r="I114" s="39">
        <f>IF($B114="","",COUNTIFS(tblVentas[Cliente],$B114))</f>
        <v/>
      </c>
      <c r="J114" s="37">
        <f>IF($B114="","",SUMIFS(tblVentas[Venta neta],tblVentas[Cliente],$B114))</f>
        <v/>
      </c>
      <c r="K114" s="37">
        <f>IF($B114="","",SUMIFS(tblVentas[Utilidad bruta],tblVentas[Cliente],$B114))</f>
        <v/>
      </c>
      <c r="L114" s="37">
        <f>IF(OR($B114="",$I114=0),"",$J114/$I114)</f>
        <v/>
      </c>
      <c r="M114" s="37">
        <f>IF($B114="","",SUMIFS(tblVentas[Saldo por cobrar],tblVentas[Cliente],$B114))</f>
        <v/>
      </c>
      <c r="N114" s="39">
        <f>IF(OR($B114="",NOT(ISNUMBER($H114))),"",TODAY()-$H114)</f>
        <v/>
      </c>
      <c r="O114" s="51">
        <f>IF($B114="","",IF($I114=0,"SIN COMPRAS",IF($N114&lt;=30,"ACTIVO",IF($N114&lt;=60,"EN SEGUIMIENTO",IF($N114&lt;=120,"EN RIESGO","INACTIVO")))))</f>
        <v/>
      </c>
      <c r="P114" s="33" t="n"/>
      <c r="Q114" s="33" t="n"/>
      <c r="R114" s="51">
        <f>IF($B114="","",IF(IF(AND($B114&lt;&gt;"",COUNTIF(tblClientes[Nombre],$B114)&gt;1)," · NOMBRE DUPLICADO","")&amp;IF(AND($B114&lt;&gt;"",$C114="",$D114="")," · Sin teléfono ni email","")&amp;IF(AND(ISNUMBER($M114),$M114&gt;0)," · Tiene saldo por cobrar","")="","OK",MID(IF(AND($B114&lt;&gt;"",COUNTIF(tblClientes[Nombre],$B114)&gt;1)," · NOMBRE DUPLICADO","")&amp;IF(AND($B114&lt;&gt;"",$C114="",$D114="")," · Sin teléfono ni email","")&amp;IF(AND(ISNUMBER($M114),$M114&gt;0)," · Tiene saldo por cobrar",""),4,900)))</f>
        <v/>
      </c>
    </row>
    <row r="115">
      <c r="A115" s="51">
        <f>IF($B115="","","CLI-"&amp;TEXT(ROW()-6,"0000"))</f>
        <v/>
      </c>
      <c r="B115" s="33" t="n"/>
      <c r="C115" s="33" t="n"/>
      <c r="D115" s="33" t="n"/>
      <c r="E115" s="33" t="n"/>
      <c r="F115" s="33" t="n"/>
      <c r="G115" s="53">
        <f>IF($B115="","",IF(COUNTIFS(tblVentas[Cliente],$B115)=0,"",SUMPRODUCT(MIN((tblVentas[Cliente]=$B115)*tblVentas[Fecha]+(tblVentas[Cliente]&lt;&gt;$B115)*99999))))</f>
        <v/>
      </c>
      <c r="H115" s="53">
        <f>IF($B115="","",IF(COUNTIFS(tblVentas[Cliente],$B115)=0,"",SUMPRODUCT(MAX((tblVentas[Cliente]=$B115)*tblVentas[Fecha]))))</f>
        <v/>
      </c>
      <c r="I115" s="39">
        <f>IF($B115="","",COUNTIFS(tblVentas[Cliente],$B115))</f>
        <v/>
      </c>
      <c r="J115" s="37">
        <f>IF($B115="","",SUMIFS(tblVentas[Venta neta],tblVentas[Cliente],$B115))</f>
        <v/>
      </c>
      <c r="K115" s="37">
        <f>IF($B115="","",SUMIFS(tblVentas[Utilidad bruta],tblVentas[Cliente],$B115))</f>
        <v/>
      </c>
      <c r="L115" s="37">
        <f>IF(OR($B115="",$I115=0),"",$J115/$I115)</f>
        <v/>
      </c>
      <c r="M115" s="37">
        <f>IF($B115="","",SUMIFS(tblVentas[Saldo por cobrar],tblVentas[Cliente],$B115))</f>
        <v/>
      </c>
      <c r="N115" s="39">
        <f>IF(OR($B115="",NOT(ISNUMBER($H115))),"",TODAY()-$H115)</f>
        <v/>
      </c>
      <c r="O115" s="51">
        <f>IF($B115="","",IF($I115=0,"SIN COMPRAS",IF($N115&lt;=30,"ACTIVO",IF($N115&lt;=60,"EN SEGUIMIENTO",IF($N115&lt;=120,"EN RIESGO","INACTIVO")))))</f>
        <v/>
      </c>
      <c r="P115" s="33" t="n"/>
      <c r="Q115" s="33" t="n"/>
      <c r="R115" s="51">
        <f>IF($B115="","",IF(IF(AND($B115&lt;&gt;"",COUNTIF(tblClientes[Nombre],$B115)&gt;1)," · NOMBRE DUPLICADO","")&amp;IF(AND($B115&lt;&gt;"",$C115="",$D115="")," · Sin teléfono ni email","")&amp;IF(AND(ISNUMBER($M115),$M115&gt;0)," · Tiene saldo por cobrar","")="","OK",MID(IF(AND($B115&lt;&gt;"",COUNTIF(tblClientes[Nombre],$B115)&gt;1)," · NOMBRE DUPLICADO","")&amp;IF(AND($B115&lt;&gt;"",$C115="",$D115="")," · Sin teléfono ni email","")&amp;IF(AND(ISNUMBER($M115),$M115&gt;0)," · Tiene saldo por cobrar",""),4,900)))</f>
        <v/>
      </c>
    </row>
    <row r="116">
      <c r="A116" s="51">
        <f>IF($B116="","","CLI-"&amp;TEXT(ROW()-6,"0000"))</f>
        <v/>
      </c>
      <c r="B116" s="33" t="n"/>
      <c r="C116" s="33" t="n"/>
      <c r="D116" s="33" t="n"/>
      <c r="E116" s="33" t="n"/>
      <c r="F116" s="33" t="n"/>
      <c r="G116" s="53">
        <f>IF($B116="","",IF(COUNTIFS(tblVentas[Cliente],$B116)=0,"",SUMPRODUCT(MIN((tblVentas[Cliente]=$B116)*tblVentas[Fecha]+(tblVentas[Cliente]&lt;&gt;$B116)*99999))))</f>
        <v/>
      </c>
      <c r="H116" s="53">
        <f>IF($B116="","",IF(COUNTIFS(tblVentas[Cliente],$B116)=0,"",SUMPRODUCT(MAX((tblVentas[Cliente]=$B116)*tblVentas[Fecha]))))</f>
        <v/>
      </c>
      <c r="I116" s="39">
        <f>IF($B116="","",COUNTIFS(tblVentas[Cliente],$B116))</f>
        <v/>
      </c>
      <c r="J116" s="37">
        <f>IF($B116="","",SUMIFS(tblVentas[Venta neta],tblVentas[Cliente],$B116))</f>
        <v/>
      </c>
      <c r="K116" s="37">
        <f>IF($B116="","",SUMIFS(tblVentas[Utilidad bruta],tblVentas[Cliente],$B116))</f>
        <v/>
      </c>
      <c r="L116" s="37">
        <f>IF(OR($B116="",$I116=0),"",$J116/$I116)</f>
        <v/>
      </c>
      <c r="M116" s="37">
        <f>IF($B116="","",SUMIFS(tblVentas[Saldo por cobrar],tblVentas[Cliente],$B116))</f>
        <v/>
      </c>
      <c r="N116" s="39">
        <f>IF(OR($B116="",NOT(ISNUMBER($H116))),"",TODAY()-$H116)</f>
        <v/>
      </c>
      <c r="O116" s="51">
        <f>IF($B116="","",IF($I116=0,"SIN COMPRAS",IF($N116&lt;=30,"ACTIVO",IF($N116&lt;=60,"EN SEGUIMIENTO",IF($N116&lt;=120,"EN RIESGO","INACTIVO")))))</f>
        <v/>
      </c>
      <c r="P116" s="33" t="n"/>
      <c r="Q116" s="33" t="n"/>
      <c r="R116" s="51">
        <f>IF($B116="","",IF(IF(AND($B116&lt;&gt;"",COUNTIF(tblClientes[Nombre],$B116)&gt;1)," · NOMBRE DUPLICADO","")&amp;IF(AND($B116&lt;&gt;"",$C116="",$D116="")," · Sin teléfono ni email","")&amp;IF(AND(ISNUMBER($M116),$M116&gt;0)," · Tiene saldo por cobrar","")="","OK",MID(IF(AND($B116&lt;&gt;"",COUNTIF(tblClientes[Nombre],$B116)&gt;1)," · NOMBRE DUPLICADO","")&amp;IF(AND($B116&lt;&gt;"",$C116="",$D116="")," · Sin teléfono ni email","")&amp;IF(AND(ISNUMBER($M116),$M116&gt;0)," · Tiene saldo por cobrar",""),4,900)))</f>
        <v/>
      </c>
    </row>
    <row r="117">
      <c r="A117" s="51">
        <f>IF($B117="","","CLI-"&amp;TEXT(ROW()-6,"0000"))</f>
        <v/>
      </c>
      <c r="B117" s="33" t="n"/>
      <c r="C117" s="33" t="n"/>
      <c r="D117" s="33" t="n"/>
      <c r="E117" s="33" t="n"/>
      <c r="F117" s="33" t="n"/>
      <c r="G117" s="53">
        <f>IF($B117="","",IF(COUNTIFS(tblVentas[Cliente],$B117)=0,"",SUMPRODUCT(MIN((tblVentas[Cliente]=$B117)*tblVentas[Fecha]+(tblVentas[Cliente]&lt;&gt;$B117)*99999))))</f>
        <v/>
      </c>
      <c r="H117" s="53">
        <f>IF($B117="","",IF(COUNTIFS(tblVentas[Cliente],$B117)=0,"",SUMPRODUCT(MAX((tblVentas[Cliente]=$B117)*tblVentas[Fecha]))))</f>
        <v/>
      </c>
      <c r="I117" s="39">
        <f>IF($B117="","",COUNTIFS(tblVentas[Cliente],$B117))</f>
        <v/>
      </c>
      <c r="J117" s="37">
        <f>IF($B117="","",SUMIFS(tblVentas[Venta neta],tblVentas[Cliente],$B117))</f>
        <v/>
      </c>
      <c r="K117" s="37">
        <f>IF($B117="","",SUMIFS(tblVentas[Utilidad bruta],tblVentas[Cliente],$B117))</f>
        <v/>
      </c>
      <c r="L117" s="37">
        <f>IF(OR($B117="",$I117=0),"",$J117/$I117)</f>
        <v/>
      </c>
      <c r="M117" s="37">
        <f>IF($B117="","",SUMIFS(tblVentas[Saldo por cobrar],tblVentas[Cliente],$B117))</f>
        <v/>
      </c>
      <c r="N117" s="39">
        <f>IF(OR($B117="",NOT(ISNUMBER($H117))),"",TODAY()-$H117)</f>
        <v/>
      </c>
      <c r="O117" s="51">
        <f>IF($B117="","",IF($I117=0,"SIN COMPRAS",IF($N117&lt;=30,"ACTIVO",IF($N117&lt;=60,"EN SEGUIMIENTO",IF($N117&lt;=120,"EN RIESGO","INACTIVO")))))</f>
        <v/>
      </c>
      <c r="P117" s="33" t="n"/>
      <c r="Q117" s="33" t="n"/>
      <c r="R117" s="51">
        <f>IF($B117="","",IF(IF(AND($B117&lt;&gt;"",COUNTIF(tblClientes[Nombre],$B117)&gt;1)," · NOMBRE DUPLICADO","")&amp;IF(AND($B117&lt;&gt;"",$C117="",$D117="")," · Sin teléfono ni email","")&amp;IF(AND(ISNUMBER($M117),$M117&gt;0)," · Tiene saldo por cobrar","")="","OK",MID(IF(AND($B117&lt;&gt;"",COUNTIF(tblClientes[Nombre],$B117)&gt;1)," · NOMBRE DUPLICADO","")&amp;IF(AND($B117&lt;&gt;"",$C117="",$D117="")," · Sin teléfono ni email","")&amp;IF(AND(ISNUMBER($M117),$M117&gt;0)," · Tiene saldo por cobrar",""),4,900)))</f>
        <v/>
      </c>
    </row>
    <row r="118">
      <c r="A118" s="51">
        <f>IF($B118="","","CLI-"&amp;TEXT(ROW()-6,"0000"))</f>
        <v/>
      </c>
      <c r="B118" s="33" t="n"/>
      <c r="C118" s="33" t="n"/>
      <c r="D118" s="33" t="n"/>
      <c r="E118" s="33" t="n"/>
      <c r="F118" s="33" t="n"/>
      <c r="G118" s="53">
        <f>IF($B118="","",IF(COUNTIFS(tblVentas[Cliente],$B118)=0,"",SUMPRODUCT(MIN((tblVentas[Cliente]=$B118)*tblVentas[Fecha]+(tblVentas[Cliente]&lt;&gt;$B118)*99999))))</f>
        <v/>
      </c>
      <c r="H118" s="53">
        <f>IF($B118="","",IF(COUNTIFS(tblVentas[Cliente],$B118)=0,"",SUMPRODUCT(MAX((tblVentas[Cliente]=$B118)*tblVentas[Fecha]))))</f>
        <v/>
      </c>
      <c r="I118" s="39">
        <f>IF($B118="","",COUNTIFS(tblVentas[Cliente],$B118))</f>
        <v/>
      </c>
      <c r="J118" s="37">
        <f>IF($B118="","",SUMIFS(tblVentas[Venta neta],tblVentas[Cliente],$B118))</f>
        <v/>
      </c>
      <c r="K118" s="37">
        <f>IF($B118="","",SUMIFS(tblVentas[Utilidad bruta],tblVentas[Cliente],$B118))</f>
        <v/>
      </c>
      <c r="L118" s="37">
        <f>IF(OR($B118="",$I118=0),"",$J118/$I118)</f>
        <v/>
      </c>
      <c r="M118" s="37">
        <f>IF($B118="","",SUMIFS(tblVentas[Saldo por cobrar],tblVentas[Cliente],$B118))</f>
        <v/>
      </c>
      <c r="N118" s="39">
        <f>IF(OR($B118="",NOT(ISNUMBER($H118))),"",TODAY()-$H118)</f>
        <v/>
      </c>
      <c r="O118" s="51">
        <f>IF($B118="","",IF($I118=0,"SIN COMPRAS",IF($N118&lt;=30,"ACTIVO",IF($N118&lt;=60,"EN SEGUIMIENTO",IF($N118&lt;=120,"EN RIESGO","INACTIVO")))))</f>
        <v/>
      </c>
      <c r="P118" s="33" t="n"/>
      <c r="Q118" s="33" t="n"/>
      <c r="R118" s="51">
        <f>IF($B118="","",IF(IF(AND($B118&lt;&gt;"",COUNTIF(tblClientes[Nombre],$B118)&gt;1)," · NOMBRE DUPLICADO","")&amp;IF(AND($B118&lt;&gt;"",$C118="",$D118="")," · Sin teléfono ni email","")&amp;IF(AND(ISNUMBER($M118),$M118&gt;0)," · Tiene saldo por cobrar","")="","OK",MID(IF(AND($B118&lt;&gt;"",COUNTIF(tblClientes[Nombre],$B118)&gt;1)," · NOMBRE DUPLICADO","")&amp;IF(AND($B118&lt;&gt;"",$C118="",$D118="")," · Sin teléfono ni email","")&amp;IF(AND(ISNUMBER($M118),$M118&gt;0)," · Tiene saldo por cobrar",""),4,900)))</f>
        <v/>
      </c>
    </row>
    <row r="119">
      <c r="A119" s="51">
        <f>IF($B119="","","CLI-"&amp;TEXT(ROW()-6,"0000"))</f>
        <v/>
      </c>
      <c r="B119" s="33" t="n"/>
      <c r="C119" s="33" t="n"/>
      <c r="D119" s="33" t="n"/>
      <c r="E119" s="33" t="n"/>
      <c r="F119" s="33" t="n"/>
      <c r="G119" s="53">
        <f>IF($B119="","",IF(COUNTIFS(tblVentas[Cliente],$B119)=0,"",SUMPRODUCT(MIN((tblVentas[Cliente]=$B119)*tblVentas[Fecha]+(tblVentas[Cliente]&lt;&gt;$B119)*99999))))</f>
        <v/>
      </c>
      <c r="H119" s="53">
        <f>IF($B119="","",IF(COUNTIFS(tblVentas[Cliente],$B119)=0,"",SUMPRODUCT(MAX((tblVentas[Cliente]=$B119)*tblVentas[Fecha]))))</f>
        <v/>
      </c>
      <c r="I119" s="39">
        <f>IF($B119="","",COUNTIFS(tblVentas[Cliente],$B119))</f>
        <v/>
      </c>
      <c r="J119" s="37">
        <f>IF($B119="","",SUMIFS(tblVentas[Venta neta],tblVentas[Cliente],$B119))</f>
        <v/>
      </c>
      <c r="K119" s="37">
        <f>IF($B119="","",SUMIFS(tblVentas[Utilidad bruta],tblVentas[Cliente],$B119))</f>
        <v/>
      </c>
      <c r="L119" s="37">
        <f>IF(OR($B119="",$I119=0),"",$J119/$I119)</f>
        <v/>
      </c>
      <c r="M119" s="37">
        <f>IF($B119="","",SUMIFS(tblVentas[Saldo por cobrar],tblVentas[Cliente],$B119))</f>
        <v/>
      </c>
      <c r="N119" s="39">
        <f>IF(OR($B119="",NOT(ISNUMBER($H119))),"",TODAY()-$H119)</f>
        <v/>
      </c>
      <c r="O119" s="51">
        <f>IF($B119="","",IF($I119=0,"SIN COMPRAS",IF($N119&lt;=30,"ACTIVO",IF($N119&lt;=60,"EN SEGUIMIENTO",IF($N119&lt;=120,"EN RIESGO","INACTIVO")))))</f>
        <v/>
      </c>
      <c r="P119" s="33" t="n"/>
      <c r="Q119" s="33" t="n"/>
      <c r="R119" s="51">
        <f>IF($B119="","",IF(IF(AND($B119&lt;&gt;"",COUNTIF(tblClientes[Nombre],$B119)&gt;1)," · NOMBRE DUPLICADO","")&amp;IF(AND($B119&lt;&gt;"",$C119="",$D119="")," · Sin teléfono ni email","")&amp;IF(AND(ISNUMBER($M119),$M119&gt;0)," · Tiene saldo por cobrar","")="","OK",MID(IF(AND($B119&lt;&gt;"",COUNTIF(tblClientes[Nombre],$B119)&gt;1)," · NOMBRE DUPLICADO","")&amp;IF(AND($B119&lt;&gt;"",$C119="",$D119="")," · Sin teléfono ni email","")&amp;IF(AND(ISNUMBER($M119),$M119&gt;0)," · Tiene saldo por cobrar",""),4,900)))</f>
        <v/>
      </c>
    </row>
    <row r="120">
      <c r="A120" s="51">
        <f>IF($B120="","","CLI-"&amp;TEXT(ROW()-6,"0000"))</f>
        <v/>
      </c>
      <c r="B120" s="33" t="n"/>
      <c r="C120" s="33" t="n"/>
      <c r="D120" s="33" t="n"/>
      <c r="E120" s="33" t="n"/>
      <c r="F120" s="33" t="n"/>
      <c r="G120" s="53">
        <f>IF($B120="","",IF(COUNTIFS(tblVentas[Cliente],$B120)=0,"",SUMPRODUCT(MIN((tblVentas[Cliente]=$B120)*tblVentas[Fecha]+(tblVentas[Cliente]&lt;&gt;$B120)*99999))))</f>
        <v/>
      </c>
      <c r="H120" s="53">
        <f>IF($B120="","",IF(COUNTIFS(tblVentas[Cliente],$B120)=0,"",SUMPRODUCT(MAX((tblVentas[Cliente]=$B120)*tblVentas[Fecha]))))</f>
        <v/>
      </c>
      <c r="I120" s="39">
        <f>IF($B120="","",COUNTIFS(tblVentas[Cliente],$B120))</f>
        <v/>
      </c>
      <c r="J120" s="37">
        <f>IF($B120="","",SUMIFS(tblVentas[Venta neta],tblVentas[Cliente],$B120))</f>
        <v/>
      </c>
      <c r="K120" s="37">
        <f>IF($B120="","",SUMIFS(tblVentas[Utilidad bruta],tblVentas[Cliente],$B120))</f>
        <v/>
      </c>
      <c r="L120" s="37">
        <f>IF(OR($B120="",$I120=0),"",$J120/$I120)</f>
        <v/>
      </c>
      <c r="M120" s="37">
        <f>IF($B120="","",SUMIFS(tblVentas[Saldo por cobrar],tblVentas[Cliente],$B120))</f>
        <v/>
      </c>
      <c r="N120" s="39">
        <f>IF(OR($B120="",NOT(ISNUMBER($H120))),"",TODAY()-$H120)</f>
        <v/>
      </c>
      <c r="O120" s="51">
        <f>IF($B120="","",IF($I120=0,"SIN COMPRAS",IF($N120&lt;=30,"ACTIVO",IF($N120&lt;=60,"EN SEGUIMIENTO",IF($N120&lt;=120,"EN RIESGO","INACTIVO")))))</f>
        <v/>
      </c>
      <c r="P120" s="33" t="n"/>
      <c r="Q120" s="33" t="n"/>
      <c r="R120" s="51">
        <f>IF($B120="","",IF(IF(AND($B120&lt;&gt;"",COUNTIF(tblClientes[Nombre],$B120)&gt;1)," · NOMBRE DUPLICADO","")&amp;IF(AND($B120&lt;&gt;"",$C120="",$D120="")," · Sin teléfono ni email","")&amp;IF(AND(ISNUMBER($M120),$M120&gt;0)," · Tiene saldo por cobrar","")="","OK",MID(IF(AND($B120&lt;&gt;"",COUNTIF(tblClientes[Nombre],$B120)&gt;1)," · NOMBRE DUPLICADO","")&amp;IF(AND($B120&lt;&gt;"",$C120="",$D120="")," · Sin teléfono ni email","")&amp;IF(AND(ISNUMBER($M120),$M120&gt;0)," · Tiene saldo por cobrar",""),4,900)))</f>
        <v/>
      </c>
    </row>
    <row r="121">
      <c r="A121" s="51">
        <f>IF($B121="","","CLI-"&amp;TEXT(ROW()-6,"0000"))</f>
        <v/>
      </c>
      <c r="B121" s="33" t="n"/>
      <c r="C121" s="33" t="n"/>
      <c r="D121" s="33" t="n"/>
      <c r="E121" s="33" t="n"/>
      <c r="F121" s="33" t="n"/>
      <c r="G121" s="53">
        <f>IF($B121="","",IF(COUNTIFS(tblVentas[Cliente],$B121)=0,"",SUMPRODUCT(MIN((tblVentas[Cliente]=$B121)*tblVentas[Fecha]+(tblVentas[Cliente]&lt;&gt;$B121)*99999))))</f>
        <v/>
      </c>
      <c r="H121" s="53">
        <f>IF($B121="","",IF(COUNTIFS(tblVentas[Cliente],$B121)=0,"",SUMPRODUCT(MAX((tblVentas[Cliente]=$B121)*tblVentas[Fecha]))))</f>
        <v/>
      </c>
      <c r="I121" s="39">
        <f>IF($B121="","",COUNTIFS(tblVentas[Cliente],$B121))</f>
        <v/>
      </c>
      <c r="J121" s="37">
        <f>IF($B121="","",SUMIFS(tblVentas[Venta neta],tblVentas[Cliente],$B121))</f>
        <v/>
      </c>
      <c r="K121" s="37">
        <f>IF($B121="","",SUMIFS(tblVentas[Utilidad bruta],tblVentas[Cliente],$B121))</f>
        <v/>
      </c>
      <c r="L121" s="37">
        <f>IF(OR($B121="",$I121=0),"",$J121/$I121)</f>
        <v/>
      </c>
      <c r="M121" s="37">
        <f>IF($B121="","",SUMIFS(tblVentas[Saldo por cobrar],tblVentas[Cliente],$B121))</f>
        <v/>
      </c>
      <c r="N121" s="39">
        <f>IF(OR($B121="",NOT(ISNUMBER($H121))),"",TODAY()-$H121)</f>
        <v/>
      </c>
      <c r="O121" s="51">
        <f>IF($B121="","",IF($I121=0,"SIN COMPRAS",IF($N121&lt;=30,"ACTIVO",IF($N121&lt;=60,"EN SEGUIMIENTO",IF($N121&lt;=120,"EN RIESGO","INACTIVO")))))</f>
        <v/>
      </c>
      <c r="P121" s="33" t="n"/>
      <c r="Q121" s="33" t="n"/>
      <c r="R121" s="51">
        <f>IF($B121="","",IF(IF(AND($B121&lt;&gt;"",COUNTIF(tblClientes[Nombre],$B121)&gt;1)," · NOMBRE DUPLICADO","")&amp;IF(AND($B121&lt;&gt;"",$C121="",$D121="")," · Sin teléfono ni email","")&amp;IF(AND(ISNUMBER($M121),$M121&gt;0)," · Tiene saldo por cobrar","")="","OK",MID(IF(AND($B121&lt;&gt;"",COUNTIF(tblClientes[Nombre],$B121)&gt;1)," · NOMBRE DUPLICADO","")&amp;IF(AND($B121&lt;&gt;"",$C121="",$D121="")," · Sin teléfono ni email","")&amp;IF(AND(ISNUMBER($M121),$M121&gt;0)," · Tiene saldo por cobrar",""),4,900)))</f>
        <v/>
      </c>
    </row>
    <row r="122">
      <c r="A122" s="51">
        <f>IF($B122="","","CLI-"&amp;TEXT(ROW()-6,"0000"))</f>
        <v/>
      </c>
      <c r="B122" s="33" t="n"/>
      <c r="C122" s="33" t="n"/>
      <c r="D122" s="33" t="n"/>
      <c r="E122" s="33" t="n"/>
      <c r="F122" s="33" t="n"/>
      <c r="G122" s="53">
        <f>IF($B122="","",IF(COUNTIFS(tblVentas[Cliente],$B122)=0,"",SUMPRODUCT(MIN((tblVentas[Cliente]=$B122)*tblVentas[Fecha]+(tblVentas[Cliente]&lt;&gt;$B122)*99999))))</f>
        <v/>
      </c>
      <c r="H122" s="53">
        <f>IF($B122="","",IF(COUNTIFS(tblVentas[Cliente],$B122)=0,"",SUMPRODUCT(MAX((tblVentas[Cliente]=$B122)*tblVentas[Fecha]))))</f>
        <v/>
      </c>
      <c r="I122" s="39">
        <f>IF($B122="","",COUNTIFS(tblVentas[Cliente],$B122))</f>
        <v/>
      </c>
      <c r="J122" s="37">
        <f>IF($B122="","",SUMIFS(tblVentas[Venta neta],tblVentas[Cliente],$B122))</f>
        <v/>
      </c>
      <c r="K122" s="37">
        <f>IF($B122="","",SUMIFS(tblVentas[Utilidad bruta],tblVentas[Cliente],$B122))</f>
        <v/>
      </c>
      <c r="L122" s="37">
        <f>IF(OR($B122="",$I122=0),"",$J122/$I122)</f>
        <v/>
      </c>
      <c r="M122" s="37">
        <f>IF($B122="","",SUMIFS(tblVentas[Saldo por cobrar],tblVentas[Cliente],$B122))</f>
        <v/>
      </c>
      <c r="N122" s="39">
        <f>IF(OR($B122="",NOT(ISNUMBER($H122))),"",TODAY()-$H122)</f>
        <v/>
      </c>
      <c r="O122" s="51">
        <f>IF($B122="","",IF($I122=0,"SIN COMPRAS",IF($N122&lt;=30,"ACTIVO",IF($N122&lt;=60,"EN SEGUIMIENTO",IF($N122&lt;=120,"EN RIESGO","INACTIVO")))))</f>
        <v/>
      </c>
      <c r="P122" s="33" t="n"/>
      <c r="Q122" s="33" t="n"/>
      <c r="R122" s="51">
        <f>IF($B122="","",IF(IF(AND($B122&lt;&gt;"",COUNTIF(tblClientes[Nombre],$B122)&gt;1)," · NOMBRE DUPLICADO","")&amp;IF(AND($B122&lt;&gt;"",$C122="",$D122="")," · Sin teléfono ni email","")&amp;IF(AND(ISNUMBER($M122),$M122&gt;0)," · Tiene saldo por cobrar","")="","OK",MID(IF(AND($B122&lt;&gt;"",COUNTIF(tblClientes[Nombre],$B122)&gt;1)," · NOMBRE DUPLICADO","")&amp;IF(AND($B122&lt;&gt;"",$C122="",$D122="")," · Sin teléfono ni email","")&amp;IF(AND(ISNUMBER($M122),$M122&gt;0)," · Tiene saldo por cobrar",""),4,900)))</f>
        <v/>
      </c>
    </row>
    <row r="123">
      <c r="A123" s="51">
        <f>IF($B123="","","CLI-"&amp;TEXT(ROW()-6,"0000"))</f>
        <v/>
      </c>
      <c r="B123" s="33" t="n"/>
      <c r="C123" s="33" t="n"/>
      <c r="D123" s="33" t="n"/>
      <c r="E123" s="33" t="n"/>
      <c r="F123" s="33" t="n"/>
      <c r="G123" s="53">
        <f>IF($B123="","",IF(COUNTIFS(tblVentas[Cliente],$B123)=0,"",SUMPRODUCT(MIN((tblVentas[Cliente]=$B123)*tblVentas[Fecha]+(tblVentas[Cliente]&lt;&gt;$B123)*99999))))</f>
        <v/>
      </c>
      <c r="H123" s="53">
        <f>IF($B123="","",IF(COUNTIFS(tblVentas[Cliente],$B123)=0,"",SUMPRODUCT(MAX((tblVentas[Cliente]=$B123)*tblVentas[Fecha]))))</f>
        <v/>
      </c>
      <c r="I123" s="39">
        <f>IF($B123="","",COUNTIFS(tblVentas[Cliente],$B123))</f>
        <v/>
      </c>
      <c r="J123" s="37">
        <f>IF($B123="","",SUMIFS(tblVentas[Venta neta],tblVentas[Cliente],$B123))</f>
        <v/>
      </c>
      <c r="K123" s="37">
        <f>IF($B123="","",SUMIFS(tblVentas[Utilidad bruta],tblVentas[Cliente],$B123))</f>
        <v/>
      </c>
      <c r="L123" s="37">
        <f>IF(OR($B123="",$I123=0),"",$J123/$I123)</f>
        <v/>
      </c>
      <c r="M123" s="37">
        <f>IF($B123="","",SUMIFS(tblVentas[Saldo por cobrar],tblVentas[Cliente],$B123))</f>
        <v/>
      </c>
      <c r="N123" s="39">
        <f>IF(OR($B123="",NOT(ISNUMBER($H123))),"",TODAY()-$H123)</f>
        <v/>
      </c>
      <c r="O123" s="51">
        <f>IF($B123="","",IF($I123=0,"SIN COMPRAS",IF($N123&lt;=30,"ACTIVO",IF($N123&lt;=60,"EN SEGUIMIENTO",IF($N123&lt;=120,"EN RIESGO","INACTIVO")))))</f>
        <v/>
      </c>
      <c r="P123" s="33" t="n"/>
      <c r="Q123" s="33" t="n"/>
      <c r="R123" s="51">
        <f>IF($B123="","",IF(IF(AND($B123&lt;&gt;"",COUNTIF(tblClientes[Nombre],$B123)&gt;1)," · NOMBRE DUPLICADO","")&amp;IF(AND($B123&lt;&gt;"",$C123="",$D123="")," · Sin teléfono ni email","")&amp;IF(AND(ISNUMBER($M123),$M123&gt;0)," · Tiene saldo por cobrar","")="","OK",MID(IF(AND($B123&lt;&gt;"",COUNTIF(tblClientes[Nombre],$B123)&gt;1)," · NOMBRE DUPLICADO","")&amp;IF(AND($B123&lt;&gt;"",$C123="",$D123="")," · Sin teléfono ni email","")&amp;IF(AND(ISNUMBER($M123),$M123&gt;0)," · Tiene saldo por cobrar",""),4,900)))</f>
        <v/>
      </c>
    </row>
    <row r="124">
      <c r="A124" s="51">
        <f>IF($B124="","","CLI-"&amp;TEXT(ROW()-6,"0000"))</f>
        <v/>
      </c>
      <c r="B124" s="33" t="n"/>
      <c r="C124" s="33" t="n"/>
      <c r="D124" s="33" t="n"/>
      <c r="E124" s="33" t="n"/>
      <c r="F124" s="33" t="n"/>
      <c r="G124" s="53">
        <f>IF($B124="","",IF(COUNTIFS(tblVentas[Cliente],$B124)=0,"",SUMPRODUCT(MIN((tblVentas[Cliente]=$B124)*tblVentas[Fecha]+(tblVentas[Cliente]&lt;&gt;$B124)*99999))))</f>
        <v/>
      </c>
      <c r="H124" s="53">
        <f>IF($B124="","",IF(COUNTIFS(tblVentas[Cliente],$B124)=0,"",SUMPRODUCT(MAX((tblVentas[Cliente]=$B124)*tblVentas[Fecha]))))</f>
        <v/>
      </c>
      <c r="I124" s="39">
        <f>IF($B124="","",COUNTIFS(tblVentas[Cliente],$B124))</f>
        <v/>
      </c>
      <c r="J124" s="37">
        <f>IF($B124="","",SUMIFS(tblVentas[Venta neta],tblVentas[Cliente],$B124))</f>
        <v/>
      </c>
      <c r="K124" s="37">
        <f>IF($B124="","",SUMIFS(tblVentas[Utilidad bruta],tblVentas[Cliente],$B124))</f>
        <v/>
      </c>
      <c r="L124" s="37">
        <f>IF(OR($B124="",$I124=0),"",$J124/$I124)</f>
        <v/>
      </c>
      <c r="M124" s="37">
        <f>IF($B124="","",SUMIFS(tblVentas[Saldo por cobrar],tblVentas[Cliente],$B124))</f>
        <v/>
      </c>
      <c r="N124" s="39">
        <f>IF(OR($B124="",NOT(ISNUMBER($H124))),"",TODAY()-$H124)</f>
        <v/>
      </c>
      <c r="O124" s="51">
        <f>IF($B124="","",IF($I124=0,"SIN COMPRAS",IF($N124&lt;=30,"ACTIVO",IF($N124&lt;=60,"EN SEGUIMIENTO",IF($N124&lt;=120,"EN RIESGO","INACTIVO")))))</f>
        <v/>
      </c>
      <c r="P124" s="33" t="n"/>
      <c r="Q124" s="33" t="n"/>
      <c r="R124" s="51">
        <f>IF($B124="","",IF(IF(AND($B124&lt;&gt;"",COUNTIF(tblClientes[Nombre],$B124)&gt;1)," · NOMBRE DUPLICADO","")&amp;IF(AND($B124&lt;&gt;"",$C124="",$D124="")," · Sin teléfono ni email","")&amp;IF(AND(ISNUMBER($M124),$M124&gt;0)," · Tiene saldo por cobrar","")="","OK",MID(IF(AND($B124&lt;&gt;"",COUNTIF(tblClientes[Nombre],$B124)&gt;1)," · NOMBRE DUPLICADO","")&amp;IF(AND($B124&lt;&gt;"",$C124="",$D124="")," · Sin teléfono ni email","")&amp;IF(AND(ISNUMBER($M124),$M124&gt;0)," · Tiene saldo por cobrar",""),4,900)))</f>
        <v/>
      </c>
    </row>
    <row r="125">
      <c r="A125" s="51">
        <f>IF($B125="","","CLI-"&amp;TEXT(ROW()-6,"0000"))</f>
        <v/>
      </c>
      <c r="B125" s="33" t="n"/>
      <c r="C125" s="33" t="n"/>
      <c r="D125" s="33" t="n"/>
      <c r="E125" s="33" t="n"/>
      <c r="F125" s="33" t="n"/>
      <c r="G125" s="53">
        <f>IF($B125="","",IF(COUNTIFS(tblVentas[Cliente],$B125)=0,"",SUMPRODUCT(MIN((tblVentas[Cliente]=$B125)*tblVentas[Fecha]+(tblVentas[Cliente]&lt;&gt;$B125)*99999))))</f>
        <v/>
      </c>
      <c r="H125" s="53">
        <f>IF($B125="","",IF(COUNTIFS(tblVentas[Cliente],$B125)=0,"",SUMPRODUCT(MAX((tblVentas[Cliente]=$B125)*tblVentas[Fecha]))))</f>
        <v/>
      </c>
      <c r="I125" s="39">
        <f>IF($B125="","",COUNTIFS(tblVentas[Cliente],$B125))</f>
        <v/>
      </c>
      <c r="J125" s="37">
        <f>IF($B125="","",SUMIFS(tblVentas[Venta neta],tblVentas[Cliente],$B125))</f>
        <v/>
      </c>
      <c r="K125" s="37">
        <f>IF($B125="","",SUMIFS(tblVentas[Utilidad bruta],tblVentas[Cliente],$B125))</f>
        <v/>
      </c>
      <c r="L125" s="37">
        <f>IF(OR($B125="",$I125=0),"",$J125/$I125)</f>
        <v/>
      </c>
      <c r="M125" s="37">
        <f>IF($B125="","",SUMIFS(tblVentas[Saldo por cobrar],tblVentas[Cliente],$B125))</f>
        <v/>
      </c>
      <c r="N125" s="39">
        <f>IF(OR($B125="",NOT(ISNUMBER($H125))),"",TODAY()-$H125)</f>
        <v/>
      </c>
      <c r="O125" s="51">
        <f>IF($B125="","",IF($I125=0,"SIN COMPRAS",IF($N125&lt;=30,"ACTIVO",IF($N125&lt;=60,"EN SEGUIMIENTO",IF($N125&lt;=120,"EN RIESGO","INACTIVO")))))</f>
        <v/>
      </c>
      <c r="P125" s="33" t="n"/>
      <c r="Q125" s="33" t="n"/>
      <c r="R125" s="51">
        <f>IF($B125="","",IF(IF(AND($B125&lt;&gt;"",COUNTIF(tblClientes[Nombre],$B125)&gt;1)," · NOMBRE DUPLICADO","")&amp;IF(AND($B125&lt;&gt;"",$C125="",$D125="")," · Sin teléfono ni email","")&amp;IF(AND(ISNUMBER($M125),$M125&gt;0)," · Tiene saldo por cobrar","")="","OK",MID(IF(AND($B125&lt;&gt;"",COUNTIF(tblClientes[Nombre],$B125)&gt;1)," · NOMBRE DUPLICADO","")&amp;IF(AND($B125&lt;&gt;"",$C125="",$D125="")," · Sin teléfono ni email","")&amp;IF(AND(ISNUMBER($M125),$M125&gt;0)," · Tiene saldo por cobrar",""),4,900)))</f>
        <v/>
      </c>
    </row>
    <row r="126">
      <c r="A126" s="51">
        <f>IF($B126="","","CLI-"&amp;TEXT(ROW()-6,"0000"))</f>
        <v/>
      </c>
      <c r="B126" s="33" t="n"/>
      <c r="C126" s="33" t="n"/>
      <c r="D126" s="33" t="n"/>
      <c r="E126" s="33" t="n"/>
      <c r="F126" s="33" t="n"/>
      <c r="G126" s="53">
        <f>IF($B126="","",IF(COUNTIFS(tblVentas[Cliente],$B126)=0,"",SUMPRODUCT(MIN((tblVentas[Cliente]=$B126)*tblVentas[Fecha]+(tblVentas[Cliente]&lt;&gt;$B126)*99999))))</f>
        <v/>
      </c>
      <c r="H126" s="53">
        <f>IF($B126="","",IF(COUNTIFS(tblVentas[Cliente],$B126)=0,"",SUMPRODUCT(MAX((tblVentas[Cliente]=$B126)*tblVentas[Fecha]))))</f>
        <v/>
      </c>
      <c r="I126" s="39">
        <f>IF($B126="","",COUNTIFS(tblVentas[Cliente],$B126))</f>
        <v/>
      </c>
      <c r="J126" s="37">
        <f>IF($B126="","",SUMIFS(tblVentas[Venta neta],tblVentas[Cliente],$B126))</f>
        <v/>
      </c>
      <c r="K126" s="37">
        <f>IF($B126="","",SUMIFS(tblVentas[Utilidad bruta],tblVentas[Cliente],$B126))</f>
        <v/>
      </c>
      <c r="L126" s="37">
        <f>IF(OR($B126="",$I126=0),"",$J126/$I126)</f>
        <v/>
      </c>
      <c r="M126" s="37">
        <f>IF($B126="","",SUMIFS(tblVentas[Saldo por cobrar],tblVentas[Cliente],$B126))</f>
        <v/>
      </c>
      <c r="N126" s="39">
        <f>IF(OR($B126="",NOT(ISNUMBER($H126))),"",TODAY()-$H126)</f>
        <v/>
      </c>
      <c r="O126" s="51">
        <f>IF($B126="","",IF($I126=0,"SIN COMPRAS",IF($N126&lt;=30,"ACTIVO",IF($N126&lt;=60,"EN SEGUIMIENTO",IF($N126&lt;=120,"EN RIESGO","INACTIVO")))))</f>
        <v/>
      </c>
      <c r="P126" s="33" t="n"/>
      <c r="Q126" s="33" t="n"/>
      <c r="R126" s="51">
        <f>IF($B126="","",IF(IF(AND($B126&lt;&gt;"",COUNTIF(tblClientes[Nombre],$B126)&gt;1)," · NOMBRE DUPLICADO","")&amp;IF(AND($B126&lt;&gt;"",$C126="",$D126="")," · Sin teléfono ni email","")&amp;IF(AND(ISNUMBER($M126),$M126&gt;0)," · Tiene saldo por cobrar","")="","OK",MID(IF(AND($B126&lt;&gt;"",COUNTIF(tblClientes[Nombre],$B126)&gt;1)," · NOMBRE DUPLICADO","")&amp;IF(AND($B126&lt;&gt;"",$C126="",$D126="")," · Sin teléfono ni email","")&amp;IF(AND(ISNUMBER($M126),$M126&gt;0)," · Tiene saldo por cobrar",""),4,900)))</f>
        <v/>
      </c>
    </row>
    <row r="127">
      <c r="A127" s="51">
        <f>IF($B127="","","CLI-"&amp;TEXT(ROW()-6,"0000"))</f>
        <v/>
      </c>
      <c r="B127" s="33" t="n"/>
      <c r="C127" s="33" t="n"/>
      <c r="D127" s="33" t="n"/>
      <c r="E127" s="33" t="n"/>
      <c r="F127" s="33" t="n"/>
      <c r="G127" s="53">
        <f>IF($B127="","",IF(COUNTIFS(tblVentas[Cliente],$B127)=0,"",SUMPRODUCT(MIN((tblVentas[Cliente]=$B127)*tblVentas[Fecha]+(tblVentas[Cliente]&lt;&gt;$B127)*99999))))</f>
        <v/>
      </c>
      <c r="H127" s="53">
        <f>IF($B127="","",IF(COUNTIFS(tblVentas[Cliente],$B127)=0,"",SUMPRODUCT(MAX((tblVentas[Cliente]=$B127)*tblVentas[Fecha]))))</f>
        <v/>
      </c>
      <c r="I127" s="39">
        <f>IF($B127="","",COUNTIFS(tblVentas[Cliente],$B127))</f>
        <v/>
      </c>
      <c r="J127" s="37">
        <f>IF($B127="","",SUMIFS(tblVentas[Venta neta],tblVentas[Cliente],$B127))</f>
        <v/>
      </c>
      <c r="K127" s="37">
        <f>IF($B127="","",SUMIFS(tblVentas[Utilidad bruta],tblVentas[Cliente],$B127))</f>
        <v/>
      </c>
      <c r="L127" s="37">
        <f>IF(OR($B127="",$I127=0),"",$J127/$I127)</f>
        <v/>
      </c>
      <c r="M127" s="37">
        <f>IF($B127="","",SUMIFS(tblVentas[Saldo por cobrar],tblVentas[Cliente],$B127))</f>
        <v/>
      </c>
      <c r="N127" s="39">
        <f>IF(OR($B127="",NOT(ISNUMBER($H127))),"",TODAY()-$H127)</f>
        <v/>
      </c>
      <c r="O127" s="51">
        <f>IF($B127="","",IF($I127=0,"SIN COMPRAS",IF($N127&lt;=30,"ACTIVO",IF($N127&lt;=60,"EN SEGUIMIENTO",IF($N127&lt;=120,"EN RIESGO","INACTIVO")))))</f>
        <v/>
      </c>
      <c r="P127" s="33" t="n"/>
      <c r="Q127" s="33" t="n"/>
      <c r="R127" s="51">
        <f>IF($B127="","",IF(IF(AND($B127&lt;&gt;"",COUNTIF(tblClientes[Nombre],$B127)&gt;1)," · NOMBRE DUPLICADO","")&amp;IF(AND($B127&lt;&gt;"",$C127="",$D127="")," · Sin teléfono ni email","")&amp;IF(AND(ISNUMBER($M127),$M127&gt;0)," · Tiene saldo por cobrar","")="","OK",MID(IF(AND($B127&lt;&gt;"",COUNTIF(tblClientes[Nombre],$B127)&gt;1)," · NOMBRE DUPLICADO","")&amp;IF(AND($B127&lt;&gt;"",$C127="",$D127="")," · Sin teléfono ni email","")&amp;IF(AND(ISNUMBER($M127),$M127&gt;0)," · Tiene saldo por cobrar",""),4,900)))</f>
        <v/>
      </c>
    </row>
    <row r="128">
      <c r="A128" s="51">
        <f>IF($B128="","","CLI-"&amp;TEXT(ROW()-6,"0000"))</f>
        <v/>
      </c>
      <c r="B128" s="33" t="n"/>
      <c r="C128" s="33" t="n"/>
      <c r="D128" s="33" t="n"/>
      <c r="E128" s="33" t="n"/>
      <c r="F128" s="33" t="n"/>
      <c r="G128" s="53">
        <f>IF($B128="","",IF(COUNTIFS(tblVentas[Cliente],$B128)=0,"",SUMPRODUCT(MIN((tblVentas[Cliente]=$B128)*tblVentas[Fecha]+(tblVentas[Cliente]&lt;&gt;$B128)*99999))))</f>
        <v/>
      </c>
      <c r="H128" s="53">
        <f>IF($B128="","",IF(COUNTIFS(tblVentas[Cliente],$B128)=0,"",SUMPRODUCT(MAX((tblVentas[Cliente]=$B128)*tblVentas[Fecha]))))</f>
        <v/>
      </c>
      <c r="I128" s="39">
        <f>IF($B128="","",COUNTIFS(tblVentas[Cliente],$B128))</f>
        <v/>
      </c>
      <c r="J128" s="37">
        <f>IF($B128="","",SUMIFS(tblVentas[Venta neta],tblVentas[Cliente],$B128))</f>
        <v/>
      </c>
      <c r="K128" s="37">
        <f>IF($B128="","",SUMIFS(tblVentas[Utilidad bruta],tblVentas[Cliente],$B128))</f>
        <v/>
      </c>
      <c r="L128" s="37">
        <f>IF(OR($B128="",$I128=0),"",$J128/$I128)</f>
        <v/>
      </c>
      <c r="M128" s="37">
        <f>IF($B128="","",SUMIFS(tblVentas[Saldo por cobrar],tblVentas[Cliente],$B128))</f>
        <v/>
      </c>
      <c r="N128" s="39">
        <f>IF(OR($B128="",NOT(ISNUMBER($H128))),"",TODAY()-$H128)</f>
        <v/>
      </c>
      <c r="O128" s="51">
        <f>IF($B128="","",IF($I128=0,"SIN COMPRAS",IF($N128&lt;=30,"ACTIVO",IF($N128&lt;=60,"EN SEGUIMIENTO",IF($N128&lt;=120,"EN RIESGO","INACTIVO")))))</f>
        <v/>
      </c>
      <c r="P128" s="33" t="n"/>
      <c r="Q128" s="33" t="n"/>
      <c r="R128" s="51">
        <f>IF($B128="","",IF(IF(AND($B128&lt;&gt;"",COUNTIF(tblClientes[Nombre],$B128)&gt;1)," · NOMBRE DUPLICADO","")&amp;IF(AND($B128&lt;&gt;"",$C128="",$D128="")," · Sin teléfono ni email","")&amp;IF(AND(ISNUMBER($M128),$M128&gt;0)," · Tiene saldo por cobrar","")="","OK",MID(IF(AND($B128&lt;&gt;"",COUNTIF(tblClientes[Nombre],$B128)&gt;1)," · NOMBRE DUPLICADO","")&amp;IF(AND($B128&lt;&gt;"",$C128="",$D128="")," · Sin teléfono ni email","")&amp;IF(AND(ISNUMBER($M128),$M128&gt;0)," · Tiene saldo por cobrar",""),4,900)))</f>
        <v/>
      </c>
    </row>
    <row r="129">
      <c r="A129" s="51">
        <f>IF($B129="","","CLI-"&amp;TEXT(ROW()-6,"0000"))</f>
        <v/>
      </c>
      <c r="B129" s="33" t="n"/>
      <c r="C129" s="33" t="n"/>
      <c r="D129" s="33" t="n"/>
      <c r="E129" s="33" t="n"/>
      <c r="F129" s="33" t="n"/>
      <c r="G129" s="53">
        <f>IF($B129="","",IF(COUNTIFS(tblVentas[Cliente],$B129)=0,"",SUMPRODUCT(MIN((tblVentas[Cliente]=$B129)*tblVentas[Fecha]+(tblVentas[Cliente]&lt;&gt;$B129)*99999))))</f>
        <v/>
      </c>
      <c r="H129" s="53">
        <f>IF($B129="","",IF(COUNTIFS(tblVentas[Cliente],$B129)=0,"",SUMPRODUCT(MAX((tblVentas[Cliente]=$B129)*tblVentas[Fecha]))))</f>
        <v/>
      </c>
      <c r="I129" s="39">
        <f>IF($B129="","",COUNTIFS(tblVentas[Cliente],$B129))</f>
        <v/>
      </c>
      <c r="J129" s="37">
        <f>IF($B129="","",SUMIFS(tblVentas[Venta neta],tblVentas[Cliente],$B129))</f>
        <v/>
      </c>
      <c r="K129" s="37">
        <f>IF($B129="","",SUMIFS(tblVentas[Utilidad bruta],tblVentas[Cliente],$B129))</f>
        <v/>
      </c>
      <c r="L129" s="37">
        <f>IF(OR($B129="",$I129=0),"",$J129/$I129)</f>
        <v/>
      </c>
      <c r="M129" s="37">
        <f>IF($B129="","",SUMIFS(tblVentas[Saldo por cobrar],tblVentas[Cliente],$B129))</f>
        <v/>
      </c>
      <c r="N129" s="39">
        <f>IF(OR($B129="",NOT(ISNUMBER($H129))),"",TODAY()-$H129)</f>
        <v/>
      </c>
      <c r="O129" s="51">
        <f>IF($B129="","",IF($I129=0,"SIN COMPRAS",IF($N129&lt;=30,"ACTIVO",IF($N129&lt;=60,"EN SEGUIMIENTO",IF($N129&lt;=120,"EN RIESGO","INACTIVO")))))</f>
        <v/>
      </c>
      <c r="P129" s="33" t="n"/>
      <c r="Q129" s="33" t="n"/>
      <c r="R129" s="51">
        <f>IF($B129="","",IF(IF(AND($B129&lt;&gt;"",COUNTIF(tblClientes[Nombre],$B129)&gt;1)," · NOMBRE DUPLICADO","")&amp;IF(AND($B129&lt;&gt;"",$C129="",$D129="")," · Sin teléfono ni email","")&amp;IF(AND(ISNUMBER($M129),$M129&gt;0)," · Tiene saldo por cobrar","")="","OK",MID(IF(AND($B129&lt;&gt;"",COUNTIF(tblClientes[Nombre],$B129)&gt;1)," · NOMBRE DUPLICADO","")&amp;IF(AND($B129&lt;&gt;"",$C129="",$D129="")," · Sin teléfono ni email","")&amp;IF(AND(ISNUMBER($M129),$M129&gt;0)," · Tiene saldo por cobrar",""),4,900)))</f>
        <v/>
      </c>
    </row>
    <row r="130">
      <c r="A130" s="51">
        <f>IF($B130="","","CLI-"&amp;TEXT(ROW()-6,"0000"))</f>
        <v/>
      </c>
      <c r="B130" s="33" t="n"/>
      <c r="C130" s="33" t="n"/>
      <c r="D130" s="33" t="n"/>
      <c r="E130" s="33" t="n"/>
      <c r="F130" s="33" t="n"/>
      <c r="G130" s="53">
        <f>IF($B130="","",IF(COUNTIFS(tblVentas[Cliente],$B130)=0,"",SUMPRODUCT(MIN((tblVentas[Cliente]=$B130)*tblVentas[Fecha]+(tblVentas[Cliente]&lt;&gt;$B130)*99999))))</f>
        <v/>
      </c>
      <c r="H130" s="53">
        <f>IF($B130="","",IF(COUNTIFS(tblVentas[Cliente],$B130)=0,"",SUMPRODUCT(MAX((tblVentas[Cliente]=$B130)*tblVentas[Fecha]))))</f>
        <v/>
      </c>
      <c r="I130" s="39">
        <f>IF($B130="","",COUNTIFS(tblVentas[Cliente],$B130))</f>
        <v/>
      </c>
      <c r="J130" s="37">
        <f>IF($B130="","",SUMIFS(tblVentas[Venta neta],tblVentas[Cliente],$B130))</f>
        <v/>
      </c>
      <c r="K130" s="37">
        <f>IF($B130="","",SUMIFS(tblVentas[Utilidad bruta],tblVentas[Cliente],$B130))</f>
        <v/>
      </c>
      <c r="L130" s="37">
        <f>IF(OR($B130="",$I130=0),"",$J130/$I130)</f>
        <v/>
      </c>
      <c r="M130" s="37">
        <f>IF($B130="","",SUMIFS(tblVentas[Saldo por cobrar],tblVentas[Cliente],$B130))</f>
        <v/>
      </c>
      <c r="N130" s="39">
        <f>IF(OR($B130="",NOT(ISNUMBER($H130))),"",TODAY()-$H130)</f>
        <v/>
      </c>
      <c r="O130" s="51">
        <f>IF($B130="","",IF($I130=0,"SIN COMPRAS",IF($N130&lt;=30,"ACTIVO",IF($N130&lt;=60,"EN SEGUIMIENTO",IF($N130&lt;=120,"EN RIESGO","INACTIVO")))))</f>
        <v/>
      </c>
      <c r="P130" s="33" t="n"/>
      <c r="Q130" s="33" t="n"/>
      <c r="R130" s="51">
        <f>IF($B130="","",IF(IF(AND($B130&lt;&gt;"",COUNTIF(tblClientes[Nombre],$B130)&gt;1)," · NOMBRE DUPLICADO","")&amp;IF(AND($B130&lt;&gt;"",$C130="",$D130="")," · Sin teléfono ni email","")&amp;IF(AND(ISNUMBER($M130),$M130&gt;0)," · Tiene saldo por cobrar","")="","OK",MID(IF(AND($B130&lt;&gt;"",COUNTIF(tblClientes[Nombre],$B130)&gt;1)," · NOMBRE DUPLICADO","")&amp;IF(AND($B130&lt;&gt;"",$C130="",$D130="")," · Sin teléfono ni email","")&amp;IF(AND(ISNUMBER($M130),$M130&gt;0)," · Tiene saldo por cobrar",""),4,900)))</f>
        <v/>
      </c>
    </row>
    <row r="131">
      <c r="A131" s="51">
        <f>IF($B131="","","CLI-"&amp;TEXT(ROW()-6,"0000"))</f>
        <v/>
      </c>
      <c r="B131" s="33" t="n"/>
      <c r="C131" s="33" t="n"/>
      <c r="D131" s="33" t="n"/>
      <c r="E131" s="33" t="n"/>
      <c r="F131" s="33" t="n"/>
      <c r="G131" s="53">
        <f>IF($B131="","",IF(COUNTIFS(tblVentas[Cliente],$B131)=0,"",SUMPRODUCT(MIN((tblVentas[Cliente]=$B131)*tblVentas[Fecha]+(tblVentas[Cliente]&lt;&gt;$B131)*99999))))</f>
        <v/>
      </c>
      <c r="H131" s="53">
        <f>IF($B131="","",IF(COUNTIFS(tblVentas[Cliente],$B131)=0,"",SUMPRODUCT(MAX((tblVentas[Cliente]=$B131)*tblVentas[Fecha]))))</f>
        <v/>
      </c>
      <c r="I131" s="39">
        <f>IF($B131="","",COUNTIFS(tblVentas[Cliente],$B131))</f>
        <v/>
      </c>
      <c r="J131" s="37">
        <f>IF($B131="","",SUMIFS(tblVentas[Venta neta],tblVentas[Cliente],$B131))</f>
        <v/>
      </c>
      <c r="K131" s="37">
        <f>IF($B131="","",SUMIFS(tblVentas[Utilidad bruta],tblVentas[Cliente],$B131))</f>
        <v/>
      </c>
      <c r="L131" s="37">
        <f>IF(OR($B131="",$I131=0),"",$J131/$I131)</f>
        <v/>
      </c>
      <c r="M131" s="37">
        <f>IF($B131="","",SUMIFS(tblVentas[Saldo por cobrar],tblVentas[Cliente],$B131))</f>
        <v/>
      </c>
      <c r="N131" s="39">
        <f>IF(OR($B131="",NOT(ISNUMBER($H131))),"",TODAY()-$H131)</f>
        <v/>
      </c>
      <c r="O131" s="51">
        <f>IF($B131="","",IF($I131=0,"SIN COMPRAS",IF($N131&lt;=30,"ACTIVO",IF($N131&lt;=60,"EN SEGUIMIENTO",IF($N131&lt;=120,"EN RIESGO","INACTIVO")))))</f>
        <v/>
      </c>
      <c r="P131" s="33" t="n"/>
      <c r="Q131" s="33" t="n"/>
      <c r="R131" s="51">
        <f>IF($B131="","",IF(IF(AND($B131&lt;&gt;"",COUNTIF(tblClientes[Nombre],$B131)&gt;1)," · NOMBRE DUPLICADO","")&amp;IF(AND($B131&lt;&gt;"",$C131="",$D131="")," · Sin teléfono ni email","")&amp;IF(AND(ISNUMBER($M131),$M131&gt;0)," · Tiene saldo por cobrar","")="","OK",MID(IF(AND($B131&lt;&gt;"",COUNTIF(tblClientes[Nombre],$B131)&gt;1)," · NOMBRE DUPLICADO","")&amp;IF(AND($B131&lt;&gt;"",$C131="",$D131="")," · Sin teléfono ni email","")&amp;IF(AND(ISNUMBER($M131),$M131&gt;0)," · Tiene saldo por cobrar",""),4,900)))</f>
        <v/>
      </c>
    </row>
    <row r="132">
      <c r="A132" s="51">
        <f>IF($B132="","","CLI-"&amp;TEXT(ROW()-6,"0000"))</f>
        <v/>
      </c>
      <c r="B132" s="33" t="n"/>
      <c r="C132" s="33" t="n"/>
      <c r="D132" s="33" t="n"/>
      <c r="E132" s="33" t="n"/>
      <c r="F132" s="33" t="n"/>
      <c r="G132" s="53">
        <f>IF($B132="","",IF(COUNTIFS(tblVentas[Cliente],$B132)=0,"",SUMPRODUCT(MIN((tblVentas[Cliente]=$B132)*tblVentas[Fecha]+(tblVentas[Cliente]&lt;&gt;$B132)*99999))))</f>
        <v/>
      </c>
      <c r="H132" s="53">
        <f>IF($B132="","",IF(COUNTIFS(tblVentas[Cliente],$B132)=0,"",SUMPRODUCT(MAX((tblVentas[Cliente]=$B132)*tblVentas[Fecha]))))</f>
        <v/>
      </c>
      <c r="I132" s="39">
        <f>IF($B132="","",COUNTIFS(tblVentas[Cliente],$B132))</f>
        <v/>
      </c>
      <c r="J132" s="37">
        <f>IF($B132="","",SUMIFS(tblVentas[Venta neta],tblVentas[Cliente],$B132))</f>
        <v/>
      </c>
      <c r="K132" s="37">
        <f>IF($B132="","",SUMIFS(tblVentas[Utilidad bruta],tblVentas[Cliente],$B132))</f>
        <v/>
      </c>
      <c r="L132" s="37">
        <f>IF(OR($B132="",$I132=0),"",$J132/$I132)</f>
        <v/>
      </c>
      <c r="M132" s="37">
        <f>IF($B132="","",SUMIFS(tblVentas[Saldo por cobrar],tblVentas[Cliente],$B132))</f>
        <v/>
      </c>
      <c r="N132" s="39">
        <f>IF(OR($B132="",NOT(ISNUMBER($H132))),"",TODAY()-$H132)</f>
        <v/>
      </c>
      <c r="O132" s="51">
        <f>IF($B132="","",IF($I132=0,"SIN COMPRAS",IF($N132&lt;=30,"ACTIVO",IF($N132&lt;=60,"EN SEGUIMIENTO",IF($N132&lt;=120,"EN RIESGO","INACTIVO")))))</f>
        <v/>
      </c>
      <c r="P132" s="33" t="n"/>
      <c r="Q132" s="33" t="n"/>
      <c r="R132" s="51">
        <f>IF($B132="","",IF(IF(AND($B132&lt;&gt;"",COUNTIF(tblClientes[Nombre],$B132)&gt;1)," · NOMBRE DUPLICADO","")&amp;IF(AND($B132&lt;&gt;"",$C132="",$D132="")," · Sin teléfono ni email","")&amp;IF(AND(ISNUMBER($M132),$M132&gt;0)," · Tiene saldo por cobrar","")="","OK",MID(IF(AND($B132&lt;&gt;"",COUNTIF(tblClientes[Nombre],$B132)&gt;1)," · NOMBRE DUPLICADO","")&amp;IF(AND($B132&lt;&gt;"",$C132="",$D132="")," · Sin teléfono ni email","")&amp;IF(AND(ISNUMBER($M132),$M132&gt;0)," · Tiene saldo por cobrar",""),4,900)))</f>
        <v/>
      </c>
    </row>
    <row r="133">
      <c r="A133" s="51">
        <f>IF($B133="","","CLI-"&amp;TEXT(ROW()-6,"0000"))</f>
        <v/>
      </c>
      <c r="B133" s="33" t="n"/>
      <c r="C133" s="33" t="n"/>
      <c r="D133" s="33" t="n"/>
      <c r="E133" s="33" t="n"/>
      <c r="F133" s="33" t="n"/>
      <c r="G133" s="53">
        <f>IF($B133="","",IF(COUNTIFS(tblVentas[Cliente],$B133)=0,"",SUMPRODUCT(MIN((tblVentas[Cliente]=$B133)*tblVentas[Fecha]+(tblVentas[Cliente]&lt;&gt;$B133)*99999))))</f>
        <v/>
      </c>
      <c r="H133" s="53">
        <f>IF($B133="","",IF(COUNTIFS(tblVentas[Cliente],$B133)=0,"",SUMPRODUCT(MAX((tblVentas[Cliente]=$B133)*tblVentas[Fecha]))))</f>
        <v/>
      </c>
      <c r="I133" s="39">
        <f>IF($B133="","",COUNTIFS(tblVentas[Cliente],$B133))</f>
        <v/>
      </c>
      <c r="J133" s="37">
        <f>IF($B133="","",SUMIFS(tblVentas[Venta neta],tblVentas[Cliente],$B133))</f>
        <v/>
      </c>
      <c r="K133" s="37">
        <f>IF($B133="","",SUMIFS(tblVentas[Utilidad bruta],tblVentas[Cliente],$B133))</f>
        <v/>
      </c>
      <c r="L133" s="37">
        <f>IF(OR($B133="",$I133=0),"",$J133/$I133)</f>
        <v/>
      </c>
      <c r="M133" s="37">
        <f>IF($B133="","",SUMIFS(tblVentas[Saldo por cobrar],tblVentas[Cliente],$B133))</f>
        <v/>
      </c>
      <c r="N133" s="39">
        <f>IF(OR($B133="",NOT(ISNUMBER($H133))),"",TODAY()-$H133)</f>
        <v/>
      </c>
      <c r="O133" s="51">
        <f>IF($B133="","",IF($I133=0,"SIN COMPRAS",IF($N133&lt;=30,"ACTIVO",IF($N133&lt;=60,"EN SEGUIMIENTO",IF($N133&lt;=120,"EN RIESGO","INACTIVO")))))</f>
        <v/>
      </c>
      <c r="P133" s="33" t="n"/>
      <c r="Q133" s="33" t="n"/>
      <c r="R133" s="51">
        <f>IF($B133="","",IF(IF(AND($B133&lt;&gt;"",COUNTIF(tblClientes[Nombre],$B133)&gt;1)," · NOMBRE DUPLICADO","")&amp;IF(AND($B133&lt;&gt;"",$C133="",$D133="")," · Sin teléfono ni email","")&amp;IF(AND(ISNUMBER($M133),$M133&gt;0)," · Tiene saldo por cobrar","")="","OK",MID(IF(AND($B133&lt;&gt;"",COUNTIF(tblClientes[Nombre],$B133)&gt;1)," · NOMBRE DUPLICADO","")&amp;IF(AND($B133&lt;&gt;"",$C133="",$D133="")," · Sin teléfono ni email","")&amp;IF(AND(ISNUMBER($M133),$M133&gt;0)," · Tiene saldo por cobrar",""),4,900)))</f>
        <v/>
      </c>
    </row>
    <row r="134">
      <c r="A134" s="51">
        <f>IF($B134="","","CLI-"&amp;TEXT(ROW()-6,"0000"))</f>
        <v/>
      </c>
      <c r="B134" s="33" t="n"/>
      <c r="C134" s="33" t="n"/>
      <c r="D134" s="33" t="n"/>
      <c r="E134" s="33" t="n"/>
      <c r="F134" s="33" t="n"/>
      <c r="G134" s="53">
        <f>IF($B134="","",IF(COUNTIFS(tblVentas[Cliente],$B134)=0,"",SUMPRODUCT(MIN((tblVentas[Cliente]=$B134)*tblVentas[Fecha]+(tblVentas[Cliente]&lt;&gt;$B134)*99999))))</f>
        <v/>
      </c>
      <c r="H134" s="53">
        <f>IF($B134="","",IF(COUNTIFS(tblVentas[Cliente],$B134)=0,"",SUMPRODUCT(MAX((tblVentas[Cliente]=$B134)*tblVentas[Fecha]))))</f>
        <v/>
      </c>
      <c r="I134" s="39">
        <f>IF($B134="","",COUNTIFS(tblVentas[Cliente],$B134))</f>
        <v/>
      </c>
      <c r="J134" s="37">
        <f>IF($B134="","",SUMIFS(tblVentas[Venta neta],tblVentas[Cliente],$B134))</f>
        <v/>
      </c>
      <c r="K134" s="37">
        <f>IF($B134="","",SUMIFS(tblVentas[Utilidad bruta],tblVentas[Cliente],$B134))</f>
        <v/>
      </c>
      <c r="L134" s="37">
        <f>IF(OR($B134="",$I134=0),"",$J134/$I134)</f>
        <v/>
      </c>
      <c r="M134" s="37">
        <f>IF($B134="","",SUMIFS(tblVentas[Saldo por cobrar],tblVentas[Cliente],$B134))</f>
        <v/>
      </c>
      <c r="N134" s="39">
        <f>IF(OR($B134="",NOT(ISNUMBER($H134))),"",TODAY()-$H134)</f>
        <v/>
      </c>
      <c r="O134" s="51">
        <f>IF($B134="","",IF($I134=0,"SIN COMPRAS",IF($N134&lt;=30,"ACTIVO",IF($N134&lt;=60,"EN SEGUIMIENTO",IF($N134&lt;=120,"EN RIESGO","INACTIVO")))))</f>
        <v/>
      </c>
      <c r="P134" s="33" t="n"/>
      <c r="Q134" s="33" t="n"/>
      <c r="R134" s="51">
        <f>IF($B134="","",IF(IF(AND($B134&lt;&gt;"",COUNTIF(tblClientes[Nombre],$B134)&gt;1)," · NOMBRE DUPLICADO","")&amp;IF(AND($B134&lt;&gt;"",$C134="",$D134="")," · Sin teléfono ni email","")&amp;IF(AND(ISNUMBER($M134),$M134&gt;0)," · Tiene saldo por cobrar","")="","OK",MID(IF(AND($B134&lt;&gt;"",COUNTIF(tblClientes[Nombre],$B134)&gt;1)," · NOMBRE DUPLICADO","")&amp;IF(AND($B134&lt;&gt;"",$C134="",$D134="")," · Sin teléfono ni email","")&amp;IF(AND(ISNUMBER($M134),$M134&gt;0)," · Tiene saldo por cobrar",""),4,900)))</f>
        <v/>
      </c>
    </row>
    <row r="135">
      <c r="A135" s="51">
        <f>IF($B135="","","CLI-"&amp;TEXT(ROW()-6,"0000"))</f>
        <v/>
      </c>
      <c r="B135" s="33" t="n"/>
      <c r="C135" s="33" t="n"/>
      <c r="D135" s="33" t="n"/>
      <c r="E135" s="33" t="n"/>
      <c r="F135" s="33" t="n"/>
      <c r="G135" s="53">
        <f>IF($B135="","",IF(COUNTIFS(tblVentas[Cliente],$B135)=0,"",SUMPRODUCT(MIN((tblVentas[Cliente]=$B135)*tblVentas[Fecha]+(tblVentas[Cliente]&lt;&gt;$B135)*99999))))</f>
        <v/>
      </c>
      <c r="H135" s="53">
        <f>IF($B135="","",IF(COUNTIFS(tblVentas[Cliente],$B135)=0,"",SUMPRODUCT(MAX((tblVentas[Cliente]=$B135)*tblVentas[Fecha]))))</f>
        <v/>
      </c>
      <c r="I135" s="39">
        <f>IF($B135="","",COUNTIFS(tblVentas[Cliente],$B135))</f>
        <v/>
      </c>
      <c r="J135" s="37">
        <f>IF($B135="","",SUMIFS(tblVentas[Venta neta],tblVentas[Cliente],$B135))</f>
        <v/>
      </c>
      <c r="K135" s="37">
        <f>IF($B135="","",SUMIFS(tblVentas[Utilidad bruta],tblVentas[Cliente],$B135))</f>
        <v/>
      </c>
      <c r="L135" s="37">
        <f>IF(OR($B135="",$I135=0),"",$J135/$I135)</f>
        <v/>
      </c>
      <c r="M135" s="37">
        <f>IF($B135="","",SUMIFS(tblVentas[Saldo por cobrar],tblVentas[Cliente],$B135))</f>
        <v/>
      </c>
      <c r="N135" s="39">
        <f>IF(OR($B135="",NOT(ISNUMBER($H135))),"",TODAY()-$H135)</f>
        <v/>
      </c>
      <c r="O135" s="51">
        <f>IF($B135="","",IF($I135=0,"SIN COMPRAS",IF($N135&lt;=30,"ACTIVO",IF($N135&lt;=60,"EN SEGUIMIENTO",IF($N135&lt;=120,"EN RIESGO","INACTIVO")))))</f>
        <v/>
      </c>
      <c r="P135" s="33" t="n"/>
      <c r="Q135" s="33" t="n"/>
      <c r="R135" s="51">
        <f>IF($B135="","",IF(IF(AND($B135&lt;&gt;"",COUNTIF(tblClientes[Nombre],$B135)&gt;1)," · NOMBRE DUPLICADO","")&amp;IF(AND($B135&lt;&gt;"",$C135="",$D135="")," · Sin teléfono ni email","")&amp;IF(AND(ISNUMBER($M135),$M135&gt;0)," · Tiene saldo por cobrar","")="","OK",MID(IF(AND($B135&lt;&gt;"",COUNTIF(tblClientes[Nombre],$B135)&gt;1)," · NOMBRE DUPLICADO","")&amp;IF(AND($B135&lt;&gt;"",$C135="",$D135="")," · Sin teléfono ni email","")&amp;IF(AND(ISNUMBER($M135),$M135&gt;0)," · Tiene saldo por cobrar",""),4,900)))</f>
        <v/>
      </c>
    </row>
    <row r="136">
      <c r="A136" s="51">
        <f>IF($B136="","","CLI-"&amp;TEXT(ROW()-6,"0000"))</f>
        <v/>
      </c>
      <c r="B136" s="33" t="n"/>
      <c r="C136" s="33" t="n"/>
      <c r="D136" s="33" t="n"/>
      <c r="E136" s="33" t="n"/>
      <c r="F136" s="33" t="n"/>
      <c r="G136" s="53">
        <f>IF($B136="","",IF(COUNTIFS(tblVentas[Cliente],$B136)=0,"",SUMPRODUCT(MIN((tblVentas[Cliente]=$B136)*tblVentas[Fecha]+(tblVentas[Cliente]&lt;&gt;$B136)*99999))))</f>
        <v/>
      </c>
      <c r="H136" s="53">
        <f>IF($B136="","",IF(COUNTIFS(tblVentas[Cliente],$B136)=0,"",SUMPRODUCT(MAX((tblVentas[Cliente]=$B136)*tblVentas[Fecha]))))</f>
        <v/>
      </c>
      <c r="I136" s="39">
        <f>IF($B136="","",COUNTIFS(tblVentas[Cliente],$B136))</f>
        <v/>
      </c>
      <c r="J136" s="37">
        <f>IF($B136="","",SUMIFS(tblVentas[Venta neta],tblVentas[Cliente],$B136))</f>
        <v/>
      </c>
      <c r="K136" s="37">
        <f>IF($B136="","",SUMIFS(tblVentas[Utilidad bruta],tblVentas[Cliente],$B136))</f>
        <v/>
      </c>
      <c r="L136" s="37">
        <f>IF(OR($B136="",$I136=0),"",$J136/$I136)</f>
        <v/>
      </c>
      <c r="M136" s="37">
        <f>IF($B136="","",SUMIFS(tblVentas[Saldo por cobrar],tblVentas[Cliente],$B136))</f>
        <v/>
      </c>
      <c r="N136" s="39">
        <f>IF(OR($B136="",NOT(ISNUMBER($H136))),"",TODAY()-$H136)</f>
        <v/>
      </c>
      <c r="O136" s="51">
        <f>IF($B136="","",IF($I136=0,"SIN COMPRAS",IF($N136&lt;=30,"ACTIVO",IF($N136&lt;=60,"EN SEGUIMIENTO",IF($N136&lt;=120,"EN RIESGO","INACTIVO")))))</f>
        <v/>
      </c>
      <c r="P136" s="33" t="n"/>
      <c r="Q136" s="33" t="n"/>
      <c r="R136" s="51">
        <f>IF($B136="","",IF(IF(AND($B136&lt;&gt;"",COUNTIF(tblClientes[Nombre],$B136)&gt;1)," · NOMBRE DUPLICADO","")&amp;IF(AND($B136&lt;&gt;"",$C136="",$D136="")," · Sin teléfono ni email","")&amp;IF(AND(ISNUMBER($M136),$M136&gt;0)," · Tiene saldo por cobrar","")="","OK",MID(IF(AND($B136&lt;&gt;"",COUNTIF(tblClientes[Nombre],$B136)&gt;1)," · NOMBRE DUPLICADO","")&amp;IF(AND($B136&lt;&gt;"",$C136="",$D136="")," · Sin teléfono ni email","")&amp;IF(AND(ISNUMBER($M136),$M136&gt;0)," · Tiene saldo por cobrar",""),4,900)))</f>
        <v/>
      </c>
    </row>
    <row r="137">
      <c r="A137" s="51">
        <f>IF($B137="","","CLI-"&amp;TEXT(ROW()-6,"0000"))</f>
        <v/>
      </c>
      <c r="B137" s="33" t="n"/>
      <c r="C137" s="33" t="n"/>
      <c r="D137" s="33" t="n"/>
      <c r="E137" s="33" t="n"/>
      <c r="F137" s="33" t="n"/>
      <c r="G137" s="53">
        <f>IF($B137="","",IF(COUNTIFS(tblVentas[Cliente],$B137)=0,"",SUMPRODUCT(MIN((tblVentas[Cliente]=$B137)*tblVentas[Fecha]+(tblVentas[Cliente]&lt;&gt;$B137)*99999))))</f>
        <v/>
      </c>
      <c r="H137" s="53">
        <f>IF($B137="","",IF(COUNTIFS(tblVentas[Cliente],$B137)=0,"",SUMPRODUCT(MAX((tblVentas[Cliente]=$B137)*tblVentas[Fecha]))))</f>
        <v/>
      </c>
      <c r="I137" s="39">
        <f>IF($B137="","",COUNTIFS(tblVentas[Cliente],$B137))</f>
        <v/>
      </c>
      <c r="J137" s="37">
        <f>IF($B137="","",SUMIFS(tblVentas[Venta neta],tblVentas[Cliente],$B137))</f>
        <v/>
      </c>
      <c r="K137" s="37">
        <f>IF($B137="","",SUMIFS(tblVentas[Utilidad bruta],tblVentas[Cliente],$B137))</f>
        <v/>
      </c>
      <c r="L137" s="37">
        <f>IF(OR($B137="",$I137=0),"",$J137/$I137)</f>
        <v/>
      </c>
      <c r="M137" s="37">
        <f>IF($B137="","",SUMIFS(tblVentas[Saldo por cobrar],tblVentas[Cliente],$B137))</f>
        <v/>
      </c>
      <c r="N137" s="39">
        <f>IF(OR($B137="",NOT(ISNUMBER($H137))),"",TODAY()-$H137)</f>
        <v/>
      </c>
      <c r="O137" s="51">
        <f>IF($B137="","",IF($I137=0,"SIN COMPRAS",IF($N137&lt;=30,"ACTIVO",IF($N137&lt;=60,"EN SEGUIMIENTO",IF($N137&lt;=120,"EN RIESGO","INACTIVO")))))</f>
        <v/>
      </c>
      <c r="P137" s="33" t="n"/>
      <c r="Q137" s="33" t="n"/>
      <c r="R137" s="51">
        <f>IF($B137="","",IF(IF(AND($B137&lt;&gt;"",COUNTIF(tblClientes[Nombre],$B137)&gt;1)," · NOMBRE DUPLICADO","")&amp;IF(AND($B137&lt;&gt;"",$C137="",$D137="")," · Sin teléfono ni email","")&amp;IF(AND(ISNUMBER($M137),$M137&gt;0)," · Tiene saldo por cobrar","")="","OK",MID(IF(AND($B137&lt;&gt;"",COUNTIF(tblClientes[Nombre],$B137)&gt;1)," · NOMBRE DUPLICADO","")&amp;IF(AND($B137&lt;&gt;"",$C137="",$D137="")," · Sin teléfono ni email","")&amp;IF(AND(ISNUMBER($M137),$M137&gt;0)," · Tiene saldo por cobrar",""),4,900)))</f>
        <v/>
      </c>
    </row>
    <row r="138">
      <c r="A138" s="51">
        <f>IF($B138="","","CLI-"&amp;TEXT(ROW()-6,"0000"))</f>
        <v/>
      </c>
      <c r="B138" s="33" t="n"/>
      <c r="C138" s="33" t="n"/>
      <c r="D138" s="33" t="n"/>
      <c r="E138" s="33" t="n"/>
      <c r="F138" s="33" t="n"/>
      <c r="G138" s="53">
        <f>IF($B138="","",IF(COUNTIFS(tblVentas[Cliente],$B138)=0,"",SUMPRODUCT(MIN((tblVentas[Cliente]=$B138)*tblVentas[Fecha]+(tblVentas[Cliente]&lt;&gt;$B138)*99999))))</f>
        <v/>
      </c>
      <c r="H138" s="53">
        <f>IF($B138="","",IF(COUNTIFS(tblVentas[Cliente],$B138)=0,"",SUMPRODUCT(MAX((tblVentas[Cliente]=$B138)*tblVentas[Fecha]))))</f>
        <v/>
      </c>
      <c r="I138" s="39">
        <f>IF($B138="","",COUNTIFS(tblVentas[Cliente],$B138))</f>
        <v/>
      </c>
      <c r="J138" s="37">
        <f>IF($B138="","",SUMIFS(tblVentas[Venta neta],tblVentas[Cliente],$B138))</f>
        <v/>
      </c>
      <c r="K138" s="37">
        <f>IF($B138="","",SUMIFS(tblVentas[Utilidad bruta],tblVentas[Cliente],$B138))</f>
        <v/>
      </c>
      <c r="L138" s="37">
        <f>IF(OR($B138="",$I138=0),"",$J138/$I138)</f>
        <v/>
      </c>
      <c r="M138" s="37">
        <f>IF($B138="","",SUMIFS(tblVentas[Saldo por cobrar],tblVentas[Cliente],$B138))</f>
        <v/>
      </c>
      <c r="N138" s="39">
        <f>IF(OR($B138="",NOT(ISNUMBER($H138))),"",TODAY()-$H138)</f>
        <v/>
      </c>
      <c r="O138" s="51">
        <f>IF($B138="","",IF($I138=0,"SIN COMPRAS",IF($N138&lt;=30,"ACTIVO",IF($N138&lt;=60,"EN SEGUIMIENTO",IF($N138&lt;=120,"EN RIESGO","INACTIVO")))))</f>
        <v/>
      </c>
      <c r="P138" s="33" t="n"/>
      <c r="Q138" s="33" t="n"/>
      <c r="R138" s="51">
        <f>IF($B138="","",IF(IF(AND($B138&lt;&gt;"",COUNTIF(tblClientes[Nombre],$B138)&gt;1)," · NOMBRE DUPLICADO","")&amp;IF(AND($B138&lt;&gt;"",$C138="",$D138="")," · Sin teléfono ni email","")&amp;IF(AND(ISNUMBER($M138),$M138&gt;0)," · Tiene saldo por cobrar","")="","OK",MID(IF(AND($B138&lt;&gt;"",COUNTIF(tblClientes[Nombre],$B138)&gt;1)," · NOMBRE DUPLICADO","")&amp;IF(AND($B138&lt;&gt;"",$C138="",$D138="")," · Sin teléfono ni email","")&amp;IF(AND(ISNUMBER($M138),$M138&gt;0)," · Tiene saldo por cobrar",""),4,900)))</f>
        <v/>
      </c>
    </row>
    <row r="139">
      <c r="A139" s="51">
        <f>IF($B139="","","CLI-"&amp;TEXT(ROW()-6,"0000"))</f>
        <v/>
      </c>
      <c r="B139" s="33" t="n"/>
      <c r="C139" s="33" t="n"/>
      <c r="D139" s="33" t="n"/>
      <c r="E139" s="33" t="n"/>
      <c r="F139" s="33" t="n"/>
      <c r="G139" s="53">
        <f>IF($B139="","",IF(COUNTIFS(tblVentas[Cliente],$B139)=0,"",SUMPRODUCT(MIN((tblVentas[Cliente]=$B139)*tblVentas[Fecha]+(tblVentas[Cliente]&lt;&gt;$B139)*99999))))</f>
        <v/>
      </c>
      <c r="H139" s="53">
        <f>IF($B139="","",IF(COUNTIFS(tblVentas[Cliente],$B139)=0,"",SUMPRODUCT(MAX((tblVentas[Cliente]=$B139)*tblVentas[Fecha]))))</f>
        <v/>
      </c>
      <c r="I139" s="39">
        <f>IF($B139="","",COUNTIFS(tblVentas[Cliente],$B139))</f>
        <v/>
      </c>
      <c r="J139" s="37">
        <f>IF($B139="","",SUMIFS(tblVentas[Venta neta],tblVentas[Cliente],$B139))</f>
        <v/>
      </c>
      <c r="K139" s="37">
        <f>IF($B139="","",SUMIFS(tblVentas[Utilidad bruta],tblVentas[Cliente],$B139))</f>
        <v/>
      </c>
      <c r="L139" s="37">
        <f>IF(OR($B139="",$I139=0),"",$J139/$I139)</f>
        <v/>
      </c>
      <c r="M139" s="37">
        <f>IF($B139="","",SUMIFS(tblVentas[Saldo por cobrar],tblVentas[Cliente],$B139))</f>
        <v/>
      </c>
      <c r="N139" s="39">
        <f>IF(OR($B139="",NOT(ISNUMBER($H139))),"",TODAY()-$H139)</f>
        <v/>
      </c>
      <c r="O139" s="51">
        <f>IF($B139="","",IF($I139=0,"SIN COMPRAS",IF($N139&lt;=30,"ACTIVO",IF($N139&lt;=60,"EN SEGUIMIENTO",IF($N139&lt;=120,"EN RIESGO","INACTIVO")))))</f>
        <v/>
      </c>
      <c r="P139" s="33" t="n"/>
      <c r="Q139" s="33" t="n"/>
      <c r="R139" s="51">
        <f>IF($B139="","",IF(IF(AND($B139&lt;&gt;"",COUNTIF(tblClientes[Nombre],$B139)&gt;1)," · NOMBRE DUPLICADO","")&amp;IF(AND($B139&lt;&gt;"",$C139="",$D139="")," · Sin teléfono ni email","")&amp;IF(AND(ISNUMBER($M139),$M139&gt;0)," · Tiene saldo por cobrar","")="","OK",MID(IF(AND($B139&lt;&gt;"",COUNTIF(tblClientes[Nombre],$B139)&gt;1)," · NOMBRE DUPLICADO","")&amp;IF(AND($B139&lt;&gt;"",$C139="",$D139="")," · Sin teléfono ni email","")&amp;IF(AND(ISNUMBER($M139),$M139&gt;0)," · Tiene saldo por cobrar",""),4,900)))</f>
        <v/>
      </c>
    </row>
    <row r="140">
      <c r="A140" s="51">
        <f>IF($B140="","","CLI-"&amp;TEXT(ROW()-6,"0000"))</f>
        <v/>
      </c>
      <c r="B140" s="33" t="n"/>
      <c r="C140" s="33" t="n"/>
      <c r="D140" s="33" t="n"/>
      <c r="E140" s="33" t="n"/>
      <c r="F140" s="33" t="n"/>
      <c r="G140" s="53">
        <f>IF($B140="","",IF(COUNTIFS(tblVentas[Cliente],$B140)=0,"",SUMPRODUCT(MIN((tblVentas[Cliente]=$B140)*tblVentas[Fecha]+(tblVentas[Cliente]&lt;&gt;$B140)*99999))))</f>
        <v/>
      </c>
      <c r="H140" s="53">
        <f>IF($B140="","",IF(COUNTIFS(tblVentas[Cliente],$B140)=0,"",SUMPRODUCT(MAX((tblVentas[Cliente]=$B140)*tblVentas[Fecha]))))</f>
        <v/>
      </c>
      <c r="I140" s="39">
        <f>IF($B140="","",COUNTIFS(tblVentas[Cliente],$B140))</f>
        <v/>
      </c>
      <c r="J140" s="37">
        <f>IF($B140="","",SUMIFS(tblVentas[Venta neta],tblVentas[Cliente],$B140))</f>
        <v/>
      </c>
      <c r="K140" s="37">
        <f>IF($B140="","",SUMIFS(tblVentas[Utilidad bruta],tblVentas[Cliente],$B140))</f>
        <v/>
      </c>
      <c r="L140" s="37">
        <f>IF(OR($B140="",$I140=0),"",$J140/$I140)</f>
        <v/>
      </c>
      <c r="M140" s="37">
        <f>IF($B140="","",SUMIFS(tblVentas[Saldo por cobrar],tblVentas[Cliente],$B140))</f>
        <v/>
      </c>
      <c r="N140" s="39">
        <f>IF(OR($B140="",NOT(ISNUMBER($H140))),"",TODAY()-$H140)</f>
        <v/>
      </c>
      <c r="O140" s="51">
        <f>IF($B140="","",IF($I140=0,"SIN COMPRAS",IF($N140&lt;=30,"ACTIVO",IF($N140&lt;=60,"EN SEGUIMIENTO",IF($N140&lt;=120,"EN RIESGO","INACTIVO")))))</f>
        <v/>
      </c>
      <c r="P140" s="33" t="n"/>
      <c r="Q140" s="33" t="n"/>
      <c r="R140" s="51">
        <f>IF($B140="","",IF(IF(AND($B140&lt;&gt;"",COUNTIF(tblClientes[Nombre],$B140)&gt;1)," · NOMBRE DUPLICADO","")&amp;IF(AND($B140&lt;&gt;"",$C140="",$D140="")," · Sin teléfono ni email","")&amp;IF(AND(ISNUMBER($M140),$M140&gt;0)," · Tiene saldo por cobrar","")="","OK",MID(IF(AND($B140&lt;&gt;"",COUNTIF(tblClientes[Nombre],$B140)&gt;1)," · NOMBRE DUPLICADO","")&amp;IF(AND($B140&lt;&gt;"",$C140="",$D140="")," · Sin teléfono ni email","")&amp;IF(AND(ISNUMBER($M140),$M140&gt;0)," · Tiene saldo por cobrar",""),4,900)))</f>
        <v/>
      </c>
    </row>
    <row r="141">
      <c r="A141" s="51">
        <f>IF($B141="","","CLI-"&amp;TEXT(ROW()-6,"0000"))</f>
        <v/>
      </c>
      <c r="B141" s="33" t="n"/>
      <c r="C141" s="33" t="n"/>
      <c r="D141" s="33" t="n"/>
      <c r="E141" s="33" t="n"/>
      <c r="F141" s="33" t="n"/>
      <c r="G141" s="53">
        <f>IF($B141="","",IF(COUNTIFS(tblVentas[Cliente],$B141)=0,"",SUMPRODUCT(MIN((tblVentas[Cliente]=$B141)*tblVentas[Fecha]+(tblVentas[Cliente]&lt;&gt;$B141)*99999))))</f>
        <v/>
      </c>
      <c r="H141" s="53">
        <f>IF($B141="","",IF(COUNTIFS(tblVentas[Cliente],$B141)=0,"",SUMPRODUCT(MAX((tblVentas[Cliente]=$B141)*tblVentas[Fecha]))))</f>
        <v/>
      </c>
      <c r="I141" s="39">
        <f>IF($B141="","",COUNTIFS(tblVentas[Cliente],$B141))</f>
        <v/>
      </c>
      <c r="J141" s="37">
        <f>IF($B141="","",SUMIFS(tblVentas[Venta neta],tblVentas[Cliente],$B141))</f>
        <v/>
      </c>
      <c r="K141" s="37">
        <f>IF($B141="","",SUMIFS(tblVentas[Utilidad bruta],tblVentas[Cliente],$B141))</f>
        <v/>
      </c>
      <c r="L141" s="37">
        <f>IF(OR($B141="",$I141=0),"",$J141/$I141)</f>
        <v/>
      </c>
      <c r="M141" s="37">
        <f>IF($B141="","",SUMIFS(tblVentas[Saldo por cobrar],tblVentas[Cliente],$B141))</f>
        <v/>
      </c>
      <c r="N141" s="39">
        <f>IF(OR($B141="",NOT(ISNUMBER($H141))),"",TODAY()-$H141)</f>
        <v/>
      </c>
      <c r="O141" s="51">
        <f>IF($B141="","",IF($I141=0,"SIN COMPRAS",IF($N141&lt;=30,"ACTIVO",IF($N141&lt;=60,"EN SEGUIMIENTO",IF($N141&lt;=120,"EN RIESGO","INACTIVO")))))</f>
        <v/>
      </c>
      <c r="P141" s="33" t="n"/>
      <c r="Q141" s="33" t="n"/>
      <c r="R141" s="51">
        <f>IF($B141="","",IF(IF(AND($B141&lt;&gt;"",COUNTIF(tblClientes[Nombre],$B141)&gt;1)," · NOMBRE DUPLICADO","")&amp;IF(AND($B141&lt;&gt;"",$C141="",$D141="")," · Sin teléfono ni email","")&amp;IF(AND(ISNUMBER($M141),$M141&gt;0)," · Tiene saldo por cobrar","")="","OK",MID(IF(AND($B141&lt;&gt;"",COUNTIF(tblClientes[Nombre],$B141)&gt;1)," · NOMBRE DUPLICADO","")&amp;IF(AND($B141&lt;&gt;"",$C141="",$D141="")," · Sin teléfono ni email","")&amp;IF(AND(ISNUMBER($M141),$M141&gt;0)," · Tiene saldo por cobrar",""),4,900)))</f>
        <v/>
      </c>
    </row>
    <row r="142">
      <c r="A142" s="51">
        <f>IF($B142="","","CLI-"&amp;TEXT(ROW()-6,"0000"))</f>
        <v/>
      </c>
      <c r="B142" s="33" t="n"/>
      <c r="C142" s="33" t="n"/>
      <c r="D142" s="33" t="n"/>
      <c r="E142" s="33" t="n"/>
      <c r="F142" s="33" t="n"/>
      <c r="G142" s="53">
        <f>IF($B142="","",IF(COUNTIFS(tblVentas[Cliente],$B142)=0,"",SUMPRODUCT(MIN((tblVentas[Cliente]=$B142)*tblVentas[Fecha]+(tblVentas[Cliente]&lt;&gt;$B142)*99999))))</f>
        <v/>
      </c>
      <c r="H142" s="53">
        <f>IF($B142="","",IF(COUNTIFS(tblVentas[Cliente],$B142)=0,"",SUMPRODUCT(MAX((tblVentas[Cliente]=$B142)*tblVentas[Fecha]))))</f>
        <v/>
      </c>
      <c r="I142" s="39">
        <f>IF($B142="","",COUNTIFS(tblVentas[Cliente],$B142))</f>
        <v/>
      </c>
      <c r="J142" s="37">
        <f>IF($B142="","",SUMIFS(tblVentas[Venta neta],tblVentas[Cliente],$B142))</f>
        <v/>
      </c>
      <c r="K142" s="37">
        <f>IF($B142="","",SUMIFS(tblVentas[Utilidad bruta],tblVentas[Cliente],$B142))</f>
        <v/>
      </c>
      <c r="L142" s="37">
        <f>IF(OR($B142="",$I142=0),"",$J142/$I142)</f>
        <v/>
      </c>
      <c r="M142" s="37">
        <f>IF($B142="","",SUMIFS(tblVentas[Saldo por cobrar],tblVentas[Cliente],$B142))</f>
        <v/>
      </c>
      <c r="N142" s="39">
        <f>IF(OR($B142="",NOT(ISNUMBER($H142))),"",TODAY()-$H142)</f>
        <v/>
      </c>
      <c r="O142" s="51">
        <f>IF($B142="","",IF($I142=0,"SIN COMPRAS",IF($N142&lt;=30,"ACTIVO",IF($N142&lt;=60,"EN SEGUIMIENTO",IF($N142&lt;=120,"EN RIESGO","INACTIVO")))))</f>
        <v/>
      </c>
      <c r="P142" s="33" t="n"/>
      <c r="Q142" s="33" t="n"/>
      <c r="R142" s="51">
        <f>IF($B142="","",IF(IF(AND($B142&lt;&gt;"",COUNTIF(tblClientes[Nombre],$B142)&gt;1)," · NOMBRE DUPLICADO","")&amp;IF(AND($B142&lt;&gt;"",$C142="",$D142="")," · Sin teléfono ni email","")&amp;IF(AND(ISNUMBER($M142),$M142&gt;0)," · Tiene saldo por cobrar","")="","OK",MID(IF(AND($B142&lt;&gt;"",COUNTIF(tblClientes[Nombre],$B142)&gt;1)," · NOMBRE DUPLICADO","")&amp;IF(AND($B142&lt;&gt;"",$C142="",$D142="")," · Sin teléfono ni email","")&amp;IF(AND(ISNUMBER($M142),$M142&gt;0)," · Tiene saldo por cobrar",""),4,900)))</f>
        <v/>
      </c>
    </row>
    <row r="143">
      <c r="A143" s="51">
        <f>IF($B143="","","CLI-"&amp;TEXT(ROW()-6,"0000"))</f>
        <v/>
      </c>
      <c r="B143" s="33" t="n"/>
      <c r="C143" s="33" t="n"/>
      <c r="D143" s="33" t="n"/>
      <c r="E143" s="33" t="n"/>
      <c r="F143" s="33" t="n"/>
      <c r="G143" s="53">
        <f>IF($B143="","",IF(COUNTIFS(tblVentas[Cliente],$B143)=0,"",SUMPRODUCT(MIN((tblVentas[Cliente]=$B143)*tblVentas[Fecha]+(tblVentas[Cliente]&lt;&gt;$B143)*99999))))</f>
        <v/>
      </c>
      <c r="H143" s="53">
        <f>IF($B143="","",IF(COUNTIFS(tblVentas[Cliente],$B143)=0,"",SUMPRODUCT(MAX((tblVentas[Cliente]=$B143)*tblVentas[Fecha]))))</f>
        <v/>
      </c>
      <c r="I143" s="39">
        <f>IF($B143="","",COUNTIFS(tblVentas[Cliente],$B143))</f>
        <v/>
      </c>
      <c r="J143" s="37">
        <f>IF($B143="","",SUMIFS(tblVentas[Venta neta],tblVentas[Cliente],$B143))</f>
        <v/>
      </c>
      <c r="K143" s="37">
        <f>IF($B143="","",SUMIFS(tblVentas[Utilidad bruta],tblVentas[Cliente],$B143))</f>
        <v/>
      </c>
      <c r="L143" s="37">
        <f>IF(OR($B143="",$I143=0),"",$J143/$I143)</f>
        <v/>
      </c>
      <c r="M143" s="37">
        <f>IF($B143="","",SUMIFS(tblVentas[Saldo por cobrar],tblVentas[Cliente],$B143))</f>
        <v/>
      </c>
      <c r="N143" s="39">
        <f>IF(OR($B143="",NOT(ISNUMBER($H143))),"",TODAY()-$H143)</f>
        <v/>
      </c>
      <c r="O143" s="51">
        <f>IF($B143="","",IF($I143=0,"SIN COMPRAS",IF($N143&lt;=30,"ACTIVO",IF($N143&lt;=60,"EN SEGUIMIENTO",IF($N143&lt;=120,"EN RIESGO","INACTIVO")))))</f>
        <v/>
      </c>
      <c r="P143" s="33" t="n"/>
      <c r="Q143" s="33" t="n"/>
      <c r="R143" s="51">
        <f>IF($B143="","",IF(IF(AND($B143&lt;&gt;"",COUNTIF(tblClientes[Nombre],$B143)&gt;1)," · NOMBRE DUPLICADO","")&amp;IF(AND($B143&lt;&gt;"",$C143="",$D143="")," · Sin teléfono ni email","")&amp;IF(AND(ISNUMBER($M143),$M143&gt;0)," · Tiene saldo por cobrar","")="","OK",MID(IF(AND($B143&lt;&gt;"",COUNTIF(tblClientes[Nombre],$B143)&gt;1)," · NOMBRE DUPLICADO","")&amp;IF(AND($B143&lt;&gt;"",$C143="",$D143="")," · Sin teléfono ni email","")&amp;IF(AND(ISNUMBER($M143),$M143&gt;0)," · Tiene saldo por cobrar",""),4,900)))</f>
        <v/>
      </c>
    </row>
    <row r="144">
      <c r="A144" s="51">
        <f>IF($B144="","","CLI-"&amp;TEXT(ROW()-6,"0000"))</f>
        <v/>
      </c>
      <c r="B144" s="33" t="n"/>
      <c r="C144" s="33" t="n"/>
      <c r="D144" s="33" t="n"/>
      <c r="E144" s="33" t="n"/>
      <c r="F144" s="33" t="n"/>
      <c r="G144" s="53">
        <f>IF($B144="","",IF(COUNTIFS(tblVentas[Cliente],$B144)=0,"",SUMPRODUCT(MIN((tblVentas[Cliente]=$B144)*tblVentas[Fecha]+(tblVentas[Cliente]&lt;&gt;$B144)*99999))))</f>
        <v/>
      </c>
      <c r="H144" s="53">
        <f>IF($B144="","",IF(COUNTIFS(tblVentas[Cliente],$B144)=0,"",SUMPRODUCT(MAX((tblVentas[Cliente]=$B144)*tblVentas[Fecha]))))</f>
        <v/>
      </c>
      <c r="I144" s="39">
        <f>IF($B144="","",COUNTIFS(tblVentas[Cliente],$B144))</f>
        <v/>
      </c>
      <c r="J144" s="37">
        <f>IF($B144="","",SUMIFS(tblVentas[Venta neta],tblVentas[Cliente],$B144))</f>
        <v/>
      </c>
      <c r="K144" s="37">
        <f>IF($B144="","",SUMIFS(tblVentas[Utilidad bruta],tblVentas[Cliente],$B144))</f>
        <v/>
      </c>
      <c r="L144" s="37">
        <f>IF(OR($B144="",$I144=0),"",$J144/$I144)</f>
        <v/>
      </c>
      <c r="M144" s="37">
        <f>IF($B144="","",SUMIFS(tblVentas[Saldo por cobrar],tblVentas[Cliente],$B144))</f>
        <v/>
      </c>
      <c r="N144" s="39">
        <f>IF(OR($B144="",NOT(ISNUMBER($H144))),"",TODAY()-$H144)</f>
        <v/>
      </c>
      <c r="O144" s="51">
        <f>IF($B144="","",IF($I144=0,"SIN COMPRAS",IF($N144&lt;=30,"ACTIVO",IF($N144&lt;=60,"EN SEGUIMIENTO",IF($N144&lt;=120,"EN RIESGO","INACTIVO")))))</f>
        <v/>
      </c>
      <c r="P144" s="33" t="n"/>
      <c r="Q144" s="33" t="n"/>
      <c r="R144" s="51">
        <f>IF($B144="","",IF(IF(AND($B144&lt;&gt;"",COUNTIF(tblClientes[Nombre],$B144)&gt;1)," · NOMBRE DUPLICADO","")&amp;IF(AND($B144&lt;&gt;"",$C144="",$D144="")," · Sin teléfono ni email","")&amp;IF(AND(ISNUMBER($M144),$M144&gt;0)," · Tiene saldo por cobrar","")="","OK",MID(IF(AND($B144&lt;&gt;"",COUNTIF(tblClientes[Nombre],$B144)&gt;1)," · NOMBRE DUPLICADO","")&amp;IF(AND($B144&lt;&gt;"",$C144="",$D144="")," · Sin teléfono ni email","")&amp;IF(AND(ISNUMBER($M144),$M144&gt;0)," · Tiene saldo por cobrar",""),4,900)))</f>
        <v/>
      </c>
    </row>
    <row r="145">
      <c r="A145" s="51">
        <f>IF($B145="","","CLI-"&amp;TEXT(ROW()-6,"0000"))</f>
        <v/>
      </c>
      <c r="B145" s="33" t="n"/>
      <c r="C145" s="33" t="n"/>
      <c r="D145" s="33" t="n"/>
      <c r="E145" s="33" t="n"/>
      <c r="F145" s="33" t="n"/>
      <c r="G145" s="53">
        <f>IF($B145="","",IF(COUNTIFS(tblVentas[Cliente],$B145)=0,"",SUMPRODUCT(MIN((tblVentas[Cliente]=$B145)*tblVentas[Fecha]+(tblVentas[Cliente]&lt;&gt;$B145)*99999))))</f>
        <v/>
      </c>
      <c r="H145" s="53">
        <f>IF($B145="","",IF(COUNTIFS(tblVentas[Cliente],$B145)=0,"",SUMPRODUCT(MAX((tblVentas[Cliente]=$B145)*tblVentas[Fecha]))))</f>
        <v/>
      </c>
      <c r="I145" s="39">
        <f>IF($B145="","",COUNTIFS(tblVentas[Cliente],$B145))</f>
        <v/>
      </c>
      <c r="J145" s="37">
        <f>IF($B145="","",SUMIFS(tblVentas[Venta neta],tblVentas[Cliente],$B145))</f>
        <v/>
      </c>
      <c r="K145" s="37">
        <f>IF($B145="","",SUMIFS(tblVentas[Utilidad bruta],tblVentas[Cliente],$B145))</f>
        <v/>
      </c>
      <c r="L145" s="37">
        <f>IF(OR($B145="",$I145=0),"",$J145/$I145)</f>
        <v/>
      </c>
      <c r="M145" s="37">
        <f>IF($B145="","",SUMIFS(tblVentas[Saldo por cobrar],tblVentas[Cliente],$B145))</f>
        <v/>
      </c>
      <c r="N145" s="39">
        <f>IF(OR($B145="",NOT(ISNUMBER($H145))),"",TODAY()-$H145)</f>
        <v/>
      </c>
      <c r="O145" s="51">
        <f>IF($B145="","",IF($I145=0,"SIN COMPRAS",IF($N145&lt;=30,"ACTIVO",IF($N145&lt;=60,"EN SEGUIMIENTO",IF($N145&lt;=120,"EN RIESGO","INACTIVO")))))</f>
        <v/>
      </c>
      <c r="P145" s="33" t="n"/>
      <c r="Q145" s="33" t="n"/>
      <c r="R145" s="51">
        <f>IF($B145="","",IF(IF(AND($B145&lt;&gt;"",COUNTIF(tblClientes[Nombre],$B145)&gt;1)," · NOMBRE DUPLICADO","")&amp;IF(AND($B145&lt;&gt;"",$C145="",$D145="")," · Sin teléfono ni email","")&amp;IF(AND(ISNUMBER($M145),$M145&gt;0)," · Tiene saldo por cobrar","")="","OK",MID(IF(AND($B145&lt;&gt;"",COUNTIF(tblClientes[Nombre],$B145)&gt;1)," · NOMBRE DUPLICADO","")&amp;IF(AND($B145&lt;&gt;"",$C145="",$D145="")," · Sin teléfono ni email","")&amp;IF(AND(ISNUMBER($M145),$M145&gt;0)," · Tiene saldo por cobrar",""),4,900)))</f>
        <v/>
      </c>
    </row>
    <row r="146">
      <c r="A146" s="51">
        <f>IF($B146="","","CLI-"&amp;TEXT(ROW()-6,"0000"))</f>
        <v/>
      </c>
      <c r="B146" s="33" t="n"/>
      <c r="C146" s="33" t="n"/>
      <c r="D146" s="33" t="n"/>
      <c r="E146" s="33" t="n"/>
      <c r="F146" s="33" t="n"/>
      <c r="G146" s="53">
        <f>IF($B146="","",IF(COUNTIFS(tblVentas[Cliente],$B146)=0,"",SUMPRODUCT(MIN((tblVentas[Cliente]=$B146)*tblVentas[Fecha]+(tblVentas[Cliente]&lt;&gt;$B146)*99999))))</f>
        <v/>
      </c>
      <c r="H146" s="53">
        <f>IF($B146="","",IF(COUNTIFS(tblVentas[Cliente],$B146)=0,"",SUMPRODUCT(MAX((tblVentas[Cliente]=$B146)*tblVentas[Fecha]))))</f>
        <v/>
      </c>
      <c r="I146" s="39">
        <f>IF($B146="","",COUNTIFS(tblVentas[Cliente],$B146))</f>
        <v/>
      </c>
      <c r="J146" s="37">
        <f>IF($B146="","",SUMIFS(tblVentas[Venta neta],tblVentas[Cliente],$B146))</f>
        <v/>
      </c>
      <c r="K146" s="37">
        <f>IF($B146="","",SUMIFS(tblVentas[Utilidad bruta],tblVentas[Cliente],$B146))</f>
        <v/>
      </c>
      <c r="L146" s="37">
        <f>IF(OR($B146="",$I146=0),"",$J146/$I146)</f>
        <v/>
      </c>
      <c r="M146" s="37">
        <f>IF($B146="","",SUMIFS(tblVentas[Saldo por cobrar],tblVentas[Cliente],$B146))</f>
        <v/>
      </c>
      <c r="N146" s="39">
        <f>IF(OR($B146="",NOT(ISNUMBER($H146))),"",TODAY()-$H146)</f>
        <v/>
      </c>
      <c r="O146" s="51">
        <f>IF($B146="","",IF($I146=0,"SIN COMPRAS",IF($N146&lt;=30,"ACTIVO",IF($N146&lt;=60,"EN SEGUIMIENTO",IF($N146&lt;=120,"EN RIESGO","INACTIVO")))))</f>
        <v/>
      </c>
      <c r="P146" s="33" t="n"/>
      <c r="Q146" s="33" t="n"/>
      <c r="R146" s="51">
        <f>IF($B146="","",IF(IF(AND($B146&lt;&gt;"",COUNTIF(tblClientes[Nombre],$B146)&gt;1)," · NOMBRE DUPLICADO","")&amp;IF(AND($B146&lt;&gt;"",$C146="",$D146="")," · Sin teléfono ni email","")&amp;IF(AND(ISNUMBER($M146),$M146&gt;0)," · Tiene saldo por cobrar","")="","OK",MID(IF(AND($B146&lt;&gt;"",COUNTIF(tblClientes[Nombre],$B146)&gt;1)," · NOMBRE DUPLICADO","")&amp;IF(AND($B146&lt;&gt;"",$C146="",$D146="")," · Sin teléfono ni email","")&amp;IF(AND(ISNUMBER($M146),$M146&gt;0)," · Tiene saldo por cobrar",""),4,900)))</f>
        <v/>
      </c>
    </row>
    <row r="147">
      <c r="A147" s="51">
        <f>IF($B147="","","CLI-"&amp;TEXT(ROW()-6,"0000"))</f>
        <v/>
      </c>
      <c r="B147" s="33" t="n"/>
      <c r="C147" s="33" t="n"/>
      <c r="D147" s="33" t="n"/>
      <c r="E147" s="33" t="n"/>
      <c r="F147" s="33" t="n"/>
      <c r="G147" s="53">
        <f>IF($B147="","",IF(COUNTIFS(tblVentas[Cliente],$B147)=0,"",SUMPRODUCT(MIN((tblVentas[Cliente]=$B147)*tblVentas[Fecha]+(tblVentas[Cliente]&lt;&gt;$B147)*99999))))</f>
        <v/>
      </c>
      <c r="H147" s="53">
        <f>IF($B147="","",IF(COUNTIFS(tblVentas[Cliente],$B147)=0,"",SUMPRODUCT(MAX((tblVentas[Cliente]=$B147)*tblVentas[Fecha]))))</f>
        <v/>
      </c>
      <c r="I147" s="39">
        <f>IF($B147="","",COUNTIFS(tblVentas[Cliente],$B147))</f>
        <v/>
      </c>
      <c r="J147" s="37">
        <f>IF($B147="","",SUMIFS(tblVentas[Venta neta],tblVentas[Cliente],$B147))</f>
        <v/>
      </c>
      <c r="K147" s="37">
        <f>IF($B147="","",SUMIFS(tblVentas[Utilidad bruta],tblVentas[Cliente],$B147))</f>
        <v/>
      </c>
      <c r="L147" s="37">
        <f>IF(OR($B147="",$I147=0),"",$J147/$I147)</f>
        <v/>
      </c>
      <c r="M147" s="37">
        <f>IF($B147="","",SUMIFS(tblVentas[Saldo por cobrar],tblVentas[Cliente],$B147))</f>
        <v/>
      </c>
      <c r="N147" s="39">
        <f>IF(OR($B147="",NOT(ISNUMBER($H147))),"",TODAY()-$H147)</f>
        <v/>
      </c>
      <c r="O147" s="51">
        <f>IF($B147="","",IF($I147=0,"SIN COMPRAS",IF($N147&lt;=30,"ACTIVO",IF($N147&lt;=60,"EN SEGUIMIENTO",IF($N147&lt;=120,"EN RIESGO","INACTIVO")))))</f>
        <v/>
      </c>
      <c r="P147" s="33" t="n"/>
      <c r="Q147" s="33" t="n"/>
      <c r="R147" s="51">
        <f>IF($B147="","",IF(IF(AND($B147&lt;&gt;"",COUNTIF(tblClientes[Nombre],$B147)&gt;1)," · NOMBRE DUPLICADO","")&amp;IF(AND($B147&lt;&gt;"",$C147="",$D147="")," · Sin teléfono ni email","")&amp;IF(AND(ISNUMBER($M147),$M147&gt;0)," · Tiene saldo por cobrar","")="","OK",MID(IF(AND($B147&lt;&gt;"",COUNTIF(tblClientes[Nombre],$B147)&gt;1)," · NOMBRE DUPLICADO","")&amp;IF(AND($B147&lt;&gt;"",$C147="",$D147="")," · Sin teléfono ni email","")&amp;IF(AND(ISNUMBER($M147),$M147&gt;0)," · Tiene saldo por cobrar",""),4,900)))</f>
        <v/>
      </c>
    </row>
    <row r="148">
      <c r="A148" s="51">
        <f>IF($B148="","","CLI-"&amp;TEXT(ROW()-6,"0000"))</f>
        <v/>
      </c>
      <c r="B148" s="33" t="n"/>
      <c r="C148" s="33" t="n"/>
      <c r="D148" s="33" t="n"/>
      <c r="E148" s="33" t="n"/>
      <c r="F148" s="33" t="n"/>
      <c r="G148" s="53">
        <f>IF($B148="","",IF(COUNTIFS(tblVentas[Cliente],$B148)=0,"",SUMPRODUCT(MIN((tblVentas[Cliente]=$B148)*tblVentas[Fecha]+(tblVentas[Cliente]&lt;&gt;$B148)*99999))))</f>
        <v/>
      </c>
      <c r="H148" s="53">
        <f>IF($B148="","",IF(COUNTIFS(tblVentas[Cliente],$B148)=0,"",SUMPRODUCT(MAX((tblVentas[Cliente]=$B148)*tblVentas[Fecha]))))</f>
        <v/>
      </c>
      <c r="I148" s="39">
        <f>IF($B148="","",COUNTIFS(tblVentas[Cliente],$B148))</f>
        <v/>
      </c>
      <c r="J148" s="37">
        <f>IF($B148="","",SUMIFS(tblVentas[Venta neta],tblVentas[Cliente],$B148))</f>
        <v/>
      </c>
      <c r="K148" s="37">
        <f>IF($B148="","",SUMIFS(tblVentas[Utilidad bruta],tblVentas[Cliente],$B148))</f>
        <v/>
      </c>
      <c r="L148" s="37">
        <f>IF(OR($B148="",$I148=0),"",$J148/$I148)</f>
        <v/>
      </c>
      <c r="M148" s="37">
        <f>IF($B148="","",SUMIFS(tblVentas[Saldo por cobrar],tblVentas[Cliente],$B148))</f>
        <v/>
      </c>
      <c r="N148" s="39">
        <f>IF(OR($B148="",NOT(ISNUMBER($H148))),"",TODAY()-$H148)</f>
        <v/>
      </c>
      <c r="O148" s="51">
        <f>IF($B148="","",IF($I148=0,"SIN COMPRAS",IF($N148&lt;=30,"ACTIVO",IF($N148&lt;=60,"EN SEGUIMIENTO",IF($N148&lt;=120,"EN RIESGO","INACTIVO")))))</f>
        <v/>
      </c>
      <c r="P148" s="33" t="n"/>
      <c r="Q148" s="33" t="n"/>
      <c r="R148" s="51">
        <f>IF($B148="","",IF(IF(AND($B148&lt;&gt;"",COUNTIF(tblClientes[Nombre],$B148)&gt;1)," · NOMBRE DUPLICADO","")&amp;IF(AND($B148&lt;&gt;"",$C148="",$D148="")," · Sin teléfono ni email","")&amp;IF(AND(ISNUMBER($M148),$M148&gt;0)," · Tiene saldo por cobrar","")="","OK",MID(IF(AND($B148&lt;&gt;"",COUNTIF(tblClientes[Nombre],$B148)&gt;1)," · NOMBRE DUPLICADO","")&amp;IF(AND($B148&lt;&gt;"",$C148="",$D148="")," · Sin teléfono ni email","")&amp;IF(AND(ISNUMBER($M148),$M148&gt;0)," · Tiene saldo por cobrar",""),4,900)))</f>
        <v/>
      </c>
    </row>
    <row r="149">
      <c r="A149" s="51">
        <f>IF($B149="","","CLI-"&amp;TEXT(ROW()-6,"0000"))</f>
        <v/>
      </c>
      <c r="B149" s="33" t="n"/>
      <c r="C149" s="33" t="n"/>
      <c r="D149" s="33" t="n"/>
      <c r="E149" s="33" t="n"/>
      <c r="F149" s="33" t="n"/>
      <c r="G149" s="53">
        <f>IF($B149="","",IF(COUNTIFS(tblVentas[Cliente],$B149)=0,"",SUMPRODUCT(MIN((tblVentas[Cliente]=$B149)*tblVentas[Fecha]+(tblVentas[Cliente]&lt;&gt;$B149)*99999))))</f>
        <v/>
      </c>
      <c r="H149" s="53">
        <f>IF($B149="","",IF(COUNTIFS(tblVentas[Cliente],$B149)=0,"",SUMPRODUCT(MAX((tblVentas[Cliente]=$B149)*tblVentas[Fecha]))))</f>
        <v/>
      </c>
      <c r="I149" s="39">
        <f>IF($B149="","",COUNTIFS(tblVentas[Cliente],$B149))</f>
        <v/>
      </c>
      <c r="J149" s="37">
        <f>IF($B149="","",SUMIFS(tblVentas[Venta neta],tblVentas[Cliente],$B149))</f>
        <v/>
      </c>
      <c r="K149" s="37">
        <f>IF($B149="","",SUMIFS(tblVentas[Utilidad bruta],tblVentas[Cliente],$B149))</f>
        <v/>
      </c>
      <c r="L149" s="37">
        <f>IF(OR($B149="",$I149=0),"",$J149/$I149)</f>
        <v/>
      </c>
      <c r="M149" s="37">
        <f>IF($B149="","",SUMIFS(tblVentas[Saldo por cobrar],tblVentas[Cliente],$B149))</f>
        <v/>
      </c>
      <c r="N149" s="39">
        <f>IF(OR($B149="",NOT(ISNUMBER($H149))),"",TODAY()-$H149)</f>
        <v/>
      </c>
      <c r="O149" s="51">
        <f>IF($B149="","",IF($I149=0,"SIN COMPRAS",IF($N149&lt;=30,"ACTIVO",IF($N149&lt;=60,"EN SEGUIMIENTO",IF($N149&lt;=120,"EN RIESGO","INACTIVO")))))</f>
        <v/>
      </c>
      <c r="P149" s="33" t="n"/>
      <c r="Q149" s="33" t="n"/>
      <c r="R149" s="51">
        <f>IF($B149="","",IF(IF(AND($B149&lt;&gt;"",COUNTIF(tblClientes[Nombre],$B149)&gt;1)," · NOMBRE DUPLICADO","")&amp;IF(AND($B149&lt;&gt;"",$C149="",$D149="")," · Sin teléfono ni email","")&amp;IF(AND(ISNUMBER($M149),$M149&gt;0)," · Tiene saldo por cobrar","")="","OK",MID(IF(AND($B149&lt;&gt;"",COUNTIF(tblClientes[Nombre],$B149)&gt;1)," · NOMBRE DUPLICADO","")&amp;IF(AND($B149&lt;&gt;"",$C149="",$D149="")," · Sin teléfono ni email","")&amp;IF(AND(ISNUMBER($M149),$M149&gt;0)," · Tiene saldo por cobrar",""),4,900)))</f>
        <v/>
      </c>
    </row>
    <row r="150">
      <c r="A150" s="51">
        <f>IF($B150="","","CLI-"&amp;TEXT(ROW()-6,"0000"))</f>
        <v/>
      </c>
      <c r="B150" s="33" t="n"/>
      <c r="C150" s="33" t="n"/>
      <c r="D150" s="33" t="n"/>
      <c r="E150" s="33" t="n"/>
      <c r="F150" s="33" t="n"/>
      <c r="G150" s="53">
        <f>IF($B150="","",IF(COUNTIFS(tblVentas[Cliente],$B150)=0,"",SUMPRODUCT(MIN((tblVentas[Cliente]=$B150)*tblVentas[Fecha]+(tblVentas[Cliente]&lt;&gt;$B150)*99999))))</f>
        <v/>
      </c>
      <c r="H150" s="53">
        <f>IF($B150="","",IF(COUNTIFS(tblVentas[Cliente],$B150)=0,"",SUMPRODUCT(MAX((tblVentas[Cliente]=$B150)*tblVentas[Fecha]))))</f>
        <v/>
      </c>
      <c r="I150" s="39">
        <f>IF($B150="","",COUNTIFS(tblVentas[Cliente],$B150))</f>
        <v/>
      </c>
      <c r="J150" s="37">
        <f>IF($B150="","",SUMIFS(tblVentas[Venta neta],tblVentas[Cliente],$B150))</f>
        <v/>
      </c>
      <c r="K150" s="37">
        <f>IF($B150="","",SUMIFS(tblVentas[Utilidad bruta],tblVentas[Cliente],$B150))</f>
        <v/>
      </c>
      <c r="L150" s="37">
        <f>IF(OR($B150="",$I150=0),"",$J150/$I150)</f>
        <v/>
      </c>
      <c r="M150" s="37">
        <f>IF($B150="","",SUMIFS(tblVentas[Saldo por cobrar],tblVentas[Cliente],$B150))</f>
        <v/>
      </c>
      <c r="N150" s="39">
        <f>IF(OR($B150="",NOT(ISNUMBER($H150))),"",TODAY()-$H150)</f>
        <v/>
      </c>
      <c r="O150" s="51">
        <f>IF($B150="","",IF($I150=0,"SIN COMPRAS",IF($N150&lt;=30,"ACTIVO",IF($N150&lt;=60,"EN SEGUIMIENTO",IF($N150&lt;=120,"EN RIESGO","INACTIVO")))))</f>
        <v/>
      </c>
      <c r="P150" s="33" t="n"/>
      <c r="Q150" s="33" t="n"/>
      <c r="R150" s="51">
        <f>IF($B150="","",IF(IF(AND($B150&lt;&gt;"",COUNTIF(tblClientes[Nombre],$B150)&gt;1)," · NOMBRE DUPLICADO","")&amp;IF(AND($B150&lt;&gt;"",$C150="",$D150="")," · Sin teléfono ni email","")&amp;IF(AND(ISNUMBER($M150),$M150&gt;0)," · Tiene saldo por cobrar","")="","OK",MID(IF(AND($B150&lt;&gt;"",COUNTIF(tblClientes[Nombre],$B150)&gt;1)," · NOMBRE DUPLICADO","")&amp;IF(AND($B150&lt;&gt;"",$C150="",$D150="")," · Sin teléfono ni email","")&amp;IF(AND(ISNUMBER($M150),$M150&gt;0)," · Tiene saldo por cobrar",""),4,900)))</f>
        <v/>
      </c>
    </row>
    <row r="151">
      <c r="A151" s="51">
        <f>IF($B151="","","CLI-"&amp;TEXT(ROW()-6,"0000"))</f>
        <v/>
      </c>
      <c r="B151" s="33" t="n"/>
      <c r="C151" s="33" t="n"/>
      <c r="D151" s="33" t="n"/>
      <c r="E151" s="33" t="n"/>
      <c r="F151" s="33" t="n"/>
      <c r="G151" s="53">
        <f>IF($B151="","",IF(COUNTIFS(tblVentas[Cliente],$B151)=0,"",SUMPRODUCT(MIN((tblVentas[Cliente]=$B151)*tblVentas[Fecha]+(tblVentas[Cliente]&lt;&gt;$B151)*99999))))</f>
        <v/>
      </c>
      <c r="H151" s="53">
        <f>IF($B151="","",IF(COUNTIFS(tblVentas[Cliente],$B151)=0,"",SUMPRODUCT(MAX((tblVentas[Cliente]=$B151)*tblVentas[Fecha]))))</f>
        <v/>
      </c>
      <c r="I151" s="39">
        <f>IF($B151="","",COUNTIFS(tblVentas[Cliente],$B151))</f>
        <v/>
      </c>
      <c r="J151" s="37">
        <f>IF($B151="","",SUMIFS(tblVentas[Venta neta],tblVentas[Cliente],$B151))</f>
        <v/>
      </c>
      <c r="K151" s="37">
        <f>IF($B151="","",SUMIFS(tblVentas[Utilidad bruta],tblVentas[Cliente],$B151))</f>
        <v/>
      </c>
      <c r="L151" s="37">
        <f>IF(OR($B151="",$I151=0),"",$J151/$I151)</f>
        <v/>
      </c>
      <c r="M151" s="37">
        <f>IF($B151="","",SUMIFS(tblVentas[Saldo por cobrar],tblVentas[Cliente],$B151))</f>
        <v/>
      </c>
      <c r="N151" s="39">
        <f>IF(OR($B151="",NOT(ISNUMBER($H151))),"",TODAY()-$H151)</f>
        <v/>
      </c>
      <c r="O151" s="51">
        <f>IF($B151="","",IF($I151=0,"SIN COMPRAS",IF($N151&lt;=30,"ACTIVO",IF($N151&lt;=60,"EN SEGUIMIENTO",IF($N151&lt;=120,"EN RIESGO","INACTIVO")))))</f>
        <v/>
      </c>
      <c r="P151" s="33" t="n"/>
      <c r="Q151" s="33" t="n"/>
      <c r="R151" s="51">
        <f>IF($B151="","",IF(IF(AND($B151&lt;&gt;"",COUNTIF(tblClientes[Nombre],$B151)&gt;1)," · NOMBRE DUPLICADO","")&amp;IF(AND($B151&lt;&gt;"",$C151="",$D151="")," · Sin teléfono ni email","")&amp;IF(AND(ISNUMBER($M151),$M151&gt;0)," · Tiene saldo por cobrar","")="","OK",MID(IF(AND($B151&lt;&gt;"",COUNTIF(tblClientes[Nombre],$B151)&gt;1)," · NOMBRE DUPLICADO","")&amp;IF(AND($B151&lt;&gt;"",$C151="",$D151="")," · Sin teléfono ni email","")&amp;IF(AND(ISNUMBER($M151),$M151&gt;0)," · Tiene saldo por cobrar",""),4,900)))</f>
        <v/>
      </c>
    </row>
    <row r="152">
      <c r="A152" s="51">
        <f>IF($B152="","","CLI-"&amp;TEXT(ROW()-6,"0000"))</f>
        <v/>
      </c>
      <c r="B152" s="33" t="n"/>
      <c r="C152" s="33" t="n"/>
      <c r="D152" s="33" t="n"/>
      <c r="E152" s="33" t="n"/>
      <c r="F152" s="33" t="n"/>
      <c r="G152" s="53">
        <f>IF($B152="","",IF(COUNTIFS(tblVentas[Cliente],$B152)=0,"",SUMPRODUCT(MIN((tblVentas[Cliente]=$B152)*tblVentas[Fecha]+(tblVentas[Cliente]&lt;&gt;$B152)*99999))))</f>
        <v/>
      </c>
      <c r="H152" s="53">
        <f>IF($B152="","",IF(COUNTIFS(tblVentas[Cliente],$B152)=0,"",SUMPRODUCT(MAX((tblVentas[Cliente]=$B152)*tblVentas[Fecha]))))</f>
        <v/>
      </c>
      <c r="I152" s="39">
        <f>IF($B152="","",COUNTIFS(tblVentas[Cliente],$B152))</f>
        <v/>
      </c>
      <c r="J152" s="37">
        <f>IF($B152="","",SUMIFS(tblVentas[Venta neta],tblVentas[Cliente],$B152))</f>
        <v/>
      </c>
      <c r="K152" s="37">
        <f>IF($B152="","",SUMIFS(tblVentas[Utilidad bruta],tblVentas[Cliente],$B152))</f>
        <v/>
      </c>
      <c r="L152" s="37">
        <f>IF(OR($B152="",$I152=0),"",$J152/$I152)</f>
        <v/>
      </c>
      <c r="M152" s="37">
        <f>IF($B152="","",SUMIFS(tblVentas[Saldo por cobrar],tblVentas[Cliente],$B152))</f>
        <v/>
      </c>
      <c r="N152" s="39">
        <f>IF(OR($B152="",NOT(ISNUMBER($H152))),"",TODAY()-$H152)</f>
        <v/>
      </c>
      <c r="O152" s="51">
        <f>IF($B152="","",IF($I152=0,"SIN COMPRAS",IF($N152&lt;=30,"ACTIVO",IF($N152&lt;=60,"EN SEGUIMIENTO",IF($N152&lt;=120,"EN RIESGO","INACTIVO")))))</f>
        <v/>
      </c>
      <c r="P152" s="33" t="n"/>
      <c r="Q152" s="33" t="n"/>
      <c r="R152" s="51">
        <f>IF($B152="","",IF(IF(AND($B152&lt;&gt;"",COUNTIF(tblClientes[Nombre],$B152)&gt;1)," · NOMBRE DUPLICADO","")&amp;IF(AND($B152&lt;&gt;"",$C152="",$D152="")," · Sin teléfono ni email","")&amp;IF(AND(ISNUMBER($M152),$M152&gt;0)," · Tiene saldo por cobrar","")="","OK",MID(IF(AND($B152&lt;&gt;"",COUNTIF(tblClientes[Nombre],$B152)&gt;1)," · NOMBRE DUPLICADO","")&amp;IF(AND($B152&lt;&gt;"",$C152="",$D152="")," · Sin teléfono ni email","")&amp;IF(AND(ISNUMBER($M152),$M152&gt;0)," · Tiene saldo por cobrar",""),4,900)))</f>
        <v/>
      </c>
    </row>
    <row r="153">
      <c r="A153" s="51">
        <f>IF($B153="","","CLI-"&amp;TEXT(ROW()-6,"0000"))</f>
        <v/>
      </c>
      <c r="B153" s="33" t="n"/>
      <c r="C153" s="33" t="n"/>
      <c r="D153" s="33" t="n"/>
      <c r="E153" s="33" t="n"/>
      <c r="F153" s="33" t="n"/>
      <c r="G153" s="53">
        <f>IF($B153="","",IF(COUNTIFS(tblVentas[Cliente],$B153)=0,"",SUMPRODUCT(MIN((tblVentas[Cliente]=$B153)*tblVentas[Fecha]+(tblVentas[Cliente]&lt;&gt;$B153)*99999))))</f>
        <v/>
      </c>
      <c r="H153" s="53">
        <f>IF($B153="","",IF(COUNTIFS(tblVentas[Cliente],$B153)=0,"",SUMPRODUCT(MAX((tblVentas[Cliente]=$B153)*tblVentas[Fecha]))))</f>
        <v/>
      </c>
      <c r="I153" s="39">
        <f>IF($B153="","",COUNTIFS(tblVentas[Cliente],$B153))</f>
        <v/>
      </c>
      <c r="J153" s="37">
        <f>IF($B153="","",SUMIFS(tblVentas[Venta neta],tblVentas[Cliente],$B153))</f>
        <v/>
      </c>
      <c r="K153" s="37">
        <f>IF($B153="","",SUMIFS(tblVentas[Utilidad bruta],tblVentas[Cliente],$B153))</f>
        <v/>
      </c>
      <c r="L153" s="37">
        <f>IF(OR($B153="",$I153=0),"",$J153/$I153)</f>
        <v/>
      </c>
      <c r="M153" s="37">
        <f>IF($B153="","",SUMIFS(tblVentas[Saldo por cobrar],tblVentas[Cliente],$B153))</f>
        <v/>
      </c>
      <c r="N153" s="39">
        <f>IF(OR($B153="",NOT(ISNUMBER($H153))),"",TODAY()-$H153)</f>
        <v/>
      </c>
      <c r="O153" s="51">
        <f>IF($B153="","",IF($I153=0,"SIN COMPRAS",IF($N153&lt;=30,"ACTIVO",IF($N153&lt;=60,"EN SEGUIMIENTO",IF($N153&lt;=120,"EN RIESGO","INACTIVO")))))</f>
        <v/>
      </c>
      <c r="P153" s="33" t="n"/>
      <c r="Q153" s="33" t="n"/>
      <c r="R153" s="51">
        <f>IF($B153="","",IF(IF(AND($B153&lt;&gt;"",COUNTIF(tblClientes[Nombre],$B153)&gt;1)," · NOMBRE DUPLICADO","")&amp;IF(AND($B153&lt;&gt;"",$C153="",$D153="")," · Sin teléfono ni email","")&amp;IF(AND(ISNUMBER($M153),$M153&gt;0)," · Tiene saldo por cobrar","")="","OK",MID(IF(AND($B153&lt;&gt;"",COUNTIF(tblClientes[Nombre],$B153)&gt;1)," · NOMBRE DUPLICADO","")&amp;IF(AND($B153&lt;&gt;"",$C153="",$D153="")," · Sin teléfono ni email","")&amp;IF(AND(ISNUMBER($M153),$M153&gt;0)," · Tiene saldo por cobrar",""),4,900)))</f>
        <v/>
      </c>
    </row>
    <row r="154">
      <c r="A154" s="51">
        <f>IF($B154="","","CLI-"&amp;TEXT(ROW()-6,"0000"))</f>
        <v/>
      </c>
      <c r="B154" s="33" t="n"/>
      <c r="C154" s="33" t="n"/>
      <c r="D154" s="33" t="n"/>
      <c r="E154" s="33" t="n"/>
      <c r="F154" s="33" t="n"/>
      <c r="G154" s="53">
        <f>IF($B154="","",IF(COUNTIFS(tblVentas[Cliente],$B154)=0,"",SUMPRODUCT(MIN((tblVentas[Cliente]=$B154)*tblVentas[Fecha]+(tblVentas[Cliente]&lt;&gt;$B154)*99999))))</f>
        <v/>
      </c>
      <c r="H154" s="53">
        <f>IF($B154="","",IF(COUNTIFS(tblVentas[Cliente],$B154)=0,"",SUMPRODUCT(MAX((tblVentas[Cliente]=$B154)*tblVentas[Fecha]))))</f>
        <v/>
      </c>
      <c r="I154" s="39">
        <f>IF($B154="","",COUNTIFS(tblVentas[Cliente],$B154))</f>
        <v/>
      </c>
      <c r="J154" s="37">
        <f>IF($B154="","",SUMIFS(tblVentas[Venta neta],tblVentas[Cliente],$B154))</f>
        <v/>
      </c>
      <c r="K154" s="37">
        <f>IF($B154="","",SUMIFS(tblVentas[Utilidad bruta],tblVentas[Cliente],$B154))</f>
        <v/>
      </c>
      <c r="L154" s="37">
        <f>IF(OR($B154="",$I154=0),"",$J154/$I154)</f>
        <v/>
      </c>
      <c r="M154" s="37">
        <f>IF($B154="","",SUMIFS(tblVentas[Saldo por cobrar],tblVentas[Cliente],$B154))</f>
        <v/>
      </c>
      <c r="N154" s="39">
        <f>IF(OR($B154="",NOT(ISNUMBER($H154))),"",TODAY()-$H154)</f>
        <v/>
      </c>
      <c r="O154" s="51">
        <f>IF($B154="","",IF($I154=0,"SIN COMPRAS",IF($N154&lt;=30,"ACTIVO",IF($N154&lt;=60,"EN SEGUIMIENTO",IF($N154&lt;=120,"EN RIESGO","INACTIVO")))))</f>
        <v/>
      </c>
      <c r="P154" s="33" t="n"/>
      <c r="Q154" s="33" t="n"/>
      <c r="R154" s="51">
        <f>IF($B154="","",IF(IF(AND($B154&lt;&gt;"",COUNTIF(tblClientes[Nombre],$B154)&gt;1)," · NOMBRE DUPLICADO","")&amp;IF(AND($B154&lt;&gt;"",$C154="",$D154="")," · Sin teléfono ni email","")&amp;IF(AND(ISNUMBER($M154),$M154&gt;0)," · Tiene saldo por cobrar","")="","OK",MID(IF(AND($B154&lt;&gt;"",COUNTIF(tblClientes[Nombre],$B154)&gt;1)," · NOMBRE DUPLICADO","")&amp;IF(AND($B154&lt;&gt;"",$C154="",$D154="")," · Sin teléfono ni email","")&amp;IF(AND(ISNUMBER($M154),$M154&gt;0)," · Tiene saldo por cobrar",""),4,900)))</f>
        <v/>
      </c>
    </row>
    <row r="155">
      <c r="A155" s="51">
        <f>IF($B155="","","CLI-"&amp;TEXT(ROW()-6,"0000"))</f>
        <v/>
      </c>
      <c r="B155" s="33" t="n"/>
      <c r="C155" s="33" t="n"/>
      <c r="D155" s="33" t="n"/>
      <c r="E155" s="33" t="n"/>
      <c r="F155" s="33" t="n"/>
      <c r="G155" s="53">
        <f>IF($B155="","",IF(COUNTIFS(tblVentas[Cliente],$B155)=0,"",SUMPRODUCT(MIN((tblVentas[Cliente]=$B155)*tblVentas[Fecha]+(tblVentas[Cliente]&lt;&gt;$B155)*99999))))</f>
        <v/>
      </c>
      <c r="H155" s="53">
        <f>IF($B155="","",IF(COUNTIFS(tblVentas[Cliente],$B155)=0,"",SUMPRODUCT(MAX((tblVentas[Cliente]=$B155)*tblVentas[Fecha]))))</f>
        <v/>
      </c>
      <c r="I155" s="39">
        <f>IF($B155="","",COUNTIFS(tblVentas[Cliente],$B155))</f>
        <v/>
      </c>
      <c r="J155" s="37">
        <f>IF($B155="","",SUMIFS(tblVentas[Venta neta],tblVentas[Cliente],$B155))</f>
        <v/>
      </c>
      <c r="K155" s="37">
        <f>IF($B155="","",SUMIFS(tblVentas[Utilidad bruta],tblVentas[Cliente],$B155))</f>
        <v/>
      </c>
      <c r="L155" s="37">
        <f>IF(OR($B155="",$I155=0),"",$J155/$I155)</f>
        <v/>
      </c>
      <c r="M155" s="37">
        <f>IF($B155="","",SUMIFS(tblVentas[Saldo por cobrar],tblVentas[Cliente],$B155))</f>
        <v/>
      </c>
      <c r="N155" s="39">
        <f>IF(OR($B155="",NOT(ISNUMBER($H155))),"",TODAY()-$H155)</f>
        <v/>
      </c>
      <c r="O155" s="51">
        <f>IF($B155="","",IF($I155=0,"SIN COMPRAS",IF($N155&lt;=30,"ACTIVO",IF($N155&lt;=60,"EN SEGUIMIENTO",IF($N155&lt;=120,"EN RIESGO","INACTIVO")))))</f>
        <v/>
      </c>
      <c r="P155" s="33" t="n"/>
      <c r="Q155" s="33" t="n"/>
      <c r="R155" s="51">
        <f>IF($B155="","",IF(IF(AND($B155&lt;&gt;"",COUNTIF(tblClientes[Nombre],$B155)&gt;1)," · NOMBRE DUPLICADO","")&amp;IF(AND($B155&lt;&gt;"",$C155="",$D155="")," · Sin teléfono ni email","")&amp;IF(AND(ISNUMBER($M155),$M155&gt;0)," · Tiene saldo por cobrar","")="","OK",MID(IF(AND($B155&lt;&gt;"",COUNTIF(tblClientes[Nombre],$B155)&gt;1)," · NOMBRE DUPLICADO","")&amp;IF(AND($B155&lt;&gt;"",$C155="",$D155="")," · Sin teléfono ni email","")&amp;IF(AND(ISNUMBER($M155),$M155&gt;0)," · Tiene saldo por cobrar",""),4,900)))</f>
        <v/>
      </c>
    </row>
    <row r="156">
      <c r="A156" s="51">
        <f>IF($B156="","","CLI-"&amp;TEXT(ROW()-6,"0000"))</f>
        <v/>
      </c>
      <c r="B156" s="33" t="n"/>
      <c r="C156" s="33" t="n"/>
      <c r="D156" s="33" t="n"/>
      <c r="E156" s="33" t="n"/>
      <c r="F156" s="33" t="n"/>
      <c r="G156" s="53">
        <f>IF($B156="","",IF(COUNTIFS(tblVentas[Cliente],$B156)=0,"",SUMPRODUCT(MIN((tblVentas[Cliente]=$B156)*tblVentas[Fecha]+(tblVentas[Cliente]&lt;&gt;$B156)*99999))))</f>
        <v/>
      </c>
      <c r="H156" s="53">
        <f>IF($B156="","",IF(COUNTIFS(tblVentas[Cliente],$B156)=0,"",SUMPRODUCT(MAX((tblVentas[Cliente]=$B156)*tblVentas[Fecha]))))</f>
        <v/>
      </c>
      <c r="I156" s="39">
        <f>IF($B156="","",COUNTIFS(tblVentas[Cliente],$B156))</f>
        <v/>
      </c>
      <c r="J156" s="37">
        <f>IF($B156="","",SUMIFS(tblVentas[Venta neta],tblVentas[Cliente],$B156))</f>
        <v/>
      </c>
      <c r="K156" s="37">
        <f>IF($B156="","",SUMIFS(tblVentas[Utilidad bruta],tblVentas[Cliente],$B156))</f>
        <v/>
      </c>
      <c r="L156" s="37">
        <f>IF(OR($B156="",$I156=0),"",$J156/$I156)</f>
        <v/>
      </c>
      <c r="M156" s="37">
        <f>IF($B156="","",SUMIFS(tblVentas[Saldo por cobrar],tblVentas[Cliente],$B156))</f>
        <v/>
      </c>
      <c r="N156" s="39">
        <f>IF(OR($B156="",NOT(ISNUMBER($H156))),"",TODAY()-$H156)</f>
        <v/>
      </c>
      <c r="O156" s="51">
        <f>IF($B156="","",IF($I156=0,"SIN COMPRAS",IF($N156&lt;=30,"ACTIVO",IF($N156&lt;=60,"EN SEGUIMIENTO",IF($N156&lt;=120,"EN RIESGO","INACTIVO")))))</f>
        <v/>
      </c>
      <c r="P156" s="33" t="n"/>
      <c r="Q156" s="33" t="n"/>
      <c r="R156" s="51">
        <f>IF($B156="","",IF(IF(AND($B156&lt;&gt;"",COUNTIF(tblClientes[Nombre],$B156)&gt;1)," · NOMBRE DUPLICADO","")&amp;IF(AND($B156&lt;&gt;"",$C156="",$D156="")," · Sin teléfono ni email","")&amp;IF(AND(ISNUMBER($M156),$M156&gt;0)," · Tiene saldo por cobrar","")="","OK",MID(IF(AND($B156&lt;&gt;"",COUNTIF(tblClientes[Nombre],$B156)&gt;1)," · NOMBRE DUPLICADO","")&amp;IF(AND($B156&lt;&gt;"",$C156="",$D156="")," · Sin teléfono ni email","")&amp;IF(AND(ISNUMBER($M156),$M156&gt;0)," · Tiene saldo por cobrar",""),4,900)))</f>
        <v/>
      </c>
    </row>
  </sheetData>
  <conditionalFormatting sqref="R7:R156">
    <cfRule type="expression" priority="1" dxfId="5">
      <formula>ISNUMBER(SEARCH("DUPLICADO",$R7))</formula>
    </cfRule>
  </conditionalFormatting>
  <conditionalFormatting sqref="O7:O156">
    <cfRule type="expression" priority="2" dxfId="1">
      <formula>$O7="ACTIVO"</formula>
    </cfRule>
    <cfRule type="expression" priority="3" dxfId="8">
      <formula>OR($O7="EN RIESGO",$O7="INACTIVO")</formula>
    </cfRule>
  </conditionalFormatting>
  <dataValidations count="2">
    <dataValidation sqref="E7:E156" showDropDown="0" showInputMessage="0" showErrorMessage="0" allowBlank="1" errorTitle="Valor fuera de la lista" error="Ese valor no está en la lista. Agréguelo en la hoja CONFIG si es nuevo." type="list" errorStyle="warning">
      <formula1>=LISTA_CANALES</formula1>
    </dataValidation>
    <dataValidation sqref="P7:P156" showDropDown="0" showInputMessage="0" showErrorMessage="0" allowBlank="1" errorTitle="Valor fuera de la lista" error="Ese valor no está en la lista. Agréguelo en la hoja CONFIG si es nuevo." type="list" errorStyle="warning">
      <formula1>=LISTA_ESTADO_REL</formula1>
    </dataValidation>
  </dataValidations>
  <printOptions horizontalCentered="1"/>
  <pageMargins left="0.4" right="0.4" top="0.5" bottom="0.5" header="0.5" footer="0.5"/>
  <pageSetup orientation="landscape"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tabColor rgb="006B8CAE"/>
    <outlinePr summaryBelow="1" summaryRight="1"/>
    <pageSetUpPr fitToPage="1"/>
  </sheetPr>
  <dimension ref="A1:Q46"/>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22" customWidth="1" min="3" max="3"/>
    <col width="15" customWidth="1" min="4" max="4"/>
    <col width="26" customWidth="1" min="5" max="5"/>
    <col width="30" customWidth="1" min="6" max="6"/>
    <col width="18" customWidth="1" min="7" max="7"/>
    <col width="12" customWidth="1" min="8" max="8"/>
    <col width="12" customWidth="1" min="9" max="9"/>
    <col width="16" customWidth="1" min="10" max="10"/>
    <col width="12" customWidth="1" min="11" max="11"/>
    <col width="14" customWidth="1" min="12" max="12"/>
    <col width="13" customWidth="1" min="13" max="13"/>
    <col width="14" customWidth="1" min="14" max="14"/>
    <col width="12" customWidth="1" min="15" max="15"/>
    <col width="26" customWidth="1" min="16" max="16"/>
    <col width="26" customWidth="1" min="17" max="17"/>
  </cols>
  <sheetData>
    <row r="1">
      <c r="A1" s="1" t="inlineStr">
        <is>
          <t>PROVEEDORES</t>
        </is>
      </c>
    </row>
    <row r="2">
      <c r="A2" s="2" t="inlineStr">
        <is>
          <t>El «Proveedor» es la llave que conecta con la hoja COMPRAS. Registre aquí a quién le compra y en qué condiciones; el sistema acumula sus compras y su saldo por pagar.</t>
        </is>
      </c>
    </row>
    <row r="6" ht="40" customHeight="1">
      <c r="A6" s="11" t="inlineStr">
        <is>
          <t>ID de proveedor</t>
        </is>
      </c>
      <c r="B6" s="11" t="inlineStr">
        <is>
          <t>Proveedor</t>
        </is>
      </c>
      <c r="C6" s="11" t="inlineStr">
        <is>
          <t>Contacto</t>
        </is>
      </c>
      <c r="D6" s="11" t="inlineStr">
        <is>
          <t>Teléfono</t>
        </is>
      </c>
      <c r="E6" s="11" t="inlineStr">
        <is>
          <t>Email</t>
        </is>
      </c>
      <c r="F6" s="11" t="inlineStr">
        <is>
          <t>Productos / categoría que suministra</t>
        </is>
      </c>
      <c r="G6" s="11" t="inlineStr">
        <is>
          <t>Condiciones de pago</t>
        </is>
      </c>
      <c r="H6" s="11" t="inlineStr">
        <is>
          <t>Días de crédito</t>
        </is>
      </c>
      <c r="I6" s="11" t="inlineStr">
        <is>
          <t>Tiempo de entrega (días)</t>
        </is>
      </c>
      <c r="J6" s="11" t="inlineStr">
        <is>
          <t>Compras acumuladas</t>
        </is>
      </c>
      <c r="K6" s="11" t="inlineStr">
        <is>
          <t>Número de compras</t>
        </is>
      </c>
      <c r="L6" s="11" t="inlineStr">
        <is>
          <t>Compra promedio</t>
        </is>
      </c>
      <c r="M6" s="11" t="inlineStr">
        <is>
          <t>Última compra</t>
        </is>
      </c>
      <c r="N6" s="11" t="inlineStr">
        <is>
          <t>Saldo por pagar</t>
        </is>
      </c>
      <c r="O6" s="11" t="inlineStr">
        <is>
          <t>Estado</t>
        </is>
      </c>
      <c r="P6" s="11" t="inlineStr">
        <is>
          <t>Observaciones</t>
        </is>
      </c>
      <c r="Q6" s="11" t="inlineStr">
        <is>
          <t>ALERTA</t>
        </is>
      </c>
    </row>
    <row r="7">
      <c r="A7" s="51">
        <f>IF($B7="","","PRV-"&amp;TEXT(ROW()-6,"0000"))</f>
        <v/>
      </c>
      <c r="B7" s="33" t="n"/>
      <c r="C7" s="33" t="n"/>
      <c r="D7" s="33" t="n"/>
      <c r="E7" s="33" t="n"/>
      <c r="F7" s="33" t="n"/>
      <c r="G7" s="33" t="n"/>
      <c r="H7" s="34" t="n"/>
      <c r="I7" s="34" t="n"/>
      <c r="J7" s="37">
        <f>IF($B7="","",SUMIFS(tblCompras[Costo total de adquisición],tblCompras[Proveedor],$B7))</f>
        <v/>
      </c>
      <c r="K7" s="39">
        <f>IF($B7="","",COUNTIFS(tblCompras[Proveedor],$B7))</f>
        <v/>
      </c>
      <c r="L7" s="37">
        <f>IF(OR($B7="",$K7=0),"",$J7/$K7)</f>
        <v/>
      </c>
      <c r="M7" s="53">
        <f>IF($B7="","",IF(COUNTIFS(tblCompras[Proveedor],$B7)=0,"",SUMPRODUCT(MAX((tblCompras[Proveedor]=$B7)*tblCompras[Fecha]))))</f>
        <v/>
      </c>
      <c r="N7" s="37">
        <f>IF($B7="","",SUMIFS(tblCompras[Saldo por pagar],tblCompras[Proveedor],$B7))</f>
        <v/>
      </c>
      <c r="O7" s="33" t="n"/>
      <c r="P7" s="33" t="n"/>
      <c r="Q7" s="51">
        <f>IF($B7="","",IF(IF(AND($B7&lt;&gt;"",COUNTIF(tblProveedores[Proveedor],$B7)&gt;1)," · PROVEEDOR DUPLICADO","")&amp;IF(AND($B7&lt;&gt;"",$D7="",$E7="")," · Sin teléfono ni email","")&amp;IF(AND(ISNUMBER($N7),$N7&gt;0)," · Tiene saldo por pagar","")="","OK",MID(IF(AND($B7&lt;&gt;"",COUNTIF(tblProveedores[Proveedor],$B7)&gt;1)," · PROVEEDOR DUPLICADO","")&amp;IF(AND($B7&lt;&gt;"",$D7="",$E7="")," · Sin teléfono ni email","")&amp;IF(AND(ISNUMBER($N7),$N7&gt;0)," · Tiene saldo por pagar",""),4,900)))</f>
        <v/>
      </c>
    </row>
    <row r="8">
      <c r="A8" s="51">
        <f>IF($B8="","","PRV-"&amp;TEXT(ROW()-6,"0000"))</f>
        <v/>
      </c>
      <c r="B8" s="33" t="n"/>
      <c r="C8" s="33" t="n"/>
      <c r="D8" s="33" t="n"/>
      <c r="E8" s="33" t="n"/>
      <c r="F8" s="33" t="n"/>
      <c r="G8" s="33" t="n"/>
      <c r="H8" s="34" t="n"/>
      <c r="I8" s="34" t="n"/>
      <c r="J8" s="37">
        <f>IF($B8="","",SUMIFS(tblCompras[Costo total de adquisición],tblCompras[Proveedor],$B8))</f>
        <v/>
      </c>
      <c r="K8" s="39">
        <f>IF($B8="","",COUNTIFS(tblCompras[Proveedor],$B8))</f>
        <v/>
      </c>
      <c r="L8" s="37">
        <f>IF(OR($B8="",$K8=0),"",$J8/$K8)</f>
        <v/>
      </c>
      <c r="M8" s="53">
        <f>IF($B8="","",IF(COUNTIFS(tblCompras[Proveedor],$B8)=0,"",SUMPRODUCT(MAX((tblCompras[Proveedor]=$B8)*tblCompras[Fecha]))))</f>
        <v/>
      </c>
      <c r="N8" s="37">
        <f>IF($B8="","",SUMIFS(tblCompras[Saldo por pagar],tblCompras[Proveedor],$B8))</f>
        <v/>
      </c>
      <c r="O8" s="33" t="n"/>
      <c r="P8" s="33" t="n"/>
      <c r="Q8" s="51">
        <f>IF($B8="","",IF(IF(AND($B8&lt;&gt;"",COUNTIF(tblProveedores[Proveedor],$B8)&gt;1)," · PROVEEDOR DUPLICADO","")&amp;IF(AND($B8&lt;&gt;"",$D8="",$E8="")," · Sin teléfono ni email","")&amp;IF(AND(ISNUMBER($N8),$N8&gt;0)," · Tiene saldo por pagar","")="","OK",MID(IF(AND($B8&lt;&gt;"",COUNTIF(tblProveedores[Proveedor],$B8)&gt;1)," · PROVEEDOR DUPLICADO","")&amp;IF(AND($B8&lt;&gt;"",$D8="",$E8="")," · Sin teléfono ni email","")&amp;IF(AND(ISNUMBER($N8),$N8&gt;0)," · Tiene saldo por pagar",""),4,900)))</f>
        <v/>
      </c>
    </row>
    <row r="9">
      <c r="A9" s="51">
        <f>IF($B9="","","PRV-"&amp;TEXT(ROW()-6,"0000"))</f>
        <v/>
      </c>
      <c r="B9" s="33" t="n"/>
      <c r="C9" s="33" t="n"/>
      <c r="D9" s="33" t="n"/>
      <c r="E9" s="33" t="n"/>
      <c r="F9" s="33" t="n"/>
      <c r="G9" s="33" t="n"/>
      <c r="H9" s="34" t="n"/>
      <c r="I9" s="34" t="n"/>
      <c r="J9" s="37">
        <f>IF($B9="","",SUMIFS(tblCompras[Costo total de adquisición],tblCompras[Proveedor],$B9))</f>
        <v/>
      </c>
      <c r="K9" s="39">
        <f>IF($B9="","",COUNTIFS(tblCompras[Proveedor],$B9))</f>
        <v/>
      </c>
      <c r="L9" s="37">
        <f>IF(OR($B9="",$K9=0),"",$J9/$K9)</f>
        <v/>
      </c>
      <c r="M9" s="53">
        <f>IF($B9="","",IF(COUNTIFS(tblCompras[Proveedor],$B9)=0,"",SUMPRODUCT(MAX((tblCompras[Proveedor]=$B9)*tblCompras[Fecha]))))</f>
        <v/>
      </c>
      <c r="N9" s="37">
        <f>IF($B9="","",SUMIFS(tblCompras[Saldo por pagar],tblCompras[Proveedor],$B9))</f>
        <v/>
      </c>
      <c r="O9" s="33" t="n"/>
      <c r="P9" s="33" t="n"/>
      <c r="Q9" s="51">
        <f>IF($B9="","",IF(IF(AND($B9&lt;&gt;"",COUNTIF(tblProveedores[Proveedor],$B9)&gt;1)," · PROVEEDOR DUPLICADO","")&amp;IF(AND($B9&lt;&gt;"",$D9="",$E9="")," · Sin teléfono ni email","")&amp;IF(AND(ISNUMBER($N9),$N9&gt;0)," · Tiene saldo por pagar","")="","OK",MID(IF(AND($B9&lt;&gt;"",COUNTIF(tblProveedores[Proveedor],$B9)&gt;1)," · PROVEEDOR DUPLICADO","")&amp;IF(AND($B9&lt;&gt;"",$D9="",$E9="")," · Sin teléfono ni email","")&amp;IF(AND(ISNUMBER($N9),$N9&gt;0)," · Tiene saldo por pagar",""),4,900)))</f>
        <v/>
      </c>
    </row>
    <row r="10">
      <c r="A10" s="51">
        <f>IF($B10="","","PRV-"&amp;TEXT(ROW()-6,"0000"))</f>
        <v/>
      </c>
      <c r="B10" s="33" t="n"/>
      <c r="C10" s="33" t="n"/>
      <c r="D10" s="33" t="n"/>
      <c r="E10" s="33" t="n"/>
      <c r="F10" s="33" t="n"/>
      <c r="G10" s="33" t="n"/>
      <c r="H10" s="34" t="n"/>
      <c r="I10" s="34" t="n"/>
      <c r="J10" s="37">
        <f>IF($B10="","",SUMIFS(tblCompras[Costo total de adquisición],tblCompras[Proveedor],$B10))</f>
        <v/>
      </c>
      <c r="K10" s="39">
        <f>IF($B10="","",COUNTIFS(tblCompras[Proveedor],$B10))</f>
        <v/>
      </c>
      <c r="L10" s="37">
        <f>IF(OR($B10="",$K10=0),"",$J10/$K10)</f>
        <v/>
      </c>
      <c r="M10" s="53">
        <f>IF($B10="","",IF(COUNTIFS(tblCompras[Proveedor],$B10)=0,"",SUMPRODUCT(MAX((tblCompras[Proveedor]=$B10)*tblCompras[Fecha]))))</f>
        <v/>
      </c>
      <c r="N10" s="37">
        <f>IF($B10="","",SUMIFS(tblCompras[Saldo por pagar],tblCompras[Proveedor],$B10))</f>
        <v/>
      </c>
      <c r="O10" s="33" t="n"/>
      <c r="P10" s="33" t="n"/>
      <c r="Q10" s="51">
        <f>IF($B10="","",IF(IF(AND($B10&lt;&gt;"",COUNTIF(tblProveedores[Proveedor],$B10)&gt;1)," · PROVEEDOR DUPLICADO","")&amp;IF(AND($B10&lt;&gt;"",$D10="",$E10="")," · Sin teléfono ni email","")&amp;IF(AND(ISNUMBER($N10),$N10&gt;0)," · Tiene saldo por pagar","")="","OK",MID(IF(AND($B10&lt;&gt;"",COUNTIF(tblProveedores[Proveedor],$B10)&gt;1)," · PROVEEDOR DUPLICADO","")&amp;IF(AND($B10&lt;&gt;"",$D10="",$E10="")," · Sin teléfono ni email","")&amp;IF(AND(ISNUMBER($N10),$N10&gt;0)," · Tiene saldo por pagar",""),4,900)))</f>
        <v/>
      </c>
    </row>
    <row r="11">
      <c r="A11" s="51">
        <f>IF($B11="","","PRV-"&amp;TEXT(ROW()-6,"0000"))</f>
        <v/>
      </c>
      <c r="B11" s="33" t="n"/>
      <c r="C11" s="33" t="n"/>
      <c r="D11" s="33" t="n"/>
      <c r="E11" s="33" t="n"/>
      <c r="F11" s="33" t="n"/>
      <c r="G11" s="33" t="n"/>
      <c r="H11" s="34" t="n"/>
      <c r="I11" s="34" t="n"/>
      <c r="J11" s="37">
        <f>IF($B11="","",SUMIFS(tblCompras[Costo total de adquisición],tblCompras[Proveedor],$B11))</f>
        <v/>
      </c>
      <c r="K11" s="39">
        <f>IF($B11="","",COUNTIFS(tblCompras[Proveedor],$B11))</f>
        <v/>
      </c>
      <c r="L11" s="37">
        <f>IF(OR($B11="",$K11=0),"",$J11/$K11)</f>
        <v/>
      </c>
      <c r="M11" s="53">
        <f>IF($B11="","",IF(COUNTIFS(tblCompras[Proveedor],$B11)=0,"",SUMPRODUCT(MAX((tblCompras[Proveedor]=$B11)*tblCompras[Fecha]))))</f>
        <v/>
      </c>
      <c r="N11" s="37">
        <f>IF($B11="","",SUMIFS(tblCompras[Saldo por pagar],tblCompras[Proveedor],$B11))</f>
        <v/>
      </c>
      <c r="O11" s="33" t="n"/>
      <c r="P11" s="33" t="n"/>
      <c r="Q11" s="51">
        <f>IF($B11="","",IF(IF(AND($B11&lt;&gt;"",COUNTIF(tblProveedores[Proveedor],$B11)&gt;1)," · PROVEEDOR DUPLICADO","")&amp;IF(AND($B11&lt;&gt;"",$D11="",$E11="")," · Sin teléfono ni email","")&amp;IF(AND(ISNUMBER($N11),$N11&gt;0)," · Tiene saldo por pagar","")="","OK",MID(IF(AND($B11&lt;&gt;"",COUNTIF(tblProveedores[Proveedor],$B11)&gt;1)," · PROVEEDOR DUPLICADO","")&amp;IF(AND($B11&lt;&gt;"",$D11="",$E11="")," · Sin teléfono ni email","")&amp;IF(AND(ISNUMBER($N11),$N11&gt;0)," · Tiene saldo por pagar",""),4,900)))</f>
        <v/>
      </c>
    </row>
    <row r="12">
      <c r="A12" s="51">
        <f>IF($B12="","","PRV-"&amp;TEXT(ROW()-6,"0000"))</f>
        <v/>
      </c>
      <c r="B12" s="33" t="n"/>
      <c r="C12" s="33" t="n"/>
      <c r="D12" s="33" t="n"/>
      <c r="E12" s="33" t="n"/>
      <c r="F12" s="33" t="n"/>
      <c r="G12" s="33" t="n"/>
      <c r="H12" s="34" t="n"/>
      <c r="I12" s="34" t="n"/>
      <c r="J12" s="37">
        <f>IF($B12="","",SUMIFS(tblCompras[Costo total de adquisición],tblCompras[Proveedor],$B12))</f>
        <v/>
      </c>
      <c r="K12" s="39">
        <f>IF($B12="","",COUNTIFS(tblCompras[Proveedor],$B12))</f>
        <v/>
      </c>
      <c r="L12" s="37">
        <f>IF(OR($B12="",$K12=0),"",$J12/$K12)</f>
        <v/>
      </c>
      <c r="M12" s="53">
        <f>IF($B12="","",IF(COUNTIFS(tblCompras[Proveedor],$B12)=0,"",SUMPRODUCT(MAX((tblCompras[Proveedor]=$B12)*tblCompras[Fecha]))))</f>
        <v/>
      </c>
      <c r="N12" s="37">
        <f>IF($B12="","",SUMIFS(tblCompras[Saldo por pagar],tblCompras[Proveedor],$B12))</f>
        <v/>
      </c>
      <c r="O12" s="33" t="n"/>
      <c r="P12" s="33" t="n"/>
      <c r="Q12" s="51">
        <f>IF($B12="","",IF(IF(AND($B12&lt;&gt;"",COUNTIF(tblProveedores[Proveedor],$B12)&gt;1)," · PROVEEDOR DUPLICADO","")&amp;IF(AND($B12&lt;&gt;"",$D12="",$E12="")," · Sin teléfono ni email","")&amp;IF(AND(ISNUMBER($N12),$N12&gt;0)," · Tiene saldo por pagar","")="","OK",MID(IF(AND($B12&lt;&gt;"",COUNTIF(tblProveedores[Proveedor],$B12)&gt;1)," · PROVEEDOR DUPLICADO","")&amp;IF(AND($B12&lt;&gt;"",$D12="",$E12="")," · Sin teléfono ni email","")&amp;IF(AND(ISNUMBER($N12),$N12&gt;0)," · Tiene saldo por pagar",""),4,900)))</f>
        <v/>
      </c>
    </row>
    <row r="13">
      <c r="A13" s="51">
        <f>IF($B13="","","PRV-"&amp;TEXT(ROW()-6,"0000"))</f>
        <v/>
      </c>
      <c r="B13" s="33" t="n"/>
      <c r="C13" s="33" t="n"/>
      <c r="D13" s="33" t="n"/>
      <c r="E13" s="33" t="n"/>
      <c r="F13" s="33" t="n"/>
      <c r="G13" s="33" t="n"/>
      <c r="H13" s="34" t="n"/>
      <c r="I13" s="34" t="n"/>
      <c r="J13" s="37">
        <f>IF($B13="","",SUMIFS(tblCompras[Costo total de adquisición],tblCompras[Proveedor],$B13))</f>
        <v/>
      </c>
      <c r="K13" s="39">
        <f>IF($B13="","",COUNTIFS(tblCompras[Proveedor],$B13))</f>
        <v/>
      </c>
      <c r="L13" s="37">
        <f>IF(OR($B13="",$K13=0),"",$J13/$K13)</f>
        <v/>
      </c>
      <c r="M13" s="53">
        <f>IF($B13="","",IF(COUNTIFS(tblCompras[Proveedor],$B13)=0,"",SUMPRODUCT(MAX((tblCompras[Proveedor]=$B13)*tblCompras[Fecha]))))</f>
        <v/>
      </c>
      <c r="N13" s="37">
        <f>IF($B13="","",SUMIFS(tblCompras[Saldo por pagar],tblCompras[Proveedor],$B13))</f>
        <v/>
      </c>
      <c r="O13" s="33" t="n"/>
      <c r="P13" s="33" t="n"/>
      <c r="Q13" s="51">
        <f>IF($B13="","",IF(IF(AND($B13&lt;&gt;"",COUNTIF(tblProveedores[Proveedor],$B13)&gt;1)," · PROVEEDOR DUPLICADO","")&amp;IF(AND($B13&lt;&gt;"",$D13="",$E13="")," · Sin teléfono ni email","")&amp;IF(AND(ISNUMBER($N13),$N13&gt;0)," · Tiene saldo por pagar","")="","OK",MID(IF(AND($B13&lt;&gt;"",COUNTIF(tblProveedores[Proveedor],$B13)&gt;1)," · PROVEEDOR DUPLICADO","")&amp;IF(AND($B13&lt;&gt;"",$D13="",$E13="")," · Sin teléfono ni email","")&amp;IF(AND(ISNUMBER($N13),$N13&gt;0)," · Tiene saldo por pagar",""),4,900)))</f>
        <v/>
      </c>
    </row>
    <row r="14">
      <c r="A14" s="51">
        <f>IF($B14="","","PRV-"&amp;TEXT(ROW()-6,"0000"))</f>
        <v/>
      </c>
      <c r="B14" s="33" t="n"/>
      <c r="C14" s="33" t="n"/>
      <c r="D14" s="33" t="n"/>
      <c r="E14" s="33" t="n"/>
      <c r="F14" s="33" t="n"/>
      <c r="G14" s="33" t="n"/>
      <c r="H14" s="34" t="n"/>
      <c r="I14" s="34" t="n"/>
      <c r="J14" s="37">
        <f>IF($B14="","",SUMIFS(tblCompras[Costo total de adquisición],tblCompras[Proveedor],$B14))</f>
        <v/>
      </c>
      <c r="K14" s="39">
        <f>IF($B14="","",COUNTIFS(tblCompras[Proveedor],$B14))</f>
        <v/>
      </c>
      <c r="L14" s="37">
        <f>IF(OR($B14="",$K14=0),"",$J14/$K14)</f>
        <v/>
      </c>
      <c r="M14" s="53">
        <f>IF($B14="","",IF(COUNTIFS(tblCompras[Proveedor],$B14)=0,"",SUMPRODUCT(MAX((tblCompras[Proveedor]=$B14)*tblCompras[Fecha]))))</f>
        <v/>
      </c>
      <c r="N14" s="37">
        <f>IF($B14="","",SUMIFS(tblCompras[Saldo por pagar],tblCompras[Proveedor],$B14))</f>
        <v/>
      </c>
      <c r="O14" s="33" t="n"/>
      <c r="P14" s="33" t="n"/>
      <c r="Q14" s="51">
        <f>IF($B14="","",IF(IF(AND($B14&lt;&gt;"",COUNTIF(tblProveedores[Proveedor],$B14)&gt;1)," · PROVEEDOR DUPLICADO","")&amp;IF(AND($B14&lt;&gt;"",$D14="",$E14="")," · Sin teléfono ni email","")&amp;IF(AND(ISNUMBER($N14),$N14&gt;0)," · Tiene saldo por pagar","")="","OK",MID(IF(AND($B14&lt;&gt;"",COUNTIF(tblProveedores[Proveedor],$B14)&gt;1)," · PROVEEDOR DUPLICADO","")&amp;IF(AND($B14&lt;&gt;"",$D14="",$E14="")," · Sin teléfono ni email","")&amp;IF(AND(ISNUMBER($N14),$N14&gt;0)," · Tiene saldo por pagar",""),4,900)))</f>
        <v/>
      </c>
    </row>
    <row r="15">
      <c r="A15" s="51">
        <f>IF($B15="","","PRV-"&amp;TEXT(ROW()-6,"0000"))</f>
        <v/>
      </c>
      <c r="B15" s="33" t="n"/>
      <c r="C15" s="33" t="n"/>
      <c r="D15" s="33" t="n"/>
      <c r="E15" s="33" t="n"/>
      <c r="F15" s="33" t="n"/>
      <c r="G15" s="33" t="n"/>
      <c r="H15" s="34" t="n"/>
      <c r="I15" s="34" t="n"/>
      <c r="J15" s="37">
        <f>IF($B15="","",SUMIFS(tblCompras[Costo total de adquisición],tblCompras[Proveedor],$B15))</f>
        <v/>
      </c>
      <c r="K15" s="39">
        <f>IF($B15="","",COUNTIFS(tblCompras[Proveedor],$B15))</f>
        <v/>
      </c>
      <c r="L15" s="37">
        <f>IF(OR($B15="",$K15=0),"",$J15/$K15)</f>
        <v/>
      </c>
      <c r="M15" s="53">
        <f>IF($B15="","",IF(COUNTIFS(tblCompras[Proveedor],$B15)=0,"",SUMPRODUCT(MAX((tblCompras[Proveedor]=$B15)*tblCompras[Fecha]))))</f>
        <v/>
      </c>
      <c r="N15" s="37">
        <f>IF($B15="","",SUMIFS(tblCompras[Saldo por pagar],tblCompras[Proveedor],$B15))</f>
        <v/>
      </c>
      <c r="O15" s="33" t="n"/>
      <c r="P15" s="33" t="n"/>
      <c r="Q15" s="51">
        <f>IF($B15="","",IF(IF(AND($B15&lt;&gt;"",COUNTIF(tblProveedores[Proveedor],$B15)&gt;1)," · PROVEEDOR DUPLICADO","")&amp;IF(AND($B15&lt;&gt;"",$D15="",$E15="")," · Sin teléfono ni email","")&amp;IF(AND(ISNUMBER($N15),$N15&gt;0)," · Tiene saldo por pagar","")="","OK",MID(IF(AND($B15&lt;&gt;"",COUNTIF(tblProveedores[Proveedor],$B15)&gt;1)," · PROVEEDOR DUPLICADO","")&amp;IF(AND($B15&lt;&gt;"",$D15="",$E15="")," · Sin teléfono ni email","")&amp;IF(AND(ISNUMBER($N15),$N15&gt;0)," · Tiene saldo por pagar",""),4,900)))</f>
        <v/>
      </c>
    </row>
    <row r="16">
      <c r="A16" s="51">
        <f>IF($B16="","","PRV-"&amp;TEXT(ROW()-6,"0000"))</f>
        <v/>
      </c>
      <c r="B16" s="33" t="n"/>
      <c r="C16" s="33" t="n"/>
      <c r="D16" s="33" t="n"/>
      <c r="E16" s="33" t="n"/>
      <c r="F16" s="33" t="n"/>
      <c r="G16" s="33" t="n"/>
      <c r="H16" s="34" t="n"/>
      <c r="I16" s="34" t="n"/>
      <c r="J16" s="37">
        <f>IF($B16="","",SUMIFS(tblCompras[Costo total de adquisición],tblCompras[Proveedor],$B16))</f>
        <v/>
      </c>
      <c r="K16" s="39">
        <f>IF($B16="","",COUNTIFS(tblCompras[Proveedor],$B16))</f>
        <v/>
      </c>
      <c r="L16" s="37">
        <f>IF(OR($B16="",$K16=0),"",$J16/$K16)</f>
        <v/>
      </c>
      <c r="M16" s="53">
        <f>IF($B16="","",IF(COUNTIFS(tblCompras[Proveedor],$B16)=0,"",SUMPRODUCT(MAX((tblCompras[Proveedor]=$B16)*tblCompras[Fecha]))))</f>
        <v/>
      </c>
      <c r="N16" s="37">
        <f>IF($B16="","",SUMIFS(tblCompras[Saldo por pagar],tblCompras[Proveedor],$B16))</f>
        <v/>
      </c>
      <c r="O16" s="33" t="n"/>
      <c r="P16" s="33" t="n"/>
      <c r="Q16" s="51">
        <f>IF($B16="","",IF(IF(AND($B16&lt;&gt;"",COUNTIF(tblProveedores[Proveedor],$B16)&gt;1)," · PROVEEDOR DUPLICADO","")&amp;IF(AND($B16&lt;&gt;"",$D16="",$E16="")," · Sin teléfono ni email","")&amp;IF(AND(ISNUMBER($N16),$N16&gt;0)," · Tiene saldo por pagar","")="","OK",MID(IF(AND($B16&lt;&gt;"",COUNTIF(tblProveedores[Proveedor],$B16)&gt;1)," · PROVEEDOR DUPLICADO","")&amp;IF(AND($B16&lt;&gt;"",$D16="",$E16="")," · Sin teléfono ni email","")&amp;IF(AND(ISNUMBER($N16),$N16&gt;0)," · Tiene saldo por pagar",""),4,900)))</f>
        <v/>
      </c>
    </row>
    <row r="17">
      <c r="A17" s="51">
        <f>IF($B17="","","PRV-"&amp;TEXT(ROW()-6,"0000"))</f>
        <v/>
      </c>
      <c r="B17" s="33" t="n"/>
      <c r="C17" s="33" t="n"/>
      <c r="D17" s="33" t="n"/>
      <c r="E17" s="33" t="n"/>
      <c r="F17" s="33" t="n"/>
      <c r="G17" s="33" t="n"/>
      <c r="H17" s="34" t="n"/>
      <c r="I17" s="34" t="n"/>
      <c r="J17" s="37">
        <f>IF($B17="","",SUMIFS(tblCompras[Costo total de adquisición],tblCompras[Proveedor],$B17))</f>
        <v/>
      </c>
      <c r="K17" s="39">
        <f>IF($B17="","",COUNTIFS(tblCompras[Proveedor],$B17))</f>
        <v/>
      </c>
      <c r="L17" s="37">
        <f>IF(OR($B17="",$K17=0),"",$J17/$K17)</f>
        <v/>
      </c>
      <c r="M17" s="53">
        <f>IF($B17="","",IF(COUNTIFS(tblCompras[Proveedor],$B17)=0,"",SUMPRODUCT(MAX((tblCompras[Proveedor]=$B17)*tblCompras[Fecha]))))</f>
        <v/>
      </c>
      <c r="N17" s="37">
        <f>IF($B17="","",SUMIFS(tblCompras[Saldo por pagar],tblCompras[Proveedor],$B17))</f>
        <v/>
      </c>
      <c r="O17" s="33" t="n"/>
      <c r="P17" s="33" t="n"/>
      <c r="Q17" s="51">
        <f>IF($B17="","",IF(IF(AND($B17&lt;&gt;"",COUNTIF(tblProveedores[Proveedor],$B17)&gt;1)," · PROVEEDOR DUPLICADO","")&amp;IF(AND($B17&lt;&gt;"",$D17="",$E17="")," · Sin teléfono ni email","")&amp;IF(AND(ISNUMBER($N17),$N17&gt;0)," · Tiene saldo por pagar","")="","OK",MID(IF(AND($B17&lt;&gt;"",COUNTIF(tblProveedores[Proveedor],$B17)&gt;1)," · PROVEEDOR DUPLICADO","")&amp;IF(AND($B17&lt;&gt;"",$D17="",$E17="")," · Sin teléfono ni email","")&amp;IF(AND(ISNUMBER($N17),$N17&gt;0)," · Tiene saldo por pagar",""),4,900)))</f>
        <v/>
      </c>
    </row>
    <row r="18">
      <c r="A18" s="51">
        <f>IF($B18="","","PRV-"&amp;TEXT(ROW()-6,"0000"))</f>
        <v/>
      </c>
      <c r="B18" s="33" t="n"/>
      <c r="C18" s="33" t="n"/>
      <c r="D18" s="33" t="n"/>
      <c r="E18" s="33" t="n"/>
      <c r="F18" s="33" t="n"/>
      <c r="G18" s="33" t="n"/>
      <c r="H18" s="34" t="n"/>
      <c r="I18" s="34" t="n"/>
      <c r="J18" s="37">
        <f>IF($B18="","",SUMIFS(tblCompras[Costo total de adquisición],tblCompras[Proveedor],$B18))</f>
        <v/>
      </c>
      <c r="K18" s="39">
        <f>IF($B18="","",COUNTIFS(tblCompras[Proveedor],$B18))</f>
        <v/>
      </c>
      <c r="L18" s="37">
        <f>IF(OR($B18="",$K18=0),"",$J18/$K18)</f>
        <v/>
      </c>
      <c r="M18" s="53">
        <f>IF($B18="","",IF(COUNTIFS(tblCompras[Proveedor],$B18)=0,"",SUMPRODUCT(MAX((tblCompras[Proveedor]=$B18)*tblCompras[Fecha]))))</f>
        <v/>
      </c>
      <c r="N18" s="37">
        <f>IF($B18="","",SUMIFS(tblCompras[Saldo por pagar],tblCompras[Proveedor],$B18))</f>
        <v/>
      </c>
      <c r="O18" s="33" t="n"/>
      <c r="P18" s="33" t="n"/>
      <c r="Q18" s="51">
        <f>IF($B18="","",IF(IF(AND($B18&lt;&gt;"",COUNTIF(tblProveedores[Proveedor],$B18)&gt;1)," · PROVEEDOR DUPLICADO","")&amp;IF(AND($B18&lt;&gt;"",$D18="",$E18="")," · Sin teléfono ni email","")&amp;IF(AND(ISNUMBER($N18),$N18&gt;0)," · Tiene saldo por pagar","")="","OK",MID(IF(AND($B18&lt;&gt;"",COUNTIF(tblProveedores[Proveedor],$B18)&gt;1)," · PROVEEDOR DUPLICADO","")&amp;IF(AND($B18&lt;&gt;"",$D18="",$E18="")," · Sin teléfono ni email","")&amp;IF(AND(ISNUMBER($N18),$N18&gt;0)," · Tiene saldo por pagar",""),4,900)))</f>
        <v/>
      </c>
    </row>
    <row r="19">
      <c r="A19" s="51">
        <f>IF($B19="","","PRV-"&amp;TEXT(ROW()-6,"0000"))</f>
        <v/>
      </c>
      <c r="B19" s="33" t="n"/>
      <c r="C19" s="33" t="n"/>
      <c r="D19" s="33" t="n"/>
      <c r="E19" s="33" t="n"/>
      <c r="F19" s="33" t="n"/>
      <c r="G19" s="33" t="n"/>
      <c r="H19" s="34" t="n"/>
      <c r="I19" s="34" t="n"/>
      <c r="J19" s="37">
        <f>IF($B19="","",SUMIFS(tblCompras[Costo total de adquisición],tblCompras[Proveedor],$B19))</f>
        <v/>
      </c>
      <c r="K19" s="39">
        <f>IF($B19="","",COUNTIFS(tblCompras[Proveedor],$B19))</f>
        <v/>
      </c>
      <c r="L19" s="37">
        <f>IF(OR($B19="",$K19=0),"",$J19/$K19)</f>
        <v/>
      </c>
      <c r="M19" s="53">
        <f>IF($B19="","",IF(COUNTIFS(tblCompras[Proveedor],$B19)=0,"",SUMPRODUCT(MAX((tblCompras[Proveedor]=$B19)*tblCompras[Fecha]))))</f>
        <v/>
      </c>
      <c r="N19" s="37">
        <f>IF($B19="","",SUMIFS(tblCompras[Saldo por pagar],tblCompras[Proveedor],$B19))</f>
        <v/>
      </c>
      <c r="O19" s="33" t="n"/>
      <c r="P19" s="33" t="n"/>
      <c r="Q19" s="51">
        <f>IF($B19="","",IF(IF(AND($B19&lt;&gt;"",COUNTIF(tblProveedores[Proveedor],$B19)&gt;1)," · PROVEEDOR DUPLICADO","")&amp;IF(AND($B19&lt;&gt;"",$D19="",$E19="")," · Sin teléfono ni email","")&amp;IF(AND(ISNUMBER($N19),$N19&gt;0)," · Tiene saldo por pagar","")="","OK",MID(IF(AND($B19&lt;&gt;"",COUNTIF(tblProveedores[Proveedor],$B19)&gt;1)," · PROVEEDOR DUPLICADO","")&amp;IF(AND($B19&lt;&gt;"",$D19="",$E19="")," · Sin teléfono ni email","")&amp;IF(AND(ISNUMBER($N19),$N19&gt;0)," · Tiene saldo por pagar",""),4,900)))</f>
        <v/>
      </c>
    </row>
    <row r="20">
      <c r="A20" s="51">
        <f>IF($B20="","","PRV-"&amp;TEXT(ROW()-6,"0000"))</f>
        <v/>
      </c>
      <c r="B20" s="33" t="n"/>
      <c r="C20" s="33" t="n"/>
      <c r="D20" s="33" t="n"/>
      <c r="E20" s="33" t="n"/>
      <c r="F20" s="33" t="n"/>
      <c r="G20" s="33" t="n"/>
      <c r="H20" s="34" t="n"/>
      <c r="I20" s="34" t="n"/>
      <c r="J20" s="37">
        <f>IF($B20="","",SUMIFS(tblCompras[Costo total de adquisición],tblCompras[Proveedor],$B20))</f>
        <v/>
      </c>
      <c r="K20" s="39">
        <f>IF($B20="","",COUNTIFS(tblCompras[Proveedor],$B20))</f>
        <v/>
      </c>
      <c r="L20" s="37">
        <f>IF(OR($B20="",$K20=0),"",$J20/$K20)</f>
        <v/>
      </c>
      <c r="M20" s="53">
        <f>IF($B20="","",IF(COUNTIFS(tblCompras[Proveedor],$B20)=0,"",SUMPRODUCT(MAX((tblCompras[Proveedor]=$B20)*tblCompras[Fecha]))))</f>
        <v/>
      </c>
      <c r="N20" s="37">
        <f>IF($B20="","",SUMIFS(tblCompras[Saldo por pagar],tblCompras[Proveedor],$B20))</f>
        <v/>
      </c>
      <c r="O20" s="33" t="n"/>
      <c r="P20" s="33" t="n"/>
      <c r="Q20" s="51">
        <f>IF($B20="","",IF(IF(AND($B20&lt;&gt;"",COUNTIF(tblProveedores[Proveedor],$B20)&gt;1)," · PROVEEDOR DUPLICADO","")&amp;IF(AND($B20&lt;&gt;"",$D20="",$E20="")," · Sin teléfono ni email","")&amp;IF(AND(ISNUMBER($N20),$N20&gt;0)," · Tiene saldo por pagar","")="","OK",MID(IF(AND($B20&lt;&gt;"",COUNTIF(tblProveedores[Proveedor],$B20)&gt;1)," · PROVEEDOR DUPLICADO","")&amp;IF(AND($B20&lt;&gt;"",$D20="",$E20="")," · Sin teléfono ni email","")&amp;IF(AND(ISNUMBER($N20),$N20&gt;0)," · Tiene saldo por pagar",""),4,900)))</f>
        <v/>
      </c>
    </row>
    <row r="21">
      <c r="A21" s="51">
        <f>IF($B21="","","PRV-"&amp;TEXT(ROW()-6,"0000"))</f>
        <v/>
      </c>
      <c r="B21" s="33" t="n"/>
      <c r="C21" s="33" t="n"/>
      <c r="D21" s="33" t="n"/>
      <c r="E21" s="33" t="n"/>
      <c r="F21" s="33" t="n"/>
      <c r="G21" s="33" t="n"/>
      <c r="H21" s="34" t="n"/>
      <c r="I21" s="34" t="n"/>
      <c r="J21" s="37">
        <f>IF($B21="","",SUMIFS(tblCompras[Costo total de adquisición],tblCompras[Proveedor],$B21))</f>
        <v/>
      </c>
      <c r="K21" s="39">
        <f>IF($B21="","",COUNTIFS(tblCompras[Proveedor],$B21))</f>
        <v/>
      </c>
      <c r="L21" s="37">
        <f>IF(OR($B21="",$K21=0),"",$J21/$K21)</f>
        <v/>
      </c>
      <c r="M21" s="53">
        <f>IF($B21="","",IF(COUNTIFS(tblCompras[Proveedor],$B21)=0,"",SUMPRODUCT(MAX((tblCompras[Proveedor]=$B21)*tblCompras[Fecha]))))</f>
        <v/>
      </c>
      <c r="N21" s="37">
        <f>IF($B21="","",SUMIFS(tblCompras[Saldo por pagar],tblCompras[Proveedor],$B21))</f>
        <v/>
      </c>
      <c r="O21" s="33" t="n"/>
      <c r="P21" s="33" t="n"/>
      <c r="Q21" s="51">
        <f>IF($B21="","",IF(IF(AND($B21&lt;&gt;"",COUNTIF(tblProveedores[Proveedor],$B21)&gt;1)," · PROVEEDOR DUPLICADO","")&amp;IF(AND($B21&lt;&gt;"",$D21="",$E21="")," · Sin teléfono ni email","")&amp;IF(AND(ISNUMBER($N21),$N21&gt;0)," · Tiene saldo por pagar","")="","OK",MID(IF(AND($B21&lt;&gt;"",COUNTIF(tblProveedores[Proveedor],$B21)&gt;1)," · PROVEEDOR DUPLICADO","")&amp;IF(AND($B21&lt;&gt;"",$D21="",$E21="")," · Sin teléfono ni email","")&amp;IF(AND(ISNUMBER($N21),$N21&gt;0)," · Tiene saldo por pagar",""),4,900)))</f>
        <v/>
      </c>
    </row>
    <row r="22">
      <c r="A22" s="51">
        <f>IF($B22="","","PRV-"&amp;TEXT(ROW()-6,"0000"))</f>
        <v/>
      </c>
      <c r="B22" s="33" t="n"/>
      <c r="C22" s="33" t="n"/>
      <c r="D22" s="33" t="n"/>
      <c r="E22" s="33" t="n"/>
      <c r="F22" s="33" t="n"/>
      <c r="G22" s="33" t="n"/>
      <c r="H22" s="34" t="n"/>
      <c r="I22" s="34" t="n"/>
      <c r="J22" s="37">
        <f>IF($B22="","",SUMIFS(tblCompras[Costo total de adquisición],tblCompras[Proveedor],$B22))</f>
        <v/>
      </c>
      <c r="K22" s="39">
        <f>IF($B22="","",COUNTIFS(tblCompras[Proveedor],$B22))</f>
        <v/>
      </c>
      <c r="L22" s="37">
        <f>IF(OR($B22="",$K22=0),"",$J22/$K22)</f>
        <v/>
      </c>
      <c r="M22" s="53">
        <f>IF($B22="","",IF(COUNTIFS(tblCompras[Proveedor],$B22)=0,"",SUMPRODUCT(MAX((tblCompras[Proveedor]=$B22)*tblCompras[Fecha]))))</f>
        <v/>
      </c>
      <c r="N22" s="37">
        <f>IF($B22="","",SUMIFS(tblCompras[Saldo por pagar],tblCompras[Proveedor],$B22))</f>
        <v/>
      </c>
      <c r="O22" s="33" t="n"/>
      <c r="P22" s="33" t="n"/>
      <c r="Q22" s="51">
        <f>IF($B22="","",IF(IF(AND($B22&lt;&gt;"",COUNTIF(tblProveedores[Proveedor],$B22)&gt;1)," · PROVEEDOR DUPLICADO","")&amp;IF(AND($B22&lt;&gt;"",$D22="",$E22="")," · Sin teléfono ni email","")&amp;IF(AND(ISNUMBER($N22),$N22&gt;0)," · Tiene saldo por pagar","")="","OK",MID(IF(AND($B22&lt;&gt;"",COUNTIF(tblProveedores[Proveedor],$B22)&gt;1)," · PROVEEDOR DUPLICADO","")&amp;IF(AND($B22&lt;&gt;"",$D22="",$E22="")," · Sin teléfono ni email","")&amp;IF(AND(ISNUMBER($N22),$N22&gt;0)," · Tiene saldo por pagar",""),4,900)))</f>
        <v/>
      </c>
    </row>
    <row r="23">
      <c r="A23" s="51">
        <f>IF($B23="","","PRV-"&amp;TEXT(ROW()-6,"0000"))</f>
        <v/>
      </c>
      <c r="B23" s="33" t="n"/>
      <c r="C23" s="33" t="n"/>
      <c r="D23" s="33" t="n"/>
      <c r="E23" s="33" t="n"/>
      <c r="F23" s="33" t="n"/>
      <c r="G23" s="33" t="n"/>
      <c r="H23" s="34" t="n"/>
      <c r="I23" s="34" t="n"/>
      <c r="J23" s="37">
        <f>IF($B23="","",SUMIFS(tblCompras[Costo total de adquisición],tblCompras[Proveedor],$B23))</f>
        <v/>
      </c>
      <c r="K23" s="39">
        <f>IF($B23="","",COUNTIFS(tblCompras[Proveedor],$B23))</f>
        <v/>
      </c>
      <c r="L23" s="37">
        <f>IF(OR($B23="",$K23=0),"",$J23/$K23)</f>
        <v/>
      </c>
      <c r="M23" s="53">
        <f>IF($B23="","",IF(COUNTIFS(tblCompras[Proveedor],$B23)=0,"",SUMPRODUCT(MAX((tblCompras[Proveedor]=$B23)*tblCompras[Fecha]))))</f>
        <v/>
      </c>
      <c r="N23" s="37">
        <f>IF($B23="","",SUMIFS(tblCompras[Saldo por pagar],tblCompras[Proveedor],$B23))</f>
        <v/>
      </c>
      <c r="O23" s="33" t="n"/>
      <c r="P23" s="33" t="n"/>
      <c r="Q23" s="51">
        <f>IF($B23="","",IF(IF(AND($B23&lt;&gt;"",COUNTIF(tblProveedores[Proveedor],$B23)&gt;1)," · PROVEEDOR DUPLICADO","")&amp;IF(AND($B23&lt;&gt;"",$D23="",$E23="")," · Sin teléfono ni email","")&amp;IF(AND(ISNUMBER($N23),$N23&gt;0)," · Tiene saldo por pagar","")="","OK",MID(IF(AND($B23&lt;&gt;"",COUNTIF(tblProveedores[Proveedor],$B23)&gt;1)," · PROVEEDOR DUPLICADO","")&amp;IF(AND($B23&lt;&gt;"",$D23="",$E23="")," · Sin teléfono ni email","")&amp;IF(AND(ISNUMBER($N23),$N23&gt;0)," · Tiene saldo por pagar",""),4,900)))</f>
        <v/>
      </c>
    </row>
    <row r="24">
      <c r="A24" s="51">
        <f>IF($B24="","","PRV-"&amp;TEXT(ROW()-6,"0000"))</f>
        <v/>
      </c>
      <c r="B24" s="33" t="n"/>
      <c r="C24" s="33" t="n"/>
      <c r="D24" s="33" t="n"/>
      <c r="E24" s="33" t="n"/>
      <c r="F24" s="33" t="n"/>
      <c r="G24" s="33" t="n"/>
      <c r="H24" s="34" t="n"/>
      <c r="I24" s="34" t="n"/>
      <c r="J24" s="37">
        <f>IF($B24="","",SUMIFS(tblCompras[Costo total de adquisición],tblCompras[Proveedor],$B24))</f>
        <v/>
      </c>
      <c r="K24" s="39">
        <f>IF($B24="","",COUNTIFS(tblCompras[Proveedor],$B24))</f>
        <v/>
      </c>
      <c r="L24" s="37">
        <f>IF(OR($B24="",$K24=0),"",$J24/$K24)</f>
        <v/>
      </c>
      <c r="M24" s="53">
        <f>IF($B24="","",IF(COUNTIFS(tblCompras[Proveedor],$B24)=0,"",SUMPRODUCT(MAX((tblCompras[Proveedor]=$B24)*tblCompras[Fecha]))))</f>
        <v/>
      </c>
      <c r="N24" s="37">
        <f>IF($B24="","",SUMIFS(tblCompras[Saldo por pagar],tblCompras[Proveedor],$B24))</f>
        <v/>
      </c>
      <c r="O24" s="33" t="n"/>
      <c r="P24" s="33" t="n"/>
      <c r="Q24" s="51">
        <f>IF($B24="","",IF(IF(AND($B24&lt;&gt;"",COUNTIF(tblProveedores[Proveedor],$B24)&gt;1)," · PROVEEDOR DUPLICADO","")&amp;IF(AND($B24&lt;&gt;"",$D24="",$E24="")," · Sin teléfono ni email","")&amp;IF(AND(ISNUMBER($N24),$N24&gt;0)," · Tiene saldo por pagar","")="","OK",MID(IF(AND($B24&lt;&gt;"",COUNTIF(tblProveedores[Proveedor],$B24)&gt;1)," · PROVEEDOR DUPLICADO","")&amp;IF(AND($B24&lt;&gt;"",$D24="",$E24="")," · Sin teléfono ni email","")&amp;IF(AND(ISNUMBER($N24),$N24&gt;0)," · Tiene saldo por pagar",""),4,900)))</f>
        <v/>
      </c>
    </row>
    <row r="25">
      <c r="A25" s="51">
        <f>IF($B25="","","PRV-"&amp;TEXT(ROW()-6,"0000"))</f>
        <v/>
      </c>
      <c r="B25" s="33" t="n"/>
      <c r="C25" s="33" t="n"/>
      <c r="D25" s="33" t="n"/>
      <c r="E25" s="33" t="n"/>
      <c r="F25" s="33" t="n"/>
      <c r="G25" s="33" t="n"/>
      <c r="H25" s="34" t="n"/>
      <c r="I25" s="34" t="n"/>
      <c r="J25" s="37">
        <f>IF($B25="","",SUMIFS(tblCompras[Costo total de adquisición],tblCompras[Proveedor],$B25))</f>
        <v/>
      </c>
      <c r="K25" s="39">
        <f>IF($B25="","",COUNTIFS(tblCompras[Proveedor],$B25))</f>
        <v/>
      </c>
      <c r="L25" s="37">
        <f>IF(OR($B25="",$K25=0),"",$J25/$K25)</f>
        <v/>
      </c>
      <c r="M25" s="53">
        <f>IF($B25="","",IF(COUNTIFS(tblCompras[Proveedor],$B25)=0,"",SUMPRODUCT(MAX((tblCompras[Proveedor]=$B25)*tblCompras[Fecha]))))</f>
        <v/>
      </c>
      <c r="N25" s="37">
        <f>IF($B25="","",SUMIFS(tblCompras[Saldo por pagar],tblCompras[Proveedor],$B25))</f>
        <v/>
      </c>
      <c r="O25" s="33" t="n"/>
      <c r="P25" s="33" t="n"/>
      <c r="Q25" s="51">
        <f>IF($B25="","",IF(IF(AND($B25&lt;&gt;"",COUNTIF(tblProveedores[Proveedor],$B25)&gt;1)," · PROVEEDOR DUPLICADO","")&amp;IF(AND($B25&lt;&gt;"",$D25="",$E25="")," · Sin teléfono ni email","")&amp;IF(AND(ISNUMBER($N25),$N25&gt;0)," · Tiene saldo por pagar","")="","OK",MID(IF(AND($B25&lt;&gt;"",COUNTIF(tblProveedores[Proveedor],$B25)&gt;1)," · PROVEEDOR DUPLICADO","")&amp;IF(AND($B25&lt;&gt;"",$D25="",$E25="")," · Sin teléfono ni email","")&amp;IF(AND(ISNUMBER($N25),$N25&gt;0)," · Tiene saldo por pagar",""),4,900)))</f>
        <v/>
      </c>
    </row>
    <row r="26">
      <c r="A26" s="51">
        <f>IF($B26="","","PRV-"&amp;TEXT(ROW()-6,"0000"))</f>
        <v/>
      </c>
      <c r="B26" s="33" t="n"/>
      <c r="C26" s="33" t="n"/>
      <c r="D26" s="33" t="n"/>
      <c r="E26" s="33" t="n"/>
      <c r="F26" s="33" t="n"/>
      <c r="G26" s="33" t="n"/>
      <c r="H26" s="34" t="n"/>
      <c r="I26" s="34" t="n"/>
      <c r="J26" s="37">
        <f>IF($B26="","",SUMIFS(tblCompras[Costo total de adquisición],tblCompras[Proveedor],$B26))</f>
        <v/>
      </c>
      <c r="K26" s="39">
        <f>IF($B26="","",COUNTIFS(tblCompras[Proveedor],$B26))</f>
        <v/>
      </c>
      <c r="L26" s="37">
        <f>IF(OR($B26="",$K26=0),"",$J26/$K26)</f>
        <v/>
      </c>
      <c r="M26" s="53">
        <f>IF($B26="","",IF(COUNTIFS(tblCompras[Proveedor],$B26)=0,"",SUMPRODUCT(MAX((tblCompras[Proveedor]=$B26)*tblCompras[Fecha]))))</f>
        <v/>
      </c>
      <c r="N26" s="37">
        <f>IF($B26="","",SUMIFS(tblCompras[Saldo por pagar],tblCompras[Proveedor],$B26))</f>
        <v/>
      </c>
      <c r="O26" s="33" t="n"/>
      <c r="P26" s="33" t="n"/>
      <c r="Q26" s="51">
        <f>IF($B26="","",IF(IF(AND($B26&lt;&gt;"",COUNTIF(tblProveedores[Proveedor],$B26)&gt;1)," · PROVEEDOR DUPLICADO","")&amp;IF(AND($B26&lt;&gt;"",$D26="",$E26="")," · Sin teléfono ni email","")&amp;IF(AND(ISNUMBER($N26),$N26&gt;0)," · Tiene saldo por pagar","")="","OK",MID(IF(AND($B26&lt;&gt;"",COUNTIF(tblProveedores[Proveedor],$B26)&gt;1)," · PROVEEDOR DUPLICADO","")&amp;IF(AND($B26&lt;&gt;"",$D26="",$E26="")," · Sin teléfono ni email","")&amp;IF(AND(ISNUMBER($N26),$N26&gt;0)," · Tiene saldo por pagar",""),4,900)))</f>
        <v/>
      </c>
    </row>
    <row r="27">
      <c r="A27" s="51">
        <f>IF($B27="","","PRV-"&amp;TEXT(ROW()-6,"0000"))</f>
        <v/>
      </c>
      <c r="B27" s="33" t="n"/>
      <c r="C27" s="33" t="n"/>
      <c r="D27" s="33" t="n"/>
      <c r="E27" s="33" t="n"/>
      <c r="F27" s="33" t="n"/>
      <c r="G27" s="33" t="n"/>
      <c r="H27" s="34" t="n"/>
      <c r="I27" s="34" t="n"/>
      <c r="J27" s="37">
        <f>IF($B27="","",SUMIFS(tblCompras[Costo total de adquisición],tblCompras[Proveedor],$B27))</f>
        <v/>
      </c>
      <c r="K27" s="39">
        <f>IF($B27="","",COUNTIFS(tblCompras[Proveedor],$B27))</f>
        <v/>
      </c>
      <c r="L27" s="37">
        <f>IF(OR($B27="",$K27=0),"",$J27/$K27)</f>
        <v/>
      </c>
      <c r="M27" s="53">
        <f>IF($B27="","",IF(COUNTIFS(tblCompras[Proveedor],$B27)=0,"",SUMPRODUCT(MAX((tblCompras[Proveedor]=$B27)*tblCompras[Fecha]))))</f>
        <v/>
      </c>
      <c r="N27" s="37">
        <f>IF($B27="","",SUMIFS(tblCompras[Saldo por pagar],tblCompras[Proveedor],$B27))</f>
        <v/>
      </c>
      <c r="O27" s="33" t="n"/>
      <c r="P27" s="33" t="n"/>
      <c r="Q27" s="51">
        <f>IF($B27="","",IF(IF(AND($B27&lt;&gt;"",COUNTIF(tblProveedores[Proveedor],$B27)&gt;1)," · PROVEEDOR DUPLICADO","")&amp;IF(AND($B27&lt;&gt;"",$D27="",$E27="")," · Sin teléfono ni email","")&amp;IF(AND(ISNUMBER($N27),$N27&gt;0)," · Tiene saldo por pagar","")="","OK",MID(IF(AND($B27&lt;&gt;"",COUNTIF(tblProveedores[Proveedor],$B27)&gt;1)," · PROVEEDOR DUPLICADO","")&amp;IF(AND($B27&lt;&gt;"",$D27="",$E27="")," · Sin teléfono ni email","")&amp;IF(AND(ISNUMBER($N27),$N27&gt;0)," · Tiene saldo por pagar",""),4,900)))</f>
        <v/>
      </c>
    </row>
    <row r="28">
      <c r="A28" s="51">
        <f>IF($B28="","","PRV-"&amp;TEXT(ROW()-6,"0000"))</f>
        <v/>
      </c>
      <c r="B28" s="33" t="n"/>
      <c r="C28" s="33" t="n"/>
      <c r="D28" s="33" t="n"/>
      <c r="E28" s="33" t="n"/>
      <c r="F28" s="33" t="n"/>
      <c r="G28" s="33" t="n"/>
      <c r="H28" s="34" t="n"/>
      <c r="I28" s="34" t="n"/>
      <c r="J28" s="37">
        <f>IF($B28="","",SUMIFS(tblCompras[Costo total de adquisición],tblCompras[Proveedor],$B28))</f>
        <v/>
      </c>
      <c r="K28" s="39">
        <f>IF($B28="","",COUNTIFS(tblCompras[Proveedor],$B28))</f>
        <v/>
      </c>
      <c r="L28" s="37">
        <f>IF(OR($B28="",$K28=0),"",$J28/$K28)</f>
        <v/>
      </c>
      <c r="M28" s="53">
        <f>IF($B28="","",IF(COUNTIFS(tblCompras[Proveedor],$B28)=0,"",SUMPRODUCT(MAX((tblCompras[Proveedor]=$B28)*tblCompras[Fecha]))))</f>
        <v/>
      </c>
      <c r="N28" s="37">
        <f>IF($B28="","",SUMIFS(tblCompras[Saldo por pagar],tblCompras[Proveedor],$B28))</f>
        <v/>
      </c>
      <c r="O28" s="33" t="n"/>
      <c r="P28" s="33" t="n"/>
      <c r="Q28" s="51">
        <f>IF($B28="","",IF(IF(AND($B28&lt;&gt;"",COUNTIF(tblProveedores[Proveedor],$B28)&gt;1)," · PROVEEDOR DUPLICADO","")&amp;IF(AND($B28&lt;&gt;"",$D28="",$E28="")," · Sin teléfono ni email","")&amp;IF(AND(ISNUMBER($N28),$N28&gt;0)," · Tiene saldo por pagar","")="","OK",MID(IF(AND($B28&lt;&gt;"",COUNTIF(tblProveedores[Proveedor],$B28)&gt;1)," · PROVEEDOR DUPLICADO","")&amp;IF(AND($B28&lt;&gt;"",$D28="",$E28="")," · Sin teléfono ni email","")&amp;IF(AND(ISNUMBER($N28),$N28&gt;0)," · Tiene saldo por pagar",""),4,900)))</f>
        <v/>
      </c>
    </row>
    <row r="29">
      <c r="A29" s="51">
        <f>IF($B29="","","PRV-"&amp;TEXT(ROW()-6,"0000"))</f>
        <v/>
      </c>
      <c r="B29" s="33" t="n"/>
      <c r="C29" s="33" t="n"/>
      <c r="D29" s="33" t="n"/>
      <c r="E29" s="33" t="n"/>
      <c r="F29" s="33" t="n"/>
      <c r="G29" s="33" t="n"/>
      <c r="H29" s="34" t="n"/>
      <c r="I29" s="34" t="n"/>
      <c r="J29" s="37">
        <f>IF($B29="","",SUMIFS(tblCompras[Costo total de adquisición],tblCompras[Proveedor],$B29))</f>
        <v/>
      </c>
      <c r="K29" s="39">
        <f>IF($B29="","",COUNTIFS(tblCompras[Proveedor],$B29))</f>
        <v/>
      </c>
      <c r="L29" s="37">
        <f>IF(OR($B29="",$K29=0),"",$J29/$K29)</f>
        <v/>
      </c>
      <c r="M29" s="53">
        <f>IF($B29="","",IF(COUNTIFS(tblCompras[Proveedor],$B29)=0,"",SUMPRODUCT(MAX((tblCompras[Proveedor]=$B29)*tblCompras[Fecha]))))</f>
        <v/>
      </c>
      <c r="N29" s="37">
        <f>IF($B29="","",SUMIFS(tblCompras[Saldo por pagar],tblCompras[Proveedor],$B29))</f>
        <v/>
      </c>
      <c r="O29" s="33" t="n"/>
      <c r="P29" s="33" t="n"/>
      <c r="Q29" s="51">
        <f>IF($B29="","",IF(IF(AND($B29&lt;&gt;"",COUNTIF(tblProveedores[Proveedor],$B29)&gt;1)," · PROVEEDOR DUPLICADO","")&amp;IF(AND($B29&lt;&gt;"",$D29="",$E29="")," · Sin teléfono ni email","")&amp;IF(AND(ISNUMBER($N29),$N29&gt;0)," · Tiene saldo por pagar","")="","OK",MID(IF(AND($B29&lt;&gt;"",COUNTIF(tblProveedores[Proveedor],$B29)&gt;1)," · PROVEEDOR DUPLICADO","")&amp;IF(AND($B29&lt;&gt;"",$D29="",$E29="")," · Sin teléfono ni email","")&amp;IF(AND(ISNUMBER($N29),$N29&gt;0)," · Tiene saldo por pagar",""),4,900)))</f>
        <v/>
      </c>
    </row>
    <row r="30">
      <c r="A30" s="51">
        <f>IF($B30="","","PRV-"&amp;TEXT(ROW()-6,"0000"))</f>
        <v/>
      </c>
      <c r="B30" s="33" t="n"/>
      <c r="C30" s="33" t="n"/>
      <c r="D30" s="33" t="n"/>
      <c r="E30" s="33" t="n"/>
      <c r="F30" s="33" t="n"/>
      <c r="G30" s="33" t="n"/>
      <c r="H30" s="34" t="n"/>
      <c r="I30" s="34" t="n"/>
      <c r="J30" s="37">
        <f>IF($B30="","",SUMIFS(tblCompras[Costo total de adquisición],tblCompras[Proveedor],$B30))</f>
        <v/>
      </c>
      <c r="K30" s="39">
        <f>IF($B30="","",COUNTIFS(tblCompras[Proveedor],$B30))</f>
        <v/>
      </c>
      <c r="L30" s="37">
        <f>IF(OR($B30="",$K30=0),"",$J30/$K30)</f>
        <v/>
      </c>
      <c r="M30" s="53">
        <f>IF($B30="","",IF(COUNTIFS(tblCompras[Proveedor],$B30)=0,"",SUMPRODUCT(MAX((tblCompras[Proveedor]=$B30)*tblCompras[Fecha]))))</f>
        <v/>
      </c>
      <c r="N30" s="37">
        <f>IF($B30="","",SUMIFS(tblCompras[Saldo por pagar],tblCompras[Proveedor],$B30))</f>
        <v/>
      </c>
      <c r="O30" s="33" t="n"/>
      <c r="P30" s="33" t="n"/>
      <c r="Q30" s="51">
        <f>IF($B30="","",IF(IF(AND($B30&lt;&gt;"",COUNTIF(tblProveedores[Proveedor],$B30)&gt;1)," · PROVEEDOR DUPLICADO","")&amp;IF(AND($B30&lt;&gt;"",$D30="",$E30="")," · Sin teléfono ni email","")&amp;IF(AND(ISNUMBER($N30),$N30&gt;0)," · Tiene saldo por pagar","")="","OK",MID(IF(AND($B30&lt;&gt;"",COUNTIF(tblProveedores[Proveedor],$B30)&gt;1)," · PROVEEDOR DUPLICADO","")&amp;IF(AND($B30&lt;&gt;"",$D30="",$E30="")," · Sin teléfono ni email","")&amp;IF(AND(ISNUMBER($N30),$N30&gt;0)," · Tiene saldo por pagar",""),4,900)))</f>
        <v/>
      </c>
    </row>
    <row r="31">
      <c r="A31" s="51">
        <f>IF($B31="","","PRV-"&amp;TEXT(ROW()-6,"0000"))</f>
        <v/>
      </c>
      <c r="B31" s="33" t="n"/>
      <c r="C31" s="33" t="n"/>
      <c r="D31" s="33" t="n"/>
      <c r="E31" s="33" t="n"/>
      <c r="F31" s="33" t="n"/>
      <c r="G31" s="33" t="n"/>
      <c r="H31" s="34" t="n"/>
      <c r="I31" s="34" t="n"/>
      <c r="J31" s="37">
        <f>IF($B31="","",SUMIFS(tblCompras[Costo total de adquisición],tblCompras[Proveedor],$B31))</f>
        <v/>
      </c>
      <c r="K31" s="39">
        <f>IF($B31="","",COUNTIFS(tblCompras[Proveedor],$B31))</f>
        <v/>
      </c>
      <c r="L31" s="37">
        <f>IF(OR($B31="",$K31=0),"",$J31/$K31)</f>
        <v/>
      </c>
      <c r="M31" s="53">
        <f>IF($B31="","",IF(COUNTIFS(tblCompras[Proveedor],$B31)=0,"",SUMPRODUCT(MAX((tblCompras[Proveedor]=$B31)*tblCompras[Fecha]))))</f>
        <v/>
      </c>
      <c r="N31" s="37">
        <f>IF($B31="","",SUMIFS(tblCompras[Saldo por pagar],tblCompras[Proveedor],$B31))</f>
        <v/>
      </c>
      <c r="O31" s="33" t="n"/>
      <c r="P31" s="33" t="n"/>
      <c r="Q31" s="51">
        <f>IF($B31="","",IF(IF(AND($B31&lt;&gt;"",COUNTIF(tblProveedores[Proveedor],$B31)&gt;1)," · PROVEEDOR DUPLICADO","")&amp;IF(AND($B31&lt;&gt;"",$D31="",$E31="")," · Sin teléfono ni email","")&amp;IF(AND(ISNUMBER($N31),$N31&gt;0)," · Tiene saldo por pagar","")="","OK",MID(IF(AND($B31&lt;&gt;"",COUNTIF(tblProveedores[Proveedor],$B31)&gt;1)," · PROVEEDOR DUPLICADO","")&amp;IF(AND($B31&lt;&gt;"",$D31="",$E31="")," · Sin teléfono ni email","")&amp;IF(AND(ISNUMBER($N31),$N31&gt;0)," · Tiene saldo por pagar",""),4,900)))</f>
        <v/>
      </c>
    </row>
    <row r="32">
      <c r="A32" s="51">
        <f>IF($B32="","","PRV-"&amp;TEXT(ROW()-6,"0000"))</f>
        <v/>
      </c>
      <c r="B32" s="33" t="n"/>
      <c r="C32" s="33" t="n"/>
      <c r="D32" s="33" t="n"/>
      <c r="E32" s="33" t="n"/>
      <c r="F32" s="33" t="n"/>
      <c r="G32" s="33" t="n"/>
      <c r="H32" s="34" t="n"/>
      <c r="I32" s="34" t="n"/>
      <c r="J32" s="37">
        <f>IF($B32="","",SUMIFS(tblCompras[Costo total de adquisición],tblCompras[Proveedor],$B32))</f>
        <v/>
      </c>
      <c r="K32" s="39">
        <f>IF($B32="","",COUNTIFS(tblCompras[Proveedor],$B32))</f>
        <v/>
      </c>
      <c r="L32" s="37">
        <f>IF(OR($B32="",$K32=0),"",$J32/$K32)</f>
        <v/>
      </c>
      <c r="M32" s="53">
        <f>IF($B32="","",IF(COUNTIFS(tblCompras[Proveedor],$B32)=0,"",SUMPRODUCT(MAX((tblCompras[Proveedor]=$B32)*tblCompras[Fecha]))))</f>
        <v/>
      </c>
      <c r="N32" s="37">
        <f>IF($B32="","",SUMIFS(tblCompras[Saldo por pagar],tblCompras[Proveedor],$B32))</f>
        <v/>
      </c>
      <c r="O32" s="33" t="n"/>
      <c r="P32" s="33" t="n"/>
      <c r="Q32" s="51">
        <f>IF($B32="","",IF(IF(AND($B32&lt;&gt;"",COUNTIF(tblProveedores[Proveedor],$B32)&gt;1)," · PROVEEDOR DUPLICADO","")&amp;IF(AND($B32&lt;&gt;"",$D32="",$E32="")," · Sin teléfono ni email","")&amp;IF(AND(ISNUMBER($N32),$N32&gt;0)," · Tiene saldo por pagar","")="","OK",MID(IF(AND($B32&lt;&gt;"",COUNTIF(tblProveedores[Proveedor],$B32)&gt;1)," · PROVEEDOR DUPLICADO","")&amp;IF(AND($B32&lt;&gt;"",$D32="",$E32="")," · Sin teléfono ni email","")&amp;IF(AND(ISNUMBER($N32),$N32&gt;0)," · Tiene saldo por pagar",""),4,900)))</f>
        <v/>
      </c>
    </row>
    <row r="33">
      <c r="A33" s="51">
        <f>IF($B33="","","PRV-"&amp;TEXT(ROW()-6,"0000"))</f>
        <v/>
      </c>
      <c r="B33" s="33" t="n"/>
      <c r="C33" s="33" t="n"/>
      <c r="D33" s="33" t="n"/>
      <c r="E33" s="33" t="n"/>
      <c r="F33" s="33" t="n"/>
      <c r="G33" s="33" t="n"/>
      <c r="H33" s="34" t="n"/>
      <c r="I33" s="34" t="n"/>
      <c r="J33" s="37">
        <f>IF($B33="","",SUMIFS(tblCompras[Costo total de adquisición],tblCompras[Proveedor],$B33))</f>
        <v/>
      </c>
      <c r="K33" s="39">
        <f>IF($B33="","",COUNTIFS(tblCompras[Proveedor],$B33))</f>
        <v/>
      </c>
      <c r="L33" s="37">
        <f>IF(OR($B33="",$K33=0),"",$J33/$K33)</f>
        <v/>
      </c>
      <c r="M33" s="53">
        <f>IF($B33="","",IF(COUNTIFS(tblCompras[Proveedor],$B33)=0,"",SUMPRODUCT(MAX((tblCompras[Proveedor]=$B33)*tblCompras[Fecha]))))</f>
        <v/>
      </c>
      <c r="N33" s="37">
        <f>IF($B33="","",SUMIFS(tblCompras[Saldo por pagar],tblCompras[Proveedor],$B33))</f>
        <v/>
      </c>
      <c r="O33" s="33" t="n"/>
      <c r="P33" s="33" t="n"/>
      <c r="Q33" s="51">
        <f>IF($B33="","",IF(IF(AND($B33&lt;&gt;"",COUNTIF(tblProveedores[Proveedor],$B33)&gt;1)," · PROVEEDOR DUPLICADO","")&amp;IF(AND($B33&lt;&gt;"",$D33="",$E33="")," · Sin teléfono ni email","")&amp;IF(AND(ISNUMBER($N33),$N33&gt;0)," · Tiene saldo por pagar","")="","OK",MID(IF(AND($B33&lt;&gt;"",COUNTIF(tblProveedores[Proveedor],$B33)&gt;1)," · PROVEEDOR DUPLICADO","")&amp;IF(AND($B33&lt;&gt;"",$D33="",$E33="")," · Sin teléfono ni email","")&amp;IF(AND(ISNUMBER($N33),$N33&gt;0)," · Tiene saldo por pagar",""),4,900)))</f>
        <v/>
      </c>
    </row>
    <row r="34">
      <c r="A34" s="51">
        <f>IF($B34="","","PRV-"&amp;TEXT(ROW()-6,"0000"))</f>
        <v/>
      </c>
      <c r="B34" s="33" t="n"/>
      <c r="C34" s="33" t="n"/>
      <c r="D34" s="33" t="n"/>
      <c r="E34" s="33" t="n"/>
      <c r="F34" s="33" t="n"/>
      <c r="G34" s="33" t="n"/>
      <c r="H34" s="34" t="n"/>
      <c r="I34" s="34" t="n"/>
      <c r="J34" s="37">
        <f>IF($B34="","",SUMIFS(tblCompras[Costo total de adquisición],tblCompras[Proveedor],$B34))</f>
        <v/>
      </c>
      <c r="K34" s="39">
        <f>IF($B34="","",COUNTIFS(tblCompras[Proveedor],$B34))</f>
        <v/>
      </c>
      <c r="L34" s="37">
        <f>IF(OR($B34="",$K34=0),"",$J34/$K34)</f>
        <v/>
      </c>
      <c r="M34" s="53">
        <f>IF($B34="","",IF(COUNTIFS(tblCompras[Proveedor],$B34)=0,"",SUMPRODUCT(MAX((tblCompras[Proveedor]=$B34)*tblCompras[Fecha]))))</f>
        <v/>
      </c>
      <c r="N34" s="37">
        <f>IF($B34="","",SUMIFS(tblCompras[Saldo por pagar],tblCompras[Proveedor],$B34))</f>
        <v/>
      </c>
      <c r="O34" s="33" t="n"/>
      <c r="P34" s="33" t="n"/>
      <c r="Q34" s="51">
        <f>IF($B34="","",IF(IF(AND($B34&lt;&gt;"",COUNTIF(tblProveedores[Proveedor],$B34)&gt;1)," · PROVEEDOR DUPLICADO","")&amp;IF(AND($B34&lt;&gt;"",$D34="",$E34="")," · Sin teléfono ni email","")&amp;IF(AND(ISNUMBER($N34),$N34&gt;0)," · Tiene saldo por pagar","")="","OK",MID(IF(AND($B34&lt;&gt;"",COUNTIF(tblProveedores[Proveedor],$B34)&gt;1)," · PROVEEDOR DUPLICADO","")&amp;IF(AND($B34&lt;&gt;"",$D34="",$E34="")," · Sin teléfono ni email","")&amp;IF(AND(ISNUMBER($N34),$N34&gt;0)," · Tiene saldo por pagar",""),4,900)))</f>
        <v/>
      </c>
    </row>
    <row r="35">
      <c r="A35" s="51">
        <f>IF($B35="","","PRV-"&amp;TEXT(ROW()-6,"0000"))</f>
        <v/>
      </c>
      <c r="B35" s="33" t="n"/>
      <c r="C35" s="33" t="n"/>
      <c r="D35" s="33" t="n"/>
      <c r="E35" s="33" t="n"/>
      <c r="F35" s="33" t="n"/>
      <c r="G35" s="33" t="n"/>
      <c r="H35" s="34" t="n"/>
      <c r="I35" s="34" t="n"/>
      <c r="J35" s="37">
        <f>IF($B35="","",SUMIFS(tblCompras[Costo total de adquisición],tblCompras[Proveedor],$B35))</f>
        <v/>
      </c>
      <c r="K35" s="39">
        <f>IF($B35="","",COUNTIFS(tblCompras[Proveedor],$B35))</f>
        <v/>
      </c>
      <c r="L35" s="37">
        <f>IF(OR($B35="",$K35=0),"",$J35/$K35)</f>
        <v/>
      </c>
      <c r="M35" s="53">
        <f>IF($B35="","",IF(COUNTIFS(tblCompras[Proveedor],$B35)=0,"",SUMPRODUCT(MAX((tblCompras[Proveedor]=$B35)*tblCompras[Fecha]))))</f>
        <v/>
      </c>
      <c r="N35" s="37">
        <f>IF($B35="","",SUMIFS(tblCompras[Saldo por pagar],tblCompras[Proveedor],$B35))</f>
        <v/>
      </c>
      <c r="O35" s="33" t="n"/>
      <c r="P35" s="33" t="n"/>
      <c r="Q35" s="51">
        <f>IF($B35="","",IF(IF(AND($B35&lt;&gt;"",COUNTIF(tblProveedores[Proveedor],$B35)&gt;1)," · PROVEEDOR DUPLICADO","")&amp;IF(AND($B35&lt;&gt;"",$D35="",$E35="")," · Sin teléfono ni email","")&amp;IF(AND(ISNUMBER($N35),$N35&gt;0)," · Tiene saldo por pagar","")="","OK",MID(IF(AND($B35&lt;&gt;"",COUNTIF(tblProveedores[Proveedor],$B35)&gt;1)," · PROVEEDOR DUPLICADO","")&amp;IF(AND($B35&lt;&gt;"",$D35="",$E35="")," · Sin teléfono ni email","")&amp;IF(AND(ISNUMBER($N35),$N35&gt;0)," · Tiene saldo por pagar",""),4,900)))</f>
        <v/>
      </c>
    </row>
    <row r="36">
      <c r="A36" s="51">
        <f>IF($B36="","","PRV-"&amp;TEXT(ROW()-6,"0000"))</f>
        <v/>
      </c>
      <c r="B36" s="33" t="n"/>
      <c r="C36" s="33" t="n"/>
      <c r="D36" s="33" t="n"/>
      <c r="E36" s="33" t="n"/>
      <c r="F36" s="33" t="n"/>
      <c r="G36" s="33" t="n"/>
      <c r="H36" s="34" t="n"/>
      <c r="I36" s="34" t="n"/>
      <c r="J36" s="37">
        <f>IF($B36="","",SUMIFS(tblCompras[Costo total de adquisición],tblCompras[Proveedor],$B36))</f>
        <v/>
      </c>
      <c r="K36" s="39">
        <f>IF($B36="","",COUNTIFS(tblCompras[Proveedor],$B36))</f>
        <v/>
      </c>
      <c r="L36" s="37">
        <f>IF(OR($B36="",$K36=0),"",$J36/$K36)</f>
        <v/>
      </c>
      <c r="M36" s="53">
        <f>IF($B36="","",IF(COUNTIFS(tblCompras[Proveedor],$B36)=0,"",SUMPRODUCT(MAX((tblCompras[Proveedor]=$B36)*tblCompras[Fecha]))))</f>
        <v/>
      </c>
      <c r="N36" s="37">
        <f>IF($B36="","",SUMIFS(tblCompras[Saldo por pagar],tblCompras[Proveedor],$B36))</f>
        <v/>
      </c>
      <c r="O36" s="33" t="n"/>
      <c r="P36" s="33" t="n"/>
      <c r="Q36" s="51">
        <f>IF($B36="","",IF(IF(AND($B36&lt;&gt;"",COUNTIF(tblProveedores[Proveedor],$B36)&gt;1)," · PROVEEDOR DUPLICADO","")&amp;IF(AND($B36&lt;&gt;"",$D36="",$E36="")," · Sin teléfono ni email","")&amp;IF(AND(ISNUMBER($N36),$N36&gt;0)," · Tiene saldo por pagar","")="","OK",MID(IF(AND($B36&lt;&gt;"",COUNTIF(tblProveedores[Proveedor],$B36)&gt;1)," · PROVEEDOR DUPLICADO","")&amp;IF(AND($B36&lt;&gt;"",$D36="",$E36="")," · Sin teléfono ni email","")&amp;IF(AND(ISNUMBER($N36),$N36&gt;0)," · Tiene saldo por pagar",""),4,900)))</f>
        <v/>
      </c>
    </row>
    <row r="37">
      <c r="A37" s="51">
        <f>IF($B37="","","PRV-"&amp;TEXT(ROW()-6,"0000"))</f>
        <v/>
      </c>
      <c r="B37" s="33" t="n"/>
      <c r="C37" s="33" t="n"/>
      <c r="D37" s="33" t="n"/>
      <c r="E37" s="33" t="n"/>
      <c r="F37" s="33" t="n"/>
      <c r="G37" s="33" t="n"/>
      <c r="H37" s="34" t="n"/>
      <c r="I37" s="34" t="n"/>
      <c r="J37" s="37">
        <f>IF($B37="","",SUMIFS(tblCompras[Costo total de adquisición],tblCompras[Proveedor],$B37))</f>
        <v/>
      </c>
      <c r="K37" s="39">
        <f>IF($B37="","",COUNTIFS(tblCompras[Proveedor],$B37))</f>
        <v/>
      </c>
      <c r="L37" s="37">
        <f>IF(OR($B37="",$K37=0),"",$J37/$K37)</f>
        <v/>
      </c>
      <c r="M37" s="53">
        <f>IF($B37="","",IF(COUNTIFS(tblCompras[Proveedor],$B37)=0,"",SUMPRODUCT(MAX((tblCompras[Proveedor]=$B37)*tblCompras[Fecha]))))</f>
        <v/>
      </c>
      <c r="N37" s="37">
        <f>IF($B37="","",SUMIFS(tblCompras[Saldo por pagar],tblCompras[Proveedor],$B37))</f>
        <v/>
      </c>
      <c r="O37" s="33" t="n"/>
      <c r="P37" s="33" t="n"/>
      <c r="Q37" s="51">
        <f>IF($B37="","",IF(IF(AND($B37&lt;&gt;"",COUNTIF(tblProveedores[Proveedor],$B37)&gt;1)," · PROVEEDOR DUPLICADO","")&amp;IF(AND($B37&lt;&gt;"",$D37="",$E37="")," · Sin teléfono ni email","")&amp;IF(AND(ISNUMBER($N37),$N37&gt;0)," · Tiene saldo por pagar","")="","OK",MID(IF(AND($B37&lt;&gt;"",COUNTIF(tblProveedores[Proveedor],$B37)&gt;1)," · PROVEEDOR DUPLICADO","")&amp;IF(AND($B37&lt;&gt;"",$D37="",$E37="")," · Sin teléfono ni email","")&amp;IF(AND(ISNUMBER($N37),$N37&gt;0)," · Tiene saldo por pagar",""),4,900)))</f>
        <v/>
      </c>
    </row>
    <row r="38">
      <c r="A38" s="51">
        <f>IF($B38="","","PRV-"&amp;TEXT(ROW()-6,"0000"))</f>
        <v/>
      </c>
      <c r="B38" s="33" t="n"/>
      <c r="C38" s="33" t="n"/>
      <c r="D38" s="33" t="n"/>
      <c r="E38" s="33" t="n"/>
      <c r="F38" s="33" t="n"/>
      <c r="G38" s="33" t="n"/>
      <c r="H38" s="34" t="n"/>
      <c r="I38" s="34" t="n"/>
      <c r="J38" s="37">
        <f>IF($B38="","",SUMIFS(tblCompras[Costo total de adquisición],tblCompras[Proveedor],$B38))</f>
        <v/>
      </c>
      <c r="K38" s="39">
        <f>IF($B38="","",COUNTIFS(tblCompras[Proveedor],$B38))</f>
        <v/>
      </c>
      <c r="L38" s="37">
        <f>IF(OR($B38="",$K38=0),"",$J38/$K38)</f>
        <v/>
      </c>
      <c r="M38" s="53">
        <f>IF($B38="","",IF(COUNTIFS(tblCompras[Proveedor],$B38)=0,"",SUMPRODUCT(MAX((tblCompras[Proveedor]=$B38)*tblCompras[Fecha]))))</f>
        <v/>
      </c>
      <c r="N38" s="37">
        <f>IF($B38="","",SUMIFS(tblCompras[Saldo por pagar],tblCompras[Proveedor],$B38))</f>
        <v/>
      </c>
      <c r="O38" s="33" t="n"/>
      <c r="P38" s="33" t="n"/>
      <c r="Q38" s="51">
        <f>IF($B38="","",IF(IF(AND($B38&lt;&gt;"",COUNTIF(tblProveedores[Proveedor],$B38)&gt;1)," · PROVEEDOR DUPLICADO","")&amp;IF(AND($B38&lt;&gt;"",$D38="",$E38="")," · Sin teléfono ni email","")&amp;IF(AND(ISNUMBER($N38),$N38&gt;0)," · Tiene saldo por pagar","")="","OK",MID(IF(AND($B38&lt;&gt;"",COUNTIF(tblProveedores[Proveedor],$B38)&gt;1)," · PROVEEDOR DUPLICADO","")&amp;IF(AND($B38&lt;&gt;"",$D38="",$E38="")," · Sin teléfono ni email","")&amp;IF(AND(ISNUMBER($N38),$N38&gt;0)," · Tiene saldo por pagar",""),4,900)))</f>
        <v/>
      </c>
    </row>
    <row r="39">
      <c r="A39" s="51">
        <f>IF($B39="","","PRV-"&amp;TEXT(ROW()-6,"0000"))</f>
        <v/>
      </c>
      <c r="B39" s="33" t="n"/>
      <c r="C39" s="33" t="n"/>
      <c r="D39" s="33" t="n"/>
      <c r="E39" s="33" t="n"/>
      <c r="F39" s="33" t="n"/>
      <c r="G39" s="33" t="n"/>
      <c r="H39" s="34" t="n"/>
      <c r="I39" s="34" t="n"/>
      <c r="J39" s="37">
        <f>IF($B39="","",SUMIFS(tblCompras[Costo total de adquisición],tblCompras[Proveedor],$B39))</f>
        <v/>
      </c>
      <c r="K39" s="39">
        <f>IF($B39="","",COUNTIFS(tblCompras[Proveedor],$B39))</f>
        <v/>
      </c>
      <c r="L39" s="37">
        <f>IF(OR($B39="",$K39=0),"",$J39/$K39)</f>
        <v/>
      </c>
      <c r="M39" s="53">
        <f>IF($B39="","",IF(COUNTIFS(tblCompras[Proveedor],$B39)=0,"",SUMPRODUCT(MAX((tblCompras[Proveedor]=$B39)*tblCompras[Fecha]))))</f>
        <v/>
      </c>
      <c r="N39" s="37">
        <f>IF($B39="","",SUMIFS(tblCompras[Saldo por pagar],tblCompras[Proveedor],$B39))</f>
        <v/>
      </c>
      <c r="O39" s="33" t="n"/>
      <c r="P39" s="33" t="n"/>
      <c r="Q39" s="51">
        <f>IF($B39="","",IF(IF(AND($B39&lt;&gt;"",COUNTIF(tblProveedores[Proveedor],$B39)&gt;1)," · PROVEEDOR DUPLICADO","")&amp;IF(AND($B39&lt;&gt;"",$D39="",$E39="")," · Sin teléfono ni email","")&amp;IF(AND(ISNUMBER($N39),$N39&gt;0)," · Tiene saldo por pagar","")="","OK",MID(IF(AND($B39&lt;&gt;"",COUNTIF(tblProveedores[Proveedor],$B39)&gt;1)," · PROVEEDOR DUPLICADO","")&amp;IF(AND($B39&lt;&gt;"",$D39="",$E39="")," · Sin teléfono ni email","")&amp;IF(AND(ISNUMBER($N39),$N39&gt;0)," · Tiene saldo por pagar",""),4,900)))</f>
        <v/>
      </c>
    </row>
    <row r="40">
      <c r="A40" s="51">
        <f>IF($B40="","","PRV-"&amp;TEXT(ROW()-6,"0000"))</f>
        <v/>
      </c>
      <c r="B40" s="33" t="n"/>
      <c r="C40" s="33" t="n"/>
      <c r="D40" s="33" t="n"/>
      <c r="E40" s="33" t="n"/>
      <c r="F40" s="33" t="n"/>
      <c r="G40" s="33" t="n"/>
      <c r="H40" s="34" t="n"/>
      <c r="I40" s="34" t="n"/>
      <c r="J40" s="37">
        <f>IF($B40="","",SUMIFS(tblCompras[Costo total de adquisición],tblCompras[Proveedor],$B40))</f>
        <v/>
      </c>
      <c r="K40" s="39">
        <f>IF($B40="","",COUNTIFS(tblCompras[Proveedor],$B40))</f>
        <v/>
      </c>
      <c r="L40" s="37">
        <f>IF(OR($B40="",$K40=0),"",$J40/$K40)</f>
        <v/>
      </c>
      <c r="M40" s="53">
        <f>IF($B40="","",IF(COUNTIFS(tblCompras[Proveedor],$B40)=0,"",SUMPRODUCT(MAX((tblCompras[Proveedor]=$B40)*tblCompras[Fecha]))))</f>
        <v/>
      </c>
      <c r="N40" s="37">
        <f>IF($B40="","",SUMIFS(tblCompras[Saldo por pagar],tblCompras[Proveedor],$B40))</f>
        <v/>
      </c>
      <c r="O40" s="33" t="n"/>
      <c r="P40" s="33" t="n"/>
      <c r="Q40" s="51">
        <f>IF($B40="","",IF(IF(AND($B40&lt;&gt;"",COUNTIF(tblProveedores[Proveedor],$B40)&gt;1)," · PROVEEDOR DUPLICADO","")&amp;IF(AND($B40&lt;&gt;"",$D40="",$E40="")," · Sin teléfono ni email","")&amp;IF(AND(ISNUMBER($N40),$N40&gt;0)," · Tiene saldo por pagar","")="","OK",MID(IF(AND($B40&lt;&gt;"",COUNTIF(tblProveedores[Proveedor],$B40)&gt;1)," · PROVEEDOR DUPLICADO","")&amp;IF(AND($B40&lt;&gt;"",$D40="",$E40="")," · Sin teléfono ni email","")&amp;IF(AND(ISNUMBER($N40),$N40&gt;0)," · Tiene saldo por pagar",""),4,900)))</f>
        <v/>
      </c>
    </row>
    <row r="41">
      <c r="A41" s="51">
        <f>IF($B41="","","PRV-"&amp;TEXT(ROW()-6,"0000"))</f>
        <v/>
      </c>
      <c r="B41" s="33" t="n"/>
      <c r="C41" s="33" t="n"/>
      <c r="D41" s="33" t="n"/>
      <c r="E41" s="33" t="n"/>
      <c r="F41" s="33" t="n"/>
      <c r="G41" s="33" t="n"/>
      <c r="H41" s="34" t="n"/>
      <c r="I41" s="34" t="n"/>
      <c r="J41" s="37">
        <f>IF($B41="","",SUMIFS(tblCompras[Costo total de adquisición],tblCompras[Proveedor],$B41))</f>
        <v/>
      </c>
      <c r="K41" s="39">
        <f>IF($B41="","",COUNTIFS(tblCompras[Proveedor],$B41))</f>
        <v/>
      </c>
      <c r="L41" s="37">
        <f>IF(OR($B41="",$K41=0),"",$J41/$K41)</f>
        <v/>
      </c>
      <c r="M41" s="53">
        <f>IF($B41="","",IF(COUNTIFS(tblCompras[Proveedor],$B41)=0,"",SUMPRODUCT(MAX((tblCompras[Proveedor]=$B41)*tblCompras[Fecha]))))</f>
        <v/>
      </c>
      <c r="N41" s="37">
        <f>IF($B41="","",SUMIFS(tblCompras[Saldo por pagar],tblCompras[Proveedor],$B41))</f>
        <v/>
      </c>
      <c r="O41" s="33" t="n"/>
      <c r="P41" s="33" t="n"/>
      <c r="Q41" s="51">
        <f>IF($B41="","",IF(IF(AND($B41&lt;&gt;"",COUNTIF(tblProveedores[Proveedor],$B41)&gt;1)," · PROVEEDOR DUPLICADO","")&amp;IF(AND($B41&lt;&gt;"",$D41="",$E41="")," · Sin teléfono ni email","")&amp;IF(AND(ISNUMBER($N41),$N41&gt;0)," · Tiene saldo por pagar","")="","OK",MID(IF(AND($B41&lt;&gt;"",COUNTIF(tblProveedores[Proveedor],$B41)&gt;1)," · PROVEEDOR DUPLICADO","")&amp;IF(AND($B41&lt;&gt;"",$D41="",$E41="")," · Sin teléfono ni email","")&amp;IF(AND(ISNUMBER($N41),$N41&gt;0)," · Tiene saldo por pagar",""),4,900)))</f>
        <v/>
      </c>
    </row>
    <row r="42">
      <c r="A42" s="51">
        <f>IF($B42="","","PRV-"&amp;TEXT(ROW()-6,"0000"))</f>
        <v/>
      </c>
      <c r="B42" s="33" t="n"/>
      <c r="C42" s="33" t="n"/>
      <c r="D42" s="33" t="n"/>
      <c r="E42" s="33" t="n"/>
      <c r="F42" s="33" t="n"/>
      <c r="G42" s="33" t="n"/>
      <c r="H42" s="34" t="n"/>
      <c r="I42" s="34" t="n"/>
      <c r="J42" s="37">
        <f>IF($B42="","",SUMIFS(tblCompras[Costo total de adquisición],tblCompras[Proveedor],$B42))</f>
        <v/>
      </c>
      <c r="K42" s="39">
        <f>IF($B42="","",COUNTIFS(tblCompras[Proveedor],$B42))</f>
        <v/>
      </c>
      <c r="L42" s="37">
        <f>IF(OR($B42="",$K42=0),"",$J42/$K42)</f>
        <v/>
      </c>
      <c r="M42" s="53">
        <f>IF($B42="","",IF(COUNTIFS(tblCompras[Proveedor],$B42)=0,"",SUMPRODUCT(MAX((tblCompras[Proveedor]=$B42)*tblCompras[Fecha]))))</f>
        <v/>
      </c>
      <c r="N42" s="37">
        <f>IF($B42="","",SUMIFS(tblCompras[Saldo por pagar],tblCompras[Proveedor],$B42))</f>
        <v/>
      </c>
      <c r="O42" s="33" t="n"/>
      <c r="P42" s="33" t="n"/>
      <c r="Q42" s="51">
        <f>IF($B42="","",IF(IF(AND($B42&lt;&gt;"",COUNTIF(tblProveedores[Proveedor],$B42)&gt;1)," · PROVEEDOR DUPLICADO","")&amp;IF(AND($B42&lt;&gt;"",$D42="",$E42="")," · Sin teléfono ni email","")&amp;IF(AND(ISNUMBER($N42),$N42&gt;0)," · Tiene saldo por pagar","")="","OK",MID(IF(AND($B42&lt;&gt;"",COUNTIF(tblProveedores[Proveedor],$B42)&gt;1)," · PROVEEDOR DUPLICADO","")&amp;IF(AND($B42&lt;&gt;"",$D42="",$E42="")," · Sin teléfono ni email","")&amp;IF(AND(ISNUMBER($N42),$N42&gt;0)," · Tiene saldo por pagar",""),4,900)))</f>
        <v/>
      </c>
    </row>
    <row r="43">
      <c r="A43" s="51">
        <f>IF($B43="","","PRV-"&amp;TEXT(ROW()-6,"0000"))</f>
        <v/>
      </c>
      <c r="B43" s="33" t="n"/>
      <c r="C43" s="33" t="n"/>
      <c r="D43" s="33" t="n"/>
      <c r="E43" s="33" t="n"/>
      <c r="F43" s="33" t="n"/>
      <c r="G43" s="33" t="n"/>
      <c r="H43" s="34" t="n"/>
      <c r="I43" s="34" t="n"/>
      <c r="J43" s="37">
        <f>IF($B43="","",SUMIFS(tblCompras[Costo total de adquisición],tblCompras[Proveedor],$B43))</f>
        <v/>
      </c>
      <c r="K43" s="39">
        <f>IF($B43="","",COUNTIFS(tblCompras[Proveedor],$B43))</f>
        <v/>
      </c>
      <c r="L43" s="37">
        <f>IF(OR($B43="",$K43=0),"",$J43/$K43)</f>
        <v/>
      </c>
      <c r="M43" s="53">
        <f>IF($B43="","",IF(COUNTIFS(tblCompras[Proveedor],$B43)=0,"",SUMPRODUCT(MAX((tblCompras[Proveedor]=$B43)*tblCompras[Fecha]))))</f>
        <v/>
      </c>
      <c r="N43" s="37">
        <f>IF($B43="","",SUMIFS(tblCompras[Saldo por pagar],tblCompras[Proveedor],$B43))</f>
        <v/>
      </c>
      <c r="O43" s="33" t="n"/>
      <c r="P43" s="33" t="n"/>
      <c r="Q43" s="51">
        <f>IF($B43="","",IF(IF(AND($B43&lt;&gt;"",COUNTIF(tblProveedores[Proveedor],$B43)&gt;1)," · PROVEEDOR DUPLICADO","")&amp;IF(AND($B43&lt;&gt;"",$D43="",$E43="")," · Sin teléfono ni email","")&amp;IF(AND(ISNUMBER($N43),$N43&gt;0)," · Tiene saldo por pagar","")="","OK",MID(IF(AND($B43&lt;&gt;"",COUNTIF(tblProveedores[Proveedor],$B43)&gt;1)," · PROVEEDOR DUPLICADO","")&amp;IF(AND($B43&lt;&gt;"",$D43="",$E43="")," · Sin teléfono ni email","")&amp;IF(AND(ISNUMBER($N43),$N43&gt;0)," · Tiene saldo por pagar",""),4,900)))</f>
        <v/>
      </c>
    </row>
    <row r="44">
      <c r="A44" s="51">
        <f>IF($B44="","","PRV-"&amp;TEXT(ROW()-6,"0000"))</f>
        <v/>
      </c>
      <c r="B44" s="33" t="n"/>
      <c r="C44" s="33" t="n"/>
      <c r="D44" s="33" t="n"/>
      <c r="E44" s="33" t="n"/>
      <c r="F44" s="33" t="n"/>
      <c r="G44" s="33" t="n"/>
      <c r="H44" s="34" t="n"/>
      <c r="I44" s="34" t="n"/>
      <c r="J44" s="37">
        <f>IF($B44="","",SUMIFS(tblCompras[Costo total de adquisición],tblCompras[Proveedor],$B44))</f>
        <v/>
      </c>
      <c r="K44" s="39">
        <f>IF($B44="","",COUNTIFS(tblCompras[Proveedor],$B44))</f>
        <v/>
      </c>
      <c r="L44" s="37">
        <f>IF(OR($B44="",$K44=0),"",$J44/$K44)</f>
        <v/>
      </c>
      <c r="M44" s="53">
        <f>IF($B44="","",IF(COUNTIFS(tblCompras[Proveedor],$B44)=0,"",SUMPRODUCT(MAX((tblCompras[Proveedor]=$B44)*tblCompras[Fecha]))))</f>
        <v/>
      </c>
      <c r="N44" s="37">
        <f>IF($B44="","",SUMIFS(tblCompras[Saldo por pagar],tblCompras[Proveedor],$B44))</f>
        <v/>
      </c>
      <c r="O44" s="33" t="n"/>
      <c r="P44" s="33" t="n"/>
      <c r="Q44" s="51">
        <f>IF($B44="","",IF(IF(AND($B44&lt;&gt;"",COUNTIF(tblProveedores[Proveedor],$B44)&gt;1)," · PROVEEDOR DUPLICADO","")&amp;IF(AND($B44&lt;&gt;"",$D44="",$E44="")," · Sin teléfono ni email","")&amp;IF(AND(ISNUMBER($N44),$N44&gt;0)," · Tiene saldo por pagar","")="","OK",MID(IF(AND($B44&lt;&gt;"",COUNTIF(tblProveedores[Proveedor],$B44)&gt;1)," · PROVEEDOR DUPLICADO","")&amp;IF(AND($B44&lt;&gt;"",$D44="",$E44="")," · Sin teléfono ni email","")&amp;IF(AND(ISNUMBER($N44),$N44&gt;0)," · Tiene saldo por pagar",""),4,900)))</f>
        <v/>
      </c>
    </row>
    <row r="45">
      <c r="A45" s="51">
        <f>IF($B45="","","PRV-"&amp;TEXT(ROW()-6,"0000"))</f>
        <v/>
      </c>
      <c r="B45" s="33" t="n"/>
      <c r="C45" s="33" t="n"/>
      <c r="D45" s="33" t="n"/>
      <c r="E45" s="33" t="n"/>
      <c r="F45" s="33" t="n"/>
      <c r="G45" s="33" t="n"/>
      <c r="H45" s="34" t="n"/>
      <c r="I45" s="34" t="n"/>
      <c r="J45" s="37">
        <f>IF($B45="","",SUMIFS(tblCompras[Costo total de adquisición],tblCompras[Proveedor],$B45))</f>
        <v/>
      </c>
      <c r="K45" s="39">
        <f>IF($B45="","",COUNTIFS(tblCompras[Proveedor],$B45))</f>
        <v/>
      </c>
      <c r="L45" s="37">
        <f>IF(OR($B45="",$K45=0),"",$J45/$K45)</f>
        <v/>
      </c>
      <c r="M45" s="53">
        <f>IF($B45="","",IF(COUNTIFS(tblCompras[Proveedor],$B45)=0,"",SUMPRODUCT(MAX((tblCompras[Proveedor]=$B45)*tblCompras[Fecha]))))</f>
        <v/>
      </c>
      <c r="N45" s="37">
        <f>IF($B45="","",SUMIFS(tblCompras[Saldo por pagar],tblCompras[Proveedor],$B45))</f>
        <v/>
      </c>
      <c r="O45" s="33" t="n"/>
      <c r="P45" s="33" t="n"/>
      <c r="Q45" s="51">
        <f>IF($B45="","",IF(IF(AND($B45&lt;&gt;"",COUNTIF(tblProveedores[Proveedor],$B45)&gt;1)," · PROVEEDOR DUPLICADO","")&amp;IF(AND($B45&lt;&gt;"",$D45="",$E45="")," · Sin teléfono ni email","")&amp;IF(AND(ISNUMBER($N45),$N45&gt;0)," · Tiene saldo por pagar","")="","OK",MID(IF(AND($B45&lt;&gt;"",COUNTIF(tblProveedores[Proveedor],$B45)&gt;1)," · PROVEEDOR DUPLICADO","")&amp;IF(AND($B45&lt;&gt;"",$D45="",$E45="")," · Sin teléfono ni email","")&amp;IF(AND(ISNUMBER($N45),$N45&gt;0)," · Tiene saldo por pagar",""),4,900)))</f>
        <v/>
      </c>
    </row>
    <row r="46">
      <c r="A46" s="51">
        <f>IF($B46="","","PRV-"&amp;TEXT(ROW()-6,"0000"))</f>
        <v/>
      </c>
      <c r="B46" s="33" t="n"/>
      <c r="C46" s="33" t="n"/>
      <c r="D46" s="33" t="n"/>
      <c r="E46" s="33" t="n"/>
      <c r="F46" s="33" t="n"/>
      <c r="G46" s="33" t="n"/>
      <c r="H46" s="34" t="n"/>
      <c r="I46" s="34" t="n"/>
      <c r="J46" s="37">
        <f>IF($B46="","",SUMIFS(tblCompras[Costo total de adquisición],tblCompras[Proveedor],$B46))</f>
        <v/>
      </c>
      <c r="K46" s="39">
        <f>IF($B46="","",COUNTIFS(tblCompras[Proveedor],$B46))</f>
        <v/>
      </c>
      <c r="L46" s="37">
        <f>IF(OR($B46="",$K46=0),"",$J46/$K46)</f>
        <v/>
      </c>
      <c r="M46" s="53">
        <f>IF($B46="","",IF(COUNTIFS(tblCompras[Proveedor],$B46)=0,"",SUMPRODUCT(MAX((tblCompras[Proveedor]=$B46)*tblCompras[Fecha]))))</f>
        <v/>
      </c>
      <c r="N46" s="37">
        <f>IF($B46="","",SUMIFS(tblCompras[Saldo por pagar],tblCompras[Proveedor],$B46))</f>
        <v/>
      </c>
      <c r="O46" s="33" t="n"/>
      <c r="P46" s="33" t="n"/>
      <c r="Q46" s="51">
        <f>IF($B46="","",IF(IF(AND($B46&lt;&gt;"",COUNTIF(tblProveedores[Proveedor],$B46)&gt;1)," · PROVEEDOR DUPLICADO","")&amp;IF(AND($B46&lt;&gt;"",$D46="",$E46="")," · Sin teléfono ni email","")&amp;IF(AND(ISNUMBER($N46),$N46&gt;0)," · Tiene saldo por pagar","")="","OK",MID(IF(AND($B46&lt;&gt;"",COUNTIF(tblProveedores[Proveedor],$B46)&gt;1)," · PROVEEDOR DUPLICADO","")&amp;IF(AND($B46&lt;&gt;"",$D46="",$E46="")," · Sin teléfono ni email","")&amp;IF(AND(ISNUMBER($N46),$N46&gt;0)," · Tiene saldo por pagar",""),4,900)))</f>
        <v/>
      </c>
    </row>
  </sheetData>
  <conditionalFormatting sqref="Q7:Q46">
    <cfRule type="expression" priority="1" dxfId="5">
      <formula>ISNUMBER(SEARCH("DUPLICADO",$Q7))</formula>
    </cfRule>
  </conditionalFormatting>
  <dataValidations count="3">
    <dataValidation sqref="G7:G46" showDropDown="0" showInputMessage="0" showErrorMessage="0" allowBlank="1" errorTitle="Valor fuera de la lista" error="Ese valor no está en la lista. Agréguelo en la hoja CONFIG si es nuevo." type="list" errorStyle="warning">
      <formula1>=LISTA_CONDICIONES</formula1>
    </dataValidation>
    <dataValidation sqref="O7:O46" showDropDown="0" showInputMessage="0" showErrorMessage="0" allowBlank="1" errorTitle="Valor fuera de la lista" error="Ese valor no está en la lista. Agréguelo en la hoja CONFIG si es nuevo." type="list" errorStyle="warning">
      <formula1>=LISTA_ESTADO_REL</formula1>
    </dataValidation>
    <dataValidation sqref="H7:I46" showDropDown="0" showInputMessage="0" showErrorMessage="0" allowBlank="1" errorTitle="Número inválido" error="Escriba un número mayor o igual a 0." type="decimal" errorStyle="stop" operator="greaterThanOrEqual">
      <formula1>0</formula1>
    </dataValidation>
  </dataValidations>
  <printOptions horizontalCentered="1"/>
  <pageMargins left="0.4" right="0.4" top="0.5" bottom="0.5" header="0.5" footer="0.5"/>
  <pageSetup orientation="landscape" fitToHeight="0" fitToWidth="1"/>
  <tableParts count="1">
    <tablePart xmlns:r="http://schemas.openxmlformats.org/officeDocument/2006/relationships" r:id="rId1"/>
  </tableParts>
</worksheet>
</file>

<file path=xl/worksheets/sheet12.xml><?xml version="1.0" encoding="utf-8"?>
<worksheet xmlns="http://schemas.openxmlformats.org/spreadsheetml/2006/main">
  <sheetPr>
    <tabColor rgb="001E7B4F"/>
    <outlinePr summaryBelow="1" summaryRight="1"/>
    <pageSetUpPr fitToPage="1"/>
  </sheetPr>
  <dimension ref="A1:BL68"/>
  <sheetViews>
    <sheetView showGridLines="0" workbookViewId="0">
      <pane ySplit="7" topLeftCell="A8" activePane="bottomLeft" state="frozen"/>
      <selection pane="bottomLeft" activeCell="A1" sqref="A1"/>
    </sheetView>
  </sheetViews>
  <sheetFormatPr baseColWidth="8" defaultRowHeight="15"/>
  <cols>
    <col width="12" customWidth="1" min="1" max="1"/>
    <col width="14" customWidth="1" min="2" max="2"/>
    <col width="12" customWidth="1" min="3" max="3"/>
    <col width="15" customWidth="1" min="4" max="4"/>
    <col width="11" customWidth="1" min="5" max="5"/>
    <col width="14" customWidth="1" min="6" max="6"/>
    <col width="15" customWidth="1" min="7" max="7"/>
    <col width="11" customWidth="1" min="8" max="8"/>
    <col width="13" customWidth="1" min="9" max="9"/>
    <col width="13" customWidth="1" min="10" max="10"/>
    <col width="14" customWidth="1" min="11" max="11"/>
    <col width="15" customWidth="1" min="12" max="12"/>
    <col width="12" customWidth="1" min="13" max="13"/>
    <col width="12" customWidth="1" min="14" max="14"/>
    <col width="15" customWidth="1" min="15" max="15"/>
    <col width="11" customWidth="1" min="16" max="16"/>
    <col width="11" customWidth="1" min="17" max="17"/>
    <col width="13" customWidth="1" min="18" max="18"/>
    <col width="13" customWidth="1" min="19" max="19"/>
    <col width="13" customWidth="1" min="20" max="20"/>
    <col width="10" customWidth="1" min="21" max="21"/>
    <col width="14" customWidth="1" min="22" max="22"/>
    <col width="11" customWidth="1" min="23" max="23"/>
    <col width="15" customWidth="1" min="24" max="24"/>
    <col width="15" customWidth="1" min="25" max="25"/>
    <col width="13" customWidth="1" min="27" max="27"/>
    <col width="32" customWidth="1" min="28" max="28"/>
    <col width="15" customWidth="1" min="29" max="29"/>
    <col width="11" customWidth="1" min="30" max="30"/>
    <col width="14" customWidth="1" min="31" max="31"/>
    <col width="14" customWidth="1" min="32" max="32"/>
    <col width="14" customWidth="1" min="33" max="33"/>
    <col width="11" customWidth="1" min="34" max="34"/>
    <col width="11" customWidth="1" min="35" max="35"/>
    <col width="11" customWidth="1" min="36" max="36"/>
    <col width="10" customWidth="1" min="37" max="37"/>
    <col width="10" customWidth="1" min="38" max="38"/>
    <col width="12" customWidth="1" min="39" max="39"/>
    <col width="12" customWidth="1" min="40" max="40"/>
    <col width="11" customWidth="1" min="41" max="41"/>
    <col width="11" customWidth="1" min="42" max="42"/>
    <col width="20" customWidth="1" min="44" max="44"/>
    <col width="11" customWidth="1" min="45" max="45"/>
    <col width="14" customWidth="1" min="46" max="46"/>
    <col width="14" customWidth="1" min="47" max="47"/>
    <col width="14" customWidth="1" min="48" max="48"/>
    <col width="11" customWidth="1" min="49" max="49"/>
    <col width="11" customWidth="1" min="50" max="50"/>
    <col width="20" customWidth="1" min="52" max="52"/>
    <col width="11" customWidth="1" min="53" max="53"/>
    <col width="14" customWidth="1" min="54" max="54"/>
    <col width="14" customWidth="1" min="55" max="55"/>
    <col width="14" customWidth="1" min="56" max="56"/>
    <col width="11" customWidth="1" min="57" max="57"/>
    <col width="11" customWidth="1" min="58" max="58"/>
    <col width="13" customWidth="1" min="59" max="59"/>
    <col width="11" customWidth="1" min="60" max="60"/>
    <col width="44" customWidth="1" min="62" max="62"/>
    <col width="20" customWidth="1" min="63" max="63"/>
    <col width="60" customWidth="1" min="64" max="64"/>
  </cols>
  <sheetData>
    <row r="1">
      <c r="A1" s="1" t="inlineStr">
        <is>
          <t>RENTABILIDAD — Estado de resultados y análisis</t>
        </is>
      </c>
    </row>
    <row r="2">
      <c r="A2" s="2" t="inlineStr">
        <is>
          <t>Hoja 100% calculada a partir de VENTAS, COSTOS, COMPRAS y GASTOS. No se escribe nada aquí.</t>
        </is>
      </c>
    </row>
    <row r="3">
      <c r="A3" s="16" t="inlineStr">
        <is>
          <t>Criterio contable: las ventas y los gastos se reconocen por su FECHA (devengo), no por su cobro o pago. El movimiento de efectivo está en la hoja CAJA. Por eso UTILIDAD ≠ EFECTIVO.</t>
        </is>
      </c>
    </row>
    <row r="4"/>
    <row r="5">
      <c r="A5" s="16" t="inlineStr">
        <is>
          <t>Esta hoja tiene 5 bloques colocados en columnas contiguas → A:Y Estado de resultados mensual · AA:AO Por producto · AR:AX Por categoría · AZ:BH Por canal · BJ:BL Resumen acumulado, inversión y ROI</t>
        </is>
      </c>
    </row>
    <row r="6">
      <c r="A6" s="3" t="inlineStr">
        <is>
          <t>1 · ESTADO DE RESULTADOS MENSUAL</t>
        </is>
      </c>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AA6" s="3" t="inlineStr">
        <is>
          <t>2 · RENTABILIDAD POR PRODUCTO</t>
        </is>
      </c>
      <c r="AB6" s="4" t="n"/>
      <c r="AC6" s="4" t="n"/>
      <c r="AD6" s="4" t="n"/>
      <c r="AE6" s="4" t="n"/>
      <c r="AF6" s="4" t="n"/>
      <c r="AG6" s="4" t="n"/>
      <c r="AH6" s="4" t="n"/>
      <c r="AI6" s="4" t="n"/>
      <c r="AJ6" s="4" t="n"/>
      <c r="AK6" s="4" t="n"/>
      <c r="AL6" s="4" t="n"/>
      <c r="AM6" s="4" t="n"/>
      <c r="AN6" s="4" t="n"/>
      <c r="AO6" s="4" t="n"/>
      <c r="AP6" s="4" t="n"/>
      <c r="AR6" s="3" t="inlineStr">
        <is>
          <t>3 · POR CATEGORÍA</t>
        </is>
      </c>
      <c r="AS6" s="4" t="n"/>
      <c r="AT6" s="4" t="n"/>
      <c r="AU6" s="4" t="n"/>
      <c r="AV6" s="4" t="n"/>
      <c r="AW6" s="4" t="n"/>
      <c r="AX6" s="4" t="n"/>
      <c r="AZ6" s="3" t="inlineStr">
        <is>
          <t>4 · POR CANAL DE VENTA</t>
        </is>
      </c>
      <c r="BA6" s="4" t="n"/>
      <c r="BB6" s="4" t="n"/>
      <c r="BC6" s="4" t="n"/>
      <c r="BD6" s="4" t="n"/>
      <c r="BE6" s="4" t="n"/>
      <c r="BF6" s="4" t="n"/>
      <c r="BG6" s="4" t="n"/>
      <c r="BH6" s="4" t="n"/>
      <c r="BJ6" s="3" t="inlineStr">
        <is>
          <t>5 · RESUMEN ACUMULADO, INVERSIÓN Y RETORNO</t>
        </is>
      </c>
      <c r="BK6" s="4" t="n"/>
      <c r="BL6" s="4" t="n"/>
    </row>
    <row r="7" ht="26" customHeight="1">
      <c r="A7" s="11" t="inlineStr">
        <is>
          <t>Mes</t>
        </is>
      </c>
      <c r="B7" s="11" t="inlineStr">
        <is>
          <t>Ventas brutas</t>
        </is>
      </c>
      <c r="C7" s="11" t="inlineStr">
        <is>
          <t>Descuentos</t>
        </is>
      </c>
      <c r="D7" s="11" t="inlineStr">
        <is>
          <t>VENTAS NETAS</t>
        </is>
      </c>
      <c r="E7" s="11" t="inlineStr">
        <is>
          <t>Unidades vendidas</t>
        </is>
      </c>
      <c r="F7" s="11" t="inlineStr">
        <is>
          <t>Costo de ventas</t>
        </is>
      </c>
      <c r="G7" s="11" t="inlineStr">
        <is>
          <t>UTILIDAD BRUTA</t>
        </is>
      </c>
      <c r="H7" s="11" t="inlineStr">
        <is>
          <t>Margen bruto %</t>
        </is>
      </c>
      <c r="I7" s="11" t="inlineStr">
        <is>
          <t>Gastos fijos</t>
        </is>
      </c>
      <c r="J7" s="11" t="inlineStr">
        <is>
          <t>Gastos variables</t>
        </is>
      </c>
      <c r="K7" s="11" t="inlineStr">
        <is>
          <t>Gastos operativos</t>
        </is>
      </c>
      <c r="L7" s="11" t="inlineStr">
        <is>
          <t>Utilidad operativa</t>
        </is>
      </c>
      <c r="M7" s="11" t="inlineStr">
        <is>
          <t>Otros ingresos</t>
        </is>
      </c>
      <c r="N7" s="11" t="inlineStr">
        <is>
          <t>Otros egresos</t>
        </is>
      </c>
      <c r="O7" s="11" t="inlineStr">
        <is>
          <t>UTILIDAD NETA</t>
        </is>
      </c>
      <c r="P7" s="11" t="inlineStr">
        <is>
          <t>Margen neto %</t>
        </is>
      </c>
      <c r="Q7" s="11" t="inlineStr">
        <is>
          <t>Transacciones</t>
        </is>
      </c>
      <c r="R7" s="11" t="inlineStr">
        <is>
          <t>Ticket promedio</t>
        </is>
      </c>
      <c r="S7" s="11" t="inlineStr">
        <is>
          <t>Utilidad promedio por unidad</t>
        </is>
      </c>
      <c r="T7" s="11" t="inlineStr">
        <is>
          <t>Gasto en publicidad</t>
        </is>
      </c>
      <c r="U7" s="11" t="inlineStr">
        <is>
          <t>ROAS</t>
        </is>
      </c>
      <c r="V7" s="11" t="inlineStr">
        <is>
          <t>Compras del mes</t>
        </is>
      </c>
      <c r="W7" s="11" t="inlineStr">
        <is>
          <t>ROI del mes</t>
        </is>
      </c>
      <c r="X7" s="11" t="inlineStr">
        <is>
          <t>Ventas netas acumuladas</t>
        </is>
      </c>
      <c r="Y7" s="11" t="inlineStr">
        <is>
          <t>Utilidad neta acumulada</t>
        </is>
      </c>
      <c r="AA7" s="11" t="inlineStr">
        <is>
          <t>SKU</t>
        </is>
      </c>
      <c r="AB7" s="11" t="inlineStr">
        <is>
          <t>Producto</t>
        </is>
      </c>
      <c r="AC7" s="11" t="inlineStr">
        <is>
          <t>Categoría</t>
        </is>
      </c>
      <c r="AD7" s="11" t="inlineStr">
        <is>
          <t>Unidades vendidas</t>
        </is>
      </c>
      <c r="AE7" s="11" t="inlineStr">
        <is>
          <t>Ventas netas</t>
        </is>
      </c>
      <c r="AF7" s="11" t="inlineStr">
        <is>
          <t>Costo de ventas</t>
        </is>
      </c>
      <c r="AG7" s="11" t="inlineStr">
        <is>
          <t>Utilidad bruta</t>
        </is>
      </c>
      <c r="AH7" s="11" t="inlineStr">
        <is>
          <t>Margen bruto %</t>
        </is>
      </c>
      <c r="AI7" s="11" t="inlineStr">
        <is>
          <t>% de las ventas</t>
        </is>
      </c>
      <c r="AJ7" s="11" t="inlineStr">
        <is>
          <t>% de la utilidad</t>
        </is>
      </c>
      <c r="AK7" s="11" t="inlineStr">
        <is>
          <t>Ranking por utilidad</t>
        </is>
      </c>
      <c r="AL7" s="11" t="inlineStr">
        <is>
          <t>Ranking por unidades</t>
        </is>
      </c>
      <c r="AM7" s="11" t="inlineStr">
        <is>
          <t>Utilidad promedio por unidad</t>
        </is>
      </c>
      <c r="AN7" s="11" t="inlineStr">
        <is>
          <t>Margen de contribución unitario</t>
        </is>
      </c>
      <c r="AO7" s="11" t="inlineStr">
        <is>
          <t>Clave orden (interna)</t>
        </is>
      </c>
      <c r="AP7" s="11" t="inlineStr">
        <is>
          <t>Clave orden unidades (interna)</t>
        </is>
      </c>
      <c r="AR7" s="11" t="inlineStr">
        <is>
          <t>Categoría</t>
        </is>
      </c>
      <c r="AS7" s="11" t="inlineStr">
        <is>
          <t>Unidades vendidas</t>
        </is>
      </c>
      <c r="AT7" s="11" t="inlineStr">
        <is>
          <t>Ventas netas</t>
        </is>
      </c>
      <c r="AU7" s="11" t="inlineStr">
        <is>
          <t>Costo de ventas</t>
        </is>
      </c>
      <c r="AV7" s="11" t="inlineStr">
        <is>
          <t>Utilidad bruta</t>
        </is>
      </c>
      <c r="AW7" s="11" t="inlineStr">
        <is>
          <t>Margen bruto %</t>
        </is>
      </c>
      <c r="AX7" s="11" t="inlineStr">
        <is>
          <t>% de las ventas</t>
        </is>
      </c>
      <c r="AZ7" s="11" t="inlineStr">
        <is>
          <t>Canal</t>
        </is>
      </c>
      <c r="BA7" s="11" t="inlineStr">
        <is>
          <t>Unidades vendidas</t>
        </is>
      </c>
      <c r="BB7" s="11" t="inlineStr">
        <is>
          <t>Ventas netas</t>
        </is>
      </c>
      <c r="BC7" s="11" t="inlineStr">
        <is>
          <t>Costo de ventas</t>
        </is>
      </c>
      <c r="BD7" s="11" t="inlineStr">
        <is>
          <t>Utilidad bruta</t>
        </is>
      </c>
      <c r="BE7" s="11" t="inlineStr">
        <is>
          <t>Margen bruto %</t>
        </is>
      </c>
      <c r="BF7" s="11" t="inlineStr">
        <is>
          <t>% de las ventas</t>
        </is>
      </c>
      <c r="BG7" s="11" t="inlineStr">
        <is>
          <t>Publicidad del canal</t>
        </is>
      </c>
      <c r="BH7" s="11" t="inlineStr">
        <is>
          <t>ROAS del canal</t>
        </is>
      </c>
      <c r="BJ7" s="11" t="inlineStr">
        <is>
          <t>Indicador acumulado</t>
        </is>
      </c>
      <c r="BK7" s="11" t="inlineStr">
        <is>
          <t>Valor</t>
        </is>
      </c>
      <c r="BL7" s="11" t="inlineStr">
        <is>
          <t>Cómo se calcula / qué significa</t>
        </is>
      </c>
    </row>
    <row r="8">
      <c r="A8" s="55">
        <f>IF(NOT(ISNUMBER(PAR_FECHA_INICIO)),"",DATE(YEAR(PAR_FECHA_INICIO),MONTH(PAR_FECHA_INICIO)+0,1))</f>
        <v/>
      </c>
      <c r="B8" s="37">
        <f>IF($A8="","",SUMIFS(tblVentas[Venta bruta],tblVentas[Fecha],"&gt;="&amp;$A8,tblVentas[Fecha],"&lt;"&amp;DATE(YEAR($A8),MONTH($A8)+1,1)))</f>
        <v/>
      </c>
      <c r="C8" s="37">
        <f>IF($A8="","",SUMIFS(tblVentas[Descuento],tblVentas[Fecha],"&gt;="&amp;$A8,tblVentas[Fecha],"&lt;"&amp;DATE(YEAR($A8),MONTH($A8)+1,1)))</f>
        <v/>
      </c>
      <c r="D8" s="49">
        <f>IF($A8="","",SUMIFS(tblVentas[Venta neta],tblVentas[Fecha],"&gt;="&amp;$A8,tblVentas[Fecha],"&lt;"&amp;DATE(YEAR($A8),MONTH($A8)+1,1)))</f>
        <v/>
      </c>
      <c r="E8" s="39">
        <f>IF($A8="","",SUMIFS(tblVentas[Unidades efectivas],tblVentas[Fecha],"&gt;="&amp;$A8,tblVentas[Fecha],"&lt;"&amp;DATE(YEAR($A8),MONTH($A8)+1,1)))</f>
        <v/>
      </c>
      <c r="F8" s="37">
        <f>IF($A8="","",SUMIFS(tblVentas[Costo total],tblVentas[Fecha],"&gt;="&amp;$A8,tblVentas[Fecha],"&lt;"&amp;DATE(YEAR($A8),MONTH($A8)+1,1)))</f>
        <v/>
      </c>
      <c r="G8" s="49">
        <f>IF($A8="","",$D8-$F8)</f>
        <v/>
      </c>
      <c r="H8" s="38">
        <f>IF(OR($A8="",$D8=0),"",$G8/$D8)</f>
        <v/>
      </c>
      <c r="I8" s="37">
        <f>IF($A8="","",SUMIFS(tblGastos[Monto],tblGastos[Tipo de gasto],"Fijo",tblGastos[Fecha],"&gt;="&amp;$A8,tblGastos[Fecha],"&lt;"&amp;DATE(YEAR($A8),MONTH($A8)+1,1)))</f>
        <v/>
      </c>
      <c r="J8" s="37">
        <f>IF($A8="","",SUMIFS(tblGastos[Monto],tblGastos[Tipo de gasto],"Variable",tblGastos[Fecha],"&gt;="&amp;$A8,tblGastos[Fecha],"&lt;"&amp;DATE(YEAR($A8),MONTH($A8)+1,1)))</f>
        <v/>
      </c>
      <c r="K8" s="37">
        <f>IF($A8="","",$I8+$J8)</f>
        <v/>
      </c>
      <c r="L8" s="37">
        <f>IF($A8="","",$G8-$K8)</f>
        <v/>
      </c>
      <c r="M8" s="37">
        <f>IF($A8="","",SUMIFS(tblCajaMov[Monto],tblCajaMov[Concepto],"Otro ingreso",tblCajaMov[Fecha],"&gt;="&amp;$A8,tblCajaMov[Fecha],"&lt;"&amp;DATE(YEAR($A8),MONTH($A8)+1,1)))</f>
        <v/>
      </c>
      <c r="N8" s="37">
        <f>IF($A8="","",SUMIFS(tblCajaMov[Monto],tblCajaMov[Concepto],"Otro egreso",tblCajaMov[Fecha],"&gt;="&amp;$A8,tblCajaMov[Fecha],"&lt;"&amp;DATE(YEAR($A8),MONTH($A8)+1,1)))</f>
        <v/>
      </c>
      <c r="O8" s="49">
        <f>IF($A8="","",$L8+$M8-$N8)</f>
        <v/>
      </c>
      <c r="P8" s="38">
        <f>IF(OR($A8="",$D8=0),"",$O8/$D8)</f>
        <v/>
      </c>
      <c r="Q8" s="39">
        <f>IF($A8="","",COUNTIFS(tblVentas[Fecha],"&gt;="&amp;$A8,tblVentas[Fecha],"&lt;"&amp;DATE(YEAR($A8),MONTH($A8)+1,1)))</f>
        <v/>
      </c>
      <c r="R8" s="37">
        <f>IF(OR($A8="",$Q8=0),"",$D8/$Q8)</f>
        <v/>
      </c>
      <c r="S8" s="37">
        <f>IF(OR($A8="",$E8=0),"",$G8/$E8)</f>
        <v/>
      </c>
      <c r="T8" s="37">
        <f>IF($A8="","",SUMIFS(tblGastos[Monto],tblGastos[Categoría],"Publicidad",tblGastos[Fecha],"&gt;="&amp;$A8,tblGastos[Fecha],"&lt;"&amp;DATE(YEAR($A8),MONTH($A8)+1,1)))</f>
        <v/>
      </c>
      <c r="U8" s="60">
        <f>IF(OR($A8="",$T8=0),"",$D8/$T8)</f>
        <v/>
      </c>
      <c r="V8" s="37">
        <f>IF($A8="","",SUMIFS(tblCompras[Costo total de adquisición],tblCompras[Fecha],"&gt;="&amp;$A8,tblCompras[Fecha],"&lt;"&amp;DATE(YEAR($A8),MONTH($A8)+1,1)))</f>
        <v/>
      </c>
      <c r="W8" s="38">
        <f>IF(OR($A8="",($V8+$K8)=0),"",$O8/($V8+$K8))</f>
        <v/>
      </c>
      <c r="X8" s="37">
        <f>IF($A8="","",SUM($D$8:$D8))</f>
        <v/>
      </c>
      <c r="Y8" s="37">
        <f>IF($A8="","",SUM($O$8:$O8))</f>
        <v/>
      </c>
      <c r="AA8" s="51">
        <f>IFERROR(IF(INDEX(tblProductos[SKU],ROW()-7)="","",INDEX(tblProductos[SKU],ROW()-7)),"")</f>
        <v/>
      </c>
      <c r="AB8" s="51">
        <f>IF($AA8="","",IFERROR(IF(INDEX(tblProductos[Nombre del producto],MATCH($AA8,tblProductos[SKU],0))="","",INDEX(tblProductos[Nombre del producto],MATCH($AA8,tblProductos[SKU],0))),"")&amp;IF(IFERROR(IF(INDEX(tblProductos[Presentación],MATCH($AA8,tblProductos[SKU],0))="","",INDEX(tblProductos[Presentación],MATCH($AA8,tblProductos[SKU],0))),"")="",""," · "&amp;IFERROR(IF(INDEX(tblProductos[Presentación],MATCH($AA8,tblProductos[SKU],0))="","",INDEX(tblProductos[Presentación],MATCH($AA8,tblProductos[SKU],0))),"")))</f>
        <v/>
      </c>
      <c r="AC8" s="51">
        <f>IF($AA8="","",IFERROR(IF(INDEX(tblProductos[Categoría],MATCH($AA8,tblProductos[SKU],0))="","",INDEX(tblProductos[Categoría],MATCH($AA8,tblProductos[SKU],0))),""))</f>
        <v/>
      </c>
      <c r="AD8" s="39">
        <f>IF($AA8="","",SUMIFS(tblVentas[Unidades efectivas],tblVentas[SKU],$AA8))</f>
        <v/>
      </c>
      <c r="AE8" s="37">
        <f>IF($AA8="","",SUMIFS(tblVentas[Venta neta],tblVentas[SKU],$AA8))</f>
        <v/>
      </c>
      <c r="AF8" s="37">
        <f>IF($AA8="","",SUMIFS(tblVentas[Costo total],tblVentas[SKU],$AA8))</f>
        <v/>
      </c>
      <c r="AG8" s="37">
        <f>IF($AA8="","",$AE8-$AF8)</f>
        <v/>
      </c>
      <c r="AH8" s="38">
        <f>IF(OR($AA8="",$AE8=0),"",$AG8/$AE8)</f>
        <v/>
      </c>
      <c r="AI8" s="38">
        <f>IF(OR($AA8="",SUM($AE$8:$AE$67)=0),"",$AE8/SUM($AE$8:$AE$67))</f>
        <v/>
      </c>
      <c r="AJ8" s="38">
        <f>IF(OR($AA8="",SUM($AG$8:$AG$67)=0),"",$AG8/SUM($AG$8:$AG$67))</f>
        <v/>
      </c>
      <c r="AK8" s="39">
        <f>IF(OR($AA8="",$AE8=0),"",RANK($AG8,$AG$8:$AG$67))</f>
        <v/>
      </c>
      <c r="AL8" s="39">
        <f>IF(OR($AA8="",$AD8=0),"",RANK($AD8,$AD$8:$AD$67))</f>
        <v/>
      </c>
      <c r="AM8" s="37">
        <f>IF(OR($AA8="",$AD8=0),"",$AG8/$AD8)</f>
        <v/>
      </c>
      <c r="AN8" s="37">
        <f>IF($AA8="","",IFERROR(IF(INDEX(tblProductos[Margen de contribución unitario],MATCH($AA8,tblProductos[SKU],0))="","PENDIENTE",INDEX(tblProductos[Margen de contribución unitario],MATCH($AA8,tblProductos[SKU],0))),"PENDIENTE"))</f>
        <v/>
      </c>
      <c r="AO8" s="60">
        <f>IF(OR($AA8="",NOT(ISNUMBER($AG8))),"",$AG8-ROW()/100000)</f>
        <v/>
      </c>
      <c r="AP8" s="60">
        <f>IF(OR($AA8="",NOT(ISNUMBER($AD8))),"",$AD8-ROW()/100000)</f>
        <v/>
      </c>
      <c r="AR8" s="51">
        <f>IF(CONFIG!$B$23="","",CONFIG!$B$23)</f>
        <v/>
      </c>
      <c r="AS8" s="39">
        <f>IF($AR8="","",SUMIFS(tblVentas[Unidades efectivas],tblVentas[Categoría],$AR8))</f>
        <v/>
      </c>
      <c r="AT8" s="37">
        <f>IF($AR8="","",SUMIFS(tblVentas[Venta neta],tblVentas[Categoría],$AR8))</f>
        <v/>
      </c>
      <c r="AU8" s="37">
        <f>IF($AR8="","",SUMIFS(tblVentas[Costo total],tblVentas[Categoría],$AR8))</f>
        <v/>
      </c>
      <c r="AV8" s="37">
        <f>IF($AR8="","",$AT8-$AU8)</f>
        <v/>
      </c>
      <c r="AW8" s="38">
        <f>IF(OR($AR8="",$AT8=0),"",$AV8/$AT8)</f>
        <v/>
      </c>
      <c r="AX8" s="38">
        <f>IF(OR($AR8="",SUM($AT$8:$AT$22)=0),"",$AT8/SUM($AT$8:$AT$22))</f>
        <v/>
      </c>
      <c r="AZ8" s="51">
        <f>IF(CONFIG!$F$23="","",CONFIG!$F$23)</f>
        <v/>
      </c>
      <c r="BA8" s="39">
        <f>IF($AZ8="","",SUMIFS(tblVentas[Unidades efectivas],tblVentas[Canal],$AZ8))</f>
        <v/>
      </c>
      <c r="BB8" s="37">
        <f>IF($AZ8="","",SUMIFS(tblVentas[Venta neta],tblVentas[Canal],$AZ8))</f>
        <v/>
      </c>
      <c r="BC8" s="37">
        <f>IF($AZ8="","",SUMIFS(tblVentas[Costo total],tblVentas[Canal],$AZ8))</f>
        <v/>
      </c>
      <c r="BD8" s="37">
        <f>IF($AZ8="","",$BB8-$BC8)</f>
        <v/>
      </c>
      <c r="BE8" s="38">
        <f>IF(OR($AZ8="",$BB8=0),"",$BD8/$BB8)</f>
        <v/>
      </c>
      <c r="BF8" s="38">
        <f>IF(OR($AZ8="",SUM($BB$8:$BB$22)=0),"",$BB8/SUM($BB$8:$BB$22))</f>
        <v/>
      </c>
      <c r="BG8" s="37">
        <f>IF($AZ8="","",SUMIFS(tblGastos[Monto],tblGastos[Categoría],"Publicidad",tblGastos[Canal atribuido],$AZ8))</f>
        <v/>
      </c>
      <c r="BH8" s="60">
        <f>IF(OR($AZ8="",$BG8=0),"",$BB8/$BG8)</f>
        <v/>
      </c>
      <c r="BJ8" s="61" t="inlineStr">
        <is>
          <t>VENTAS</t>
        </is>
      </c>
      <c r="BK8" s="62" t="n"/>
      <c r="BL8" s="62" t="n"/>
    </row>
    <row r="9">
      <c r="A9" s="55">
        <f>IF(NOT(ISNUMBER(PAR_FECHA_INICIO)),"",DATE(YEAR(PAR_FECHA_INICIO),MONTH(PAR_FECHA_INICIO)+1,1))</f>
        <v/>
      </c>
      <c r="B9" s="37">
        <f>IF($A9="","",SUMIFS(tblVentas[Venta bruta],tblVentas[Fecha],"&gt;="&amp;$A9,tblVentas[Fecha],"&lt;"&amp;DATE(YEAR($A9),MONTH($A9)+1,1)))</f>
        <v/>
      </c>
      <c r="C9" s="37">
        <f>IF($A9="","",SUMIFS(tblVentas[Descuento],tblVentas[Fecha],"&gt;="&amp;$A9,tblVentas[Fecha],"&lt;"&amp;DATE(YEAR($A9),MONTH($A9)+1,1)))</f>
        <v/>
      </c>
      <c r="D9" s="49">
        <f>IF($A9="","",SUMIFS(tblVentas[Venta neta],tblVentas[Fecha],"&gt;="&amp;$A9,tblVentas[Fecha],"&lt;"&amp;DATE(YEAR($A9),MONTH($A9)+1,1)))</f>
        <v/>
      </c>
      <c r="E9" s="39">
        <f>IF($A9="","",SUMIFS(tblVentas[Unidades efectivas],tblVentas[Fecha],"&gt;="&amp;$A9,tblVentas[Fecha],"&lt;"&amp;DATE(YEAR($A9),MONTH($A9)+1,1)))</f>
        <v/>
      </c>
      <c r="F9" s="37">
        <f>IF($A9="","",SUMIFS(tblVentas[Costo total],tblVentas[Fecha],"&gt;="&amp;$A9,tblVentas[Fecha],"&lt;"&amp;DATE(YEAR($A9),MONTH($A9)+1,1)))</f>
        <v/>
      </c>
      <c r="G9" s="49">
        <f>IF($A9="","",$D9-$F9)</f>
        <v/>
      </c>
      <c r="H9" s="38">
        <f>IF(OR($A9="",$D9=0),"",$G9/$D9)</f>
        <v/>
      </c>
      <c r="I9" s="37">
        <f>IF($A9="","",SUMIFS(tblGastos[Monto],tblGastos[Tipo de gasto],"Fijo",tblGastos[Fecha],"&gt;="&amp;$A9,tblGastos[Fecha],"&lt;"&amp;DATE(YEAR($A9),MONTH($A9)+1,1)))</f>
        <v/>
      </c>
      <c r="J9" s="37">
        <f>IF($A9="","",SUMIFS(tblGastos[Monto],tblGastos[Tipo de gasto],"Variable",tblGastos[Fecha],"&gt;="&amp;$A9,tblGastos[Fecha],"&lt;"&amp;DATE(YEAR($A9),MONTH($A9)+1,1)))</f>
        <v/>
      </c>
      <c r="K9" s="37">
        <f>IF($A9="","",$I9+$J9)</f>
        <v/>
      </c>
      <c r="L9" s="37">
        <f>IF($A9="","",$G9-$K9)</f>
        <v/>
      </c>
      <c r="M9" s="37">
        <f>IF($A9="","",SUMIFS(tblCajaMov[Monto],tblCajaMov[Concepto],"Otro ingreso",tblCajaMov[Fecha],"&gt;="&amp;$A9,tblCajaMov[Fecha],"&lt;"&amp;DATE(YEAR($A9),MONTH($A9)+1,1)))</f>
        <v/>
      </c>
      <c r="N9" s="37">
        <f>IF($A9="","",SUMIFS(tblCajaMov[Monto],tblCajaMov[Concepto],"Otro egreso",tblCajaMov[Fecha],"&gt;="&amp;$A9,tblCajaMov[Fecha],"&lt;"&amp;DATE(YEAR($A9),MONTH($A9)+1,1)))</f>
        <v/>
      </c>
      <c r="O9" s="49">
        <f>IF($A9="","",$L9+$M9-$N9)</f>
        <v/>
      </c>
      <c r="P9" s="38">
        <f>IF(OR($A9="",$D9=0),"",$O9/$D9)</f>
        <v/>
      </c>
      <c r="Q9" s="39">
        <f>IF($A9="","",COUNTIFS(tblVentas[Fecha],"&gt;="&amp;$A9,tblVentas[Fecha],"&lt;"&amp;DATE(YEAR($A9),MONTH($A9)+1,1)))</f>
        <v/>
      </c>
      <c r="R9" s="37">
        <f>IF(OR($A9="",$Q9=0),"",$D9/$Q9)</f>
        <v/>
      </c>
      <c r="S9" s="37">
        <f>IF(OR($A9="",$E9=0),"",$G9/$E9)</f>
        <v/>
      </c>
      <c r="T9" s="37">
        <f>IF($A9="","",SUMIFS(tblGastos[Monto],tblGastos[Categoría],"Publicidad",tblGastos[Fecha],"&gt;="&amp;$A9,tblGastos[Fecha],"&lt;"&amp;DATE(YEAR($A9),MONTH($A9)+1,1)))</f>
        <v/>
      </c>
      <c r="U9" s="60">
        <f>IF(OR($A9="",$T9=0),"",$D9/$T9)</f>
        <v/>
      </c>
      <c r="V9" s="37">
        <f>IF($A9="","",SUMIFS(tblCompras[Costo total de adquisición],tblCompras[Fecha],"&gt;="&amp;$A9,tblCompras[Fecha],"&lt;"&amp;DATE(YEAR($A9),MONTH($A9)+1,1)))</f>
        <v/>
      </c>
      <c r="W9" s="38">
        <f>IF(OR($A9="",($V9+$K9)=0),"",$O9/($V9+$K9))</f>
        <v/>
      </c>
      <c r="X9" s="37">
        <f>IF($A9="","",SUM($D$8:$D9))</f>
        <v/>
      </c>
      <c r="Y9" s="37">
        <f>IF($A9="","",SUM($O$8:$O9))</f>
        <v/>
      </c>
      <c r="AA9" s="51">
        <f>IFERROR(IF(INDEX(tblProductos[SKU],ROW()-7)="","",INDEX(tblProductos[SKU],ROW()-7)),"")</f>
        <v/>
      </c>
      <c r="AB9" s="51">
        <f>IF($AA9="","",IFERROR(IF(INDEX(tblProductos[Nombre del producto],MATCH($AA9,tblProductos[SKU],0))="","",INDEX(tblProductos[Nombre del producto],MATCH($AA9,tblProductos[SKU],0))),"")&amp;IF(IFERROR(IF(INDEX(tblProductos[Presentación],MATCH($AA9,tblProductos[SKU],0))="","",INDEX(tblProductos[Presentación],MATCH($AA9,tblProductos[SKU],0))),"")="",""," · "&amp;IFERROR(IF(INDEX(tblProductos[Presentación],MATCH($AA9,tblProductos[SKU],0))="","",INDEX(tblProductos[Presentación],MATCH($AA9,tblProductos[SKU],0))),"")))</f>
        <v/>
      </c>
      <c r="AC9" s="51">
        <f>IF($AA9="","",IFERROR(IF(INDEX(tblProductos[Categoría],MATCH($AA9,tblProductos[SKU],0))="","",INDEX(tblProductos[Categoría],MATCH($AA9,tblProductos[SKU],0))),""))</f>
        <v/>
      </c>
      <c r="AD9" s="39">
        <f>IF($AA9="","",SUMIFS(tblVentas[Unidades efectivas],tblVentas[SKU],$AA9))</f>
        <v/>
      </c>
      <c r="AE9" s="37">
        <f>IF($AA9="","",SUMIFS(tblVentas[Venta neta],tblVentas[SKU],$AA9))</f>
        <v/>
      </c>
      <c r="AF9" s="37">
        <f>IF($AA9="","",SUMIFS(tblVentas[Costo total],tblVentas[SKU],$AA9))</f>
        <v/>
      </c>
      <c r="AG9" s="37">
        <f>IF($AA9="","",$AE9-$AF9)</f>
        <v/>
      </c>
      <c r="AH9" s="38">
        <f>IF(OR($AA9="",$AE9=0),"",$AG9/$AE9)</f>
        <v/>
      </c>
      <c r="AI9" s="38">
        <f>IF(OR($AA9="",SUM($AE$8:$AE$67)=0),"",$AE9/SUM($AE$8:$AE$67))</f>
        <v/>
      </c>
      <c r="AJ9" s="38">
        <f>IF(OR($AA9="",SUM($AG$8:$AG$67)=0),"",$AG9/SUM($AG$8:$AG$67))</f>
        <v/>
      </c>
      <c r="AK9" s="39">
        <f>IF(OR($AA9="",$AE9=0),"",RANK($AG9,$AG$8:$AG$67))</f>
        <v/>
      </c>
      <c r="AL9" s="39">
        <f>IF(OR($AA9="",$AD9=0),"",RANK($AD9,$AD$8:$AD$67))</f>
        <v/>
      </c>
      <c r="AM9" s="37">
        <f>IF(OR($AA9="",$AD9=0),"",$AG9/$AD9)</f>
        <v/>
      </c>
      <c r="AN9" s="37">
        <f>IF($AA9="","",IFERROR(IF(INDEX(tblProductos[Margen de contribución unitario],MATCH($AA9,tblProductos[SKU],0))="","PENDIENTE",INDEX(tblProductos[Margen de contribución unitario],MATCH($AA9,tblProductos[SKU],0))),"PENDIENTE"))</f>
        <v/>
      </c>
      <c r="AO9" s="60">
        <f>IF(OR($AA9="",NOT(ISNUMBER($AG9))),"",$AG9-ROW()/100000)</f>
        <v/>
      </c>
      <c r="AP9" s="60">
        <f>IF(OR($AA9="",NOT(ISNUMBER($AD9))),"",$AD9-ROW()/100000)</f>
        <v/>
      </c>
      <c r="AR9" s="51">
        <f>IF(CONFIG!$B$24="","",CONFIG!$B$24)</f>
        <v/>
      </c>
      <c r="AS9" s="39">
        <f>IF($AR9="","",SUMIFS(tblVentas[Unidades efectivas],tblVentas[Categoría],$AR9))</f>
        <v/>
      </c>
      <c r="AT9" s="37">
        <f>IF($AR9="","",SUMIFS(tblVentas[Venta neta],tblVentas[Categoría],$AR9))</f>
        <v/>
      </c>
      <c r="AU9" s="37">
        <f>IF($AR9="","",SUMIFS(tblVentas[Costo total],tblVentas[Categoría],$AR9))</f>
        <v/>
      </c>
      <c r="AV9" s="37">
        <f>IF($AR9="","",$AT9-$AU9)</f>
        <v/>
      </c>
      <c r="AW9" s="38">
        <f>IF(OR($AR9="",$AT9=0),"",$AV9/$AT9)</f>
        <v/>
      </c>
      <c r="AX9" s="38">
        <f>IF(OR($AR9="",SUM($AT$8:$AT$22)=0),"",$AT9/SUM($AT$8:$AT$22))</f>
        <v/>
      </c>
      <c r="AZ9" s="51">
        <f>IF(CONFIG!$F$24="","",CONFIG!$F$24)</f>
        <v/>
      </c>
      <c r="BA9" s="39">
        <f>IF($AZ9="","",SUMIFS(tblVentas[Unidades efectivas],tblVentas[Canal],$AZ9))</f>
        <v/>
      </c>
      <c r="BB9" s="37">
        <f>IF($AZ9="","",SUMIFS(tblVentas[Venta neta],tblVentas[Canal],$AZ9))</f>
        <v/>
      </c>
      <c r="BC9" s="37">
        <f>IF($AZ9="","",SUMIFS(tblVentas[Costo total],tblVentas[Canal],$AZ9))</f>
        <v/>
      </c>
      <c r="BD9" s="37">
        <f>IF($AZ9="","",$BB9-$BC9)</f>
        <v/>
      </c>
      <c r="BE9" s="38">
        <f>IF(OR($AZ9="",$BB9=0),"",$BD9/$BB9)</f>
        <v/>
      </c>
      <c r="BF9" s="38">
        <f>IF(OR($AZ9="",SUM($BB$8:$BB$22)=0),"",$BB9/SUM($BB$8:$BB$22))</f>
        <v/>
      </c>
      <c r="BG9" s="37">
        <f>IF($AZ9="","",SUMIFS(tblGastos[Monto],tblGastos[Categoría],"Publicidad",tblGastos[Canal atribuido],$AZ9))</f>
        <v/>
      </c>
      <c r="BH9" s="60">
        <f>IF(OR($AZ9="",$BG9=0),"",$BB9/$BG9)</f>
        <v/>
      </c>
      <c r="BJ9" s="63" t="inlineStr">
        <is>
          <t>Ventas netas acumuladas</t>
        </is>
      </c>
      <c r="BK9" s="49">
        <f>$D$44</f>
        <v/>
      </c>
      <c r="BL9" s="64" t="inlineStr">
        <is>
          <t>Suma de todas las ventas netas registradas (ventas brutas − descuentos).</t>
        </is>
      </c>
    </row>
    <row r="10">
      <c r="A10" s="55">
        <f>IF(NOT(ISNUMBER(PAR_FECHA_INICIO)),"",DATE(YEAR(PAR_FECHA_INICIO),MONTH(PAR_FECHA_INICIO)+2,1))</f>
        <v/>
      </c>
      <c r="B10" s="37">
        <f>IF($A10="","",SUMIFS(tblVentas[Venta bruta],tblVentas[Fecha],"&gt;="&amp;$A10,tblVentas[Fecha],"&lt;"&amp;DATE(YEAR($A10),MONTH($A10)+1,1)))</f>
        <v/>
      </c>
      <c r="C10" s="37">
        <f>IF($A10="","",SUMIFS(tblVentas[Descuento],tblVentas[Fecha],"&gt;="&amp;$A10,tblVentas[Fecha],"&lt;"&amp;DATE(YEAR($A10),MONTH($A10)+1,1)))</f>
        <v/>
      </c>
      <c r="D10" s="49">
        <f>IF($A10="","",SUMIFS(tblVentas[Venta neta],tblVentas[Fecha],"&gt;="&amp;$A10,tblVentas[Fecha],"&lt;"&amp;DATE(YEAR($A10),MONTH($A10)+1,1)))</f>
        <v/>
      </c>
      <c r="E10" s="39">
        <f>IF($A10="","",SUMIFS(tblVentas[Unidades efectivas],tblVentas[Fecha],"&gt;="&amp;$A10,tblVentas[Fecha],"&lt;"&amp;DATE(YEAR($A10),MONTH($A10)+1,1)))</f>
        <v/>
      </c>
      <c r="F10" s="37">
        <f>IF($A10="","",SUMIFS(tblVentas[Costo total],tblVentas[Fecha],"&gt;="&amp;$A10,tblVentas[Fecha],"&lt;"&amp;DATE(YEAR($A10),MONTH($A10)+1,1)))</f>
        <v/>
      </c>
      <c r="G10" s="49">
        <f>IF($A10="","",$D10-$F10)</f>
        <v/>
      </c>
      <c r="H10" s="38">
        <f>IF(OR($A10="",$D10=0),"",$G10/$D10)</f>
        <v/>
      </c>
      <c r="I10" s="37">
        <f>IF($A10="","",SUMIFS(tblGastos[Monto],tblGastos[Tipo de gasto],"Fijo",tblGastos[Fecha],"&gt;="&amp;$A10,tblGastos[Fecha],"&lt;"&amp;DATE(YEAR($A10),MONTH($A10)+1,1)))</f>
        <v/>
      </c>
      <c r="J10" s="37">
        <f>IF($A10="","",SUMIFS(tblGastos[Monto],tblGastos[Tipo de gasto],"Variable",tblGastos[Fecha],"&gt;="&amp;$A10,tblGastos[Fecha],"&lt;"&amp;DATE(YEAR($A10),MONTH($A10)+1,1)))</f>
        <v/>
      </c>
      <c r="K10" s="37">
        <f>IF($A10="","",$I10+$J10)</f>
        <v/>
      </c>
      <c r="L10" s="37">
        <f>IF($A10="","",$G10-$K10)</f>
        <v/>
      </c>
      <c r="M10" s="37">
        <f>IF($A10="","",SUMIFS(tblCajaMov[Monto],tblCajaMov[Concepto],"Otro ingreso",tblCajaMov[Fecha],"&gt;="&amp;$A10,tblCajaMov[Fecha],"&lt;"&amp;DATE(YEAR($A10),MONTH($A10)+1,1)))</f>
        <v/>
      </c>
      <c r="N10" s="37">
        <f>IF($A10="","",SUMIFS(tblCajaMov[Monto],tblCajaMov[Concepto],"Otro egreso",tblCajaMov[Fecha],"&gt;="&amp;$A10,tblCajaMov[Fecha],"&lt;"&amp;DATE(YEAR($A10),MONTH($A10)+1,1)))</f>
        <v/>
      </c>
      <c r="O10" s="49">
        <f>IF($A10="","",$L10+$M10-$N10)</f>
        <v/>
      </c>
      <c r="P10" s="38">
        <f>IF(OR($A10="",$D10=0),"",$O10/$D10)</f>
        <v/>
      </c>
      <c r="Q10" s="39">
        <f>IF($A10="","",COUNTIFS(tblVentas[Fecha],"&gt;="&amp;$A10,tblVentas[Fecha],"&lt;"&amp;DATE(YEAR($A10),MONTH($A10)+1,1)))</f>
        <v/>
      </c>
      <c r="R10" s="37">
        <f>IF(OR($A10="",$Q10=0),"",$D10/$Q10)</f>
        <v/>
      </c>
      <c r="S10" s="37">
        <f>IF(OR($A10="",$E10=0),"",$G10/$E10)</f>
        <v/>
      </c>
      <c r="T10" s="37">
        <f>IF($A10="","",SUMIFS(tblGastos[Monto],tblGastos[Categoría],"Publicidad",tblGastos[Fecha],"&gt;="&amp;$A10,tblGastos[Fecha],"&lt;"&amp;DATE(YEAR($A10),MONTH($A10)+1,1)))</f>
        <v/>
      </c>
      <c r="U10" s="60">
        <f>IF(OR($A10="",$T10=0),"",$D10/$T10)</f>
        <v/>
      </c>
      <c r="V10" s="37">
        <f>IF($A10="","",SUMIFS(tblCompras[Costo total de adquisición],tblCompras[Fecha],"&gt;="&amp;$A10,tblCompras[Fecha],"&lt;"&amp;DATE(YEAR($A10),MONTH($A10)+1,1)))</f>
        <v/>
      </c>
      <c r="W10" s="38">
        <f>IF(OR($A10="",($V10+$K10)=0),"",$O10/($V10+$K10))</f>
        <v/>
      </c>
      <c r="X10" s="37">
        <f>IF($A10="","",SUM($D$8:$D10))</f>
        <v/>
      </c>
      <c r="Y10" s="37">
        <f>IF($A10="","",SUM($O$8:$O10))</f>
        <v/>
      </c>
      <c r="AA10" s="51">
        <f>IFERROR(IF(INDEX(tblProductos[SKU],ROW()-7)="","",INDEX(tblProductos[SKU],ROW()-7)),"")</f>
        <v/>
      </c>
      <c r="AB10" s="51">
        <f>IF($AA10="","",IFERROR(IF(INDEX(tblProductos[Nombre del producto],MATCH($AA10,tblProductos[SKU],0))="","",INDEX(tblProductos[Nombre del producto],MATCH($AA10,tblProductos[SKU],0))),"")&amp;IF(IFERROR(IF(INDEX(tblProductos[Presentación],MATCH($AA10,tblProductos[SKU],0))="","",INDEX(tblProductos[Presentación],MATCH($AA10,tblProductos[SKU],0))),"")="",""," · "&amp;IFERROR(IF(INDEX(tblProductos[Presentación],MATCH($AA10,tblProductos[SKU],0))="","",INDEX(tblProductos[Presentación],MATCH($AA10,tblProductos[SKU],0))),"")))</f>
        <v/>
      </c>
      <c r="AC10" s="51">
        <f>IF($AA10="","",IFERROR(IF(INDEX(tblProductos[Categoría],MATCH($AA10,tblProductos[SKU],0))="","",INDEX(tblProductos[Categoría],MATCH($AA10,tblProductos[SKU],0))),""))</f>
        <v/>
      </c>
      <c r="AD10" s="39">
        <f>IF($AA10="","",SUMIFS(tblVentas[Unidades efectivas],tblVentas[SKU],$AA10))</f>
        <v/>
      </c>
      <c r="AE10" s="37">
        <f>IF($AA10="","",SUMIFS(tblVentas[Venta neta],tblVentas[SKU],$AA10))</f>
        <v/>
      </c>
      <c r="AF10" s="37">
        <f>IF($AA10="","",SUMIFS(tblVentas[Costo total],tblVentas[SKU],$AA10))</f>
        <v/>
      </c>
      <c r="AG10" s="37">
        <f>IF($AA10="","",$AE10-$AF10)</f>
        <v/>
      </c>
      <c r="AH10" s="38">
        <f>IF(OR($AA10="",$AE10=0),"",$AG10/$AE10)</f>
        <v/>
      </c>
      <c r="AI10" s="38">
        <f>IF(OR($AA10="",SUM($AE$8:$AE$67)=0),"",$AE10/SUM($AE$8:$AE$67))</f>
        <v/>
      </c>
      <c r="AJ10" s="38">
        <f>IF(OR($AA10="",SUM($AG$8:$AG$67)=0),"",$AG10/SUM($AG$8:$AG$67))</f>
        <v/>
      </c>
      <c r="AK10" s="39">
        <f>IF(OR($AA10="",$AE10=0),"",RANK($AG10,$AG$8:$AG$67))</f>
        <v/>
      </c>
      <c r="AL10" s="39">
        <f>IF(OR($AA10="",$AD10=0),"",RANK($AD10,$AD$8:$AD$67))</f>
        <v/>
      </c>
      <c r="AM10" s="37">
        <f>IF(OR($AA10="",$AD10=0),"",$AG10/$AD10)</f>
        <v/>
      </c>
      <c r="AN10" s="37">
        <f>IF($AA10="","",IFERROR(IF(INDEX(tblProductos[Margen de contribución unitario],MATCH($AA10,tblProductos[SKU],0))="","PENDIENTE",INDEX(tblProductos[Margen de contribución unitario],MATCH($AA10,tblProductos[SKU],0))),"PENDIENTE"))</f>
        <v/>
      </c>
      <c r="AO10" s="60">
        <f>IF(OR($AA10="",NOT(ISNUMBER($AG10))),"",$AG10-ROW()/100000)</f>
        <v/>
      </c>
      <c r="AP10" s="60">
        <f>IF(OR($AA10="",NOT(ISNUMBER($AD10))),"",$AD10-ROW()/100000)</f>
        <v/>
      </c>
      <c r="AR10" s="51">
        <f>IF(CONFIG!$B$25="","",CONFIG!$B$25)</f>
        <v/>
      </c>
      <c r="AS10" s="39">
        <f>IF($AR10="","",SUMIFS(tblVentas[Unidades efectivas],tblVentas[Categoría],$AR10))</f>
        <v/>
      </c>
      <c r="AT10" s="37">
        <f>IF($AR10="","",SUMIFS(tblVentas[Venta neta],tblVentas[Categoría],$AR10))</f>
        <v/>
      </c>
      <c r="AU10" s="37">
        <f>IF($AR10="","",SUMIFS(tblVentas[Costo total],tblVentas[Categoría],$AR10))</f>
        <v/>
      </c>
      <c r="AV10" s="37">
        <f>IF($AR10="","",$AT10-$AU10)</f>
        <v/>
      </c>
      <c r="AW10" s="38">
        <f>IF(OR($AR10="",$AT10=0),"",$AV10/$AT10)</f>
        <v/>
      </c>
      <c r="AX10" s="38">
        <f>IF(OR($AR10="",SUM($AT$8:$AT$22)=0),"",$AT10/SUM($AT$8:$AT$22))</f>
        <v/>
      </c>
      <c r="AZ10" s="51">
        <f>IF(CONFIG!$F$25="","",CONFIG!$F$25)</f>
        <v/>
      </c>
      <c r="BA10" s="39">
        <f>IF($AZ10="","",SUMIFS(tblVentas[Unidades efectivas],tblVentas[Canal],$AZ10))</f>
        <v/>
      </c>
      <c r="BB10" s="37">
        <f>IF($AZ10="","",SUMIFS(tblVentas[Venta neta],tblVentas[Canal],$AZ10))</f>
        <v/>
      </c>
      <c r="BC10" s="37">
        <f>IF($AZ10="","",SUMIFS(tblVentas[Costo total],tblVentas[Canal],$AZ10))</f>
        <v/>
      </c>
      <c r="BD10" s="37">
        <f>IF($AZ10="","",$BB10-$BC10)</f>
        <v/>
      </c>
      <c r="BE10" s="38">
        <f>IF(OR($AZ10="",$BB10=0),"",$BD10/$BB10)</f>
        <v/>
      </c>
      <c r="BF10" s="38">
        <f>IF(OR($AZ10="",SUM($BB$8:$BB$22)=0),"",$BB10/SUM($BB$8:$BB$22))</f>
        <v/>
      </c>
      <c r="BG10" s="37">
        <f>IF($AZ10="","",SUMIFS(tblGastos[Monto],tblGastos[Categoría],"Publicidad",tblGastos[Canal atribuido],$AZ10))</f>
        <v/>
      </c>
      <c r="BH10" s="60">
        <f>IF(OR($AZ10="",$BG10=0),"",$BB10/$BG10)</f>
        <v/>
      </c>
      <c r="BJ10" s="63" t="inlineStr">
        <is>
          <t>Unidades vendidas</t>
        </is>
      </c>
      <c r="BK10" s="65">
        <f>$E$44</f>
        <v/>
      </c>
      <c r="BL10" s="64" t="inlineStr">
        <is>
          <t>Unidades efectivas (excluye ventas anuladas).</t>
        </is>
      </c>
    </row>
    <row r="11">
      <c r="A11" s="55">
        <f>IF(NOT(ISNUMBER(PAR_FECHA_INICIO)),"",DATE(YEAR(PAR_FECHA_INICIO),MONTH(PAR_FECHA_INICIO)+3,1))</f>
        <v/>
      </c>
      <c r="B11" s="37">
        <f>IF($A11="","",SUMIFS(tblVentas[Venta bruta],tblVentas[Fecha],"&gt;="&amp;$A11,tblVentas[Fecha],"&lt;"&amp;DATE(YEAR($A11),MONTH($A11)+1,1)))</f>
        <v/>
      </c>
      <c r="C11" s="37">
        <f>IF($A11="","",SUMIFS(tblVentas[Descuento],tblVentas[Fecha],"&gt;="&amp;$A11,tblVentas[Fecha],"&lt;"&amp;DATE(YEAR($A11),MONTH($A11)+1,1)))</f>
        <v/>
      </c>
      <c r="D11" s="49">
        <f>IF($A11="","",SUMIFS(tblVentas[Venta neta],tblVentas[Fecha],"&gt;="&amp;$A11,tblVentas[Fecha],"&lt;"&amp;DATE(YEAR($A11),MONTH($A11)+1,1)))</f>
        <v/>
      </c>
      <c r="E11" s="39">
        <f>IF($A11="","",SUMIFS(tblVentas[Unidades efectivas],tblVentas[Fecha],"&gt;="&amp;$A11,tblVentas[Fecha],"&lt;"&amp;DATE(YEAR($A11),MONTH($A11)+1,1)))</f>
        <v/>
      </c>
      <c r="F11" s="37">
        <f>IF($A11="","",SUMIFS(tblVentas[Costo total],tblVentas[Fecha],"&gt;="&amp;$A11,tblVentas[Fecha],"&lt;"&amp;DATE(YEAR($A11),MONTH($A11)+1,1)))</f>
        <v/>
      </c>
      <c r="G11" s="49">
        <f>IF($A11="","",$D11-$F11)</f>
        <v/>
      </c>
      <c r="H11" s="38">
        <f>IF(OR($A11="",$D11=0),"",$G11/$D11)</f>
        <v/>
      </c>
      <c r="I11" s="37">
        <f>IF($A11="","",SUMIFS(tblGastos[Monto],tblGastos[Tipo de gasto],"Fijo",tblGastos[Fecha],"&gt;="&amp;$A11,tblGastos[Fecha],"&lt;"&amp;DATE(YEAR($A11),MONTH($A11)+1,1)))</f>
        <v/>
      </c>
      <c r="J11" s="37">
        <f>IF($A11="","",SUMIFS(tblGastos[Monto],tblGastos[Tipo de gasto],"Variable",tblGastos[Fecha],"&gt;="&amp;$A11,tblGastos[Fecha],"&lt;"&amp;DATE(YEAR($A11),MONTH($A11)+1,1)))</f>
        <v/>
      </c>
      <c r="K11" s="37">
        <f>IF($A11="","",$I11+$J11)</f>
        <v/>
      </c>
      <c r="L11" s="37">
        <f>IF($A11="","",$G11-$K11)</f>
        <v/>
      </c>
      <c r="M11" s="37">
        <f>IF($A11="","",SUMIFS(tblCajaMov[Monto],tblCajaMov[Concepto],"Otro ingreso",tblCajaMov[Fecha],"&gt;="&amp;$A11,tblCajaMov[Fecha],"&lt;"&amp;DATE(YEAR($A11),MONTH($A11)+1,1)))</f>
        <v/>
      </c>
      <c r="N11" s="37">
        <f>IF($A11="","",SUMIFS(tblCajaMov[Monto],tblCajaMov[Concepto],"Otro egreso",tblCajaMov[Fecha],"&gt;="&amp;$A11,tblCajaMov[Fecha],"&lt;"&amp;DATE(YEAR($A11),MONTH($A11)+1,1)))</f>
        <v/>
      </c>
      <c r="O11" s="49">
        <f>IF($A11="","",$L11+$M11-$N11)</f>
        <v/>
      </c>
      <c r="P11" s="38">
        <f>IF(OR($A11="",$D11=0),"",$O11/$D11)</f>
        <v/>
      </c>
      <c r="Q11" s="39">
        <f>IF($A11="","",COUNTIFS(tblVentas[Fecha],"&gt;="&amp;$A11,tblVentas[Fecha],"&lt;"&amp;DATE(YEAR($A11),MONTH($A11)+1,1)))</f>
        <v/>
      </c>
      <c r="R11" s="37">
        <f>IF(OR($A11="",$Q11=0),"",$D11/$Q11)</f>
        <v/>
      </c>
      <c r="S11" s="37">
        <f>IF(OR($A11="",$E11=0),"",$G11/$E11)</f>
        <v/>
      </c>
      <c r="T11" s="37">
        <f>IF($A11="","",SUMIFS(tblGastos[Monto],tblGastos[Categoría],"Publicidad",tblGastos[Fecha],"&gt;="&amp;$A11,tblGastos[Fecha],"&lt;"&amp;DATE(YEAR($A11),MONTH($A11)+1,1)))</f>
        <v/>
      </c>
      <c r="U11" s="60">
        <f>IF(OR($A11="",$T11=0),"",$D11/$T11)</f>
        <v/>
      </c>
      <c r="V11" s="37">
        <f>IF($A11="","",SUMIFS(tblCompras[Costo total de adquisición],tblCompras[Fecha],"&gt;="&amp;$A11,tblCompras[Fecha],"&lt;"&amp;DATE(YEAR($A11),MONTH($A11)+1,1)))</f>
        <v/>
      </c>
      <c r="W11" s="38">
        <f>IF(OR($A11="",($V11+$K11)=0),"",$O11/($V11+$K11))</f>
        <v/>
      </c>
      <c r="X11" s="37">
        <f>IF($A11="","",SUM($D$8:$D11))</f>
        <v/>
      </c>
      <c r="Y11" s="37">
        <f>IF($A11="","",SUM($O$8:$O11))</f>
        <v/>
      </c>
      <c r="AA11" s="51">
        <f>IFERROR(IF(INDEX(tblProductos[SKU],ROW()-7)="","",INDEX(tblProductos[SKU],ROW()-7)),"")</f>
        <v/>
      </c>
      <c r="AB11" s="51">
        <f>IF($AA11="","",IFERROR(IF(INDEX(tblProductos[Nombre del producto],MATCH($AA11,tblProductos[SKU],0))="","",INDEX(tblProductos[Nombre del producto],MATCH($AA11,tblProductos[SKU],0))),"")&amp;IF(IFERROR(IF(INDEX(tblProductos[Presentación],MATCH($AA11,tblProductos[SKU],0))="","",INDEX(tblProductos[Presentación],MATCH($AA11,tblProductos[SKU],0))),"")="",""," · "&amp;IFERROR(IF(INDEX(tblProductos[Presentación],MATCH($AA11,tblProductos[SKU],0))="","",INDEX(tblProductos[Presentación],MATCH($AA11,tblProductos[SKU],0))),"")))</f>
        <v/>
      </c>
      <c r="AC11" s="51">
        <f>IF($AA11="","",IFERROR(IF(INDEX(tblProductos[Categoría],MATCH($AA11,tblProductos[SKU],0))="","",INDEX(tblProductos[Categoría],MATCH($AA11,tblProductos[SKU],0))),""))</f>
        <v/>
      </c>
      <c r="AD11" s="39">
        <f>IF($AA11="","",SUMIFS(tblVentas[Unidades efectivas],tblVentas[SKU],$AA11))</f>
        <v/>
      </c>
      <c r="AE11" s="37">
        <f>IF($AA11="","",SUMIFS(tblVentas[Venta neta],tblVentas[SKU],$AA11))</f>
        <v/>
      </c>
      <c r="AF11" s="37">
        <f>IF($AA11="","",SUMIFS(tblVentas[Costo total],tblVentas[SKU],$AA11))</f>
        <v/>
      </c>
      <c r="AG11" s="37">
        <f>IF($AA11="","",$AE11-$AF11)</f>
        <v/>
      </c>
      <c r="AH11" s="38">
        <f>IF(OR($AA11="",$AE11=0),"",$AG11/$AE11)</f>
        <v/>
      </c>
      <c r="AI11" s="38">
        <f>IF(OR($AA11="",SUM($AE$8:$AE$67)=0),"",$AE11/SUM($AE$8:$AE$67))</f>
        <v/>
      </c>
      <c r="AJ11" s="38">
        <f>IF(OR($AA11="",SUM($AG$8:$AG$67)=0),"",$AG11/SUM($AG$8:$AG$67))</f>
        <v/>
      </c>
      <c r="AK11" s="39">
        <f>IF(OR($AA11="",$AE11=0),"",RANK($AG11,$AG$8:$AG$67))</f>
        <v/>
      </c>
      <c r="AL11" s="39">
        <f>IF(OR($AA11="",$AD11=0),"",RANK($AD11,$AD$8:$AD$67))</f>
        <v/>
      </c>
      <c r="AM11" s="37">
        <f>IF(OR($AA11="",$AD11=0),"",$AG11/$AD11)</f>
        <v/>
      </c>
      <c r="AN11" s="37">
        <f>IF($AA11="","",IFERROR(IF(INDEX(tblProductos[Margen de contribución unitario],MATCH($AA11,tblProductos[SKU],0))="","PENDIENTE",INDEX(tblProductos[Margen de contribución unitario],MATCH($AA11,tblProductos[SKU],0))),"PENDIENTE"))</f>
        <v/>
      </c>
      <c r="AO11" s="60">
        <f>IF(OR($AA11="",NOT(ISNUMBER($AG11))),"",$AG11-ROW()/100000)</f>
        <v/>
      </c>
      <c r="AP11" s="60">
        <f>IF(OR($AA11="",NOT(ISNUMBER($AD11))),"",$AD11-ROW()/100000)</f>
        <v/>
      </c>
      <c r="AR11" s="51">
        <f>IF(CONFIG!$B$26="","",CONFIG!$B$26)</f>
        <v/>
      </c>
      <c r="AS11" s="39">
        <f>IF($AR11="","",SUMIFS(tblVentas[Unidades efectivas],tblVentas[Categoría],$AR11))</f>
        <v/>
      </c>
      <c r="AT11" s="37">
        <f>IF($AR11="","",SUMIFS(tblVentas[Venta neta],tblVentas[Categoría],$AR11))</f>
        <v/>
      </c>
      <c r="AU11" s="37">
        <f>IF($AR11="","",SUMIFS(tblVentas[Costo total],tblVentas[Categoría],$AR11))</f>
        <v/>
      </c>
      <c r="AV11" s="37">
        <f>IF($AR11="","",$AT11-$AU11)</f>
        <v/>
      </c>
      <c r="AW11" s="38">
        <f>IF(OR($AR11="",$AT11=0),"",$AV11/$AT11)</f>
        <v/>
      </c>
      <c r="AX11" s="38">
        <f>IF(OR($AR11="",SUM($AT$8:$AT$22)=0),"",$AT11/SUM($AT$8:$AT$22))</f>
        <v/>
      </c>
      <c r="AZ11" s="51">
        <f>IF(CONFIG!$F$26="","",CONFIG!$F$26)</f>
        <v/>
      </c>
      <c r="BA11" s="39">
        <f>IF($AZ11="","",SUMIFS(tblVentas[Unidades efectivas],tblVentas[Canal],$AZ11))</f>
        <v/>
      </c>
      <c r="BB11" s="37">
        <f>IF($AZ11="","",SUMIFS(tblVentas[Venta neta],tblVentas[Canal],$AZ11))</f>
        <v/>
      </c>
      <c r="BC11" s="37">
        <f>IF($AZ11="","",SUMIFS(tblVentas[Costo total],tblVentas[Canal],$AZ11))</f>
        <v/>
      </c>
      <c r="BD11" s="37">
        <f>IF($AZ11="","",$BB11-$BC11)</f>
        <v/>
      </c>
      <c r="BE11" s="38">
        <f>IF(OR($AZ11="",$BB11=0),"",$BD11/$BB11)</f>
        <v/>
      </c>
      <c r="BF11" s="38">
        <f>IF(OR($AZ11="",SUM($BB$8:$BB$22)=0),"",$BB11/SUM($BB$8:$BB$22))</f>
        <v/>
      </c>
      <c r="BG11" s="37">
        <f>IF($AZ11="","",SUMIFS(tblGastos[Monto],tblGastos[Categoría],"Publicidad",tblGastos[Canal atribuido],$AZ11))</f>
        <v/>
      </c>
      <c r="BH11" s="60">
        <f>IF(OR($AZ11="",$BG11=0),"",$BB11/$BG11)</f>
        <v/>
      </c>
      <c r="BJ11" s="63" t="inlineStr">
        <is>
          <t>Transacciones (líneas de venta)</t>
        </is>
      </c>
      <c r="BK11" s="65">
        <f>$Q$44</f>
        <v/>
      </c>
      <c r="BL11" s="64" t="inlineStr">
        <is>
          <t>Cada fila de la hoja VENTAS cuenta como una transacción.</t>
        </is>
      </c>
    </row>
    <row r="12">
      <c r="A12" s="55">
        <f>IF(NOT(ISNUMBER(PAR_FECHA_INICIO)),"",DATE(YEAR(PAR_FECHA_INICIO),MONTH(PAR_FECHA_INICIO)+4,1))</f>
        <v/>
      </c>
      <c r="B12" s="37">
        <f>IF($A12="","",SUMIFS(tblVentas[Venta bruta],tblVentas[Fecha],"&gt;="&amp;$A12,tblVentas[Fecha],"&lt;"&amp;DATE(YEAR($A12),MONTH($A12)+1,1)))</f>
        <v/>
      </c>
      <c r="C12" s="37">
        <f>IF($A12="","",SUMIFS(tblVentas[Descuento],tblVentas[Fecha],"&gt;="&amp;$A12,tblVentas[Fecha],"&lt;"&amp;DATE(YEAR($A12),MONTH($A12)+1,1)))</f>
        <v/>
      </c>
      <c r="D12" s="49">
        <f>IF($A12="","",SUMIFS(tblVentas[Venta neta],tblVentas[Fecha],"&gt;="&amp;$A12,tblVentas[Fecha],"&lt;"&amp;DATE(YEAR($A12),MONTH($A12)+1,1)))</f>
        <v/>
      </c>
      <c r="E12" s="39">
        <f>IF($A12="","",SUMIFS(tblVentas[Unidades efectivas],tblVentas[Fecha],"&gt;="&amp;$A12,tblVentas[Fecha],"&lt;"&amp;DATE(YEAR($A12),MONTH($A12)+1,1)))</f>
        <v/>
      </c>
      <c r="F12" s="37">
        <f>IF($A12="","",SUMIFS(tblVentas[Costo total],tblVentas[Fecha],"&gt;="&amp;$A12,tblVentas[Fecha],"&lt;"&amp;DATE(YEAR($A12),MONTH($A12)+1,1)))</f>
        <v/>
      </c>
      <c r="G12" s="49">
        <f>IF($A12="","",$D12-$F12)</f>
        <v/>
      </c>
      <c r="H12" s="38">
        <f>IF(OR($A12="",$D12=0),"",$G12/$D12)</f>
        <v/>
      </c>
      <c r="I12" s="37">
        <f>IF($A12="","",SUMIFS(tblGastos[Monto],tblGastos[Tipo de gasto],"Fijo",tblGastos[Fecha],"&gt;="&amp;$A12,tblGastos[Fecha],"&lt;"&amp;DATE(YEAR($A12),MONTH($A12)+1,1)))</f>
        <v/>
      </c>
      <c r="J12" s="37">
        <f>IF($A12="","",SUMIFS(tblGastos[Monto],tblGastos[Tipo de gasto],"Variable",tblGastos[Fecha],"&gt;="&amp;$A12,tblGastos[Fecha],"&lt;"&amp;DATE(YEAR($A12),MONTH($A12)+1,1)))</f>
        <v/>
      </c>
      <c r="K12" s="37">
        <f>IF($A12="","",$I12+$J12)</f>
        <v/>
      </c>
      <c r="L12" s="37">
        <f>IF($A12="","",$G12-$K12)</f>
        <v/>
      </c>
      <c r="M12" s="37">
        <f>IF($A12="","",SUMIFS(tblCajaMov[Monto],tblCajaMov[Concepto],"Otro ingreso",tblCajaMov[Fecha],"&gt;="&amp;$A12,tblCajaMov[Fecha],"&lt;"&amp;DATE(YEAR($A12),MONTH($A12)+1,1)))</f>
        <v/>
      </c>
      <c r="N12" s="37">
        <f>IF($A12="","",SUMIFS(tblCajaMov[Monto],tblCajaMov[Concepto],"Otro egreso",tblCajaMov[Fecha],"&gt;="&amp;$A12,tblCajaMov[Fecha],"&lt;"&amp;DATE(YEAR($A12),MONTH($A12)+1,1)))</f>
        <v/>
      </c>
      <c r="O12" s="49">
        <f>IF($A12="","",$L12+$M12-$N12)</f>
        <v/>
      </c>
      <c r="P12" s="38">
        <f>IF(OR($A12="",$D12=0),"",$O12/$D12)</f>
        <v/>
      </c>
      <c r="Q12" s="39">
        <f>IF($A12="","",COUNTIFS(tblVentas[Fecha],"&gt;="&amp;$A12,tblVentas[Fecha],"&lt;"&amp;DATE(YEAR($A12),MONTH($A12)+1,1)))</f>
        <v/>
      </c>
      <c r="R12" s="37">
        <f>IF(OR($A12="",$Q12=0),"",$D12/$Q12)</f>
        <v/>
      </c>
      <c r="S12" s="37">
        <f>IF(OR($A12="",$E12=0),"",$G12/$E12)</f>
        <v/>
      </c>
      <c r="T12" s="37">
        <f>IF($A12="","",SUMIFS(tblGastos[Monto],tblGastos[Categoría],"Publicidad",tblGastos[Fecha],"&gt;="&amp;$A12,tblGastos[Fecha],"&lt;"&amp;DATE(YEAR($A12),MONTH($A12)+1,1)))</f>
        <v/>
      </c>
      <c r="U12" s="60">
        <f>IF(OR($A12="",$T12=0),"",$D12/$T12)</f>
        <v/>
      </c>
      <c r="V12" s="37">
        <f>IF($A12="","",SUMIFS(tblCompras[Costo total de adquisición],tblCompras[Fecha],"&gt;="&amp;$A12,tblCompras[Fecha],"&lt;"&amp;DATE(YEAR($A12),MONTH($A12)+1,1)))</f>
        <v/>
      </c>
      <c r="W12" s="38">
        <f>IF(OR($A12="",($V12+$K12)=0),"",$O12/($V12+$K12))</f>
        <v/>
      </c>
      <c r="X12" s="37">
        <f>IF($A12="","",SUM($D$8:$D12))</f>
        <v/>
      </c>
      <c r="Y12" s="37">
        <f>IF($A12="","",SUM($O$8:$O12))</f>
        <v/>
      </c>
      <c r="AA12" s="51">
        <f>IFERROR(IF(INDEX(tblProductos[SKU],ROW()-7)="","",INDEX(tblProductos[SKU],ROW()-7)),"")</f>
        <v/>
      </c>
      <c r="AB12" s="51">
        <f>IF($AA12="","",IFERROR(IF(INDEX(tblProductos[Nombre del producto],MATCH($AA12,tblProductos[SKU],0))="","",INDEX(tblProductos[Nombre del producto],MATCH($AA12,tblProductos[SKU],0))),"")&amp;IF(IFERROR(IF(INDEX(tblProductos[Presentación],MATCH($AA12,tblProductos[SKU],0))="","",INDEX(tblProductos[Presentación],MATCH($AA12,tblProductos[SKU],0))),"")="",""," · "&amp;IFERROR(IF(INDEX(tblProductos[Presentación],MATCH($AA12,tblProductos[SKU],0))="","",INDEX(tblProductos[Presentación],MATCH($AA12,tblProductos[SKU],0))),"")))</f>
        <v/>
      </c>
      <c r="AC12" s="51">
        <f>IF($AA12="","",IFERROR(IF(INDEX(tblProductos[Categoría],MATCH($AA12,tblProductos[SKU],0))="","",INDEX(tblProductos[Categoría],MATCH($AA12,tblProductos[SKU],0))),""))</f>
        <v/>
      </c>
      <c r="AD12" s="39">
        <f>IF($AA12="","",SUMIFS(tblVentas[Unidades efectivas],tblVentas[SKU],$AA12))</f>
        <v/>
      </c>
      <c r="AE12" s="37">
        <f>IF($AA12="","",SUMIFS(tblVentas[Venta neta],tblVentas[SKU],$AA12))</f>
        <v/>
      </c>
      <c r="AF12" s="37">
        <f>IF($AA12="","",SUMIFS(tblVentas[Costo total],tblVentas[SKU],$AA12))</f>
        <v/>
      </c>
      <c r="AG12" s="37">
        <f>IF($AA12="","",$AE12-$AF12)</f>
        <v/>
      </c>
      <c r="AH12" s="38">
        <f>IF(OR($AA12="",$AE12=0),"",$AG12/$AE12)</f>
        <v/>
      </c>
      <c r="AI12" s="38">
        <f>IF(OR($AA12="",SUM($AE$8:$AE$67)=0),"",$AE12/SUM($AE$8:$AE$67))</f>
        <v/>
      </c>
      <c r="AJ12" s="38">
        <f>IF(OR($AA12="",SUM($AG$8:$AG$67)=0),"",$AG12/SUM($AG$8:$AG$67))</f>
        <v/>
      </c>
      <c r="AK12" s="39">
        <f>IF(OR($AA12="",$AE12=0),"",RANK($AG12,$AG$8:$AG$67))</f>
        <v/>
      </c>
      <c r="AL12" s="39">
        <f>IF(OR($AA12="",$AD12=0),"",RANK($AD12,$AD$8:$AD$67))</f>
        <v/>
      </c>
      <c r="AM12" s="37">
        <f>IF(OR($AA12="",$AD12=0),"",$AG12/$AD12)</f>
        <v/>
      </c>
      <c r="AN12" s="37">
        <f>IF($AA12="","",IFERROR(IF(INDEX(tblProductos[Margen de contribución unitario],MATCH($AA12,tblProductos[SKU],0))="","PENDIENTE",INDEX(tblProductos[Margen de contribución unitario],MATCH($AA12,tblProductos[SKU],0))),"PENDIENTE"))</f>
        <v/>
      </c>
      <c r="AO12" s="60">
        <f>IF(OR($AA12="",NOT(ISNUMBER($AG12))),"",$AG12-ROW()/100000)</f>
        <v/>
      </c>
      <c r="AP12" s="60">
        <f>IF(OR($AA12="",NOT(ISNUMBER($AD12))),"",$AD12-ROW()/100000)</f>
        <v/>
      </c>
      <c r="AR12" s="51">
        <f>IF(CONFIG!$B$27="","",CONFIG!$B$27)</f>
        <v/>
      </c>
      <c r="AS12" s="39">
        <f>IF($AR12="","",SUMIFS(tblVentas[Unidades efectivas],tblVentas[Categoría],$AR12))</f>
        <v/>
      </c>
      <c r="AT12" s="37">
        <f>IF($AR12="","",SUMIFS(tblVentas[Venta neta],tblVentas[Categoría],$AR12))</f>
        <v/>
      </c>
      <c r="AU12" s="37">
        <f>IF($AR12="","",SUMIFS(tblVentas[Costo total],tblVentas[Categoría],$AR12))</f>
        <v/>
      </c>
      <c r="AV12" s="37">
        <f>IF($AR12="","",$AT12-$AU12)</f>
        <v/>
      </c>
      <c r="AW12" s="38">
        <f>IF(OR($AR12="",$AT12=0),"",$AV12/$AT12)</f>
        <v/>
      </c>
      <c r="AX12" s="38">
        <f>IF(OR($AR12="",SUM($AT$8:$AT$22)=0),"",$AT12/SUM($AT$8:$AT$22))</f>
        <v/>
      </c>
      <c r="AZ12" s="51">
        <f>IF(CONFIG!$F$27="","",CONFIG!$F$27)</f>
        <v/>
      </c>
      <c r="BA12" s="39">
        <f>IF($AZ12="","",SUMIFS(tblVentas[Unidades efectivas],tblVentas[Canal],$AZ12))</f>
        <v/>
      </c>
      <c r="BB12" s="37">
        <f>IF($AZ12="","",SUMIFS(tblVentas[Venta neta],tblVentas[Canal],$AZ12))</f>
        <v/>
      </c>
      <c r="BC12" s="37">
        <f>IF($AZ12="","",SUMIFS(tblVentas[Costo total],tblVentas[Canal],$AZ12))</f>
        <v/>
      </c>
      <c r="BD12" s="37">
        <f>IF($AZ12="","",$BB12-$BC12)</f>
        <v/>
      </c>
      <c r="BE12" s="38">
        <f>IF(OR($AZ12="",$BB12=0),"",$BD12/$BB12)</f>
        <v/>
      </c>
      <c r="BF12" s="38">
        <f>IF(OR($AZ12="",SUM($BB$8:$BB$22)=0),"",$BB12/SUM($BB$8:$BB$22))</f>
        <v/>
      </c>
      <c r="BG12" s="37">
        <f>IF($AZ12="","",SUMIFS(tblGastos[Monto],tblGastos[Categoría],"Publicidad",tblGastos[Canal atribuido],$AZ12))</f>
        <v/>
      </c>
      <c r="BH12" s="60">
        <f>IF(OR($AZ12="",$BG12=0),"",$BB12/$BG12)</f>
        <v/>
      </c>
      <c r="BJ12" s="63" t="inlineStr">
        <is>
          <t>Ticket promedio</t>
        </is>
      </c>
      <c r="BK12" s="49">
        <f>$R$44</f>
        <v/>
      </c>
      <c r="BL12" s="64" t="inlineStr">
        <is>
          <t>Ventas netas ÷ número de líneas de venta.</t>
        </is>
      </c>
    </row>
    <row r="13">
      <c r="A13" s="55">
        <f>IF(NOT(ISNUMBER(PAR_FECHA_INICIO)),"",DATE(YEAR(PAR_FECHA_INICIO),MONTH(PAR_FECHA_INICIO)+5,1))</f>
        <v/>
      </c>
      <c r="B13" s="37">
        <f>IF($A13="","",SUMIFS(tblVentas[Venta bruta],tblVentas[Fecha],"&gt;="&amp;$A13,tblVentas[Fecha],"&lt;"&amp;DATE(YEAR($A13),MONTH($A13)+1,1)))</f>
        <v/>
      </c>
      <c r="C13" s="37">
        <f>IF($A13="","",SUMIFS(tblVentas[Descuento],tblVentas[Fecha],"&gt;="&amp;$A13,tblVentas[Fecha],"&lt;"&amp;DATE(YEAR($A13),MONTH($A13)+1,1)))</f>
        <v/>
      </c>
      <c r="D13" s="49">
        <f>IF($A13="","",SUMIFS(tblVentas[Venta neta],tblVentas[Fecha],"&gt;="&amp;$A13,tblVentas[Fecha],"&lt;"&amp;DATE(YEAR($A13),MONTH($A13)+1,1)))</f>
        <v/>
      </c>
      <c r="E13" s="39">
        <f>IF($A13="","",SUMIFS(tblVentas[Unidades efectivas],tblVentas[Fecha],"&gt;="&amp;$A13,tblVentas[Fecha],"&lt;"&amp;DATE(YEAR($A13),MONTH($A13)+1,1)))</f>
        <v/>
      </c>
      <c r="F13" s="37">
        <f>IF($A13="","",SUMIFS(tblVentas[Costo total],tblVentas[Fecha],"&gt;="&amp;$A13,tblVentas[Fecha],"&lt;"&amp;DATE(YEAR($A13),MONTH($A13)+1,1)))</f>
        <v/>
      </c>
      <c r="G13" s="49">
        <f>IF($A13="","",$D13-$F13)</f>
        <v/>
      </c>
      <c r="H13" s="38">
        <f>IF(OR($A13="",$D13=0),"",$G13/$D13)</f>
        <v/>
      </c>
      <c r="I13" s="37">
        <f>IF($A13="","",SUMIFS(tblGastos[Monto],tblGastos[Tipo de gasto],"Fijo",tblGastos[Fecha],"&gt;="&amp;$A13,tblGastos[Fecha],"&lt;"&amp;DATE(YEAR($A13),MONTH($A13)+1,1)))</f>
        <v/>
      </c>
      <c r="J13" s="37">
        <f>IF($A13="","",SUMIFS(tblGastos[Monto],tblGastos[Tipo de gasto],"Variable",tblGastos[Fecha],"&gt;="&amp;$A13,tblGastos[Fecha],"&lt;"&amp;DATE(YEAR($A13),MONTH($A13)+1,1)))</f>
        <v/>
      </c>
      <c r="K13" s="37">
        <f>IF($A13="","",$I13+$J13)</f>
        <v/>
      </c>
      <c r="L13" s="37">
        <f>IF($A13="","",$G13-$K13)</f>
        <v/>
      </c>
      <c r="M13" s="37">
        <f>IF($A13="","",SUMIFS(tblCajaMov[Monto],tblCajaMov[Concepto],"Otro ingreso",tblCajaMov[Fecha],"&gt;="&amp;$A13,tblCajaMov[Fecha],"&lt;"&amp;DATE(YEAR($A13),MONTH($A13)+1,1)))</f>
        <v/>
      </c>
      <c r="N13" s="37">
        <f>IF($A13="","",SUMIFS(tblCajaMov[Monto],tblCajaMov[Concepto],"Otro egreso",tblCajaMov[Fecha],"&gt;="&amp;$A13,tblCajaMov[Fecha],"&lt;"&amp;DATE(YEAR($A13),MONTH($A13)+1,1)))</f>
        <v/>
      </c>
      <c r="O13" s="49">
        <f>IF($A13="","",$L13+$M13-$N13)</f>
        <v/>
      </c>
      <c r="P13" s="38">
        <f>IF(OR($A13="",$D13=0),"",$O13/$D13)</f>
        <v/>
      </c>
      <c r="Q13" s="39">
        <f>IF($A13="","",COUNTIFS(tblVentas[Fecha],"&gt;="&amp;$A13,tblVentas[Fecha],"&lt;"&amp;DATE(YEAR($A13),MONTH($A13)+1,1)))</f>
        <v/>
      </c>
      <c r="R13" s="37">
        <f>IF(OR($A13="",$Q13=0),"",$D13/$Q13)</f>
        <v/>
      </c>
      <c r="S13" s="37">
        <f>IF(OR($A13="",$E13=0),"",$G13/$E13)</f>
        <v/>
      </c>
      <c r="T13" s="37">
        <f>IF($A13="","",SUMIFS(tblGastos[Monto],tblGastos[Categoría],"Publicidad",tblGastos[Fecha],"&gt;="&amp;$A13,tblGastos[Fecha],"&lt;"&amp;DATE(YEAR($A13),MONTH($A13)+1,1)))</f>
        <v/>
      </c>
      <c r="U13" s="60">
        <f>IF(OR($A13="",$T13=0),"",$D13/$T13)</f>
        <v/>
      </c>
      <c r="V13" s="37">
        <f>IF($A13="","",SUMIFS(tblCompras[Costo total de adquisición],tblCompras[Fecha],"&gt;="&amp;$A13,tblCompras[Fecha],"&lt;"&amp;DATE(YEAR($A13),MONTH($A13)+1,1)))</f>
        <v/>
      </c>
      <c r="W13" s="38">
        <f>IF(OR($A13="",($V13+$K13)=0),"",$O13/($V13+$K13))</f>
        <v/>
      </c>
      <c r="X13" s="37">
        <f>IF($A13="","",SUM($D$8:$D13))</f>
        <v/>
      </c>
      <c r="Y13" s="37">
        <f>IF($A13="","",SUM($O$8:$O13))</f>
        <v/>
      </c>
      <c r="AA13" s="51">
        <f>IFERROR(IF(INDEX(tblProductos[SKU],ROW()-7)="","",INDEX(tblProductos[SKU],ROW()-7)),"")</f>
        <v/>
      </c>
      <c r="AB13" s="51">
        <f>IF($AA13="","",IFERROR(IF(INDEX(tblProductos[Nombre del producto],MATCH($AA13,tblProductos[SKU],0))="","",INDEX(tblProductos[Nombre del producto],MATCH($AA13,tblProductos[SKU],0))),"")&amp;IF(IFERROR(IF(INDEX(tblProductos[Presentación],MATCH($AA13,tblProductos[SKU],0))="","",INDEX(tblProductos[Presentación],MATCH($AA13,tblProductos[SKU],0))),"")="",""," · "&amp;IFERROR(IF(INDEX(tblProductos[Presentación],MATCH($AA13,tblProductos[SKU],0))="","",INDEX(tblProductos[Presentación],MATCH($AA13,tblProductos[SKU],0))),"")))</f>
        <v/>
      </c>
      <c r="AC13" s="51">
        <f>IF($AA13="","",IFERROR(IF(INDEX(tblProductos[Categoría],MATCH($AA13,tblProductos[SKU],0))="","",INDEX(tblProductos[Categoría],MATCH($AA13,tblProductos[SKU],0))),""))</f>
        <v/>
      </c>
      <c r="AD13" s="39">
        <f>IF($AA13="","",SUMIFS(tblVentas[Unidades efectivas],tblVentas[SKU],$AA13))</f>
        <v/>
      </c>
      <c r="AE13" s="37">
        <f>IF($AA13="","",SUMIFS(tblVentas[Venta neta],tblVentas[SKU],$AA13))</f>
        <v/>
      </c>
      <c r="AF13" s="37">
        <f>IF($AA13="","",SUMIFS(tblVentas[Costo total],tblVentas[SKU],$AA13))</f>
        <v/>
      </c>
      <c r="AG13" s="37">
        <f>IF($AA13="","",$AE13-$AF13)</f>
        <v/>
      </c>
      <c r="AH13" s="38">
        <f>IF(OR($AA13="",$AE13=0),"",$AG13/$AE13)</f>
        <v/>
      </c>
      <c r="AI13" s="38">
        <f>IF(OR($AA13="",SUM($AE$8:$AE$67)=0),"",$AE13/SUM($AE$8:$AE$67))</f>
        <v/>
      </c>
      <c r="AJ13" s="38">
        <f>IF(OR($AA13="",SUM($AG$8:$AG$67)=0),"",$AG13/SUM($AG$8:$AG$67))</f>
        <v/>
      </c>
      <c r="AK13" s="39">
        <f>IF(OR($AA13="",$AE13=0),"",RANK($AG13,$AG$8:$AG$67))</f>
        <v/>
      </c>
      <c r="AL13" s="39">
        <f>IF(OR($AA13="",$AD13=0),"",RANK($AD13,$AD$8:$AD$67))</f>
        <v/>
      </c>
      <c r="AM13" s="37">
        <f>IF(OR($AA13="",$AD13=0),"",$AG13/$AD13)</f>
        <v/>
      </c>
      <c r="AN13" s="37">
        <f>IF($AA13="","",IFERROR(IF(INDEX(tblProductos[Margen de contribución unitario],MATCH($AA13,tblProductos[SKU],0))="","PENDIENTE",INDEX(tblProductos[Margen de contribución unitario],MATCH($AA13,tblProductos[SKU],0))),"PENDIENTE"))</f>
        <v/>
      </c>
      <c r="AO13" s="60">
        <f>IF(OR($AA13="",NOT(ISNUMBER($AG13))),"",$AG13-ROW()/100000)</f>
        <v/>
      </c>
      <c r="AP13" s="60">
        <f>IF(OR($AA13="",NOT(ISNUMBER($AD13))),"",$AD13-ROW()/100000)</f>
        <v/>
      </c>
      <c r="AR13" s="51">
        <f>IF(CONFIG!$B$28="","",CONFIG!$B$28)</f>
        <v/>
      </c>
      <c r="AS13" s="39">
        <f>IF($AR13="","",SUMIFS(tblVentas[Unidades efectivas],tblVentas[Categoría],$AR13))</f>
        <v/>
      </c>
      <c r="AT13" s="37">
        <f>IF($AR13="","",SUMIFS(tblVentas[Venta neta],tblVentas[Categoría],$AR13))</f>
        <v/>
      </c>
      <c r="AU13" s="37">
        <f>IF($AR13="","",SUMIFS(tblVentas[Costo total],tblVentas[Categoría],$AR13))</f>
        <v/>
      </c>
      <c r="AV13" s="37">
        <f>IF($AR13="","",$AT13-$AU13)</f>
        <v/>
      </c>
      <c r="AW13" s="38">
        <f>IF(OR($AR13="",$AT13=0),"",$AV13/$AT13)</f>
        <v/>
      </c>
      <c r="AX13" s="38">
        <f>IF(OR($AR13="",SUM($AT$8:$AT$22)=0),"",$AT13/SUM($AT$8:$AT$22))</f>
        <v/>
      </c>
      <c r="AZ13" s="51">
        <f>IF(CONFIG!$F$28="","",CONFIG!$F$28)</f>
        <v/>
      </c>
      <c r="BA13" s="39">
        <f>IF($AZ13="","",SUMIFS(tblVentas[Unidades efectivas],tblVentas[Canal],$AZ13))</f>
        <v/>
      </c>
      <c r="BB13" s="37">
        <f>IF($AZ13="","",SUMIFS(tblVentas[Venta neta],tblVentas[Canal],$AZ13))</f>
        <v/>
      </c>
      <c r="BC13" s="37">
        <f>IF($AZ13="","",SUMIFS(tblVentas[Costo total],tblVentas[Canal],$AZ13))</f>
        <v/>
      </c>
      <c r="BD13" s="37">
        <f>IF($AZ13="","",$BB13-$BC13)</f>
        <v/>
      </c>
      <c r="BE13" s="38">
        <f>IF(OR($AZ13="",$BB13=0),"",$BD13/$BB13)</f>
        <v/>
      </c>
      <c r="BF13" s="38">
        <f>IF(OR($AZ13="",SUM($BB$8:$BB$22)=0),"",$BB13/SUM($BB$8:$BB$22))</f>
        <v/>
      </c>
      <c r="BG13" s="37">
        <f>IF($AZ13="","",SUMIFS(tblGastos[Monto],tblGastos[Categoría],"Publicidad",tblGastos[Canal atribuido],$AZ13))</f>
        <v/>
      </c>
      <c r="BH13" s="60">
        <f>IF(OR($AZ13="",$BG13=0),"",$BB13/$BG13)</f>
        <v/>
      </c>
      <c r="BJ13" s="61" t="inlineStr">
        <is>
          <t>RENTABILIDAD</t>
        </is>
      </c>
      <c r="BK13" s="62" t="n"/>
      <c r="BL13" s="62" t="n"/>
    </row>
    <row r="14">
      <c r="A14" s="55">
        <f>IF(NOT(ISNUMBER(PAR_FECHA_INICIO)),"",DATE(YEAR(PAR_FECHA_INICIO),MONTH(PAR_FECHA_INICIO)+6,1))</f>
        <v/>
      </c>
      <c r="B14" s="37">
        <f>IF($A14="","",SUMIFS(tblVentas[Venta bruta],tblVentas[Fecha],"&gt;="&amp;$A14,tblVentas[Fecha],"&lt;"&amp;DATE(YEAR($A14),MONTH($A14)+1,1)))</f>
        <v/>
      </c>
      <c r="C14" s="37">
        <f>IF($A14="","",SUMIFS(tblVentas[Descuento],tblVentas[Fecha],"&gt;="&amp;$A14,tblVentas[Fecha],"&lt;"&amp;DATE(YEAR($A14),MONTH($A14)+1,1)))</f>
        <v/>
      </c>
      <c r="D14" s="49">
        <f>IF($A14="","",SUMIFS(tblVentas[Venta neta],tblVentas[Fecha],"&gt;="&amp;$A14,tblVentas[Fecha],"&lt;"&amp;DATE(YEAR($A14),MONTH($A14)+1,1)))</f>
        <v/>
      </c>
      <c r="E14" s="39">
        <f>IF($A14="","",SUMIFS(tblVentas[Unidades efectivas],tblVentas[Fecha],"&gt;="&amp;$A14,tblVentas[Fecha],"&lt;"&amp;DATE(YEAR($A14),MONTH($A14)+1,1)))</f>
        <v/>
      </c>
      <c r="F14" s="37">
        <f>IF($A14="","",SUMIFS(tblVentas[Costo total],tblVentas[Fecha],"&gt;="&amp;$A14,tblVentas[Fecha],"&lt;"&amp;DATE(YEAR($A14),MONTH($A14)+1,1)))</f>
        <v/>
      </c>
      <c r="G14" s="49">
        <f>IF($A14="","",$D14-$F14)</f>
        <v/>
      </c>
      <c r="H14" s="38">
        <f>IF(OR($A14="",$D14=0),"",$G14/$D14)</f>
        <v/>
      </c>
      <c r="I14" s="37">
        <f>IF($A14="","",SUMIFS(tblGastos[Monto],tblGastos[Tipo de gasto],"Fijo",tblGastos[Fecha],"&gt;="&amp;$A14,tblGastos[Fecha],"&lt;"&amp;DATE(YEAR($A14),MONTH($A14)+1,1)))</f>
        <v/>
      </c>
      <c r="J14" s="37">
        <f>IF($A14="","",SUMIFS(tblGastos[Monto],tblGastos[Tipo de gasto],"Variable",tblGastos[Fecha],"&gt;="&amp;$A14,tblGastos[Fecha],"&lt;"&amp;DATE(YEAR($A14),MONTH($A14)+1,1)))</f>
        <v/>
      </c>
      <c r="K14" s="37">
        <f>IF($A14="","",$I14+$J14)</f>
        <v/>
      </c>
      <c r="L14" s="37">
        <f>IF($A14="","",$G14-$K14)</f>
        <v/>
      </c>
      <c r="M14" s="37">
        <f>IF($A14="","",SUMIFS(tblCajaMov[Monto],tblCajaMov[Concepto],"Otro ingreso",tblCajaMov[Fecha],"&gt;="&amp;$A14,tblCajaMov[Fecha],"&lt;"&amp;DATE(YEAR($A14),MONTH($A14)+1,1)))</f>
        <v/>
      </c>
      <c r="N14" s="37">
        <f>IF($A14="","",SUMIFS(tblCajaMov[Monto],tblCajaMov[Concepto],"Otro egreso",tblCajaMov[Fecha],"&gt;="&amp;$A14,tblCajaMov[Fecha],"&lt;"&amp;DATE(YEAR($A14),MONTH($A14)+1,1)))</f>
        <v/>
      </c>
      <c r="O14" s="49">
        <f>IF($A14="","",$L14+$M14-$N14)</f>
        <v/>
      </c>
      <c r="P14" s="38">
        <f>IF(OR($A14="",$D14=0),"",$O14/$D14)</f>
        <v/>
      </c>
      <c r="Q14" s="39">
        <f>IF($A14="","",COUNTIFS(tblVentas[Fecha],"&gt;="&amp;$A14,tblVentas[Fecha],"&lt;"&amp;DATE(YEAR($A14),MONTH($A14)+1,1)))</f>
        <v/>
      </c>
      <c r="R14" s="37">
        <f>IF(OR($A14="",$Q14=0),"",$D14/$Q14)</f>
        <v/>
      </c>
      <c r="S14" s="37">
        <f>IF(OR($A14="",$E14=0),"",$G14/$E14)</f>
        <v/>
      </c>
      <c r="T14" s="37">
        <f>IF($A14="","",SUMIFS(tblGastos[Monto],tblGastos[Categoría],"Publicidad",tblGastos[Fecha],"&gt;="&amp;$A14,tblGastos[Fecha],"&lt;"&amp;DATE(YEAR($A14),MONTH($A14)+1,1)))</f>
        <v/>
      </c>
      <c r="U14" s="60">
        <f>IF(OR($A14="",$T14=0),"",$D14/$T14)</f>
        <v/>
      </c>
      <c r="V14" s="37">
        <f>IF($A14="","",SUMIFS(tblCompras[Costo total de adquisición],tblCompras[Fecha],"&gt;="&amp;$A14,tblCompras[Fecha],"&lt;"&amp;DATE(YEAR($A14),MONTH($A14)+1,1)))</f>
        <v/>
      </c>
      <c r="W14" s="38">
        <f>IF(OR($A14="",($V14+$K14)=0),"",$O14/($V14+$K14))</f>
        <v/>
      </c>
      <c r="X14" s="37">
        <f>IF($A14="","",SUM($D$8:$D14))</f>
        <v/>
      </c>
      <c r="Y14" s="37">
        <f>IF($A14="","",SUM($O$8:$O14))</f>
        <v/>
      </c>
      <c r="AA14" s="51">
        <f>IFERROR(IF(INDEX(tblProductos[SKU],ROW()-7)="","",INDEX(tblProductos[SKU],ROW()-7)),"")</f>
        <v/>
      </c>
      <c r="AB14" s="51">
        <f>IF($AA14="","",IFERROR(IF(INDEX(tblProductos[Nombre del producto],MATCH($AA14,tblProductos[SKU],0))="","",INDEX(tblProductos[Nombre del producto],MATCH($AA14,tblProductos[SKU],0))),"")&amp;IF(IFERROR(IF(INDEX(tblProductos[Presentación],MATCH($AA14,tblProductos[SKU],0))="","",INDEX(tblProductos[Presentación],MATCH($AA14,tblProductos[SKU],0))),"")="",""," · "&amp;IFERROR(IF(INDEX(tblProductos[Presentación],MATCH($AA14,tblProductos[SKU],0))="","",INDEX(tblProductos[Presentación],MATCH($AA14,tblProductos[SKU],0))),"")))</f>
        <v/>
      </c>
      <c r="AC14" s="51">
        <f>IF($AA14="","",IFERROR(IF(INDEX(tblProductos[Categoría],MATCH($AA14,tblProductos[SKU],0))="","",INDEX(tblProductos[Categoría],MATCH($AA14,tblProductos[SKU],0))),""))</f>
        <v/>
      </c>
      <c r="AD14" s="39">
        <f>IF($AA14="","",SUMIFS(tblVentas[Unidades efectivas],tblVentas[SKU],$AA14))</f>
        <v/>
      </c>
      <c r="AE14" s="37">
        <f>IF($AA14="","",SUMIFS(tblVentas[Venta neta],tblVentas[SKU],$AA14))</f>
        <v/>
      </c>
      <c r="AF14" s="37">
        <f>IF($AA14="","",SUMIFS(tblVentas[Costo total],tblVentas[SKU],$AA14))</f>
        <v/>
      </c>
      <c r="AG14" s="37">
        <f>IF($AA14="","",$AE14-$AF14)</f>
        <v/>
      </c>
      <c r="AH14" s="38">
        <f>IF(OR($AA14="",$AE14=0),"",$AG14/$AE14)</f>
        <v/>
      </c>
      <c r="AI14" s="38">
        <f>IF(OR($AA14="",SUM($AE$8:$AE$67)=0),"",$AE14/SUM($AE$8:$AE$67))</f>
        <v/>
      </c>
      <c r="AJ14" s="38">
        <f>IF(OR($AA14="",SUM($AG$8:$AG$67)=0),"",$AG14/SUM($AG$8:$AG$67))</f>
        <v/>
      </c>
      <c r="AK14" s="39">
        <f>IF(OR($AA14="",$AE14=0),"",RANK($AG14,$AG$8:$AG$67))</f>
        <v/>
      </c>
      <c r="AL14" s="39">
        <f>IF(OR($AA14="",$AD14=0),"",RANK($AD14,$AD$8:$AD$67))</f>
        <v/>
      </c>
      <c r="AM14" s="37">
        <f>IF(OR($AA14="",$AD14=0),"",$AG14/$AD14)</f>
        <v/>
      </c>
      <c r="AN14" s="37">
        <f>IF($AA14="","",IFERROR(IF(INDEX(tblProductos[Margen de contribución unitario],MATCH($AA14,tblProductos[SKU],0))="","PENDIENTE",INDEX(tblProductos[Margen de contribución unitario],MATCH($AA14,tblProductos[SKU],0))),"PENDIENTE"))</f>
        <v/>
      </c>
      <c r="AO14" s="60">
        <f>IF(OR($AA14="",NOT(ISNUMBER($AG14))),"",$AG14-ROW()/100000)</f>
        <v/>
      </c>
      <c r="AP14" s="60">
        <f>IF(OR($AA14="",NOT(ISNUMBER($AD14))),"",$AD14-ROW()/100000)</f>
        <v/>
      </c>
      <c r="AR14" s="51">
        <f>IF(CONFIG!$B$29="","",CONFIG!$B$29)</f>
        <v/>
      </c>
      <c r="AS14" s="39">
        <f>IF($AR14="","",SUMIFS(tblVentas[Unidades efectivas],tblVentas[Categoría],$AR14))</f>
        <v/>
      </c>
      <c r="AT14" s="37">
        <f>IF($AR14="","",SUMIFS(tblVentas[Venta neta],tblVentas[Categoría],$AR14))</f>
        <v/>
      </c>
      <c r="AU14" s="37">
        <f>IF($AR14="","",SUMIFS(tblVentas[Costo total],tblVentas[Categoría],$AR14))</f>
        <v/>
      </c>
      <c r="AV14" s="37">
        <f>IF($AR14="","",$AT14-$AU14)</f>
        <v/>
      </c>
      <c r="AW14" s="38">
        <f>IF(OR($AR14="",$AT14=0),"",$AV14/$AT14)</f>
        <v/>
      </c>
      <c r="AX14" s="38">
        <f>IF(OR($AR14="",SUM($AT$8:$AT$22)=0),"",$AT14/SUM($AT$8:$AT$22))</f>
        <v/>
      </c>
      <c r="AZ14" s="51">
        <f>IF(CONFIG!$F$29="","",CONFIG!$F$29)</f>
        <v/>
      </c>
      <c r="BA14" s="39">
        <f>IF($AZ14="","",SUMIFS(tblVentas[Unidades efectivas],tblVentas[Canal],$AZ14))</f>
        <v/>
      </c>
      <c r="BB14" s="37">
        <f>IF($AZ14="","",SUMIFS(tblVentas[Venta neta],tblVentas[Canal],$AZ14))</f>
        <v/>
      </c>
      <c r="BC14" s="37">
        <f>IF($AZ14="","",SUMIFS(tblVentas[Costo total],tblVentas[Canal],$AZ14))</f>
        <v/>
      </c>
      <c r="BD14" s="37">
        <f>IF($AZ14="","",$BB14-$BC14)</f>
        <v/>
      </c>
      <c r="BE14" s="38">
        <f>IF(OR($AZ14="",$BB14=0),"",$BD14/$BB14)</f>
        <v/>
      </c>
      <c r="BF14" s="38">
        <f>IF(OR($AZ14="",SUM($BB$8:$BB$22)=0),"",$BB14/SUM($BB$8:$BB$22))</f>
        <v/>
      </c>
      <c r="BG14" s="37">
        <f>IF($AZ14="","",SUMIFS(tblGastos[Monto],tblGastos[Categoría],"Publicidad",tblGastos[Canal atribuido],$AZ14))</f>
        <v/>
      </c>
      <c r="BH14" s="60">
        <f>IF(OR($AZ14="",$BG14=0),"",$BB14/$BG14)</f>
        <v/>
      </c>
      <c r="BJ14" s="63" t="inlineStr">
        <is>
          <t>Costo de ventas acumulado</t>
        </is>
      </c>
      <c r="BK14" s="49">
        <f>$F$44</f>
        <v/>
      </c>
      <c r="BL14" s="64" t="inlineStr">
        <is>
          <t>Costo de la mercadería efectivamente vendida (no lo comprado).</t>
        </is>
      </c>
    </row>
    <row r="15">
      <c r="A15" s="55">
        <f>IF(NOT(ISNUMBER(PAR_FECHA_INICIO)),"",DATE(YEAR(PAR_FECHA_INICIO),MONTH(PAR_FECHA_INICIO)+7,1))</f>
        <v/>
      </c>
      <c r="B15" s="37">
        <f>IF($A15="","",SUMIFS(tblVentas[Venta bruta],tblVentas[Fecha],"&gt;="&amp;$A15,tblVentas[Fecha],"&lt;"&amp;DATE(YEAR($A15),MONTH($A15)+1,1)))</f>
        <v/>
      </c>
      <c r="C15" s="37">
        <f>IF($A15="","",SUMIFS(tblVentas[Descuento],tblVentas[Fecha],"&gt;="&amp;$A15,tblVentas[Fecha],"&lt;"&amp;DATE(YEAR($A15),MONTH($A15)+1,1)))</f>
        <v/>
      </c>
      <c r="D15" s="49">
        <f>IF($A15="","",SUMIFS(tblVentas[Venta neta],tblVentas[Fecha],"&gt;="&amp;$A15,tblVentas[Fecha],"&lt;"&amp;DATE(YEAR($A15),MONTH($A15)+1,1)))</f>
        <v/>
      </c>
      <c r="E15" s="39">
        <f>IF($A15="","",SUMIFS(tblVentas[Unidades efectivas],tblVentas[Fecha],"&gt;="&amp;$A15,tblVentas[Fecha],"&lt;"&amp;DATE(YEAR($A15),MONTH($A15)+1,1)))</f>
        <v/>
      </c>
      <c r="F15" s="37">
        <f>IF($A15="","",SUMIFS(tblVentas[Costo total],tblVentas[Fecha],"&gt;="&amp;$A15,tblVentas[Fecha],"&lt;"&amp;DATE(YEAR($A15),MONTH($A15)+1,1)))</f>
        <v/>
      </c>
      <c r="G15" s="49">
        <f>IF($A15="","",$D15-$F15)</f>
        <v/>
      </c>
      <c r="H15" s="38">
        <f>IF(OR($A15="",$D15=0),"",$G15/$D15)</f>
        <v/>
      </c>
      <c r="I15" s="37">
        <f>IF($A15="","",SUMIFS(tblGastos[Monto],tblGastos[Tipo de gasto],"Fijo",tblGastos[Fecha],"&gt;="&amp;$A15,tblGastos[Fecha],"&lt;"&amp;DATE(YEAR($A15),MONTH($A15)+1,1)))</f>
        <v/>
      </c>
      <c r="J15" s="37">
        <f>IF($A15="","",SUMIFS(tblGastos[Monto],tblGastos[Tipo de gasto],"Variable",tblGastos[Fecha],"&gt;="&amp;$A15,tblGastos[Fecha],"&lt;"&amp;DATE(YEAR($A15),MONTH($A15)+1,1)))</f>
        <v/>
      </c>
      <c r="K15" s="37">
        <f>IF($A15="","",$I15+$J15)</f>
        <v/>
      </c>
      <c r="L15" s="37">
        <f>IF($A15="","",$G15-$K15)</f>
        <v/>
      </c>
      <c r="M15" s="37">
        <f>IF($A15="","",SUMIFS(tblCajaMov[Monto],tblCajaMov[Concepto],"Otro ingreso",tblCajaMov[Fecha],"&gt;="&amp;$A15,tblCajaMov[Fecha],"&lt;"&amp;DATE(YEAR($A15),MONTH($A15)+1,1)))</f>
        <v/>
      </c>
      <c r="N15" s="37">
        <f>IF($A15="","",SUMIFS(tblCajaMov[Monto],tblCajaMov[Concepto],"Otro egreso",tblCajaMov[Fecha],"&gt;="&amp;$A15,tblCajaMov[Fecha],"&lt;"&amp;DATE(YEAR($A15),MONTH($A15)+1,1)))</f>
        <v/>
      </c>
      <c r="O15" s="49">
        <f>IF($A15="","",$L15+$M15-$N15)</f>
        <v/>
      </c>
      <c r="P15" s="38">
        <f>IF(OR($A15="",$D15=0),"",$O15/$D15)</f>
        <v/>
      </c>
      <c r="Q15" s="39">
        <f>IF($A15="","",COUNTIFS(tblVentas[Fecha],"&gt;="&amp;$A15,tblVentas[Fecha],"&lt;"&amp;DATE(YEAR($A15),MONTH($A15)+1,1)))</f>
        <v/>
      </c>
      <c r="R15" s="37">
        <f>IF(OR($A15="",$Q15=0),"",$D15/$Q15)</f>
        <v/>
      </c>
      <c r="S15" s="37">
        <f>IF(OR($A15="",$E15=0),"",$G15/$E15)</f>
        <v/>
      </c>
      <c r="T15" s="37">
        <f>IF($A15="","",SUMIFS(tblGastos[Monto],tblGastos[Categoría],"Publicidad",tblGastos[Fecha],"&gt;="&amp;$A15,tblGastos[Fecha],"&lt;"&amp;DATE(YEAR($A15),MONTH($A15)+1,1)))</f>
        <v/>
      </c>
      <c r="U15" s="60">
        <f>IF(OR($A15="",$T15=0),"",$D15/$T15)</f>
        <v/>
      </c>
      <c r="V15" s="37">
        <f>IF($A15="","",SUMIFS(tblCompras[Costo total de adquisición],tblCompras[Fecha],"&gt;="&amp;$A15,tblCompras[Fecha],"&lt;"&amp;DATE(YEAR($A15),MONTH($A15)+1,1)))</f>
        <v/>
      </c>
      <c r="W15" s="38">
        <f>IF(OR($A15="",($V15+$K15)=0),"",$O15/($V15+$K15))</f>
        <v/>
      </c>
      <c r="X15" s="37">
        <f>IF($A15="","",SUM($D$8:$D15))</f>
        <v/>
      </c>
      <c r="Y15" s="37">
        <f>IF($A15="","",SUM($O$8:$O15))</f>
        <v/>
      </c>
      <c r="AA15" s="51">
        <f>IFERROR(IF(INDEX(tblProductos[SKU],ROW()-7)="","",INDEX(tblProductos[SKU],ROW()-7)),"")</f>
        <v/>
      </c>
      <c r="AB15" s="51">
        <f>IF($AA15="","",IFERROR(IF(INDEX(tblProductos[Nombre del producto],MATCH($AA15,tblProductos[SKU],0))="","",INDEX(tblProductos[Nombre del producto],MATCH($AA15,tblProductos[SKU],0))),"")&amp;IF(IFERROR(IF(INDEX(tblProductos[Presentación],MATCH($AA15,tblProductos[SKU],0))="","",INDEX(tblProductos[Presentación],MATCH($AA15,tblProductos[SKU],0))),"")="",""," · "&amp;IFERROR(IF(INDEX(tblProductos[Presentación],MATCH($AA15,tblProductos[SKU],0))="","",INDEX(tblProductos[Presentación],MATCH($AA15,tblProductos[SKU],0))),"")))</f>
        <v/>
      </c>
      <c r="AC15" s="51">
        <f>IF($AA15="","",IFERROR(IF(INDEX(tblProductos[Categoría],MATCH($AA15,tblProductos[SKU],0))="","",INDEX(tblProductos[Categoría],MATCH($AA15,tblProductos[SKU],0))),""))</f>
        <v/>
      </c>
      <c r="AD15" s="39">
        <f>IF($AA15="","",SUMIFS(tblVentas[Unidades efectivas],tblVentas[SKU],$AA15))</f>
        <v/>
      </c>
      <c r="AE15" s="37">
        <f>IF($AA15="","",SUMIFS(tblVentas[Venta neta],tblVentas[SKU],$AA15))</f>
        <v/>
      </c>
      <c r="AF15" s="37">
        <f>IF($AA15="","",SUMIFS(tblVentas[Costo total],tblVentas[SKU],$AA15))</f>
        <v/>
      </c>
      <c r="AG15" s="37">
        <f>IF($AA15="","",$AE15-$AF15)</f>
        <v/>
      </c>
      <c r="AH15" s="38">
        <f>IF(OR($AA15="",$AE15=0),"",$AG15/$AE15)</f>
        <v/>
      </c>
      <c r="AI15" s="38">
        <f>IF(OR($AA15="",SUM($AE$8:$AE$67)=0),"",$AE15/SUM($AE$8:$AE$67))</f>
        <v/>
      </c>
      <c r="AJ15" s="38">
        <f>IF(OR($AA15="",SUM($AG$8:$AG$67)=0),"",$AG15/SUM($AG$8:$AG$67))</f>
        <v/>
      </c>
      <c r="AK15" s="39">
        <f>IF(OR($AA15="",$AE15=0),"",RANK($AG15,$AG$8:$AG$67))</f>
        <v/>
      </c>
      <c r="AL15" s="39">
        <f>IF(OR($AA15="",$AD15=0),"",RANK($AD15,$AD$8:$AD$67))</f>
        <v/>
      </c>
      <c r="AM15" s="37">
        <f>IF(OR($AA15="",$AD15=0),"",$AG15/$AD15)</f>
        <v/>
      </c>
      <c r="AN15" s="37">
        <f>IF($AA15="","",IFERROR(IF(INDEX(tblProductos[Margen de contribución unitario],MATCH($AA15,tblProductos[SKU],0))="","PENDIENTE",INDEX(tblProductos[Margen de contribución unitario],MATCH($AA15,tblProductos[SKU],0))),"PENDIENTE"))</f>
        <v/>
      </c>
      <c r="AO15" s="60">
        <f>IF(OR($AA15="",NOT(ISNUMBER($AG15))),"",$AG15-ROW()/100000)</f>
        <v/>
      </c>
      <c r="AP15" s="60">
        <f>IF(OR($AA15="",NOT(ISNUMBER($AD15))),"",$AD15-ROW()/100000)</f>
        <v/>
      </c>
      <c r="AR15" s="51">
        <f>IF(CONFIG!$B$30="","",CONFIG!$B$30)</f>
        <v/>
      </c>
      <c r="AS15" s="39">
        <f>IF($AR15="","",SUMIFS(tblVentas[Unidades efectivas],tblVentas[Categoría],$AR15))</f>
        <v/>
      </c>
      <c r="AT15" s="37">
        <f>IF($AR15="","",SUMIFS(tblVentas[Venta neta],tblVentas[Categoría],$AR15))</f>
        <v/>
      </c>
      <c r="AU15" s="37">
        <f>IF($AR15="","",SUMIFS(tblVentas[Costo total],tblVentas[Categoría],$AR15))</f>
        <v/>
      </c>
      <c r="AV15" s="37">
        <f>IF($AR15="","",$AT15-$AU15)</f>
        <v/>
      </c>
      <c r="AW15" s="38">
        <f>IF(OR($AR15="",$AT15=0),"",$AV15/$AT15)</f>
        <v/>
      </c>
      <c r="AX15" s="38">
        <f>IF(OR($AR15="",SUM($AT$8:$AT$22)=0),"",$AT15/SUM($AT$8:$AT$22))</f>
        <v/>
      </c>
      <c r="AZ15" s="51">
        <f>IF(CONFIG!$F$30="","",CONFIG!$F$30)</f>
        <v/>
      </c>
      <c r="BA15" s="39">
        <f>IF($AZ15="","",SUMIFS(tblVentas[Unidades efectivas],tblVentas[Canal],$AZ15))</f>
        <v/>
      </c>
      <c r="BB15" s="37">
        <f>IF($AZ15="","",SUMIFS(tblVentas[Venta neta],tblVentas[Canal],$AZ15))</f>
        <v/>
      </c>
      <c r="BC15" s="37">
        <f>IF($AZ15="","",SUMIFS(tblVentas[Costo total],tblVentas[Canal],$AZ15))</f>
        <v/>
      </c>
      <c r="BD15" s="37">
        <f>IF($AZ15="","",$BB15-$BC15)</f>
        <v/>
      </c>
      <c r="BE15" s="38">
        <f>IF(OR($AZ15="",$BB15=0),"",$BD15/$BB15)</f>
        <v/>
      </c>
      <c r="BF15" s="38">
        <f>IF(OR($AZ15="",SUM($BB$8:$BB$22)=0),"",$BB15/SUM($BB$8:$BB$22))</f>
        <v/>
      </c>
      <c r="BG15" s="37">
        <f>IF($AZ15="","",SUMIFS(tblGastos[Monto],tblGastos[Categoría],"Publicidad",tblGastos[Canal atribuido],$AZ15))</f>
        <v/>
      </c>
      <c r="BH15" s="60">
        <f>IF(OR($AZ15="",$BG15=0),"",$BB15/$BG15)</f>
        <v/>
      </c>
      <c r="BJ15" s="63" t="inlineStr">
        <is>
          <t>Utilidad bruta acumulada</t>
        </is>
      </c>
      <c r="BK15" s="49">
        <f>$G$44</f>
        <v/>
      </c>
      <c r="BL15" s="64" t="inlineStr">
        <is>
          <t>Ventas netas − costo de ventas.</t>
        </is>
      </c>
    </row>
    <row r="16">
      <c r="A16" s="55">
        <f>IF(NOT(ISNUMBER(PAR_FECHA_INICIO)),"",DATE(YEAR(PAR_FECHA_INICIO),MONTH(PAR_FECHA_INICIO)+8,1))</f>
        <v/>
      </c>
      <c r="B16" s="37">
        <f>IF($A16="","",SUMIFS(tblVentas[Venta bruta],tblVentas[Fecha],"&gt;="&amp;$A16,tblVentas[Fecha],"&lt;"&amp;DATE(YEAR($A16),MONTH($A16)+1,1)))</f>
        <v/>
      </c>
      <c r="C16" s="37">
        <f>IF($A16="","",SUMIFS(tblVentas[Descuento],tblVentas[Fecha],"&gt;="&amp;$A16,tblVentas[Fecha],"&lt;"&amp;DATE(YEAR($A16),MONTH($A16)+1,1)))</f>
        <v/>
      </c>
      <c r="D16" s="49">
        <f>IF($A16="","",SUMIFS(tblVentas[Venta neta],tblVentas[Fecha],"&gt;="&amp;$A16,tblVentas[Fecha],"&lt;"&amp;DATE(YEAR($A16),MONTH($A16)+1,1)))</f>
        <v/>
      </c>
      <c r="E16" s="39">
        <f>IF($A16="","",SUMIFS(tblVentas[Unidades efectivas],tblVentas[Fecha],"&gt;="&amp;$A16,tblVentas[Fecha],"&lt;"&amp;DATE(YEAR($A16),MONTH($A16)+1,1)))</f>
        <v/>
      </c>
      <c r="F16" s="37">
        <f>IF($A16="","",SUMIFS(tblVentas[Costo total],tblVentas[Fecha],"&gt;="&amp;$A16,tblVentas[Fecha],"&lt;"&amp;DATE(YEAR($A16),MONTH($A16)+1,1)))</f>
        <v/>
      </c>
      <c r="G16" s="49">
        <f>IF($A16="","",$D16-$F16)</f>
        <v/>
      </c>
      <c r="H16" s="38">
        <f>IF(OR($A16="",$D16=0),"",$G16/$D16)</f>
        <v/>
      </c>
      <c r="I16" s="37">
        <f>IF($A16="","",SUMIFS(tblGastos[Monto],tblGastos[Tipo de gasto],"Fijo",tblGastos[Fecha],"&gt;="&amp;$A16,tblGastos[Fecha],"&lt;"&amp;DATE(YEAR($A16),MONTH($A16)+1,1)))</f>
        <v/>
      </c>
      <c r="J16" s="37">
        <f>IF($A16="","",SUMIFS(tblGastos[Monto],tblGastos[Tipo de gasto],"Variable",tblGastos[Fecha],"&gt;="&amp;$A16,tblGastos[Fecha],"&lt;"&amp;DATE(YEAR($A16),MONTH($A16)+1,1)))</f>
        <v/>
      </c>
      <c r="K16" s="37">
        <f>IF($A16="","",$I16+$J16)</f>
        <v/>
      </c>
      <c r="L16" s="37">
        <f>IF($A16="","",$G16-$K16)</f>
        <v/>
      </c>
      <c r="M16" s="37">
        <f>IF($A16="","",SUMIFS(tblCajaMov[Monto],tblCajaMov[Concepto],"Otro ingreso",tblCajaMov[Fecha],"&gt;="&amp;$A16,tblCajaMov[Fecha],"&lt;"&amp;DATE(YEAR($A16),MONTH($A16)+1,1)))</f>
        <v/>
      </c>
      <c r="N16" s="37">
        <f>IF($A16="","",SUMIFS(tblCajaMov[Monto],tblCajaMov[Concepto],"Otro egreso",tblCajaMov[Fecha],"&gt;="&amp;$A16,tblCajaMov[Fecha],"&lt;"&amp;DATE(YEAR($A16),MONTH($A16)+1,1)))</f>
        <v/>
      </c>
      <c r="O16" s="49">
        <f>IF($A16="","",$L16+$M16-$N16)</f>
        <v/>
      </c>
      <c r="P16" s="38">
        <f>IF(OR($A16="",$D16=0),"",$O16/$D16)</f>
        <v/>
      </c>
      <c r="Q16" s="39">
        <f>IF($A16="","",COUNTIFS(tblVentas[Fecha],"&gt;="&amp;$A16,tblVentas[Fecha],"&lt;"&amp;DATE(YEAR($A16),MONTH($A16)+1,1)))</f>
        <v/>
      </c>
      <c r="R16" s="37">
        <f>IF(OR($A16="",$Q16=0),"",$D16/$Q16)</f>
        <v/>
      </c>
      <c r="S16" s="37">
        <f>IF(OR($A16="",$E16=0),"",$G16/$E16)</f>
        <v/>
      </c>
      <c r="T16" s="37">
        <f>IF($A16="","",SUMIFS(tblGastos[Monto],tblGastos[Categoría],"Publicidad",tblGastos[Fecha],"&gt;="&amp;$A16,tblGastos[Fecha],"&lt;"&amp;DATE(YEAR($A16),MONTH($A16)+1,1)))</f>
        <v/>
      </c>
      <c r="U16" s="60">
        <f>IF(OR($A16="",$T16=0),"",$D16/$T16)</f>
        <v/>
      </c>
      <c r="V16" s="37">
        <f>IF($A16="","",SUMIFS(tblCompras[Costo total de adquisición],tblCompras[Fecha],"&gt;="&amp;$A16,tblCompras[Fecha],"&lt;"&amp;DATE(YEAR($A16),MONTH($A16)+1,1)))</f>
        <v/>
      </c>
      <c r="W16" s="38">
        <f>IF(OR($A16="",($V16+$K16)=0),"",$O16/($V16+$K16))</f>
        <v/>
      </c>
      <c r="X16" s="37">
        <f>IF($A16="","",SUM($D$8:$D16))</f>
        <v/>
      </c>
      <c r="Y16" s="37">
        <f>IF($A16="","",SUM($O$8:$O16))</f>
        <v/>
      </c>
      <c r="AA16" s="51">
        <f>IFERROR(IF(INDEX(tblProductos[SKU],ROW()-7)="","",INDEX(tblProductos[SKU],ROW()-7)),"")</f>
        <v/>
      </c>
      <c r="AB16" s="51">
        <f>IF($AA16="","",IFERROR(IF(INDEX(tblProductos[Nombre del producto],MATCH($AA16,tblProductos[SKU],0))="","",INDEX(tblProductos[Nombre del producto],MATCH($AA16,tblProductos[SKU],0))),"")&amp;IF(IFERROR(IF(INDEX(tblProductos[Presentación],MATCH($AA16,tblProductos[SKU],0))="","",INDEX(tblProductos[Presentación],MATCH($AA16,tblProductos[SKU],0))),"")="",""," · "&amp;IFERROR(IF(INDEX(tblProductos[Presentación],MATCH($AA16,tblProductos[SKU],0))="","",INDEX(tblProductos[Presentación],MATCH($AA16,tblProductos[SKU],0))),"")))</f>
        <v/>
      </c>
      <c r="AC16" s="51">
        <f>IF($AA16="","",IFERROR(IF(INDEX(tblProductos[Categoría],MATCH($AA16,tblProductos[SKU],0))="","",INDEX(tblProductos[Categoría],MATCH($AA16,tblProductos[SKU],0))),""))</f>
        <v/>
      </c>
      <c r="AD16" s="39">
        <f>IF($AA16="","",SUMIFS(tblVentas[Unidades efectivas],tblVentas[SKU],$AA16))</f>
        <v/>
      </c>
      <c r="AE16" s="37">
        <f>IF($AA16="","",SUMIFS(tblVentas[Venta neta],tblVentas[SKU],$AA16))</f>
        <v/>
      </c>
      <c r="AF16" s="37">
        <f>IF($AA16="","",SUMIFS(tblVentas[Costo total],tblVentas[SKU],$AA16))</f>
        <v/>
      </c>
      <c r="AG16" s="37">
        <f>IF($AA16="","",$AE16-$AF16)</f>
        <v/>
      </c>
      <c r="AH16" s="38">
        <f>IF(OR($AA16="",$AE16=0),"",$AG16/$AE16)</f>
        <v/>
      </c>
      <c r="AI16" s="38">
        <f>IF(OR($AA16="",SUM($AE$8:$AE$67)=0),"",$AE16/SUM($AE$8:$AE$67))</f>
        <v/>
      </c>
      <c r="AJ16" s="38">
        <f>IF(OR($AA16="",SUM($AG$8:$AG$67)=0),"",$AG16/SUM($AG$8:$AG$67))</f>
        <v/>
      </c>
      <c r="AK16" s="39">
        <f>IF(OR($AA16="",$AE16=0),"",RANK($AG16,$AG$8:$AG$67))</f>
        <v/>
      </c>
      <c r="AL16" s="39">
        <f>IF(OR($AA16="",$AD16=0),"",RANK($AD16,$AD$8:$AD$67))</f>
        <v/>
      </c>
      <c r="AM16" s="37">
        <f>IF(OR($AA16="",$AD16=0),"",$AG16/$AD16)</f>
        <v/>
      </c>
      <c r="AN16" s="37">
        <f>IF($AA16="","",IFERROR(IF(INDEX(tblProductos[Margen de contribución unitario],MATCH($AA16,tblProductos[SKU],0))="","PENDIENTE",INDEX(tblProductos[Margen de contribución unitario],MATCH($AA16,tblProductos[SKU],0))),"PENDIENTE"))</f>
        <v/>
      </c>
      <c r="AO16" s="60">
        <f>IF(OR($AA16="",NOT(ISNUMBER($AG16))),"",$AG16-ROW()/100000)</f>
        <v/>
      </c>
      <c r="AP16" s="60">
        <f>IF(OR($AA16="",NOT(ISNUMBER($AD16))),"",$AD16-ROW()/100000)</f>
        <v/>
      </c>
      <c r="AR16" s="51">
        <f>IF(CONFIG!$B$31="","",CONFIG!$B$31)</f>
        <v/>
      </c>
      <c r="AS16" s="39">
        <f>IF($AR16="","",SUMIFS(tblVentas[Unidades efectivas],tblVentas[Categoría],$AR16))</f>
        <v/>
      </c>
      <c r="AT16" s="37">
        <f>IF($AR16="","",SUMIFS(tblVentas[Venta neta],tblVentas[Categoría],$AR16))</f>
        <v/>
      </c>
      <c r="AU16" s="37">
        <f>IF($AR16="","",SUMIFS(tblVentas[Costo total],tblVentas[Categoría],$AR16))</f>
        <v/>
      </c>
      <c r="AV16" s="37">
        <f>IF($AR16="","",$AT16-$AU16)</f>
        <v/>
      </c>
      <c r="AW16" s="38">
        <f>IF(OR($AR16="",$AT16=0),"",$AV16/$AT16)</f>
        <v/>
      </c>
      <c r="AX16" s="38">
        <f>IF(OR($AR16="",SUM($AT$8:$AT$22)=0),"",$AT16/SUM($AT$8:$AT$22))</f>
        <v/>
      </c>
      <c r="AZ16" s="51">
        <f>IF(CONFIG!$F$31="","",CONFIG!$F$31)</f>
        <v/>
      </c>
      <c r="BA16" s="39">
        <f>IF($AZ16="","",SUMIFS(tblVentas[Unidades efectivas],tblVentas[Canal],$AZ16))</f>
        <v/>
      </c>
      <c r="BB16" s="37">
        <f>IF($AZ16="","",SUMIFS(tblVentas[Venta neta],tblVentas[Canal],$AZ16))</f>
        <v/>
      </c>
      <c r="BC16" s="37">
        <f>IF($AZ16="","",SUMIFS(tblVentas[Costo total],tblVentas[Canal],$AZ16))</f>
        <v/>
      </c>
      <c r="BD16" s="37">
        <f>IF($AZ16="","",$BB16-$BC16)</f>
        <v/>
      </c>
      <c r="BE16" s="38">
        <f>IF(OR($AZ16="",$BB16=0),"",$BD16/$BB16)</f>
        <v/>
      </c>
      <c r="BF16" s="38">
        <f>IF(OR($AZ16="",SUM($BB$8:$BB$22)=0),"",$BB16/SUM($BB$8:$BB$22))</f>
        <v/>
      </c>
      <c r="BG16" s="37">
        <f>IF($AZ16="","",SUMIFS(tblGastos[Monto],tblGastos[Categoría],"Publicidad",tblGastos[Canal atribuido],$AZ16))</f>
        <v/>
      </c>
      <c r="BH16" s="60">
        <f>IF(OR($AZ16="",$BG16=0),"",$BB16/$BG16)</f>
        <v/>
      </c>
      <c r="BJ16" s="63" t="inlineStr">
        <is>
          <t>Margen bruto %</t>
        </is>
      </c>
      <c r="BK16" s="66">
        <f>$H$44</f>
        <v/>
      </c>
      <c r="BL16" s="64" t="inlineStr">
        <is>
          <t>Utilidad bruta ÷ ventas netas.</t>
        </is>
      </c>
    </row>
    <row r="17">
      <c r="A17" s="55">
        <f>IF(NOT(ISNUMBER(PAR_FECHA_INICIO)),"",DATE(YEAR(PAR_FECHA_INICIO),MONTH(PAR_FECHA_INICIO)+9,1))</f>
        <v/>
      </c>
      <c r="B17" s="37">
        <f>IF($A17="","",SUMIFS(tblVentas[Venta bruta],tblVentas[Fecha],"&gt;="&amp;$A17,tblVentas[Fecha],"&lt;"&amp;DATE(YEAR($A17),MONTH($A17)+1,1)))</f>
        <v/>
      </c>
      <c r="C17" s="37">
        <f>IF($A17="","",SUMIFS(tblVentas[Descuento],tblVentas[Fecha],"&gt;="&amp;$A17,tblVentas[Fecha],"&lt;"&amp;DATE(YEAR($A17),MONTH($A17)+1,1)))</f>
        <v/>
      </c>
      <c r="D17" s="49">
        <f>IF($A17="","",SUMIFS(tblVentas[Venta neta],tblVentas[Fecha],"&gt;="&amp;$A17,tblVentas[Fecha],"&lt;"&amp;DATE(YEAR($A17),MONTH($A17)+1,1)))</f>
        <v/>
      </c>
      <c r="E17" s="39">
        <f>IF($A17="","",SUMIFS(tblVentas[Unidades efectivas],tblVentas[Fecha],"&gt;="&amp;$A17,tblVentas[Fecha],"&lt;"&amp;DATE(YEAR($A17),MONTH($A17)+1,1)))</f>
        <v/>
      </c>
      <c r="F17" s="37">
        <f>IF($A17="","",SUMIFS(tblVentas[Costo total],tblVentas[Fecha],"&gt;="&amp;$A17,tblVentas[Fecha],"&lt;"&amp;DATE(YEAR($A17),MONTH($A17)+1,1)))</f>
        <v/>
      </c>
      <c r="G17" s="49">
        <f>IF($A17="","",$D17-$F17)</f>
        <v/>
      </c>
      <c r="H17" s="38">
        <f>IF(OR($A17="",$D17=0),"",$G17/$D17)</f>
        <v/>
      </c>
      <c r="I17" s="37">
        <f>IF($A17="","",SUMIFS(tblGastos[Monto],tblGastos[Tipo de gasto],"Fijo",tblGastos[Fecha],"&gt;="&amp;$A17,tblGastos[Fecha],"&lt;"&amp;DATE(YEAR($A17),MONTH($A17)+1,1)))</f>
        <v/>
      </c>
      <c r="J17" s="37">
        <f>IF($A17="","",SUMIFS(tblGastos[Monto],tblGastos[Tipo de gasto],"Variable",tblGastos[Fecha],"&gt;="&amp;$A17,tblGastos[Fecha],"&lt;"&amp;DATE(YEAR($A17),MONTH($A17)+1,1)))</f>
        <v/>
      </c>
      <c r="K17" s="37">
        <f>IF($A17="","",$I17+$J17)</f>
        <v/>
      </c>
      <c r="L17" s="37">
        <f>IF($A17="","",$G17-$K17)</f>
        <v/>
      </c>
      <c r="M17" s="37">
        <f>IF($A17="","",SUMIFS(tblCajaMov[Monto],tblCajaMov[Concepto],"Otro ingreso",tblCajaMov[Fecha],"&gt;="&amp;$A17,tblCajaMov[Fecha],"&lt;"&amp;DATE(YEAR($A17),MONTH($A17)+1,1)))</f>
        <v/>
      </c>
      <c r="N17" s="37">
        <f>IF($A17="","",SUMIFS(tblCajaMov[Monto],tblCajaMov[Concepto],"Otro egreso",tblCajaMov[Fecha],"&gt;="&amp;$A17,tblCajaMov[Fecha],"&lt;"&amp;DATE(YEAR($A17),MONTH($A17)+1,1)))</f>
        <v/>
      </c>
      <c r="O17" s="49">
        <f>IF($A17="","",$L17+$M17-$N17)</f>
        <v/>
      </c>
      <c r="P17" s="38">
        <f>IF(OR($A17="",$D17=0),"",$O17/$D17)</f>
        <v/>
      </c>
      <c r="Q17" s="39">
        <f>IF($A17="","",COUNTIFS(tblVentas[Fecha],"&gt;="&amp;$A17,tblVentas[Fecha],"&lt;"&amp;DATE(YEAR($A17),MONTH($A17)+1,1)))</f>
        <v/>
      </c>
      <c r="R17" s="37">
        <f>IF(OR($A17="",$Q17=0),"",$D17/$Q17)</f>
        <v/>
      </c>
      <c r="S17" s="37">
        <f>IF(OR($A17="",$E17=0),"",$G17/$E17)</f>
        <v/>
      </c>
      <c r="T17" s="37">
        <f>IF($A17="","",SUMIFS(tblGastos[Monto],tblGastos[Categoría],"Publicidad",tblGastos[Fecha],"&gt;="&amp;$A17,tblGastos[Fecha],"&lt;"&amp;DATE(YEAR($A17),MONTH($A17)+1,1)))</f>
        <v/>
      </c>
      <c r="U17" s="60">
        <f>IF(OR($A17="",$T17=0),"",$D17/$T17)</f>
        <v/>
      </c>
      <c r="V17" s="37">
        <f>IF($A17="","",SUMIFS(tblCompras[Costo total de adquisición],tblCompras[Fecha],"&gt;="&amp;$A17,tblCompras[Fecha],"&lt;"&amp;DATE(YEAR($A17),MONTH($A17)+1,1)))</f>
        <v/>
      </c>
      <c r="W17" s="38">
        <f>IF(OR($A17="",($V17+$K17)=0),"",$O17/($V17+$K17))</f>
        <v/>
      </c>
      <c r="X17" s="37">
        <f>IF($A17="","",SUM($D$8:$D17))</f>
        <v/>
      </c>
      <c r="Y17" s="37">
        <f>IF($A17="","",SUM($O$8:$O17))</f>
        <v/>
      </c>
      <c r="AA17" s="51">
        <f>IFERROR(IF(INDEX(tblProductos[SKU],ROW()-7)="","",INDEX(tblProductos[SKU],ROW()-7)),"")</f>
        <v/>
      </c>
      <c r="AB17" s="51">
        <f>IF($AA17="","",IFERROR(IF(INDEX(tblProductos[Nombre del producto],MATCH($AA17,tblProductos[SKU],0))="","",INDEX(tblProductos[Nombre del producto],MATCH($AA17,tblProductos[SKU],0))),"")&amp;IF(IFERROR(IF(INDEX(tblProductos[Presentación],MATCH($AA17,tblProductos[SKU],0))="","",INDEX(tblProductos[Presentación],MATCH($AA17,tblProductos[SKU],0))),"")="",""," · "&amp;IFERROR(IF(INDEX(tblProductos[Presentación],MATCH($AA17,tblProductos[SKU],0))="","",INDEX(tblProductos[Presentación],MATCH($AA17,tblProductos[SKU],0))),"")))</f>
        <v/>
      </c>
      <c r="AC17" s="51">
        <f>IF($AA17="","",IFERROR(IF(INDEX(tblProductos[Categoría],MATCH($AA17,tblProductos[SKU],0))="","",INDEX(tblProductos[Categoría],MATCH($AA17,tblProductos[SKU],0))),""))</f>
        <v/>
      </c>
      <c r="AD17" s="39">
        <f>IF($AA17="","",SUMIFS(tblVentas[Unidades efectivas],tblVentas[SKU],$AA17))</f>
        <v/>
      </c>
      <c r="AE17" s="37">
        <f>IF($AA17="","",SUMIFS(tblVentas[Venta neta],tblVentas[SKU],$AA17))</f>
        <v/>
      </c>
      <c r="AF17" s="37">
        <f>IF($AA17="","",SUMIFS(tblVentas[Costo total],tblVentas[SKU],$AA17))</f>
        <v/>
      </c>
      <c r="AG17" s="37">
        <f>IF($AA17="","",$AE17-$AF17)</f>
        <v/>
      </c>
      <c r="AH17" s="38">
        <f>IF(OR($AA17="",$AE17=0),"",$AG17/$AE17)</f>
        <v/>
      </c>
      <c r="AI17" s="38">
        <f>IF(OR($AA17="",SUM($AE$8:$AE$67)=0),"",$AE17/SUM($AE$8:$AE$67))</f>
        <v/>
      </c>
      <c r="AJ17" s="38">
        <f>IF(OR($AA17="",SUM($AG$8:$AG$67)=0),"",$AG17/SUM($AG$8:$AG$67))</f>
        <v/>
      </c>
      <c r="AK17" s="39">
        <f>IF(OR($AA17="",$AE17=0),"",RANK($AG17,$AG$8:$AG$67))</f>
        <v/>
      </c>
      <c r="AL17" s="39">
        <f>IF(OR($AA17="",$AD17=0),"",RANK($AD17,$AD$8:$AD$67))</f>
        <v/>
      </c>
      <c r="AM17" s="37">
        <f>IF(OR($AA17="",$AD17=0),"",$AG17/$AD17)</f>
        <v/>
      </c>
      <c r="AN17" s="37">
        <f>IF($AA17="","",IFERROR(IF(INDEX(tblProductos[Margen de contribución unitario],MATCH($AA17,tblProductos[SKU],0))="","PENDIENTE",INDEX(tblProductos[Margen de contribución unitario],MATCH($AA17,tblProductos[SKU],0))),"PENDIENTE"))</f>
        <v/>
      </c>
      <c r="AO17" s="60">
        <f>IF(OR($AA17="",NOT(ISNUMBER($AG17))),"",$AG17-ROW()/100000)</f>
        <v/>
      </c>
      <c r="AP17" s="60">
        <f>IF(OR($AA17="",NOT(ISNUMBER($AD17))),"",$AD17-ROW()/100000)</f>
        <v/>
      </c>
      <c r="AR17" s="51">
        <f>IF(CONFIG!$B$32="","",CONFIG!$B$32)</f>
        <v/>
      </c>
      <c r="AS17" s="39">
        <f>IF($AR17="","",SUMIFS(tblVentas[Unidades efectivas],tblVentas[Categoría],$AR17))</f>
        <v/>
      </c>
      <c r="AT17" s="37">
        <f>IF($AR17="","",SUMIFS(tblVentas[Venta neta],tblVentas[Categoría],$AR17))</f>
        <v/>
      </c>
      <c r="AU17" s="37">
        <f>IF($AR17="","",SUMIFS(tblVentas[Costo total],tblVentas[Categoría],$AR17))</f>
        <v/>
      </c>
      <c r="AV17" s="37">
        <f>IF($AR17="","",$AT17-$AU17)</f>
        <v/>
      </c>
      <c r="AW17" s="38">
        <f>IF(OR($AR17="",$AT17=0),"",$AV17/$AT17)</f>
        <v/>
      </c>
      <c r="AX17" s="38">
        <f>IF(OR($AR17="",SUM($AT$8:$AT$22)=0),"",$AT17/SUM($AT$8:$AT$22))</f>
        <v/>
      </c>
      <c r="AZ17" s="51">
        <f>IF(CONFIG!$F$32="","",CONFIG!$F$32)</f>
        <v/>
      </c>
      <c r="BA17" s="39">
        <f>IF($AZ17="","",SUMIFS(tblVentas[Unidades efectivas],tblVentas[Canal],$AZ17))</f>
        <v/>
      </c>
      <c r="BB17" s="37">
        <f>IF($AZ17="","",SUMIFS(tblVentas[Venta neta],tblVentas[Canal],$AZ17))</f>
        <v/>
      </c>
      <c r="BC17" s="37">
        <f>IF($AZ17="","",SUMIFS(tblVentas[Costo total],tblVentas[Canal],$AZ17))</f>
        <v/>
      </c>
      <c r="BD17" s="37">
        <f>IF($AZ17="","",$BB17-$BC17)</f>
        <v/>
      </c>
      <c r="BE17" s="38">
        <f>IF(OR($AZ17="",$BB17=0),"",$BD17/$BB17)</f>
        <v/>
      </c>
      <c r="BF17" s="38">
        <f>IF(OR($AZ17="",SUM($BB$8:$BB$22)=0),"",$BB17/SUM($BB$8:$BB$22))</f>
        <v/>
      </c>
      <c r="BG17" s="37">
        <f>IF($AZ17="","",SUMIFS(tblGastos[Monto],tblGastos[Categoría],"Publicidad",tblGastos[Canal atribuido],$AZ17))</f>
        <v/>
      </c>
      <c r="BH17" s="60">
        <f>IF(OR($AZ17="",$BG17=0),"",$BB17/$BG17)</f>
        <v/>
      </c>
      <c r="BJ17" s="63" t="inlineStr">
        <is>
          <t>Gastos fijos acumulados</t>
        </is>
      </c>
      <c r="BK17" s="49">
        <f>$I$44</f>
        <v/>
      </c>
      <c r="BL17" s="64" t="inlineStr">
        <is>
          <t>Gastos que no dependen del volumen de ventas.</t>
        </is>
      </c>
    </row>
    <row r="18">
      <c r="A18" s="55">
        <f>IF(NOT(ISNUMBER(PAR_FECHA_INICIO)),"",DATE(YEAR(PAR_FECHA_INICIO),MONTH(PAR_FECHA_INICIO)+10,1))</f>
        <v/>
      </c>
      <c r="B18" s="37">
        <f>IF($A18="","",SUMIFS(tblVentas[Venta bruta],tblVentas[Fecha],"&gt;="&amp;$A18,tblVentas[Fecha],"&lt;"&amp;DATE(YEAR($A18),MONTH($A18)+1,1)))</f>
        <v/>
      </c>
      <c r="C18" s="37">
        <f>IF($A18="","",SUMIFS(tblVentas[Descuento],tblVentas[Fecha],"&gt;="&amp;$A18,tblVentas[Fecha],"&lt;"&amp;DATE(YEAR($A18),MONTH($A18)+1,1)))</f>
        <v/>
      </c>
      <c r="D18" s="49">
        <f>IF($A18="","",SUMIFS(tblVentas[Venta neta],tblVentas[Fecha],"&gt;="&amp;$A18,tblVentas[Fecha],"&lt;"&amp;DATE(YEAR($A18),MONTH($A18)+1,1)))</f>
        <v/>
      </c>
      <c r="E18" s="39">
        <f>IF($A18="","",SUMIFS(tblVentas[Unidades efectivas],tblVentas[Fecha],"&gt;="&amp;$A18,tblVentas[Fecha],"&lt;"&amp;DATE(YEAR($A18),MONTH($A18)+1,1)))</f>
        <v/>
      </c>
      <c r="F18" s="37">
        <f>IF($A18="","",SUMIFS(tblVentas[Costo total],tblVentas[Fecha],"&gt;="&amp;$A18,tblVentas[Fecha],"&lt;"&amp;DATE(YEAR($A18),MONTH($A18)+1,1)))</f>
        <v/>
      </c>
      <c r="G18" s="49">
        <f>IF($A18="","",$D18-$F18)</f>
        <v/>
      </c>
      <c r="H18" s="38">
        <f>IF(OR($A18="",$D18=0),"",$G18/$D18)</f>
        <v/>
      </c>
      <c r="I18" s="37">
        <f>IF($A18="","",SUMIFS(tblGastos[Monto],tblGastos[Tipo de gasto],"Fijo",tblGastos[Fecha],"&gt;="&amp;$A18,tblGastos[Fecha],"&lt;"&amp;DATE(YEAR($A18),MONTH($A18)+1,1)))</f>
        <v/>
      </c>
      <c r="J18" s="37">
        <f>IF($A18="","",SUMIFS(tblGastos[Monto],tblGastos[Tipo de gasto],"Variable",tblGastos[Fecha],"&gt;="&amp;$A18,tblGastos[Fecha],"&lt;"&amp;DATE(YEAR($A18),MONTH($A18)+1,1)))</f>
        <v/>
      </c>
      <c r="K18" s="37">
        <f>IF($A18="","",$I18+$J18)</f>
        <v/>
      </c>
      <c r="L18" s="37">
        <f>IF($A18="","",$G18-$K18)</f>
        <v/>
      </c>
      <c r="M18" s="37">
        <f>IF($A18="","",SUMIFS(tblCajaMov[Monto],tblCajaMov[Concepto],"Otro ingreso",tblCajaMov[Fecha],"&gt;="&amp;$A18,tblCajaMov[Fecha],"&lt;"&amp;DATE(YEAR($A18),MONTH($A18)+1,1)))</f>
        <v/>
      </c>
      <c r="N18" s="37">
        <f>IF($A18="","",SUMIFS(tblCajaMov[Monto],tblCajaMov[Concepto],"Otro egreso",tblCajaMov[Fecha],"&gt;="&amp;$A18,tblCajaMov[Fecha],"&lt;"&amp;DATE(YEAR($A18),MONTH($A18)+1,1)))</f>
        <v/>
      </c>
      <c r="O18" s="49">
        <f>IF($A18="","",$L18+$M18-$N18)</f>
        <v/>
      </c>
      <c r="P18" s="38">
        <f>IF(OR($A18="",$D18=0),"",$O18/$D18)</f>
        <v/>
      </c>
      <c r="Q18" s="39">
        <f>IF($A18="","",COUNTIFS(tblVentas[Fecha],"&gt;="&amp;$A18,tblVentas[Fecha],"&lt;"&amp;DATE(YEAR($A18),MONTH($A18)+1,1)))</f>
        <v/>
      </c>
      <c r="R18" s="37">
        <f>IF(OR($A18="",$Q18=0),"",$D18/$Q18)</f>
        <v/>
      </c>
      <c r="S18" s="37">
        <f>IF(OR($A18="",$E18=0),"",$G18/$E18)</f>
        <v/>
      </c>
      <c r="T18" s="37">
        <f>IF($A18="","",SUMIFS(tblGastos[Monto],tblGastos[Categoría],"Publicidad",tblGastos[Fecha],"&gt;="&amp;$A18,tblGastos[Fecha],"&lt;"&amp;DATE(YEAR($A18),MONTH($A18)+1,1)))</f>
        <v/>
      </c>
      <c r="U18" s="60">
        <f>IF(OR($A18="",$T18=0),"",$D18/$T18)</f>
        <v/>
      </c>
      <c r="V18" s="37">
        <f>IF($A18="","",SUMIFS(tblCompras[Costo total de adquisición],tblCompras[Fecha],"&gt;="&amp;$A18,tblCompras[Fecha],"&lt;"&amp;DATE(YEAR($A18),MONTH($A18)+1,1)))</f>
        <v/>
      </c>
      <c r="W18" s="38">
        <f>IF(OR($A18="",($V18+$K18)=0),"",$O18/($V18+$K18))</f>
        <v/>
      </c>
      <c r="X18" s="37">
        <f>IF($A18="","",SUM($D$8:$D18))</f>
        <v/>
      </c>
      <c r="Y18" s="37">
        <f>IF($A18="","",SUM($O$8:$O18))</f>
        <v/>
      </c>
      <c r="AA18" s="51">
        <f>IFERROR(IF(INDEX(tblProductos[SKU],ROW()-7)="","",INDEX(tblProductos[SKU],ROW()-7)),"")</f>
        <v/>
      </c>
      <c r="AB18" s="51">
        <f>IF($AA18="","",IFERROR(IF(INDEX(tblProductos[Nombre del producto],MATCH($AA18,tblProductos[SKU],0))="","",INDEX(tblProductos[Nombre del producto],MATCH($AA18,tblProductos[SKU],0))),"")&amp;IF(IFERROR(IF(INDEX(tblProductos[Presentación],MATCH($AA18,tblProductos[SKU],0))="","",INDEX(tblProductos[Presentación],MATCH($AA18,tblProductos[SKU],0))),"")="",""," · "&amp;IFERROR(IF(INDEX(tblProductos[Presentación],MATCH($AA18,tblProductos[SKU],0))="","",INDEX(tblProductos[Presentación],MATCH($AA18,tblProductos[SKU],0))),"")))</f>
        <v/>
      </c>
      <c r="AC18" s="51">
        <f>IF($AA18="","",IFERROR(IF(INDEX(tblProductos[Categoría],MATCH($AA18,tblProductos[SKU],0))="","",INDEX(tblProductos[Categoría],MATCH($AA18,tblProductos[SKU],0))),""))</f>
        <v/>
      </c>
      <c r="AD18" s="39">
        <f>IF($AA18="","",SUMIFS(tblVentas[Unidades efectivas],tblVentas[SKU],$AA18))</f>
        <v/>
      </c>
      <c r="AE18" s="37">
        <f>IF($AA18="","",SUMIFS(tblVentas[Venta neta],tblVentas[SKU],$AA18))</f>
        <v/>
      </c>
      <c r="AF18" s="37">
        <f>IF($AA18="","",SUMIFS(tblVentas[Costo total],tblVentas[SKU],$AA18))</f>
        <v/>
      </c>
      <c r="AG18" s="37">
        <f>IF($AA18="","",$AE18-$AF18)</f>
        <v/>
      </c>
      <c r="AH18" s="38">
        <f>IF(OR($AA18="",$AE18=0),"",$AG18/$AE18)</f>
        <v/>
      </c>
      <c r="AI18" s="38">
        <f>IF(OR($AA18="",SUM($AE$8:$AE$67)=0),"",$AE18/SUM($AE$8:$AE$67))</f>
        <v/>
      </c>
      <c r="AJ18" s="38">
        <f>IF(OR($AA18="",SUM($AG$8:$AG$67)=0),"",$AG18/SUM($AG$8:$AG$67))</f>
        <v/>
      </c>
      <c r="AK18" s="39">
        <f>IF(OR($AA18="",$AE18=0),"",RANK($AG18,$AG$8:$AG$67))</f>
        <v/>
      </c>
      <c r="AL18" s="39">
        <f>IF(OR($AA18="",$AD18=0),"",RANK($AD18,$AD$8:$AD$67))</f>
        <v/>
      </c>
      <c r="AM18" s="37">
        <f>IF(OR($AA18="",$AD18=0),"",$AG18/$AD18)</f>
        <v/>
      </c>
      <c r="AN18" s="37">
        <f>IF($AA18="","",IFERROR(IF(INDEX(tblProductos[Margen de contribución unitario],MATCH($AA18,tblProductos[SKU],0))="","PENDIENTE",INDEX(tblProductos[Margen de contribución unitario],MATCH($AA18,tblProductos[SKU],0))),"PENDIENTE"))</f>
        <v/>
      </c>
      <c r="AO18" s="60">
        <f>IF(OR($AA18="",NOT(ISNUMBER($AG18))),"",$AG18-ROW()/100000)</f>
        <v/>
      </c>
      <c r="AP18" s="60">
        <f>IF(OR($AA18="",NOT(ISNUMBER($AD18))),"",$AD18-ROW()/100000)</f>
        <v/>
      </c>
      <c r="AR18" s="51">
        <f>IF(CONFIG!$B$33="","",CONFIG!$B$33)</f>
        <v/>
      </c>
      <c r="AS18" s="39">
        <f>IF($AR18="","",SUMIFS(tblVentas[Unidades efectivas],tblVentas[Categoría],$AR18))</f>
        <v/>
      </c>
      <c r="AT18" s="37">
        <f>IF($AR18="","",SUMIFS(tblVentas[Venta neta],tblVentas[Categoría],$AR18))</f>
        <v/>
      </c>
      <c r="AU18" s="37">
        <f>IF($AR18="","",SUMIFS(tblVentas[Costo total],tblVentas[Categoría],$AR18))</f>
        <v/>
      </c>
      <c r="AV18" s="37">
        <f>IF($AR18="","",$AT18-$AU18)</f>
        <v/>
      </c>
      <c r="AW18" s="38">
        <f>IF(OR($AR18="",$AT18=0),"",$AV18/$AT18)</f>
        <v/>
      </c>
      <c r="AX18" s="38">
        <f>IF(OR($AR18="",SUM($AT$8:$AT$22)=0),"",$AT18/SUM($AT$8:$AT$22))</f>
        <v/>
      </c>
      <c r="AZ18" s="51">
        <f>IF(CONFIG!$F$33="","",CONFIG!$F$33)</f>
        <v/>
      </c>
      <c r="BA18" s="39">
        <f>IF($AZ18="","",SUMIFS(tblVentas[Unidades efectivas],tblVentas[Canal],$AZ18))</f>
        <v/>
      </c>
      <c r="BB18" s="37">
        <f>IF($AZ18="","",SUMIFS(tblVentas[Venta neta],tblVentas[Canal],$AZ18))</f>
        <v/>
      </c>
      <c r="BC18" s="37">
        <f>IF($AZ18="","",SUMIFS(tblVentas[Costo total],tblVentas[Canal],$AZ18))</f>
        <v/>
      </c>
      <c r="BD18" s="37">
        <f>IF($AZ18="","",$BB18-$BC18)</f>
        <v/>
      </c>
      <c r="BE18" s="38">
        <f>IF(OR($AZ18="",$BB18=0),"",$BD18/$BB18)</f>
        <v/>
      </c>
      <c r="BF18" s="38">
        <f>IF(OR($AZ18="",SUM($BB$8:$BB$22)=0),"",$BB18/SUM($BB$8:$BB$22))</f>
        <v/>
      </c>
      <c r="BG18" s="37">
        <f>IF($AZ18="","",SUMIFS(tblGastos[Monto],tblGastos[Categoría],"Publicidad",tblGastos[Canal atribuido],$AZ18))</f>
        <v/>
      </c>
      <c r="BH18" s="60">
        <f>IF(OR($AZ18="",$BG18=0),"",$BB18/$BG18)</f>
        <v/>
      </c>
      <c r="BJ18" s="63" t="inlineStr">
        <is>
          <t>Gastos variables acumulados</t>
        </is>
      </c>
      <c r="BK18" s="49">
        <f>$J$44</f>
        <v/>
      </c>
      <c r="BL18" s="64" t="inlineStr">
        <is>
          <t>Gastos que crecen con las ventas.</t>
        </is>
      </c>
    </row>
    <row r="19">
      <c r="A19" s="55">
        <f>IF(NOT(ISNUMBER(PAR_FECHA_INICIO)),"",DATE(YEAR(PAR_FECHA_INICIO),MONTH(PAR_FECHA_INICIO)+11,1))</f>
        <v/>
      </c>
      <c r="B19" s="37">
        <f>IF($A19="","",SUMIFS(tblVentas[Venta bruta],tblVentas[Fecha],"&gt;="&amp;$A19,tblVentas[Fecha],"&lt;"&amp;DATE(YEAR($A19),MONTH($A19)+1,1)))</f>
        <v/>
      </c>
      <c r="C19" s="37">
        <f>IF($A19="","",SUMIFS(tblVentas[Descuento],tblVentas[Fecha],"&gt;="&amp;$A19,tblVentas[Fecha],"&lt;"&amp;DATE(YEAR($A19),MONTH($A19)+1,1)))</f>
        <v/>
      </c>
      <c r="D19" s="49">
        <f>IF($A19="","",SUMIFS(tblVentas[Venta neta],tblVentas[Fecha],"&gt;="&amp;$A19,tblVentas[Fecha],"&lt;"&amp;DATE(YEAR($A19),MONTH($A19)+1,1)))</f>
        <v/>
      </c>
      <c r="E19" s="39">
        <f>IF($A19="","",SUMIFS(tblVentas[Unidades efectivas],tblVentas[Fecha],"&gt;="&amp;$A19,tblVentas[Fecha],"&lt;"&amp;DATE(YEAR($A19),MONTH($A19)+1,1)))</f>
        <v/>
      </c>
      <c r="F19" s="37">
        <f>IF($A19="","",SUMIFS(tblVentas[Costo total],tblVentas[Fecha],"&gt;="&amp;$A19,tblVentas[Fecha],"&lt;"&amp;DATE(YEAR($A19),MONTH($A19)+1,1)))</f>
        <v/>
      </c>
      <c r="G19" s="49">
        <f>IF($A19="","",$D19-$F19)</f>
        <v/>
      </c>
      <c r="H19" s="38">
        <f>IF(OR($A19="",$D19=0),"",$G19/$D19)</f>
        <v/>
      </c>
      <c r="I19" s="37">
        <f>IF($A19="","",SUMIFS(tblGastos[Monto],tblGastos[Tipo de gasto],"Fijo",tblGastos[Fecha],"&gt;="&amp;$A19,tblGastos[Fecha],"&lt;"&amp;DATE(YEAR($A19),MONTH($A19)+1,1)))</f>
        <v/>
      </c>
      <c r="J19" s="37">
        <f>IF($A19="","",SUMIFS(tblGastos[Monto],tblGastos[Tipo de gasto],"Variable",tblGastos[Fecha],"&gt;="&amp;$A19,tblGastos[Fecha],"&lt;"&amp;DATE(YEAR($A19),MONTH($A19)+1,1)))</f>
        <v/>
      </c>
      <c r="K19" s="37">
        <f>IF($A19="","",$I19+$J19)</f>
        <v/>
      </c>
      <c r="L19" s="37">
        <f>IF($A19="","",$G19-$K19)</f>
        <v/>
      </c>
      <c r="M19" s="37">
        <f>IF($A19="","",SUMIFS(tblCajaMov[Monto],tblCajaMov[Concepto],"Otro ingreso",tblCajaMov[Fecha],"&gt;="&amp;$A19,tblCajaMov[Fecha],"&lt;"&amp;DATE(YEAR($A19),MONTH($A19)+1,1)))</f>
        <v/>
      </c>
      <c r="N19" s="37">
        <f>IF($A19="","",SUMIFS(tblCajaMov[Monto],tblCajaMov[Concepto],"Otro egreso",tblCajaMov[Fecha],"&gt;="&amp;$A19,tblCajaMov[Fecha],"&lt;"&amp;DATE(YEAR($A19),MONTH($A19)+1,1)))</f>
        <v/>
      </c>
      <c r="O19" s="49">
        <f>IF($A19="","",$L19+$M19-$N19)</f>
        <v/>
      </c>
      <c r="P19" s="38">
        <f>IF(OR($A19="",$D19=0),"",$O19/$D19)</f>
        <v/>
      </c>
      <c r="Q19" s="39">
        <f>IF($A19="","",COUNTIFS(tblVentas[Fecha],"&gt;="&amp;$A19,tblVentas[Fecha],"&lt;"&amp;DATE(YEAR($A19),MONTH($A19)+1,1)))</f>
        <v/>
      </c>
      <c r="R19" s="37">
        <f>IF(OR($A19="",$Q19=0),"",$D19/$Q19)</f>
        <v/>
      </c>
      <c r="S19" s="37">
        <f>IF(OR($A19="",$E19=0),"",$G19/$E19)</f>
        <v/>
      </c>
      <c r="T19" s="37">
        <f>IF($A19="","",SUMIFS(tblGastos[Monto],tblGastos[Categoría],"Publicidad",tblGastos[Fecha],"&gt;="&amp;$A19,tblGastos[Fecha],"&lt;"&amp;DATE(YEAR($A19),MONTH($A19)+1,1)))</f>
        <v/>
      </c>
      <c r="U19" s="60">
        <f>IF(OR($A19="",$T19=0),"",$D19/$T19)</f>
        <v/>
      </c>
      <c r="V19" s="37">
        <f>IF($A19="","",SUMIFS(tblCompras[Costo total de adquisición],tblCompras[Fecha],"&gt;="&amp;$A19,tblCompras[Fecha],"&lt;"&amp;DATE(YEAR($A19),MONTH($A19)+1,1)))</f>
        <v/>
      </c>
      <c r="W19" s="38">
        <f>IF(OR($A19="",($V19+$K19)=0),"",$O19/($V19+$K19))</f>
        <v/>
      </c>
      <c r="X19" s="37">
        <f>IF($A19="","",SUM($D$8:$D19))</f>
        <v/>
      </c>
      <c r="Y19" s="37">
        <f>IF($A19="","",SUM($O$8:$O19))</f>
        <v/>
      </c>
      <c r="AA19" s="51">
        <f>IFERROR(IF(INDEX(tblProductos[SKU],ROW()-7)="","",INDEX(tblProductos[SKU],ROW()-7)),"")</f>
        <v/>
      </c>
      <c r="AB19" s="51">
        <f>IF($AA19="","",IFERROR(IF(INDEX(tblProductos[Nombre del producto],MATCH($AA19,tblProductos[SKU],0))="","",INDEX(tblProductos[Nombre del producto],MATCH($AA19,tblProductos[SKU],0))),"")&amp;IF(IFERROR(IF(INDEX(tblProductos[Presentación],MATCH($AA19,tblProductos[SKU],0))="","",INDEX(tblProductos[Presentación],MATCH($AA19,tblProductos[SKU],0))),"")="",""," · "&amp;IFERROR(IF(INDEX(tblProductos[Presentación],MATCH($AA19,tblProductos[SKU],0))="","",INDEX(tblProductos[Presentación],MATCH($AA19,tblProductos[SKU],0))),"")))</f>
        <v/>
      </c>
      <c r="AC19" s="51">
        <f>IF($AA19="","",IFERROR(IF(INDEX(tblProductos[Categoría],MATCH($AA19,tblProductos[SKU],0))="","",INDEX(tblProductos[Categoría],MATCH($AA19,tblProductos[SKU],0))),""))</f>
        <v/>
      </c>
      <c r="AD19" s="39">
        <f>IF($AA19="","",SUMIFS(tblVentas[Unidades efectivas],tblVentas[SKU],$AA19))</f>
        <v/>
      </c>
      <c r="AE19" s="37">
        <f>IF($AA19="","",SUMIFS(tblVentas[Venta neta],tblVentas[SKU],$AA19))</f>
        <v/>
      </c>
      <c r="AF19" s="37">
        <f>IF($AA19="","",SUMIFS(tblVentas[Costo total],tblVentas[SKU],$AA19))</f>
        <v/>
      </c>
      <c r="AG19" s="37">
        <f>IF($AA19="","",$AE19-$AF19)</f>
        <v/>
      </c>
      <c r="AH19" s="38">
        <f>IF(OR($AA19="",$AE19=0),"",$AG19/$AE19)</f>
        <v/>
      </c>
      <c r="AI19" s="38">
        <f>IF(OR($AA19="",SUM($AE$8:$AE$67)=0),"",$AE19/SUM($AE$8:$AE$67))</f>
        <v/>
      </c>
      <c r="AJ19" s="38">
        <f>IF(OR($AA19="",SUM($AG$8:$AG$67)=0),"",$AG19/SUM($AG$8:$AG$67))</f>
        <v/>
      </c>
      <c r="AK19" s="39">
        <f>IF(OR($AA19="",$AE19=0),"",RANK($AG19,$AG$8:$AG$67))</f>
        <v/>
      </c>
      <c r="AL19" s="39">
        <f>IF(OR($AA19="",$AD19=0),"",RANK($AD19,$AD$8:$AD$67))</f>
        <v/>
      </c>
      <c r="AM19" s="37">
        <f>IF(OR($AA19="",$AD19=0),"",$AG19/$AD19)</f>
        <v/>
      </c>
      <c r="AN19" s="37">
        <f>IF($AA19="","",IFERROR(IF(INDEX(tblProductos[Margen de contribución unitario],MATCH($AA19,tblProductos[SKU],0))="","PENDIENTE",INDEX(tblProductos[Margen de contribución unitario],MATCH($AA19,tblProductos[SKU],0))),"PENDIENTE"))</f>
        <v/>
      </c>
      <c r="AO19" s="60">
        <f>IF(OR($AA19="",NOT(ISNUMBER($AG19))),"",$AG19-ROW()/100000)</f>
        <v/>
      </c>
      <c r="AP19" s="60">
        <f>IF(OR($AA19="",NOT(ISNUMBER($AD19))),"",$AD19-ROW()/100000)</f>
        <v/>
      </c>
      <c r="AR19" s="51">
        <f>IF(CONFIG!$B$34="","",CONFIG!$B$34)</f>
        <v/>
      </c>
      <c r="AS19" s="39">
        <f>IF($AR19="","",SUMIFS(tblVentas[Unidades efectivas],tblVentas[Categoría],$AR19))</f>
        <v/>
      </c>
      <c r="AT19" s="37">
        <f>IF($AR19="","",SUMIFS(tblVentas[Venta neta],tblVentas[Categoría],$AR19))</f>
        <v/>
      </c>
      <c r="AU19" s="37">
        <f>IF($AR19="","",SUMIFS(tblVentas[Costo total],tblVentas[Categoría],$AR19))</f>
        <v/>
      </c>
      <c r="AV19" s="37">
        <f>IF($AR19="","",$AT19-$AU19)</f>
        <v/>
      </c>
      <c r="AW19" s="38">
        <f>IF(OR($AR19="",$AT19=0),"",$AV19/$AT19)</f>
        <v/>
      </c>
      <c r="AX19" s="38">
        <f>IF(OR($AR19="",SUM($AT$8:$AT$22)=0),"",$AT19/SUM($AT$8:$AT$22))</f>
        <v/>
      </c>
      <c r="AZ19" s="51">
        <f>IF(CONFIG!$F$34="","",CONFIG!$F$34)</f>
        <v/>
      </c>
      <c r="BA19" s="39">
        <f>IF($AZ19="","",SUMIFS(tblVentas[Unidades efectivas],tblVentas[Canal],$AZ19))</f>
        <v/>
      </c>
      <c r="BB19" s="37">
        <f>IF($AZ19="","",SUMIFS(tblVentas[Venta neta],tblVentas[Canal],$AZ19))</f>
        <v/>
      </c>
      <c r="BC19" s="37">
        <f>IF($AZ19="","",SUMIFS(tblVentas[Costo total],tblVentas[Canal],$AZ19))</f>
        <v/>
      </c>
      <c r="BD19" s="37">
        <f>IF($AZ19="","",$BB19-$BC19)</f>
        <v/>
      </c>
      <c r="BE19" s="38">
        <f>IF(OR($AZ19="",$BB19=0),"",$BD19/$BB19)</f>
        <v/>
      </c>
      <c r="BF19" s="38">
        <f>IF(OR($AZ19="",SUM($BB$8:$BB$22)=0),"",$BB19/SUM($BB$8:$BB$22))</f>
        <v/>
      </c>
      <c r="BG19" s="37">
        <f>IF($AZ19="","",SUMIFS(tblGastos[Monto],tblGastos[Categoría],"Publicidad",tblGastos[Canal atribuido],$AZ19))</f>
        <v/>
      </c>
      <c r="BH19" s="60">
        <f>IF(OR($AZ19="",$BG19=0),"",$BB19/$BG19)</f>
        <v/>
      </c>
      <c r="BJ19" s="63" t="inlineStr">
        <is>
          <t>Utilidad operativa acumulada</t>
        </is>
      </c>
      <c r="BK19" s="49">
        <f>$L$44</f>
        <v/>
      </c>
      <c r="BL19" s="64" t="inlineStr">
        <is>
          <t>Utilidad bruta − gastos operativos.</t>
        </is>
      </c>
    </row>
    <row r="20">
      <c r="A20" s="55">
        <f>IF(NOT(ISNUMBER(PAR_FECHA_INICIO)),"",DATE(YEAR(PAR_FECHA_INICIO),MONTH(PAR_FECHA_INICIO)+12,1))</f>
        <v/>
      </c>
      <c r="B20" s="37">
        <f>IF($A20="","",SUMIFS(tblVentas[Venta bruta],tblVentas[Fecha],"&gt;="&amp;$A20,tblVentas[Fecha],"&lt;"&amp;DATE(YEAR($A20),MONTH($A20)+1,1)))</f>
        <v/>
      </c>
      <c r="C20" s="37">
        <f>IF($A20="","",SUMIFS(tblVentas[Descuento],tblVentas[Fecha],"&gt;="&amp;$A20,tblVentas[Fecha],"&lt;"&amp;DATE(YEAR($A20),MONTH($A20)+1,1)))</f>
        <v/>
      </c>
      <c r="D20" s="49">
        <f>IF($A20="","",SUMIFS(tblVentas[Venta neta],tblVentas[Fecha],"&gt;="&amp;$A20,tblVentas[Fecha],"&lt;"&amp;DATE(YEAR($A20),MONTH($A20)+1,1)))</f>
        <v/>
      </c>
      <c r="E20" s="39">
        <f>IF($A20="","",SUMIFS(tblVentas[Unidades efectivas],tblVentas[Fecha],"&gt;="&amp;$A20,tblVentas[Fecha],"&lt;"&amp;DATE(YEAR($A20),MONTH($A20)+1,1)))</f>
        <v/>
      </c>
      <c r="F20" s="37">
        <f>IF($A20="","",SUMIFS(tblVentas[Costo total],tblVentas[Fecha],"&gt;="&amp;$A20,tblVentas[Fecha],"&lt;"&amp;DATE(YEAR($A20),MONTH($A20)+1,1)))</f>
        <v/>
      </c>
      <c r="G20" s="49">
        <f>IF($A20="","",$D20-$F20)</f>
        <v/>
      </c>
      <c r="H20" s="38">
        <f>IF(OR($A20="",$D20=0),"",$G20/$D20)</f>
        <v/>
      </c>
      <c r="I20" s="37">
        <f>IF($A20="","",SUMIFS(tblGastos[Monto],tblGastos[Tipo de gasto],"Fijo",tblGastos[Fecha],"&gt;="&amp;$A20,tblGastos[Fecha],"&lt;"&amp;DATE(YEAR($A20),MONTH($A20)+1,1)))</f>
        <v/>
      </c>
      <c r="J20" s="37">
        <f>IF($A20="","",SUMIFS(tblGastos[Monto],tblGastos[Tipo de gasto],"Variable",tblGastos[Fecha],"&gt;="&amp;$A20,tblGastos[Fecha],"&lt;"&amp;DATE(YEAR($A20),MONTH($A20)+1,1)))</f>
        <v/>
      </c>
      <c r="K20" s="37">
        <f>IF($A20="","",$I20+$J20)</f>
        <v/>
      </c>
      <c r="L20" s="37">
        <f>IF($A20="","",$G20-$K20)</f>
        <v/>
      </c>
      <c r="M20" s="37">
        <f>IF($A20="","",SUMIFS(tblCajaMov[Monto],tblCajaMov[Concepto],"Otro ingreso",tblCajaMov[Fecha],"&gt;="&amp;$A20,tblCajaMov[Fecha],"&lt;"&amp;DATE(YEAR($A20),MONTH($A20)+1,1)))</f>
        <v/>
      </c>
      <c r="N20" s="37">
        <f>IF($A20="","",SUMIFS(tblCajaMov[Monto],tblCajaMov[Concepto],"Otro egreso",tblCajaMov[Fecha],"&gt;="&amp;$A20,tblCajaMov[Fecha],"&lt;"&amp;DATE(YEAR($A20),MONTH($A20)+1,1)))</f>
        <v/>
      </c>
      <c r="O20" s="49">
        <f>IF($A20="","",$L20+$M20-$N20)</f>
        <v/>
      </c>
      <c r="P20" s="38">
        <f>IF(OR($A20="",$D20=0),"",$O20/$D20)</f>
        <v/>
      </c>
      <c r="Q20" s="39">
        <f>IF($A20="","",COUNTIFS(tblVentas[Fecha],"&gt;="&amp;$A20,tblVentas[Fecha],"&lt;"&amp;DATE(YEAR($A20),MONTH($A20)+1,1)))</f>
        <v/>
      </c>
      <c r="R20" s="37">
        <f>IF(OR($A20="",$Q20=0),"",$D20/$Q20)</f>
        <v/>
      </c>
      <c r="S20" s="37">
        <f>IF(OR($A20="",$E20=0),"",$G20/$E20)</f>
        <v/>
      </c>
      <c r="T20" s="37">
        <f>IF($A20="","",SUMIFS(tblGastos[Monto],tblGastos[Categoría],"Publicidad",tblGastos[Fecha],"&gt;="&amp;$A20,tblGastos[Fecha],"&lt;"&amp;DATE(YEAR($A20),MONTH($A20)+1,1)))</f>
        <v/>
      </c>
      <c r="U20" s="60">
        <f>IF(OR($A20="",$T20=0),"",$D20/$T20)</f>
        <v/>
      </c>
      <c r="V20" s="37">
        <f>IF($A20="","",SUMIFS(tblCompras[Costo total de adquisición],tblCompras[Fecha],"&gt;="&amp;$A20,tblCompras[Fecha],"&lt;"&amp;DATE(YEAR($A20),MONTH($A20)+1,1)))</f>
        <v/>
      </c>
      <c r="W20" s="38">
        <f>IF(OR($A20="",($V20+$K20)=0),"",$O20/($V20+$K20))</f>
        <v/>
      </c>
      <c r="X20" s="37">
        <f>IF($A20="","",SUM($D$8:$D20))</f>
        <v/>
      </c>
      <c r="Y20" s="37">
        <f>IF($A20="","",SUM($O$8:$O20))</f>
        <v/>
      </c>
      <c r="AA20" s="51">
        <f>IFERROR(IF(INDEX(tblProductos[SKU],ROW()-7)="","",INDEX(tblProductos[SKU],ROW()-7)),"")</f>
        <v/>
      </c>
      <c r="AB20" s="51">
        <f>IF($AA20="","",IFERROR(IF(INDEX(tblProductos[Nombre del producto],MATCH($AA20,tblProductos[SKU],0))="","",INDEX(tblProductos[Nombre del producto],MATCH($AA20,tblProductos[SKU],0))),"")&amp;IF(IFERROR(IF(INDEX(tblProductos[Presentación],MATCH($AA20,tblProductos[SKU],0))="","",INDEX(tblProductos[Presentación],MATCH($AA20,tblProductos[SKU],0))),"")="",""," · "&amp;IFERROR(IF(INDEX(tblProductos[Presentación],MATCH($AA20,tblProductos[SKU],0))="","",INDEX(tblProductos[Presentación],MATCH($AA20,tblProductos[SKU],0))),"")))</f>
        <v/>
      </c>
      <c r="AC20" s="51">
        <f>IF($AA20="","",IFERROR(IF(INDEX(tblProductos[Categoría],MATCH($AA20,tblProductos[SKU],0))="","",INDEX(tblProductos[Categoría],MATCH($AA20,tblProductos[SKU],0))),""))</f>
        <v/>
      </c>
      <c r="AD20" s="39">
        <f>IF($AA20="","",SUMIFS(tblVentas[Unidades efectivas],tblVentas[SKU],$AA20))</f>
        <v/>
      </c>
      <c r="AE20" s="37">
        <f>IF($AA20="","",SUMIFS(tblVentas[Venta neta],tblVentas[SKU],$AA20))</f>
        <v/>
      </c>
      <c r="AF20" s="37">
        <f>IF($AA20="","",SUMIFS(tblVentas[Costo total],tblVentas[SKU],$AA20))</f>
        <v/>
      </c>
      <c r="AG20" s="37">
        <f>IF($AA20="","",$AE20-$AF20)</f>
        <v/>
      </c>
      <c r="AH20" s="38">
        <f>IF(OR($AA20="",$AE20=0),"",$AG20/$AE20)</f>
        <v/>
      </c>
      <c r="AI20" s="38">
        <f>IF(OR($AA20="",SUM($AE$8:$AE$67)=0),"",$AE20/SUM($AE$8:$AE$67))</f>
        <v/>
      </c>
      <c r="AJ20" s="38">
        <f>IF(OR($AA20="",SUM($AG$8:$AG$67)=0),"",$AG20/SUM($AG$8:$AG$67))</f>
        <v/>
      </c>
      <c r="AK20" s="39">
        <f>IF(OR($AA20="",$AE20=0),"",RANK($AG20,$AG$8:$AG$67))</f>
        <v/>
      </c>
      <c r="AL20" s="39">
        <f>IF(OR($AA20="",$AD20=0),"",RANK($AD20,$AD$8:$AD$67))</f>
        <v/>
      </c>
      <c r="AM20" s="37">
        <f>IF(OR($AA20="",$AD20=0),"",$AG20/$AD20)</f>
        <v/>
      </c>
      <c r="AN20" s="37">
        <f>IF($AA20="","",IFERROR(IF(INDEX(tblProductos[Margen de contribución unitario],MATCH($AA20,tblProductos[SKU],0))="","PENDIENTE",INDEX(tblProductos[Margen de contribución unitario],MATCH($AA20,tblProductos[SKU],0))),"PENDIENTE"))</f>
        <v/>
      </c>
      <c r="AO20" s="60">
        <f>IF(OR($AA20="",NOT(ISNUMBER($AG20))),"",$AG20-ROW()/100000)</f>
        <v/>
      </c>
      <c r="AP20" s="60">
        <f>IF(OR($AA20="",NOT(ISNUMBER($AD20))),"",$AD20-ROW()/100000)</f>
        <v/>
      </c>
      <c r="AR20" s="51">
        <f>IF(CONFIG!$B$35="","",CONFIG!$B$35)</f>
        <v/>
      </c>
      <c r="AS20" s="39">
        <f>IF($AR20="","",SUMIFS(tblVentas[Unidades efectivas],tblVentas[Categoría],$AR20))</f>
        <v/>
      </c>
      <c r="AT20" s="37">
        <f>IF($AR20="","",SUMIFS(tblVentas[Venta neta],tblVentas[Categoría],$AR20))</f>
        <v/>
      </c>
      <c r="AU20" s="37">
        <f>IF($AR20="","",SUMIFS(tblVentas[Costo total],tblVentas[Categoría],$AR20))</f>
        <v/>
      </c>
      <c r="AV20" s="37">
        <f>IF($AR20="","",$AT20-$AU20)</f>
        <v/>
      </c>
      <c r="AW20" s="38">
        <f>IF(OR($AR20="",$AT20=0),"",$AV20/$AT20)</f>
        <v/>
      </c>
      <c r="AX20" s="38">
        <f>IF(OR($AR20="",SUM($AT$8:$AT$22)=0),"",$AT20/SUM($AT$8:$AT$22))</f>
        <v/>
      </c>
      <c r="AZ20" s="51">
        <f>IF(CONFIG!$F$35="","",CONFIG!$F$35)</f>
        <v/>
      </c>
      <c r="BA20" s="39">
        <f>IF($AZ20="","",SUMIFS(tblVentas[Unidades efectivas],tblVentas[Canal],$AZ20))</f>
        <v/>
      </c>
      <c r="BB20" s="37">
        <f>IF($AZ20="","",SUMIFS(tblVentas[Venta neta],tblVentas[Canal],$AZ20))</f>
        <v/>
      </c>
      <c r="BC20" s="37">
        <f>IF($AZ20="","",SUMIFS(tblVentas[Costo total],tblVentas[Canal],$AZ20))</f>
        <v/>
      </c>
      <c r="BD20" s="37">
        <f>IF($AZ20="","",$BB20-$BC20)</f>
        <v/>
      </c>
      <c r="BE20" s="38">
        <f>IF(OR($AZ20="",$BB20=0),"",$BD20/$BB20)</f>
        <v/>
      </c>
      <c r="BF20" s="38">
        <f>IF(OR($AZ20="",SUM($BB$8:$BB$22)=0),"",$BB20/SUM($BB$8:$BB$22))</f>
        <v/>
      </c>
      <c r="BG20" s="37">
        <f>IF($AZ20="","",SUMIFS(tblGastos[Monto],tblGastos[Categoría],"Publicidad",tblGastos[Canal atribuido],$AZ20))</f>
        <v/>
      </c>
      <c r="BH20" s="60">
        <f>IF(OR($AZ20="",$BG20=0),"",$BB20/$BG20)</f>
        <v/>
      </c>
      <c r="BJ20" s="67" t="inlineStr">
        <is>
          <t>UTILIDAD NETA ACUMULADA</t>
        </is>
      </c>
      <c r="BK20" s="49">
        <f>$O$44</f>
        <v/>
      </c>
      <c r="BL20" s="64" t="inlineStr">
        <is>
          <t>Utilidad operativa + otros ingresos − otros egresos.</t>
        </is>
      </c>
    </row>
    <row r="21">
      <c r="A21" s="55">
        <f>IF(NOT(ISNUMBER(PAR_FECHA_INICIO)),"",DATE(YEAR(PAR_FECHA_INICIO),MONTH(PAR_FECHA_INICIO)+13,1))</f>
        <v/>
      </c>
      <c r="B21" s="37">
        <f>IF($A21="","",SUMIFS(tblVentas[Venta bruta],tblVentas[Fecha],"&gt;="&amp;$A21,tblVentas[Fecha],"&lt;"&amp;DATE(YEAR($A21),MONTH($A21)+1,1)))</f>
        <v/>
      </c>
      <c r="C21" s="37">
        <f>IF($A21="","",SUMIFS(tblVentas[Descuento],tblVentas[Fecha],"&gt;="&amp;$A21,tblVentas[Fecha],"&lt;"&amp;DATE(YEAR($A21),MONTH($A21)+1,1)))</f>
        <v/>
      </c>
      <c r="D21" s="49">
        <f>IF($A21="","",SUMIFS(tblVentas[Venta neta],tblVentas[Fecha],"&gt;="&amp;$A21,tblVentas[Fecha],"&lt;"&amp;DATE(YEAR($A21),MONTH($A21)+1,1)))</f>
        <v/>
      </c>
      <c r="E21" s="39">
        <f>IF($A21="","",SUMIFS(tblVentas[Unidades efectivas],tblVentas[Fecha],"&gt;="&amp;$A21,tblVentas[Fecha],"&lt;"&amp;DATE(YEAR($A21),MONTH($A21)+1,1)))</f>
        <v/>
      </c>
      <c r="F21" s="37">
        <f>IF($A21="","",SUMIFS(tblVentas[Costo total],tblVentas[Fecha],"&gt;="&amp;$A21,tblVentas[Fecha],"&lt;"&amp;DATE(YEAR($A21),MONTH($A21)+1,1)))</f>
        <v/>
      </c>
      <c r="G21" s="49">
        <f>IF($A21="","",$D21-$F21)</f>
        <v/>
      </c>
      <c r="H21" s="38">
        <f>IF(OR($A21="",$D21=0),"",$G21/$D21)</f>
        <v/>
      </c>
      <c r="I21" s="37">
        <f>IF($A21="","",SUMIFS(tblGastos[Monto],tblGastos[Tipo de gasto],"Fijo",tblGastos[Fecha],"&gt;="&amp;$A21,tblGastos[Fecha],"&lt;"&amp;DATE(YEAR($A21),MONTH($A21)+1,1)))</f>
        <v/>
      </c>
      <c r="J21" s="37">
        <f>IF($A21="","",SUMIFS(tblGastos[Monto],tblGastos[Tipo de gasto],"Variable",tblGastos[Fecha],"&gt;="&amp;$A21,tblGastos[Fecha],"&lt;"&amp;DATE(YEAR($A21),MONTH($A21)+1,1)))</f>
        <v/>
      </c>
      <c r="K21" s="37">
        <f>IF($A21="","",$I21+$J21)</f>
        <v/>
      </c>
      <c r="L21" s="37">
        <f>IF($A21="","",$G21-$K21)</f>
        <v/>
      </c>
      <c r="M21" s="37">
        <f>IF($A21="","",SUMIFS(tblCajaMov[Monto],tblCajaMov[Concepto],"Otro ingreso",tblCajaMov[Fecha],"&gt;="&amp;$A21,tblCajaMov[Fecha],"&lt;"&amp;DATE(YEAR($A21),MONTH($A21)+1,1)))</f>
        <v/>
      </c>
      <c r="N21" s="37">
        <f>IF($A21="","",SUMIFS(tblCajaMov[Monto],tblCajaMov[Concepto],"Otro egreso",tblCajaMov[Fecha],"&gt;="&amp;$A21,tblCajaMov[Fecha],"&lt;"&amp;DATE(YEAR($A21),MONTH($A21)+1,1)))</f>
        <v/>
      </c>
      <c r="O21" s="49">
        <f>IF($A21="","",$L21+$M21-$N21)</f>
        <v/>
      </c>
      <c r="P21" s="38">
        <f>IF(OR($A21="",$D21=0),"",$O21/$D21)</f>
        <v/>
      </c>
      <c r="Q21" s="39">
        <f>IF($A21="","",COUNTIFS(tblVentas[Fecha],"&gt;="&amp;$A21,tblVentas[Fecha],"&lt;"&amp;DATE(YEAR($A21),MONTH($A21)+1,1)))</f>
        <v/>
      </c>
      <c r="R21" s="37">
        <f>IF(OR($A21="",$Q21=0),"",$D21/$Q21)</f>
        <v/>
      </c>
      <c r="S21" s="37">
        <f>IF(OR($A21="",$E21=0),"",$G21/$E21)</f>
        <v/>
      </c>
      <c r="T21" s="37">
        <f>IF($A21="","",SUMIFS(tblGastos[Monto],tblGastos[Categoría],"Publicidad",tblGastos[Fecha],"&gt;="&amp;$A21,tblGastos[Fecha],"&lt;"&amp;DATE(YEAR($A21),MONTH($A21)+1,1)))</f>
        <v/>
      </c>
      <c r="U21" s="60">
        <f>IF(OR($A21="",$T21=0),"",$D21/$T21)</f>
        <v/>
      </c>
      <c r="V21" s="37">
        <f>IF($A21="","",SUMIFS(tblCompras[Costo total de adquisición],tblCompras[Fecha],"&gt;="&amp;$A21,tblCompras[Fecha],"&lt;"&amp;DATE(YEAR($A21),MONTH($A21)+1,1)))</f>
        <v/>
      </c>
      <c r="W21" s="38">
        <f>IF(OR($A21="",($V21+$K21)=0),"",$O21/($V21+$K21))</f>
        <v/>
      </c>
      <c r="X21" s="37">
        <f>IF($A21="","",SUM($D$8:$D21))</f>
        <v/>
      </c>
      <c r="Y21" s="37">
        <f>IF($A21="","",SUM($O$8:$O21))</f>
        <v/>
      </c>
      <c r="AA21" s="51">
        <f>IFERROR(IF(INDEX(tblProductos[SKU],ROW()-7)="","",INDEX(tblProductos[SKU],ROW()-7)),"")</f>
        <v/>
      </c>
      <c r="AB21" s="51">
        <f>IF($AA21="","",IFERROR(IF(INDEX(tblProductos[Nombre del producto],MATCH($AA21,tblProductos[SKU],0))="","",INDEX(tblProductos[Nombre del producto],MATCH($AA21,tblProductos[SKU],0))),"")&amp;IF(IFERROR(IF(INDEX(tblProductos[Presentación],MATCH($AA21,tblProductos[SKU],0))="","",INDEX(tblProductos[Presentación],MATCH($AA21,tblProductos[SKU],0))),"")="",""," · "&amp;IFERROR(IF(INDEX(tblProductos[Presentación],MATCH($AA21,tblProductos[SKU],0))="","",INDEX(tblProductos[Presentación],MATCH($AA21,tblProductos[SKU],0))),"")))</f>
        <v/>
      </c>
      <c r="AC21" s="51">
        <f>IF($AA21="","",IFERROR(IF(INDEX(tblProductos[Categoría],MATCH($AA21,tblProductos[SKU],0))="","",INDEX(tblProductos[Categoría],MATCH($AA21,tblProductos[SKU],0))),""))</f>
        <v/>
      </c>
      <c r="AD21" s="39">
        <f>IF($AA21="","",SUMIFS(tblVentas[Unidades efectivas],tblVentas[SKU],$AA21))</f>
        <v/>
      </c>
      <c r="AE21" s="37">
        <f>IF($AA21="","",SUMIFS(tblVentas[Venta neta],tblVentas[SKU],$AA21))</f>
        <v/>
      </c>
      <c r="AF21" s="37">
        <f>IF($AA21="","",SUMIFS(tblVentas[Costo total],tblVentas[SKU],$AA21))</f>
        <v/>
      </c>
      <c r="AG21" s="37">
        <f>IF($AA21="","",$AE21-$AF21)</f>
        <v/>
      </c>
      <c r="AH21" s="38">
        <f>IF(OR($AA21="",$AE21=0),"",$AG21/$AE21)</f>
        <v/>
      </c>
      <c r="AI21" s="38">
        <f>IF(OR($AA21="",SUM($AE$8:$AE$67)=0),"",$AE21/SUM($AE$8:$AE$67))</f>
        <v/>
      </c>
      <c r="AJ21" s="38">
        <f>IF(OR($AA21="",SUM($AG$8:$AG$67)=0),"",$AG21/SUM($AG$8:$AG$67))</f>
        <v/>
      </c>
      <c r="AK21" s="39">
        <f>IF(OR($AA21="",$AE21=0),"",RANK($AG21,$AG$8:$AG$67))</f>
        <v/>
      </c>
      <c r="AL21" s="39">
        <f>IF(OR($AA21="",$AD21=0),"",RANK($AD21,$AD$8:$AD$67))</f>
        <v/>
      </c>
      <c r="AM21" s="37">
        <f>IF(OR($AA21="",$AD21=0),"",$AG21/$AD21)</f>
        <v/>
      </c>
      <c r="AN21" s="37">
        <f>IF($AA21="","",IFERROR(IF(INDEX(tblProductos[Margen de contribución unitario],MATCH($AA21,tblProductos[SKU],0))="","PENDIENTE",INDEX(tblProductos[Margen de contribución unitario],MATCH($AA21,tblProductos[SKU],0))),"PENDIENTE"))</f>
        <v/>
      </c>
      <c r="AO21" s="60">
        <f>IF(OR($AA21="",NOT(ISNUMBER($AG21))),"",$AG21-ROW()/100000)</f>
        <v/>
      </c>
      <c r="AP21" s="60">
        <f>IF(OR($AA21="",NOT(ISNUMBER($AD21))),"",$AD21-ROW()/100000)</f>
        <v/>
      </c>
      <c r="AR21" s="51">
        <f>IF(CONFIG!$B$36="","",CONFIG!$B$36)</f>
        <v/>
      </c>
      <c r="AS21" s="39">
        <f>IF($AR21="","",SUMIFS(tblVentas[Unidades efectivas],tblVentas[Categoría],$AR21))</f>
        <v/>
      </c>
      <c r="AT21" s="37">
        <f>IF($AR21="","",SUMIFS(tblVentas[Venta neta],tblVentas[Categoría],$AR21))</f>
        <v/>
      </c>
      <c r="AU21" s="37">
        <f>IF($AR21="","",SUMIFS(tblVentas[Costo total],tblVentas[Categoría],$AR21))</f>
        <v/>
      </c>
      <c r="AV21" s="37">
        <f>IF($AR21="","",$AT21-$AU21)</f>
        <v/>
      </c>
      <c r="AW21" s="38">
        <f>IF(OR($AR21="",$AT21=0),"",$AV21/$AT21)</f>
        <v/>
      </c>
      <c r="AX21" s="38">
        <f>IF(OR($AR21="",SUM($AT$8:$AT$22)=0),"",$AT21/SUM($AT$8:$AT$22))</f>
        <v/>
      </c>
      <c r="AZ21" s="51">
        <f>IF(CONFIG!$F$36="","",CONFIG!$F$36)</f>
        <v/>
      </c>
      <c r="BA21" s="39">
        <f>IF($AZ21="","",SUMIFS(tblVentas[Unidades efectivas],tblVentas[Canal],$AZ21))</f>
        <v/>
      </c>
      <c r="BB21" s="37">
        <f>IF($AZ21="","",SUMIFS(tblVentas[Venta neta],tblVentas[Canal],$AZ21))</f>
        <v/>
      </c>
      <c r="BC21" s="37">
        <f>IF($AZ21="","",SUMIFS(tblVentas[Costo total],tblVentas[Canal],$AZ21))</f>
        <v/>
      </c>
      <c r="BD21" s="37">
        <f>IF($AZ21="","",$BB21-$BC21)</f>
        <v/>
      </c>
      <c r="BE21" s="38">
        <f>IF(OR($AZ21="",$BB21=0),"",$BD21/$BB21)</f>
        <v/>
      </c>
      <c r="BF21" s="38">
        <f>IF(OR($AZ21="",SUM($BB$8:$BB$22)=0),"",$BB21/SUM($BB$8:$BB$22))</f>
        <v/>
      </c>
      <c r="BG21" s="37">
        <f>IF($AZ21="","",SUMIFS(tblGastos[Monto],tblGastos[Categoría],"Publicidad",tblGastos[Canal atribuido],$AZ21))</f>
        <v/>
      </c>
      <c r="BH21" s="60">
        <f>IF(OR($AZ21="",$BG21=0),"",$BB21/$BG21)</f>
        <v/>
      </c>
      <c r="BJ21" s="63" t="inlineStr">
        <is>
          <t>Margen neto %</t>
        </is>
      </c>
      <c r="BK21" s="66">
        <f>$P$44</f>
        <v/>
      </c>
      <c r="BL21" s="64" t="inlineStr">
        <is>
          <t>Utilidad neta ÷ ventas netas.</t>
        </is>
      </c>
    </row>
    <row r="22">
      <c r="A22" s="55">
        <f>IF(NOT(ISNUMBER(PAR_FECHA_INICIO)),"",DATE(YEAR(PAR_FECHA_INICIO),MONTH(PAR_FECHA_INICIO)+14,1))</f>
        <v/>
      </c>
      <c r="B22" s="37">
        <f>IF($A22="","",SUMIFS(tblVentas[Venta bruta],tblVentas[Fecha],"&gt;="&amp;$A22,tblVentas[Fecha],"&lt;"&amp;DATE(YEAR($A22),MONTH($A22)+1,1)))</f>
        <v/>
      </c>
      <c r="C22" s="37">
        <f>IF($A22="","",SUMIFS(tblVentas[Descuento],tblVentas[Fecha],"&gt;="&amp;$A22,tblVentas[Fecha],"&lt;"&amp;DATE(YEAR($A22),MONTH($A22)+1,1)))</f>
        <v/>
      </c>
      <c r="D22" s="49">
        <f>IF($A22="","",SUMIFS(tblVentas[Venta neta],tblVentas[Fecha],"&gt;="&amp;$A22,tblVentas[Fecha],"&lt;"&amp;DATE(YEAR($A22),MONTH($A22)+1,1)))</f>
        <v/>
      </c>
      <c r="E22" s="39">
        <f>IF($A22="","",SUMIFS(tblVentas[Unidades efectivas],tblVentas[Fecha],"&gt;="&amp;$A22,tblVentas[Fecha],"&lt;"&amp;DATE(YEAR($A22),MONTH($A22)+1,1)))</f>
        <v/>
      </c>
      <c r="F22" s="37">
        <f>IF($A22="","",SUMIFS(tblVentas[Costo total],tblVentas[Fecha],"&gt;="&amp;$A22,tblVentas[Fecha],"&lt;"&amp;DATE(YEAR($A22),MONTH($A22)+1,1)))</f>
        <v/>
      </c>
      <c r="G22" s="49">
        <f>IF($A22="","",$D22-$F22)</f>
        <v/>
      </c>
      <c r="H22" s="38">
        <f>IF(OR($A22="",$D22=0),"",$G22/$D22)</f>
        <v/>
      </c>
      <c r="I22" s="37">
        <f>IF($A22="","",SUMIFS(tblGastos[Monto],tblGastos[Tipo de gasto],"Fijo",tblGastos[Fecha],"&gt;="&amp;$A22,tblGastos[Fecha],"&lt;"&amp;DATE(YEAR($A22),MONTH($A22)+1,1)))</f>
        <v/>
      </c>
      <c r="J22" s="37">
        <f>IF($A22="","",SUMIFS(tblGastos[Monto],tblGastos[Tipo de gasto],"Variable",tblGastos[Fecha],"&gt;="&amp;$A22,tblGastos[Fecha],"&lt;"&amp;DATE(YEAR($A22),MONTH($A22)+1,1)))</f>
        <v/>
      </c>
      <c r="K22" s="37">
        <f>IF($A22="","",$I22+$J22)</f>
        <v/>
      </c>
      <c r="L22" s="37">
        <f>IF($A22="","",$G22-$K22)</f>
        <v/>
      </c>
      <c r="M22" s="37">
        <f>IF($A22="","",SUMIFS(tblCajaMov[Monto],tblCajaMov[Concepto],"Otro ingreso",tblCajaMov[Fecha],"&gt;="&amp;$A22,tblCajaMov[Fecha],"&lt;"&amp;DATE(YEAR($A22),MONTH($A22)+1,1)))</f>
        <v/>
      </c>
      <c r="N22" s="37">
        <f>IF($A22="","",SUMIFS(tblCajaMov[Monto],tblCajaMov[Concepto],"Otro egreso",tblCajaMov[Fecha],"&gt;="&amp;$A22,tblCajaMov[Fecha],"&lt;"&amp;DATE(YEAR($A22),MONTH($A22)+1,1)))</f>
        <v/>
      </c>
      <c r="O22" s="49">
        <f>IF($A22="","",$L22+$M22-$N22)</f>
        <v/>
      </c>
      <c r="P22" s="38">
        <f>IF(OR($A22="",$D22=0),"",$O22/$D22)</f>
        <v/>
      </c>
      <c r="Q22" s="39">
        <f>IF($A22="","",COUNTIFS(tblVentas[Fecha],"&gt;="&amp;$A22,tblVentas[Fecha],"&lt;"&amp;DATE(YEAR($A22),MONTH($A22)+1,1)))</f>
        <v/>
      </c>
      <c r="R22" s="37">
        <f>IF(OR($A22="",$Q22=0),"",$D22/$Q22)</f>
        <v/>
      </c>
      <c r="S22" s="37">
        <f>IF(OR($A22="",$E22=0),"",$G22/$E22)</f>
        <v/>
      </c>
      <c r="T22" s="37">
        <f>IF($A22="","",SUMIFS(tblGastos[Monto],tblGastos[Categoría],"Publicidad",tblGastos[Fecha],"&gt;="&amp;$A22,tblGastos[Fecha],"&lt;"&amp;DATE(YEAR($A22),MONTH($A22)+1,1)))</f>
        <v/>
      </c>
      <c r="U22" s="60">
        <f>IF(OR($A22="",$T22=0),"",$D22/$T22)</f>
        <v/>
      </c>
      <c r="V22" s="37">
        <f>IF($A22="","",SUMIFS(tblCompras[Costo total de adquisición],tblCompras[Fecha],"&gt;="&amp;$A22,tblCompras[Fecha],"&lt;"&amp;DATE(YEAR($A22),MONTH($A22)+1,1)))</f>
        <v/>
      </c>
      <c r="W22" s="38">
        <f>IF(OR($A22="",($V22+$K22)=0),"",$O22/($V22+$K22))</f>
        <v/>
      </c>
      <c r="X22" s="37">
        <f>IF($A22="","",SUM($D$8:$D22))</f>
        <v/>
      </c>
      <c r="Y22" s="37">
        <f>IF($A22="","",SUM($O$8:$O22))</f>
        <v/>
      </c>
      <c r="AA22" s="51">
        <f>IFERROR(IF(INDEX(tblProductos[SKU],ROW()-7)="","",INDEX(tblProductos[SKU],ROW()-7)),"")</f>
        <v/>
      </c>
      <c r="AB22" s="51">
        <f>IF($AA22="","",IFERROR(IF(INDEX(tblProductos[Nombre del producto],MATCH($AA22,tblProductos[SKU],0))="","",INDEX(tblProductos[Nombre del producto],MATCH($AA22,tblProductos[SKU],0))),"")&amp;IF(IFERROR(IF(INDEX(tblProductos[Presentación],MATCH($AA22,tblProductos[SKU],0))="","",INDEX(tblProductos[Presentación],MATCH($AA22,tblProductos[SKU],0))),"")="",""," · "&amp;IFERROR(IF(INDEX(tblProductos[Presentación],MATCH($AA22,tblProductos[SKU],0))="","",INDEX(tblProductos[Presentación],MATCH($AA22,tblProductos[SKU],0))),"")))</f>
        <v/>
      </c>
      <c r="AC22" s="51">
        <f>IF($AA22="","",IFERROR(IF(INDEX(tblProductos[Categoría],MATCH($AA22,tblProductos[SKU],0))="","",INDEX(tblProductos[Categoría],MATCH($AA22,tblProductos[SKU],0))),""))</f>
        <v/>
      </c>
      <c r="AD22" s="39">
        <f>IF($AA22="","",SUMIFS(tblVentas[Unidades efectivas],tblVentas[SKU],$AA22))</f>
        <v/>
      </c>
      <c r="AE22" s="37">
        <f>IF($AA22="","",SUMIFS(tblVentas[Venta neta],tblVentas[SKU],$AA22))</f>
        <v/>
      </c>
      <c r="AF22" s="37">
        <f>IF($AA22="","",SUMIFS(tblVentas[Costo total],tblVentas[SKU],$AA22))</f>
        <v/>
      </c>
      <c r="AG22" s="37">
        <f>IF($AA22="","",$AE22-$AF22)</f>
        <v/>
      </c>
      <c r="AH22" s="38">
        <f>IF(OR($AA22="",$AE22=0),"",$AG22/$AE22)</f>
        <v/>
      </c>
      <c r="AI22" s="38">
        <f>IF(OR($AA22="",SUM($AE$8:$AE$67)=0),"",$AE22/SUM($AE$8:$AE$67))</f>
        <v/>
      </c>
      <c r="AJ22" s="38">
        <f>IF(OR($AA22="",SUM($AG$8:$AG$67)=0),"",$AG22/SUM($AG$8:$AG$67))</f>
        <v/>
      </c>
      <c r="AK22" s="39">
        <f>IF(OR($AA22="",$AE22=0),"",RANK($AG22,$AG$8:$AG$67))</f>
        <v/>
      </c>
      <c r="AL22" s="39">
        <f>IF(OR($AA22="",$AD22=0),"",RANK($AD22,$AD$8:$AD$67))</f>
        <v/>
      </c>
      <c r="AM22" s="37">
        <f>IF(OR($AA22="",$AD22=0),"",$AG22/$AD22)</f>
        <v/>
      </c>
      <c r="AN22" s="37">
        <f>IF($AA22="","",IFERROR(IF(INDEX(tblProductos[Margen de contribución unitario],MATCH($AA22,tblProductos[SKU],0))="","PENDIENTE",INDEX(tblProductos[Margen de contribución unitario],MATCH($AA22,tblProductos[SKU],0))),"PENDIENTE"))</f>
        <v/>
      </c>
      <c r="AO22" s="60">
        <f>IF(OR($AA22="",NOT(ISNUMBER($AG22))),"",$AG22-ROW()/100000)</f>
        <v/>
      </c>
      <c r="AP22" s="60">
        <f>IF(OR($AA22="",NOT(ISNUMBER($AD22))),"",$AD22-ROW()/100000)</f>
        <v/>
      </c>
      <c r="AR22" s="51">
        <f>IF(CONFIG!$B$37="","",CONFIG!$B$37)</f>
        <v/>
      </c>
      <c r="AS22" s="39">
        <f>IF($AR22="","",SUMIFS(tblVentas[Unidades efectivas],tblVentas[Categoría],$AR22))</f>
        <v/>
      </c>
      <c r="AT22" s="37">
        <f>IF($AR22="","",SUMIFS(tblVentas[Venta neta],tblVentas[Categoría],$AR22))</f>
        <v/>
      </c>
      <c r="AU22" s="37">
        <f>IF($AR22="","",SUMIFS(tblVentas[Costo total],tblVentas[Categoría],$AR22))</f>
        <v/>
      </c>
      <c r="AV22" s="37">
        <f>IF($AR22="","",$AT22-$AU22)</f>
        <v/>
      </c>
      <c r="AW22" s="38">
        <f>IF(OR($AR22="",$AT22=0),"",$AV22/$AT22)</f>
        <v/>
      </c>
      <c r="AX22" s="38">
        <f>IF(OR($AR22="",SUM($AT$8:$AT$22)=0),"",$AT22/SUM($AT$8:$AT$22))</f>
        <v/>
      </c>
      <c r="AZ22" s="51">
        <f>IF(CONFIG!$F$37="","",CONFIG!$F$37)</f>
        <v/>
      </c>
      <c r="BA22" s="39">
        <f>IF($AZ22="","",SUMIFS(tblVentas[Unidades efectivas],tblVentas[Canal],$AZ22))</f>
        <v/>
      </c>
      <c r="BB22" s="37">
        <f>IF($AZ22="","",SUMIFS(tblVentas[Venta neta],tblVentas[Canal],$AZ22))</f>
        <v/>
      </c>
      <c r="BC22" s="37">
        <f>IF($AZ22="","",SUMIFS(tblVentas[Costo total],tblVentas[Canal],$AZ22))</f>
        <v/>
      </c>
      <c r="BD22" s="37">
        <f>IF($AZ22="","",$BB22-$BC22)</f>
        <v/>
      </c>
      <c r="BE22" s="38">
        <f>IF(OR($AZ22="",$BB22=0),"",$BD22/$BB22)</f>
        <v/>
      </c>
      <c r="BF22" s="38">
        <f>IF(OR($AZ22="",SUM($BB$8:$BB$22)=0),"",$BB22/SUM($BB$8:$BB$22))</f>
        <v/>
      </c>
      <c r="BG22" s="37">
        <f>IF($AZ22="","",SUMIFS(tblGastos[Monto],tblGastos[Categoría],"Publicidad",tblGastos[Canal atribuido],$AZ22))</f>
        <v/>
      </c>
      <c r="BH22" s="60">
        <f>IF(OR($AZ22="",$BG22=0),"",$BB22/$BG22)</f>
        <v/>
      </c>
      <c r="BJ22" s="61" t="inlineStr">
        <is>
          <t>INVERSIÓN, CAPITAL Y RETORNO</t>
        </is>
      </c>
      <c r="BK22" s="62" t="n"/>
      <c r="BL22" s="62" t="n"/>
    </row>
    <row r="23">
      <c r="A23" s="55">
        <f>IF(NOT(ISNUMBER(PAR_FECHA_INICIO)),"",DATE(YEAR(PAR_FECHA_INICIO),MONTH(PAR_FECHA_INICIO)+15,1))</f>
        <v/>
      </c>
      <c r="B23" s="37">
        <f>IF($A23="","",SUMIFS(tblVentas[Venta bruta],tblVentas[Fecha],"&gt;="&amp;$A23,tblVentas[Fecha],"&lt;"&amp;DATE(YEAR($A23),MONTH($A23)+1,1)))</f>
        <v/>
      </c>
      <c r="C23" s="37">
        <f>IF($A23="","",SUMIFS(tblVentas[Descuento],tblVentas[Fecha],"&gt;="&amp;$A23,tblVentas[Fecha],"&lt;"&amp;DATE(YEAR($A23),MONTH($A23)+1,1)))</f>
        <v/>
      </c>
      <c r="D23" s="49">
        <f>IF($A23="","",SUMIFS(tblVentas[Venta neta],tblVentas[Fecha],"&gt;="&amp;$A23,tblVentas[Fecha],"&lt;"&amp;DATE(YEAR($A23),MONTH($A23)+1,1)))</f>
        <v/>
      </c>
      <c r="E23" s="39">
        <f>IF($A23="","",SUMIFS(tblVentas[Unidades efectivas],tblVentas[Fecha],"&gt;="&amp;$A23,tblVentas[Fecha],"&lt;"&amp;DATE(YEAR($A23),MONTH($A23)+1,1)))</f>
        <v/>
      </c>
      <c r="F23" s="37">
        <f>IF($A23="","",SUMIFS(tblVentas[Costo total],tblVentas[Fecha],"&gt;="&amp;$A23,tblVentas[Fecha],"&lt;"&amp;DATE(YEAR($A23),MONTH($A23)+1,1)))</f>
        <v/>
      </c>
      <c r="G23" s="49">
        <f>IF($A23="","",$D23-$F23)</f>
        <v/>
      </c>
      <c r="H23" s="38">
        <f>IF(OR($A23="",$D23=0),"",$G23/$D23)</f>
        <v/>
      </c>
      <c r="I23" s="37">
        <f>IF($A23="","",SUMIFS(tblGastos[Monto],tblGastos[Tipo de gasto],"Fijo",tblGastos[Fecha],"&gt;="&amp;$A23,tblGastos[Fecha],"&lt;"&amp;DATE(YEAR($A23),MONTH($A23)+1,1)))</f>
        <v/>
      </c>
      <c r="J23" s="37">
        <f>IF($A23="","",SUMIFS(tblGastos[Monto],tblGastos[Tipo de gasto],"Variable",tblGastos[Fecha],"&gt;="&amp;$A23,tblGastos[Fecha],"&lt;"&amp;DATE(YEAR($A23),MONTH($A23)+1,1)))</f>
        <v/>
      </c>
      <c r="K23" s="37">
        <f>IF($A23="","",$I23+$J23)</f>
        <v/>
      </c>
      <c r="L23" s="37">
        <f>IF($A23="","",$G23-$K23)</f>
        <v/>
      </c>
      <c r="M23" s="37">
        <f>IF($A23="","",SUMIFS(tblCajaMov[Monto],tblCajaMov[Concepto],"Otro ingreso",tblCajaMov[Fecha],"&gt;="&amp;$A23,tblCajaMov[Fecha],"&lt;"&amp;DATE(YEAR($A23),MONTH($A23)+1,1)))</f>
        <v/>
      </c>
      <c r="N23" s="37">
        <f>IF($A23="","",SUMIFS(tblCajaMov[Monto],tblCajaMov[Concepto],"Otro egreso",tblCajaMov[Fecha],"&gt;="&amp;$A23,tblCajaMov[Fecha],"&lt;"&amp;DATE(YEAR($A23),MONTH($A23)+1,1)))</f>
        <v/>
      </c>
      <c r="O23" s="49">
        <f>IF($A23="","",$L23+$M23-$N23)</f>
        <v/>
      </c>
      <c r="P23" s="38">
        <f>IF(OR($A23="",$D23=0),"",$O23/$D23)</f>
        <v/>
      </c>
      <c r="Q23" s="39">
        <f>IF($A23="","",COUNTIFS(tblVentas[Fecha],"&gt;="&amp;$A23,tblVentas[Fecha],"&lt;"&amp;DATE(YEAR($A23),MONTH($A23)+1,1)))</f>
        <v/>
      </c>
      <c r="R23" s="37">
        <f>IF(OR($A23="",$Q23=0),"",$D23/$Q23)</f>
        <v/>
      </c>
      <c r="S23" s="37">
        <f>IF(OR($A23="",$E23=0),"",$G23/$E23)</f>
        <v/>
      </c>
      <c r="T23" s="37">
        <f>IF($A23="","",SUMIFS(tblGastos[Monto],tblGastos[Categoría],"Publicidad",tblGastos[Fecha],"&gt;="&amp;$A23,tblGastos[Fecha],"&lt;"&amp;DATE(YEAR($A23),MONTH($A23)+1,1)))</f>
        <v/>
      </c>
      <c r="U23" s="60">
        <f>IF(OR($A23="",$T23=0),"",$D23/$T23)</f>
        <v/>
      </c>
      <c r="V23" s="37">
        <f>IF($A23="","",SUMIFS(tblCompras[Costo total de adquisición],tblCompras[Fecha],"&gt;="&amp;$A23,tblCompras[Fecha],"&lt;"&amp;DATE(YEAR($A23),MONTH($A23)+1,1)))</f>
        <v/>
      </c>
      <c r="W23" s="38">
        <f>IF(OR($A23="",($V23+$K23)=0),"",$O23/($V23+$K23))</f>
        <v/>
      </c>
      <c r="X23" s="37">
        <f>IF($A23="","",SUM($D$8:$D23))</f>
        <v/>
      </c>
      <c r="Y23" s="37">
        <f>IF($A23="","",SUM($O$8:$O23))</f>
        <v/>
      </c>
      <c r="AA23" s="51">
        <f>IFERROR(IF(INDEX(tblProductos[SKU],ROW()-7)="","",INDEX(tblProductos[SKU],ROW()-7)),"")</f>
        <v/>
      </c>
      <c r="AB23" s="51">
        <f>IF($AA23="","",IFERROR(IF(INDEX(tblProductos[Nombre del producto],MATCH($AA23,tblProductos[SKU],0))="","",INDEX(tblProductos[Nombre del producto],MATCH($AA23,tblProductos[SKU],0))),"")&amp;IF(IFERROR(IF(INDEX(tblProductos[Presentación],MATCH($AA23,tblProductos[SKU],0))="","",INDEX(tblProductos[Presentación],MATCH($AA23,tblProductos[SKU],0))),"")="",""," · "&amp;IFERROR(IF(INDEX(tblProductos[Presentación],MATCH($AA23,tblProductos[SKU],0))="","",INDEX(tblProductos[Presentación],MATCH($AA23,tblProductos[SKU],0))),"")))</f>
        <v/>
      </c>
      <c r="AC23" s="51">
        <f>IF($AA23="","",IFERROR(IF(INDEX(tblProductos[Categoría],MATCH($AA23,tblProductos[SKU],0))="","",INDEX(tblProductos[Categoría],MATCH($AA23,tblProductos[SKU],0))),""))</f>
        <v/>
      </c>
      <c r="AD23" s="39">
        <f>IF($AA23="","",SUMIFS(tblVentas[Unidades efectivas],tblVentas[SKU],$AA23))</f>
        <v/>
      </c>
      <c r="AE23" s="37">
        <f>IF($AA23="","",SUMIFS(tblVentas[Venta neta],tblVentas[SKU],$AA23))</f>
        <v/>
      </c>
      <c r="AF23" s="37">
        <f>IF($AA23="","",SUMIFS(tblVentas[Costo total],tblVentas[SKU],$AA23))</f>
        <v/>
      </c>
      <c r="AG23" s="37">
        <f>IF($AA23="","",$AE23-$AF23)</f>
        <v/>
      </c>
      <c r="AH23" s="38">
        <f>IF(OR($AA23="",$AE23=0),"",$AG23/$AE23)</f>
        <v/>
      </c>
      <c r="AI23" s="38">
        <f>IF(OR($AA23="",SUM($AE$8:$AE$67)=0),"",$AE23/SUM($AE$8:$AE$67))</f>
        <v/>
      </c>
      <c r="AJ23" s="38">
        <f>IF(OR($AA23="",SUM($AG$8:$AG$67)=0),"",$AG23/SUM($AG$8:$AG$67))</f>
        <v/>
      </c>
      <c r="AK23" s="39">
        <f>IF(OR($AA23="",$AE23=0),"",RANK($AG23,$AG$8:$AG$67))</f>
        <v/>
      </c>
      <c r="AL23" s="39">
        <f>IF(OR($AA23="",$AD23=0),"",RANK($AD23,$AD$8:$AD$67))</f>
        <v/>
      </c>
      <c r="AM23" s="37">
        <f>IF(OR($AA23="",$AD23=0),"",$AG23/$AD23)</f>
        <v/>
      </c>
      <c r="AN23" s="37">
        <f>IF($AA23="","",IFERROR(IF(INDEX(tblProductos[Margen de contribución unitario],MATCH($AA23,tblProductos[SKU],0))="","PENDIENTE",INDEX(tblProductos[Margen de contribución unitario],MATCH($AA23,tblProductos[SKU],0))),"PENDIENTE"))</f>
        <v/>
      </c>
      <c r="AO23" s="60">
        <f>IF(OR($AA23="",NOT(ISNUMBER($AG23))),"",$AG23-ROW()/100000)</f>
        <v/>
      </c>
      <c r="AP23" s="60">
        <f>IF(OR($AA23="",NOT(ISNUMBER($AD23))),"",$AD23-ROW()/100000)</f>
        <v/>
      </c>
      <c r="BJ23" s="63" t="inlineStr">
        <is>
          <t>Compras acumuladas (costo de adquisición)</t>
        </is>
      </c>
      <c r="BK23" s="49">
        <f>SUM(tblCompras[Costo total de adquisición])</f>
        <v/>
      </c>
      <c r="BL23" s="64" t="inlineStr">
        <is>
          <t>Todo lo invertido en mercadería, incluyendo transporte e impuestos.</t>
        </is>
      </c>
    </row>
    <row r="24">
      <c r="A24" s="55">
        <f>IF(NOT(ISNUMBER(PAR_FECHA_INICIO)),"",DATE(YEAR(PAR_FECHA_INICIO),MONTH(PAR_FECHA_INICIO)+16,1))</f>
        <v/>
      </c>
      <c r="B24" s="37">
        <f>IF($A24="","",SUMIFS(tblVentas[Venta bruta],tblVentas[Fecha],"&gt;="&amp;$A24,tblVentas[Fecha],"&lt;"&amp;DATE(YEAR($A24),MONTH($A24)+1,1)))</f>
        <v/>
      </c>
      <c r="C24" s="37">
        <f>IF($A24="","",SUMIFS(tblVentas[Descuento],tblVentas[Fecha],"&gt;="&amp;$A24,tblVentas[Fecha],"&lt;"&amp;DATE(YEAR($A24),MONTH($A24)+1,1)))</f>
        <v/>
      </c>
      <c r="D24" s="49">
        <f>IF($A24="","",SUMIFS(tblVentas[Venta neta],tblVentas[Fecha],"&gt;="&amp;$A24,tblVentas[Fecha],"&lt;"&amp;DATE(YEAR($A24),MONTH($A24)+1,1)))</f>
        <v/>
      </c>
      <c r="E24" s="39">
        <f>IF($A24="","",SUMIFS(tblVentas[Unidades efectivas],tblVentas[Fecha],"&gt;="&amp;$A24,tblVentas[Fecha],"&lt;"&amp;DATE(YEAR($A24),MONTH($A24)+1,1)))</f>
        <v/>
      </c>
      <c r="F24" s="37">
        <f>IF($A24="","",SUMIFS(tblVentas[Costo total],tblVentas[Fecha],"&gt;="&amp;$A24,tblVentas[Fecha],"&lt;"&amp;DATE(YEAR($A24),MONTH($A24)+1,1)))</f>
        <v/>
      </c>
      <c r="G24" s="49">
        <f>IF($A24="","",$D24-$F24)</f>
        <v/>
      </c>
      <c r="H24" s="38">
        <f>IF(OR($A24="",$D24=0),"",$G24/$D24)</f>
        <v/>
      </c>
      <c r="I24" s="37">
        <f>IF($A24="","",SUMIFS(tblGastos[Monto],tblGastos[Tipo de gasto],"Fijo",tblGastos[Fecha],"&gt;="&amp;$A24,tblGastos[Fecha],"&lt;"&amp;DATE(YEAR($A24),MONTH($A24)+1,1)))</f>
        <v/>
      </c>
      <c r="J24" s="37">
        <f>IF($A24="","",SUMIFS(tblGastos[Monto],tblGastos[Tipo de gasto],"Variable",tblGastos[Fecha],"&gt;="&amp;$A24,tblGastos[Fecha],"&lt;"&amp;DATE(YEAR($A24),MONTH($A24)+1,1)))</f>
        <v/>
      </c>
      <c r="K24" s="37">
        <f>IF($A24="","",$I24+$J24)</f>
        <v/>
      </c>
      <c r="L24" s="37">
        <f>IF($A24="","",$G24-$K24)</f>
        <v/>
      </c>
      <c r="M24" s="37">
        <f>IF($A24="","",SUMIFS(tblCajaMov[Monto],tblCajaMov[Concepto],"Otro ingreso",tblCajaMov[Fecha],"&gt;="&amp;$A24,tblCajaMov[Fecha],"&lt;"&amp;DATE(YEAR($A24),MONTH($A24)+1,1)))</f>
        <v/>
      </c>
      <c r="N24" s="37">
        <f>IF($A24="","",SUMIFS(tblCajaMov[Monto],tblCajaMov[Concepto],"Otro egreso",tblCajaMov[Fecha],"&gt;="&amp;$A24,tblCajaMov[Fecha],"&lt;"&amp;DATE(YEAR($A24),MONTH($A24)+1,1)))</f>
        <v/>
      </c>
      <c r="O24" s="49">
        <f>IF($A24="","",$L24+$M24-$N24)</f>
        <v/>
      </c>
      <c r="P24" s="38">
        <f>IF(OR($A24="",$D24=0),"",$O24/$D24)</f>
        <v/>
      </c>
      <c r="Q24" s="39">
        <f>IF($A24="","",COUNTIFS(tblVentas[Fecha],"&gt;="&amp;$A24,tblVentas[Fecha],"&lt;"&amp;DATE(YEAR($A24),MONTH($A24)+1,1)))</f>
        <v/>
      </c>
      <c r="R24" s="37">
        <f>IF(OR($A24="",$Q24=0),"",$D24/$Q24)</f>
        <v/>
      </c>
      <c r="S24" s="37">
        <f>IF(OR($A24="",$E24=0),"",$G24/$E24)</f>
        <v/>
      </c>
      <c r="T24" s="37">
        <f>IF($A24="","",SUMIFS(tblGastos[Monto],tblGastos[Categoría],"Publicidad",tblGastos[Fecha],"&gt;="&amp;$A24,tblGastos[Fecha],"&lt;"&amp;DATE(YEAR($A24),MONTH($A24)+1,1)))</f>
        <v/>
      </c>
      <c r="U24" s="60">
        <f>IF(OR($A24="",$T24=0),"",$D24/$T24)</f>
        <v/>
      </c>
      <c r="V24" s="37">
        <f>IF($A24="","",SUMIFS(tblCompras[Costo total de adquisición],tblCompras[Fecha],"&gt;="&amp;$A24,tblCompras[Fecha],"&lt;"&amp;DATE(YEAR($A24),MONTH($A24)+1,1)))</f>
        <v/>
      </c>
      <c r="W24" s="38">
        <f>IF(OR($A24="",($V24+$K24)=0),"",$O24/($V24+$K24))</f>
        <v/>
      </c>
      <c r="X24" s="37">
        <f>IF($A24="","",SUM($D$8:$D24))</f>
        <v/>
      </c>
      <c r="Y24" s="37">
        <f>IF($A24="","",SUM($O$8:$O24))</f>
        <v/>
      </c>
      <c r="AA24" s="51">
        <f>IFERROR(IF(INDEX(tblProductos[SKU],ROW()-7)="","",INDEX(tblProductos[SKU],ROW()-7)),"")</f>
        <v/>
      </c>
      <c r="AB24" s="51">
        <f>IF($AA24="","",IFERROR(IF(INDEX(tblProductos[Nombre del producto],MATCH($AA24,tblProductos[SKU],0))="","",INDEX(tblProductos[Nombre del producto],MATCH($AA24,tblProductos[SKU],0))),"")&amp;IF(IFERROR(IF(INDEX(tblProductos[Presentación],MATCH($AA24,tblProductos[SKU],0))="","",INDEX(tblProductos[Presentación],MATCH($AA24,tblProductos[SKU],0))),"")="",""," · "&amp;IFERROR(IF(INDEX(tblProductos[Presentación],MATCH($AA24,tblProductos[SKU],0))="","",INDEX(tblProductos[Presentación],MATCH($AA24,tblProductos[SKU],0))),"")))</f>
        <v/>
      </c>
      <c r="AC24" s="51">
        <f>IF($AA24="","",IFERROR(IF(INDEX(tblProductos[Categoría],MATCH($AA24,tblProductos[SKU],0))="","",INDEX(tblProductos[Categoría],MATCH($AA24,tblProductos[SKU],0))),""))</f>
        <v/>
      </c>
      <c r="AD24" s="39">
        <f>IF($AA24="","",SUMIFS(tblVentas[Unidades efectivas],tblVentas[SKU],$AA24))</f>
        <v/>
      </c>
      <c r="AE24" s="37">
        <f>IF($AA24="","",SUMIFS(tblVentas[Venta neta],tblVentas[SKU],$AA24))</f>
        <v/>
      </c>
      <c r="AF24" s="37">
        <f>IF($AA24="","",SUMIFS(tblVentas[Costo total],tblVentas[SKU],$AA24))</f>
        <v/>
      </c>
      <c r="AG24" s="37">
        <f>IF($AA24="","",$AE24-$AF24)</f>
        <v/>
      </c>
      <c r="AH24" s="38">
        <f>IF(OR($AA24="",$AE24=0),"",$AG24/$AE24)</f>
        <v/>
      </c>
      <c r="AI24" s="38">
        <f>IF(OR($AA24="",SUM($AE$8:$AE$67)=0),"",$AE24/SUM($AE$8:$AE$67))</f>
        <v/>
      </c>
      <c r="AJ24" s="38">
        <f>IF(OR($AA24="",SUM($AG$8:$AG$67)=0),"",$AG24/SUM($AG$8:$AG$67))</f>
        <v/>
      </c>
      <c r="AK24" s="39">
        <f>IF(OR($AA24="",$AE24=0),"",RANK($AG24,$AG$8:$AG$67))</f>
        <v/>
      </c>
      <c r="AL24" s="39">
        <f>IF(OR($AA24="",$AD24=0),"",RANK($AD24,$AD$8:$AD$67))</f>
        <v/>
      </c>
      <c r="AM24" s="37">
        <f>IF(OR($AA24="",$AD24=0),"",$AG24/$AD24)</f>
        <v/>
      </c>
      <c r="AN24" s="37">
        <f>IF($AA24="","",IFERROR(IF(INDEX(tblProductos[Margen de contribución unitario],MATCH($AA24,tblProductos[SKU],0))="","PENDIENTE",INDEX(tblProductos[Margen de contribución unitario],MATCH($AA24,tblProductos[SKU],0))),"PENDIENTE"))</f>
        <v/>
      </c>
      <c r="AO24" s="60">
        <f>IF(OR($AA24="",NOT(ISNUMBER($AG24))),"",$AG24-ROW()/100000)</f>
        <v/>
      </c>
      <c r="AP24" s="60">
        <f>IF(OR($AA24="",NOT(ISNUMBER($AD24))),"",$AD24-ROW()/100000)</f>
        <v/>
      </c>
      <c r="BJ24" s="63" t="inlineStr">
        <is>
          <t>Gastos acumulados</t>
        </is>
      </c>
      <c r="BK24" s="49">
        <f>$K$44</f>
        <v/>
      </c>
      <c r="BL24" s="64" t="inlineStr">
        <is>
          <t>Gastos fijos + variables.</t>
        </is>
      </c>
    </row>
    <row r="25">
      <c r="A25" s="55">
        <f>IF(NOT(ISNUMBER(PAR_FECHA_INICIO)),"",DATE(YEAR(PAR_FECHA_INICIO),MONTH(PAR_FECHA_INICIO)+17,1))</f>
        <v/>
      </c>
      <c r="B25" s="37">
        <f>IF($A25="","",SUMIFS(tblVentas[Venta bruta],tblVentas[Fecha],"&gt;="&amp;$A25,tblVentas[Fecha],"&lt;"&amp;DATE(YEAR($A25),MONTH($A25)+1,1)))</f>
        <v/>
      </c>
      <c r="C25" s="37">
        <f>IF($A25="","",SUMIFS(tblVentas[Descuento],tblVentas[Fecha],"&gt;="&amp;$A25,tblVentas[Fecha],"&lt;"&amp;DATE(YEAR($A25),MONTH($A25)+1,1)))</f>
        <v/>
      </c>
      <c r="D25" s="49">
        <f>IF($A25="","",SUMIFS(tblVentas[Venta neta],tblVentas[Fecha],"&gt;="&amp;$A25,tblVentas[Fecha],"&lt;"&amp;DATE(YEAR($A25),MONTH($A25)+1,1)))</f>
        <v/>
      </c>
      <c r="E25" s="39">
        <f>IF($A25="","",SUMIFS(tblVentas[Unidades efectivas],tblVentas[Fecha],"&gt;="&amp;$A25,tblVentas[Fecha],"&lt;"&amp;DATE(YEAR($A25),MONTH($A25)+1,1)))</f>
        <v/>
      </c>
      <c r="F25" s="37">
        <f>IF($A25="","",SUMIFS(tblVentas[Costo total],tblVentas[Fecha],"&gt;="&amp;$A25,tblVentas[Fecha],"&lt;"&amp;DATE(YEAR($A25),MONTH($A25)+1,1)))</f>
        <v/>
      </c>
      <c r="G25" s="49">
        <f>IF($A25="","",$D25-$F25)</f>
        <v/>
      </c>
      <c r="H25" s="38">
        <f>IF(OR($A25="",$D25=0),"",$G25/$D25)</f>
        <v/>
      </c>
      <c r="I25" s="37">
        <f>IF($A25="","",SUMIFS(tblGastos[Monto],tblGastos[Tipo de gasto],"Fijo",tblGastos[Fecha],"&gt;="&amp;$A25,tblGastos[Fecha],"&lt;"&amp;DATE(YEAR($A25),MONTH($A25)+1,1)))</f>
        <v/>
      </c>
      <c r="J25" s="37">
        <f>IF($A25="","",SUMIFS(tblGastos[Monto],tblGastos[Tipo de gasto],"Variable",tblGastos[Fecha],"&gt;="&amp;$A25,tblGastos[Fecha],"&lt;"&amp;DATE(YEAR($A25),MONTH($A25)+1,1)))</f>
        <v/>
      </c>
      <c r="K25" s="37">
        <f>IF($A25="","",$I25+$J25)</f>
        <v/>
      </c>
      <c r="L25" s="37">
        <f>IF($A25="","",$G25-$K25)</f>
        <v/>
      </c>
      <c r="M25" s="37">
        <f>IF($A25="","",SUMIFS(tblCajaMov[Monto],tblCajaMov[Concepto],"Otro ingreso",tblCajaMov[Fecha],"&gt;="&amp;$A25,tblCajaMov[Fecha],"&lt;"&amp;DATE(YEAR($A25),MONTH($A25)+1,1)))</f>
        <v/>
      </c>
      <c r="N25" s="37">
        <f>IF($A25="","",SUMIFS(tblCajaMov[Monto],tblCajaMov[Concepto],"Otro egreso",tblCajaMov[Fecha],"&gt;="&amp;$A25,tblCajaMov[Fecha],"&lt;"&amp;DATE(YEAR($A25),MONTH($A25)+1,1)))</f>
        <v/>
      </c>
      <c r="O25" s="49">
        <f>IF($A25="","",$L25+$M25-$N25)</f>
        <v/>
      </c>
      <c r="P25" s="38">
        <f>IF(OR($A25="",$D25=0),"",$O25/$D25)</f>
        <v/>
      </c>
      <c r="Q25" s="39">
        <f>IF($A25="","",COUNTIFS(tblVentas[Fecha],"&gt;="&amp;$A25,tblVentas[Fecha],"&lt;"&amp;DATE(YEAR($A25),MONTH($A25)+1,1)))</f>
        <v/>
      </c>
      <c r="R25" s="37">
        <f>IF(OR($A25="",$Q25=0),"",$D25/$Q25)</f>
        <v/>
      </c>
      <c r="S25" s="37">
        <f>IF(OR($A25="",$E25=0),"",$G25/$E25)</f>
        <v/>
      </c>
      <c r="T25" s="37">
        <f>IF($A25="","",SUMIFS(tblGastos[Monto],tblGastos[Categoría],"Publicidad",tblGastos[Fecha],"&gt;="&amp;$A25,tblGastos[Fecha],"&lt;"&amp;DATE(YEAR($A25),MONTH($A25)+1,1)))</f>
        <v/>
      </c>
      <c r="U25" s="60">
        <f>IF(OR($A25="",$T25=0),"",$D25/$T25)</f>
        <v/>
      </c>
      <c r="V25" s="37">
        <f>IF($A25="","",SUMIFS(tblCompras[Costo total de adquisición],tblCompras[Fecha],"&gt;="&amp;$A25,tblCompras[Fecha],"&lt;"&amp;DATE(YEAR($A25),MONTH($A25)+1,1)))</f>
        <v/>
      </c>
      <c r="W25" s="38">
        <f>IF(OR($A25="",($V25+$K25)=0),"",$O25/($V25+$K25))</f>
        <v/>
      </c>
      <c r="X25" s="37">
        <f>IF($A25="","",SUM($D$8:$D25))</f>
        <v/>
      </c>
      <c r="Y25" s="37">
        <f>IF($A25="","",SUM($O$8:$O25))</f>
        <v/>
      </c>
      <c r="AA25" s="51">
        <f>IFERROR(IF(INDEX(tblProductos[SKU],ROW()-7)="","",INDEX(tblProductos[SKU],ROW()-7)),"")</f>
        <v/>
      </c>
      <c r="AB25" s="51">
        <f>IF($AA25="","",IFERROR(IF(INDEX(tblProductos[Nombre del producto],MATCH($AA25,tblProductos[SKU],0))="","",INDEX(tblProductos[Nombre del producto],MATCH($AA25,tblProductos[SKU],0))),"")&amp;IF(IFERROR(IF(INDEX(tblProductos[Presentación],MATCH($AA25,tblProductos[SKU],0))="","",INDEX(tblProductos[Presentación],MATCH($AA25,tblProductos[SKU],0))),"")="",""," · "&amp;IFERROR(IF(INDEX(tblProductos[Presentación],MATCH($AA25,tblProductos[SKU],0))="","",INDEX(tblProductos[Presentación],MATCH($AA25,tblProductos[SKU],0))),"")))</f>
        <v/>
      </c>
      <c r="AC25" s="51">
        <f>IF($AA25="","",IFERROR(IF(INDEX(tblProductos[Categoría],MATCH($AA25,tblProductos[SKU],0))="","",INDEX(tblProductos[Categoría],MATCH($AA25,tblProductos[SKU],0))),""))</f>
        <v/>
      </c>
      <c r="AD25" s="39">
        <f>IF($AA25="","",SUMIFS(tblVentas[Unidades efectivas],tblVentas[SKU],$AA25))</f>
        <v/>
      </c>
      <c r="AE25" s="37">
        <f>IF($AA25="","",SUMIFS(tblVentas[Venta neta],tblVentas[SKU],$AA25))</f>
        <v/>
      </c>
      <c r="AF25" s="37">
        <f>IF($AA25="","",SUMIFS(tblVentas[Costo total],tblVentas[SKU],$AA25))</f>
        <v/>
      </c>
      <c r="AG25" s="37">
        <f>IF($AA25="","",$AE25-$AF25)</f>
        <v/>
      </c>
      <c r="AH25" s="38">
        <f>IF(OR($AA25="",$AE25=0),"",$AG25/$AE25)</f>
        <v/>
      </c>
      <c r="AI25" s="38">
        <f>IF(OR($AA25="",SUM($AE$8:$AE$67)=0),"",$AE25/SUM($AE$8:$AE$67))</f>
        <v/>
      </c>
      <c r="AJ25" s="38">
        <f>IF(OR($AA25="",SUM($AG$8:$AG$67)=0),"",$AG25/SUM($AG$8:$AG$67))</f>
        <v/>
      </c>
      <c r="AK25" s="39">
        <f>IF(OR($AA25="",$AE25=0),"",RANK($AG25,$AG$8:$AG$67))</f>
        <v/>
      </c>
      <c r="AL25" s="39">
        <f>IF(OR($AA25="",$AD25=0),"",RANK($AD25,$AD$8:$AD$67))</f>
        <v/>
      </c>
      <c r="AM25" s="37">
        <f>IF(OR($AA25="",$AD25=0),"",$AG25/$AD25)</f>
        <v/>
      </c>
      <c r="AN25" s="37">
        <f>IF($AA25="","",IFERROR(IF(INDEX(tblProductos[Margen de contribución unitario],MATCH($AA25,tblProductos[SKU],0))="","PENDIENTE",INDEX(tblProductos[Margen de contribución unitario],MATCH($AA25,tblProductos[SKU],0))),"PENDIENTE"))</f>
        <v/>
      </c>
      <c r="AO25" s="60">
        <f>IF(OR($AA25="",NOT(ISNUMBER($AG25))),"",$AG25-ROW()/100000)</f>
        <v/>
      </c>
      <c r="AP25" s="60">
        <f>IF(OR($AA25="",NOT(ISNUMBER($AD25))),"",$AD25-ROW()/100000)</f>
        <v/>
      </c>
      <c r="BJ25" s="63" t="inlineStr">
        <is>
          <t>Inversión total acumulada</t>
        </is>
      </c>
      <c r="BK25" s="49">
        <f>SUM(tblCompras[Costo total de adquisición])+$K$44</f>
        <v/>
      </c>
      <c r="BL25" s="64" t="inlineStr">
        <is>
          <t>Compras + gastos. Es la base del ROI operativo.</t>
        </is>
      </c>
    </row>
    <row r="26">
      <c r="A26" s="55">
        <f>IF(NOT(ISNUMBER(PAR_FECHA_INICIO)),"",DATE(YEAR(PAR_FECHA_INICIO),MONTH(PAR_FECHA_INICIO)+18,1))</f>
        <v/>
      </c>
      <c r="B26" s="37">
        <f>IF($A26="","",SUMIFS(tblVentas[Venta bruta],tblVentas[Fecha],"&gt;="&amp;$A26,tblVentas[Fecha],"&lt;"&amp;DATE(YEAR($A26),MONTH($A26)+1,1)))</f>
        <v/>
      </c>
      <c r="C26" s="37">
        <f>IF($A26="","",SUMIFS(tblVentas[Descuento],tblVentas[Fecha],"&gt;="&amp;$A26,tblVentas[Fecha],"&lt;"&amp;DATE(YEAR($A26),MONTH($A26)+1,1)))</f>
        <v/>
      </c>
      <c r="D26" s="49">
        <f>IF($A26="","",SUMIFS(tblVentas[Venta neta],tblVentas[Fecha],"&gt;="&amp;$A26,tblVentas[Fecha],"&lt;"&amp;DATE(YEAR($A26),MONTH($A26)+1,1)))</f>
        <v/>
      </c>
      <c r="E26" s="39">
        <f>IF($A26="","",SUMIFS(tblVentas[Unidades efectivas],tblVentas[Fecha],"&gt;="&amp;$A26,tblVentas[Fecha],"&lt;"&amp;DATE(YEAR($A26),MONTH($A26)+1,1)))</f>
        <v/>
      </c>
      <c r="F26" s="37">
        <f>IF($A26="","",SUMIFS(tblVentas[Costo total],tblVentas[Fecha],"&gt;="&amp;$A26,tblVentas[Fecha],"&lt;"&amp;DATE(YEAR($A26),MONTH($A26)+1,1)))</f>
        <v/>
      </c>
      <c r="G26" s="49">
        <f>IF($A26="","",$D26-$F26)</f>
        <v/>
      </c>
      <c r="H26" s="38">
        <f>IF(OR($A26="",$D26=0),"",$G26/$D26)</f>
        <v/>
      </c>
      <c r="I26" s="37">
        <f>IF($A26="","",SUMIFS(tblGastos[Monto],tblGastos[Tipo de gasto],"Fijo",tblGastos[Fecha],"&gt;="&amp;$A26,tblGastos[Fecha],"&lt;"&amp;DATE(YEAR($A26),MONTH($A26)+1,1)))</f>
        <v/>
      </c>
      <c r="J26" s="37">
        <f>IF($A26="","",SUMIFS(tblGastos[Monto],tblGastos[Tipo de gasto],"Variable",tblGastos[Fecha],"&gt;="&amp;$A26,tblGastos[Fecha],"&lt;"&amp;DATE(YEAR($A26),MONTH($A26)+1,1)))</f>
        <v/>
      </c>
      <c r="K26" s="37">
        <f>IF($A26="","",$I26+$J26)</f>
        <v/>
      </c>
      <c r="L26" s="37">
        <f>IF($A26="","",$G26-$K26)</f>
        <v/>
      </c>
      <c r="M26" s="37">
        <f>IF($A26="","",SUMIFS(tblCajaMov[Monto],tblCajaMov[Concepto],"Otro ingreso",tblCajaMov[Fecha],"&gt;="&amp;$A26,tblCajaMov[Fecha],"&lt;"&amp;DATE(YEAR($A26),MONTH($A26)+1,1)))</f>
        <v/>
      </c>
      <c r="N26" s="37">
        <f>IF($A26="","",SUMIFS(tblCajaMov[Monto],tblCajaMov[Concepto],"Otro egreso",tblCajaMov[Fecha],"&gt;="&amp;$A26,tblCajaMov[Fecha],"&lt;"&amp;DATE(YEAR($A26),MONTH($A26)+1,1)))</f>
        <v/>
      </c>
      <c r="O26" s="49">
        <f>IF($A26="","",$L26+$M26-$N26)</f>
        <v/>
      </c>
      <c r="P26" s="38">
        <f>IF(OR($A26="",$D26=0),"",$O26/$D26)</f>
        <v/>
      </c>
      <c r="Q26" s="39">
        <f>IF($A26="","",COUNTIFS(tblVentas[Fecha],"&gt;="&amp;$A26,tblVentas[Fecha],"&lt;"&amp;DATE(YEAR($A26),MONTH($A26)+1,1)))</f>
        <v/>
      </c>
      <c r="R26" s="37">
        <f>IF(OR($A26="",$Q26=0),"",$D26/$Q26)</f>
        <v/>
      </c>
      <c r="S26" s="37">
        <f>IF(OR($A26="",$E26=0),"",$G26/$E26)</f>
        <v/>
      </c>
      <c r="T26" s="37">
        <f>IF($A26="","",SUMIFS(tblGastos[Monto],tblGastos[Categoría],"Publicidad",tblGastos[Fecha],"&gt;="&amp;$A26,tblGastos[Fecha],"&lt;"&amp;DATE(YEAR($A26),MONTH($A26)+1,1)))</f>
        <v/>
      </c>
      <c r="U26" s="60">
        <f>IF(OR($A26="",$T26=0),"",$D26/$T26)</f>
        <v/>
      </c>
      <c r="V26" s="37">
        <f>IF($A26="","",SUMIFS(tblCompras[Costo total de adquisición],tblCompras[Fecha],"&gt;="&amp;$A26,tblCompras[Fecha],"&lt;"&amp;DATE(YEAR($A26),MONTH($A26)+1,1)))</f>
        <v/>
      </c>
      <c r="W26" s="38">
        <f>IF(OR($A26="",($V26+$K26)=0),"",$O26/($V26+$K26))</f>
        <v/>
      </c>
      <c r="X26" s="37">
        <f>IF($A26="","",SUM($D$8:$D26))</f>
        <v/>
      </c>
      <c r="Y26" s="37">
        <f>IF($A26="","",SUM($O$8:$O26))</f>
        <v/>
      </c>
      <c r="AA26" s="51">
        <f>IFERROR(IF(INDEX(tblProductos[SKU],ROW()-7)="","",INDEX(tblProductos[SKU],ROW()-7)),"")</f>
        <v/>
      </c>
      <c r="AB26" s="51">
        <f>IF($AA26="","",IFERROR(IF(INDEX(tblProductos[Nombre del producto],MATCH($AA26,tblProductos[SKU],0))="","",INDEX(tblProductos[Nombre del producto],MATCH($AA26,tblProductos[SKU],0))),"")&amp;IF(IFERROR(IF(INDEX(tblProductos[Presentación],MATCH($AA26,tblProductos[SKU],0))="","",INDEX(tblProductos[Presentación],MATCH($AA26,tblProductos[SKU],0))),"")="",""," · "&amp;IFERROR(IF(INDEX(tblProductos[Presentación],MATCH($AA26,tblProductos[SKU],0))="","",INDEX(tblProductos[Presentación],MATCH($AA26,tblProductos[SKU],0))),"")))</f>
        <v/>
      </c>
      <c r="AC26" s="51">
        <f>IF($AA26="","",IFERROR(IF(INDEX(tblProductos[Categoría],MATCH($AA26,tblProductos[SKU],0))="","",INDEX(tblProductos[Categoría],MATCH($AA26,tblProductos[SKU],0))),""))</f>
        <v/>
      </c>
      <c r="AD26" s="39">
        <f>IF($AA26="","",SUMIFS(tblVentas[Unidades efectivas],tblVentas[SKU],$AA26))</f>
        <v/>
      </c>
      <c r="AE26" s="37">
        <f>IF($AA26="","",SUMIFS(tblVentas[Venta neta],tblVentas[SKU],$AA26))</f>
        <v/>
      </c>
      <c r="AF26" s="37">
        <f>IF($AA26="","",SUMIFS(tblVentas[Costo total],tblVentas[SKU],$AA26))</f>
        <v/>
      </c>
      <c r="AG26" s="37">
        <f>IF($AA26="","",$AE26-$AF26)</f>
        <v/>
      </c>
      <c r="AH26" s="38">
        <f>IF(OR($AA26="",$AE26=0),"",$AG26/$AE26)</f>
        <v/>
      </c>
      <c r="AI26" s="38">
        <f>IF(OR($AA26="",SUM($AE$8:$AE$67)=0),"",$AE26/SUM($AE$8:$AE$67))</f>
        <v/>
      </c>
      <c r="AJ26" s="38">
        <f>IF(OR($AA26="",SUM($AG$8:$AG$67)=0),"",$AG26/SUM($AG$8:$AG$67))</f>
        <v/>
      </c>
      <c r="AK26" s="39">
        <f>IF(OR($AA26="",$AE26=0),"",RANK($AG26,$AG$8:$AG$67))</f>
        <v/>
      </c>
      <c r="AL26" s="39">
        <f>IF(OR($AA26="",$AD26=0),"",RANK($AD26,$AD$8:$AD$67))</f>
        <v/>
      </c>
      <c r="AM26" s="37">
        <f>IF(OR($AA26="",$AD26=0),"",$AG26/$AD26)</f>
        <v/>
      </c>
      <c r="AN26" s="37">
        <f>IF($AA26="","",IFERROR(IF(INDEX(tblProductos[Margen de contribución unitario],MATCH($AA26,tblProductos[SKU],0))="","PENDIENTE",INDEX(tblProductos[Margen de contribución unitario],MATCH($AA26,tblProductos[SKU],0))),"PENDIENTE"))</f>
        <v/>
      </c>
      <c r="AO26" s="60">
        <f>IF(OR($AA26="",NOT(ISNUMBER($AG26))),"",$AG26-ROW()/100000)</f>
        <v/>
      </c>
      <c r="AP26" s="60">
        <f>IF(OR($AA26="",NOT(ISNUMBER($AD26))),"",$AD26-ROW()/100000)</f>
        <v/>
      </c>
      <c r="BJ26" s="63" t="inlineStr">
        <is>
          <t>ROI sobre la inversión</t>
        </is>
      </c>
      <c r="BK26" s="66">
        <f>IF($BK$25&lt;=0,"PENDIENTE",$BK$20/$BK$25)</f>
        <v/>
      </c>
      <c r="BL26" s="64" t="inlineStr">
        <is>
          <t>Utilidad neta acumulada ÷ inversión total acumulada. Mide cuánto rinde cada lempira invertido en el negocio.</t>
        </is>
      </c>
    </row>
    <row r="27">
      <c r="A27" s="55">
        <f>IF(NOT(ISNUMBER(PAR_FECHA_INICIO)),"",DATE(YEAR(PAR_FECHA_INICIO),MONTH(PAR_FECHA_INICIO)+19,1))</f>
        <v/>
      </c>
      <c r="B27" s="37">
        <f>IF($A27="","",SUMIFS(tblVentas[Venta bruta],tblVentas[Fecha],"&gt;="&amp;$A27,tblVentas[Fecha],"&lt;"&amp;DATE(YEAR($A27),MONTH($A27)+1,1)))</f>
        <v/>
      </c>
      <c r="C27" s="37">
        <f>IF($A27="","",SUMIFS(tblVentas[Descuento],tblVentas[Fecha],"&gt;="&amp;$A27,tblVentas[Fecha],"&lt;"&amp;DATE(YEAR($A27),MONTH($A27)+1,1)))</f>
        <v/>
      </c>
      <c r="D27" s="49">
        <f>IF($A27="","",SUMIFS(tblVentas[Venta neta],tblVentas[Fecha],"&gt;="&amp;$A27,tblVentas[Fecha],"&lt;"&amp;DATE(YEAR($A27),MONTH($A27)+1,1)))</f>
        <v/>
      </c>
      <c r="E27" s="39">
        <f>IF($A27="","",SUMIFS(tblVentas[Unidades efectivas],tblVentas[Fecha],"&gt;="&amp;$A27,tblVentas[Fecha],"&lt;"&amp;DATE(YEAR($A27),MONTH($A27)+1,1)))</f>
        <v/>
      </c>
      <c r="F27" s="37">
        <f>IF($A27="","",SUMIFS(tblVentas[Costo total],tblVentas[Fecha],"&gt;="&amp;$A27,tblVentas[Fecha],"&lt;"&amp;DATE(YEAR($A27),MONTH($A27)+1,1)))</f>
        <v/>
      </c>
      <c r="G27" s="49">
        <f>IF($A27="","",$D27-$F27)</f>
        <v/>
      </c>
      <c r="H27" s="38">
        <f>IF(OR($A27="",$D27=0),"",$G27/$D27)</f>
        <v/>
      </c>
      <c r="I27" s="37">
        <f>IF($A27="","",SUMIFS(tblGastos[Monto],tblGastos[Tipo de gasto],"Fijo",tblGastos[Fecha],"&gt;="&amp;$A27,tblGastos[Fecha],"&lt;"&amp;DATE(YEAR($A27),MONTH($A27)+1,1)))</f>
        <v/>
      </c>
      <c r="J27" s="37">
        <f>IF($A27="","",SUMIFS(tblGastos[Monto],tblGastos[Tipo de gasto],"Variable",tblGastos[Fecha],"&gt;="&amp;$A27,tblGastos[Fecha],"&lt;"&amp;DATE(YEAR($A27),MONTH($A27)+1,1)))</f>
        <v/>
      </c>
      <c r="K27" s="37">
        <f>IF($A27="","",$I27+$J27)</f>
        <v/>
      </c>
      <c r="L27" s="37">
        <f>IF($A27="","",$G27-$K27)</f>
        <v/>
      </c>
      <c r="M27" s="37">
        <f>IF($A27="","",SUMIFS(tblCajaMov[Monto],tblCajaMov[Concepto],"Otro ingreso",tblCajaMov[Fecha],"&gt;="&amp;$A27,tblCajaMov[Fecha],"&lt;"&amp;DATE(YEAR($A27),MONTH($A27)+1,1)))</f>
        <v/>
      </c>
      <c r="N27" s="37">
        <f>IF($A27="","",SUMIFS(tblCajaMov[Monto],tblCajaMov[Concepto],"Otro egreso",tblCajaMov[Fecha],"&gt;="&amp;$A27,tblCajaMov[Fecha],"&lt;"&amp;DATE(YEAR($A27),MONTH($A27)+1,1)))</f>
        <v/>
      </c>
      <c r="O27" s="49">
        <f>IF($A27="","",$L27+$M27-$N27)</f>
        <v/>
      </c>
      <c r="P27" s="38">
        <f>IF(OR($A27="",$D27=0),"",$O27/$D27)</f>
        <v/>
      </c>
      <c r="Q27" s="39">
        <f>IF($A27="","",COUNTIFS(tblVentas[Fecha],"&gt;="&amp;$A27,tblVentas[Fecha],"&lt;"&amp;DATE(YEAR($A27),MONTH($A27)+1,1)))</f>
        <v/>
      </c>
      <c r="R27" s="37">
        <f>IF(OR($A27="",$Q27=0),"",$D27/$Q27)</f>
        <v/>
      </c>
      <c r="S27" s="37">
        <f>IF(OR($A27="",$E27=0),"",$G27/$E27)</f>
        <v/>
      </c>
      <c r="T27" s="37">
        <f>IF($A27="","",SUMIFS(tblGastos[Monto],tblGastos[Categoría],"Publicidad",tblGastos[Fecha],"&gt;="&amp;$A27,tblGastos[Fecha],"&lt;"&amp;DATE(YEAR($A27),MONTH($A27)+1,1)))</f>
        <v/>
      </c>
      <c r="U27" s="60">
        <f>IF(OR($A27="",$T27=0),"",$D27/$T27)</f>
        <v/>
      </c>
      <c r="V27" s="37">
        <f>IF($A27="","",SUMIFS(tblCompras[Costo total de adquisición],tblCompras[Fecha],"&gt;="&amp;$A27,tblCompras[Fecha],"&lt;"&amp;DATE(YEAR($A27),MONTH($A27)+1,1)))</f>
        <v/>
      </c>
      <c r="W27" s="38">
        <f>IF(OR($A27="",($V27+$K27)=0),"",$O27/($V27+$K27))</f>
        <v/>
      </c>
      <c r="X27" s="37">
        <f>IF($A27="","",SUM($D$8:$D27))</f>
        <v/>
      </c>
      <c r="Y27" s="37">
        <f>IF($A27="","",SUM($O$8:$O27))</f>
        <v/>
      </c>
      <c r="AA27" s="51">
        <f>IFERROR(IF(INDEX(tblProductos[SKU],ROW()-7)="","",INDEX(tblProductos[SKU],ROW()-7)),"")</f>
        <v/>
      </c>
      <c r="AB27" s="51">
        <f>IF($AA27="","",IFERROR(IF(INDEX(tblProductos[Nombre del producto],MATCH($AA27,tblProductos[SKU],0))="","",INDEX(tblProductos[Nombre del producto],MATCH($AA27,tblProductos[SKU],0))),"")&amp;IF(IFERROR(IF(INDEX(tblProductos[Presentación],MATCH($AA27,tblProductos[SKU],0))="","",INDEX(tblProductos[Presentación],MATCH($AA27,tblProductos[SKU],0))),"")="",""," · "&amp;IFERROR(IF(INDEX(tblProductos[Presentación],MATCH($AA27,tblProductos[SKU],0))="","",INDEX(tblProductos[Presentación],MATCH($AA27,tblProductos[SKU],0))),"")))</f>
        <v/>
      </c>
      <c r="AC27" s="51">
        <f>IF($AA27="","",IFERROR(IF(INDEX(tblProductos[Categoría],MATCH($AA27,tblProductos[SKU],0))="","",INDEX(tblProductos[Categoría],MATCH($AA27,tblProductos[SKU],0))),""))</f>
        <v/>
      </c>
      <c r="AD27" s="39">
        <f>IF($AA27="","",SUMIFS(tblVentas[Unidades efectivas],tblVentas[SKU],$AA27))</f>
        <v/>
      </c>
      <c r="AE27" s="37">
        <f>IF($AA27="","",SUMIFS(tblVentas[Venta neta],tblVentas[SKU],$AA27))</f>
        <v/>
      </c>
      <c r="AF27" s="37">
        <f>IF($AA27="","",SUMIFS(tblVentas[Costo total],tblVentas[SKU],$AA27))</f>
        <v/>
      </c>
      <c r="AG27" s="37">
        <f>IF($AA27="","",$AE27-$AF27)</f>
        <v/>
      </c>
      <c r="AH27" s="38">
        <f>IF(OR($AA27="",$AE27=0),"",$AG27/$AE27)</f>
        <v/>
      </c>
      <c r="AI27" s="38">
        <f>IF(OR($AA27="",SUM($AE$8:$AE$67)=0),"",$AE27/SUM($AE$8:$AE$67))</f>
        <v/>
      </c>
      <c r="AJ27" s="38">
        <f>IF(OR($AA27="",SUM($AG$8:$AG$67)=0),"",$AG27/SUM($AG$8:$AG$67))</f>
        <v/>
      </c>
      <c r="AK27" s="39">
        <f>IF(OR($AA27="",$AE27=0),"",RANK($AG27,$AG$8:$AG$67))</f>
        <v/>
      </c>
      <c r="AL27" s="39">
        <f>IF(OR($AA27="",$AD27=0),"",RANK($AD27,$AD$8:$AD$67))</f>
        <v/>
      </c>
      <c r="AM27" s="37">
        <f>IF(OR($AA27="",$AD27=0),"",$AG27/$AD27)</f>
        <v/>
      </c>
      <c r="AN27" s="37">
        <f>IF($AA27="","",IFERROR(IF(INDEX(tblProductos[Margen de contribución unitario],MATCH($AA27,tblProductos[SKU],0))="","PENDIENTE",INDEX(tblProductos[Margen de contribución unitario],MATCH($AA27,tblProductos[SKU],0))),"PENDIENTE"))</f>
        <v/>
      </c>
      <c r="AO27" s="60">
        <f>IF(OR($AA27="",NOT(ISNUMBER($AG27))),"",$AG27-ROW()/100000)</f>
        <v/>
      </c>
      <c r="AP27" s="60">
        <f>IF(OR($AA27="",NOT(ISNUMBER($AD27))),"",$AD27-ROW()/100000)</f>
        <v/>
      </c>
      <c r="BJ27" s="63" t="inlineStr">
        <is>
          <t>Capital aportado por el propietario</t>
        </is>
      </c>
      <c r="BK27" s="49">
        <f>IF(AND(NOT(ISNUMBER(PAR_CAPITAL_INICIAL)),SUMIFS(tblCajaMov[Monto],tblCajaMov[Concepto],"Aporte de capital")=0),"PENDIENTE",IF(ISNUMBER(PAR_CAPITAL_INICIAL),PAR_CAPITAL_INICIAL,0)+SUMIFS(tblCajaMov[Monto],tblCajaMov[Concepto],"Aporte de capital"))</f>
        <v/>
      </c>
      <c r="BL27" s="64" t="inlineStr">
        <is>
          <t>Capital inicial (CONFIG) + aportes registrados en CAJA. PENDIENTE hasta que lo registre.</t>
        </is>
      </c>
    </row>
    <row r="28">
      <c r="A28" s="55">
        <f>IF(NOT(ISNUMBER(PAR_FECHA_INICIO)),"",DATE(YEAR(PAR_FECHA_INICIO),MONTH(PAR_FECHA_INICIO)+20,1))</f>
        <v/>
      </c>
      <c r="B28" s="37">
        <f>IF($A28="","",SUMIFS(tblVentas[Venta bruta],tblVentas[Fecha],"&gt;="&amp;$A28,tblVentas[Fecha],"&lt;"&amp;DATE(YEAR($A28),MONTH($A28)+1,1)))</f>
        <v/>
      </c>
      <c r="C28" s="37">
        <f>IF($A28="","",SUMIFS(tblVentas[Descuento],tblVentas[Fecha],"&gt;="&amp;$A28,tblVentas[Fecha],"&lt;"&amp;DATE(YEAR($A28),MONTH($A28)+1,1)))</f>
        <v/>
      </c>
      <c r="D28" s="49">
        <f>IF($A28="","",SUMIFS(tblVentas[Venta neta],tblVentas[Fecha],"&gt;="&amp;$A28,tblVentas[Fecha],"&lt;"&amp;DATE(YEAR($A28),MONTH($A28)+1,1)))</f>
        <v/>
      </c>
      <c r="E28" s="39">
        <f>IF($A28="","",SUMIFS(tblVentas[Unidades efectivas],tblVentas[Fecha],"&gt;="&amp;$A28,tblVentas[Fecha],"&lt;"&amp;DATE(YEAR($A28),MONTH($A28)+1,1)))</f>
        <v/>
      </c>
      <c r="F28" s="37">
        <f>IF($A28="","",SUMIFS(tblVentas[Costo total],tblVentas[Fecha],"&gt;="&amp;$A28,tblVentas[Fecha],"&lt;"&amp;DATE(YEAR($A28),MONTH($A28)+1,1)))</f>
        <v/>
      </c>
      <c r="G28" s="49">
        <f>IF($A28="","",$D28-$F28)</f>
        <v/>
      </c>
      <c r="H28" s="38">
        <f>IF(OR($A28="",$D28=0),"",$G28/$D28)</f>
        <v/>
      </c>
      <c r="I28" s="37">
        <f>IF($A28="","",SUMIFS(tblGastos[Monto],tblGastos[Tipo de gasto],"Fijo",tblGastos[Fecha],"&gt;="&amp;$A28,tblGastos[Fecha],"&lt;"&amp;DATE(YEAR($A28),MONTH($A28)+1,1)))</f>
        <v/>
      </c>
      <c r="J28" s="37">
        <f>IF($A28="","",SUMIFS(tblGastos[Monto],tblGastos[Tipo de gasto],"Variable",tblGastos[Fecha],"&gt;="&amp;$A28,tblGastos[Fecha],"&lt;"&amp;DATE(YEAR($A28),MONTH($A28)+1,1)))</f>
        <v/>
      </c>
      <c r="K28" s="37">
        <f>IF($A28="","",$I28+$J28)</f>
        <v/>
      </c>
      <c r="L28" s="37">
        <f>IF($A28="","",$G28-$K28)</f>
        <v/>
      </c>
      <c r="M28" s="37">
        <f>IF($A28="","",SUMIFS(tblCajaMov[Monto],tblCajaMov[Concepto],"Otro ingreso",tblCajaMov[Fecha],"&gt;="&amp;$A28,tblCajaMov[Fecha],"&lt;"&amp;DATE(YEAR($A28),MONTH($A28)+1,1)))</f>
        <v/>
      </c>
      <c r="N28" s="37">
        <f>IF($A28="","",SUMIFS(tblCajaMov[Monto],tblCajaMov[Concepto],"Otro egreso",tblCajaMov[Fecha],"&gt;="&amp;$A28,tblCajaMov[Fecha],"&lt;"&amp;DATE(YEAR($A28),MONTH($A28)+1,1)))</f>
        <v/>
      </c>
      <c r="O28" s="49">
        <f>IF($A28="","",$L28+$M28-$N28)</f>
        <v/>
      </c>
      <c r="P28" s="38">
        <f>IF(OR($A28="",$D28=0),"",$O28/$D28)</f>
        <v/>
      </c>
      <c r="Q28" s="39">
        <f>IF($A28="","",COUNTIFS(tblVentas[Fecha],"&gt;="&amp;$A28,tblVentas[Fecha],"&lt;"&amp;DATE(YEAR($A28),MONTH($A28)+1,1)))</f>
        <v/>
      </c>
      <c r="R28" s="37">
        <f>IF(OR($A28="",$Q28=0),"",$D28/$Q28)</f>
        <v/>
      </c>
      <c r="S28" s="37">
        <f>IF(OR($A28="",$E28=0),"",$G28/$E28)</f>
        <v/>
      </c>
      <c r="T28" s="37">
        <f>IF($A28="","",SUMIFS(tblGastos[Monto],tblGastos[Categoría],"Publicidad",tblGastos[Fecha],"&gt;="&amp;$A28,tblGastos[Fecha],"&lt;"&amp;DATE(YEAR($A28),MONTH($A28)+1,1)))</f>
        <v/>
      </c>
      <c r="U28" s="60">
        <f>IF(OR($A28="",$T28=0),"",$D28/$T28)</f>
        <v/>
      </c>
      <c r="V28" s="37">
        <f>IF($A28="","",SUMIFS(tblCompras[Costo total de adquisición],tblCompras[Fecha],"&gt;="&amp;$A28,tblCompras[Fecha],"&lt;"&amp;DATE(YEAR($A28),MONTH($A28)+1,1)))</f>
        <v/>
      </c>
      <c r="W28" s="38">
        <f>IF(OR($A28="",($V28+$K28)=0),"",$O28/($V28+$K28))</f>
        <v/>
      </c>
      <c r="X28" s="37">
        <f>IF($A28="","",SUM($D$8:$D28))</f>
        <v/>
      </c>
      <c r="Y28" s="37">
        <f>IF($A28="","",SUM($O$8:$O28))</f>
        <v/>
      </c>
      <c r="AA28" s="51">
        <f>IFERROR(IF(INDEX(tblProductos[SKU],ROW()-7)="","",INDEX(tblProductos[SKU],ROW()-7)),"")</f>
        <v/>
      </c>
      <c r="AB28" s="51">
        <f>IF($AA28="","",IFERROR(IF(INDEX(tblProductos[Nombre del producto],MATCH($AA28,tblProductos[SKU],0))="","",INDEX(tblProductos[Nombre del producto],MATCH($AA28,tblProductos[SKU],0))),"")&amp;IF(IFERROR(IF(INDEX(tblProductos[Presentación],MATCH($AA28,tblProductos[SKU],0))="","",INDEX(tblProductos[Presentación],MATCH($AA28,tblProductos[SKU],0))),"")="",""," · "&amp;IFERROR(IF(INDEX(tblProductos[Presentación],MATCH($AA28,tblProductos[SKU],0))="","",INDEX(tblProductos[Presentación],MATCH($AA28,tblProductos[SKU],0))),"")))</f>
        <v/>
      </c>
      <c r="AC28" s="51">
        <f>IF($AA28="","",IFERROR(IF(INDEX(tblProductos[Categoría],MATCH($AA28,tblProductos[SKU],0))="","",INDEX(tblProductos[Categoría],MATCH($AA28,tblProductos[SKU],0))),""))</f>
        <v/>
      </c>
      <c r="AD28" s="39">
        <f>IF($AA28="","",SUMIFS(tblVentas[Unidades efectivas],tblVentas[SKU],$AA28))</f>
        <v/>
      </c>
      <c r="AE28" s="37">
        <f>IF($AA28="","",SUMIFS(tblVentas[Venta neta],tblVentas[SKU],$AA28))</f>
        <v/>
      </c>
      <c r="AF28" s="37">
        <f>IF($AA28="","",SUMIFS(tblVentas[Costo total],tblVentas[SKU],$AA28))</f>
        <v/>
      </c>
      <c r="AG28" s="37">
        <f>IF($AA28="","",$AE28-$AF28)</f>
        <v/>
      </c>
      <c r="AH28" s="38">
        <f>IF(OR($AA28="",$AE28=0),"",$AG28/$AE28)</f>
        <v/>
      </c>
      <c r="AI28" s="38">
        <f>IF(OR($AA28="",SUM($AE$8:$AE$67)=0),"",$AE28/SUM($AE$8:$AE$67))</f>
        <v/>
      </c>
      <c r="AJ28" s="38">
        <f>IF(OR($AA28="",SUM($AG$8:$AG$67)=0),"",$AG28/SUM($AG$8:$AG$67))</f>
        <v/>
      </c>
      <c r="AK28" s="39">
        <f>IF(OR($AA28="",$AE28=0),"",RANK($AG28,$AG$8:$AG$67))</f>
        <v/>
      </c>
      <c r="AL28" s="39">
        <f>IF(OR($AA28="",$AD28=0),"",RANK($AD28,$AD$8:$AD$67))</f>
        <v/>
      </c>
      <c r="AM28" s="37">
        <f>IF(OR($AA28="",$AD28=0),"",$AG28/$AD28)</f>
        <v/>
      </c>
      <c r="AN28" s="37">
        <f>IF($AA28="","",IFERROR(IF(INDEX(tblProductos[Margen de contribución unitario],MATCH($AA28,tblProductos[SKU],0))="","PENDIENTE",INDEX(tblProductos[Margen de contribución unitario],MATCH($AA28,tblProductos[SKU],0))),"PENDIENTE"))</f>
        <v/>
      </c>
      <c r="AO28" s="60">
        <f>IF(OR($AA28="",NOT(ISNUMBER($AG28))),"",$AG28-ROW()/100000)</f>
        <v/>
      </c>
      <c r="AP28" s="60">
        <f>IF(OR($AA28="",NOT(ISNUMBER($AD28))),"",$AD28-ROW()/100000)</f>
        <v/>
      </c>
      <c r="BJ28" s="63" t="inlineStr">
        <is>
          <t>ROI sobre el capital aportado</t>
        </is>
      </c>
      <c r="BK28" s="66">
        <f>IF(OR(NOT(ISNUMBER($BK$27)),$BK$27&lt;=0),"PENDIENTE",$BK$20/$BK$27)</f>
        <v/>
      </c>
      <c r="BL28" s="64" t="inlineStr">
        <is>
          <t>Utilidad neta acumulada ÷ capital aportado.</t>
        </is>
      </c>
    </row>
    <row r="29">
      <c r="A29" s="55">
        <f>IF(NOT(ISNUMBER(PAR_FECHA_INICIO)),"",DATE(YEAR(PAR_FECHA_INICIO),MONTH(PAR_FECHA_INICIO)+21,1))</f>
        <v/>
      </c>
      <c r="B29" s="37">
        <f>IF($A29="","",SUMIFS(tblVentas[Venta bruta],tblVentas[Fecha],"&gt;="&amp;$A29,tblVentas[Fecha],"&lt;"&amp;DATE(YEAR($A29),MONTH($A29)+1,1)))</f>
        <v/>
      </c>
      <c r="C29" s="37">
        <f>IF($A29="","",SUMIFS(tblVentas[Descuento],tblVentas[Fecha],"&gt;="&amp;$A29,tblVentas[Fecha],"&lt;"&amp;DATE(YEAR($A29),MONTH($A29)+1,1)))</f>
        <v/>
      </c>
      <c r="D29" s="49">
        <f>IF($A29="","",SUMIFS(tblVentas[Venta neta],tblVentas[Fecha],"&gt;="&amp;$A29,tblVentas[Fecha],"&lt;"&amp;DATE(YEAR($A29),MONTH($A29)+1,1)))</f>
        <v/>
      </c>
      <c r="E29" s="39">
        <f>IF($A29="","",SUMIFS(tblVentas[Unidades efectivas],tblVentas[Fecha],"&gt;="&amp;$A29,tblVentas[Fecha],"&lt;"&amp;DATE(YEAR($A29),MONTH($A29)+1,1)))</f>
        <v/>
      </c>
      <c r="F29" s="37">
        <f>IF($A29="","",SUMIFS(tblVentas[Costo total],tblVentas[Fecha],"&gt;="&amp;$A29,tblVentas[Fecha],"&lt;"&amp;DATE(YEAR($A29),MONTH($A29)+1,1)))</f>
        <v/>
      </c>
      <c r="G29" s="49">
        <f>IF($A29="","",$D29-$F29)</f>
        <v/>
      </c>
      <c r="H29" s="38">
        <f>IF(OR($A29="",$D29=0),"",$G29/$D29)</f>
        <v/>
      </c>
      <c r="I29" s="37">
        <f>IF($A29="","",SUMIFS(tblGastos[Monto],tblGastos[Tipo de gasto],"Fijo",tblGastos[Fecha],"&gt;="&amp;$A29,tblGastos[Fecha],"&lt;"&amp;DATE(YEAR($A29),MONTH($A29)+1,1)))</f>
        <v/>
      </c>
      <c r="J29" s="37">
        <f>IF($A29="","",SUMIFS(tblGastos[Monto],tblGastos[Tipo de gasto],"Variable",tblGastos[Fecha],"&gt;="&amp;$A29,tblGastos[Fecha],"&lt;"&amp;DATE(YEAR($A29),MONTH($A29)+1,1)))</f>
        <v/>
      </c>
      <c r="K29" s="37">
        <f>IF($A29="","",$I29+$J29)</f>
        <v/>
      </c>
      <c r="L29" s="37">
        <f>IF($A29="","",$G29-$K29)</f>
        <v/>
      </c>
      <c r="M29" s="37">
        <f>IF($A29="","",SUMIFS(tblCajaMov[Monto],tblCajaMov[Concepto],"Otro ingreso",tblCajaMov[Fecha],"&gt;="&amp;$A29,tblCajaMov[Fecha],"&lt;"&amp;DATE(YEAR($A29),MONTH($A29)+1,1)))</f>
        <v/>
      </c>
      <c r="N29" s="37">
        <f>IF($A29="","",SUMIFS(tblCajaMov[Monto],tblCajaMov[Concepto],"Otro egreso",tblCajaMov[Fecha],"&gt;="&amp;$A29,tblCajaMov[Fecha],"&lt;"&amp;DATE(YEAR($A29),MONTH($A29)+1,1)))</f>
        <v/>
      </c>
      <c r="O29" s="49">
        <f>IF($A29="","",$L29+$M29-$N29)</f>
        <v/>
      </c>
      <c r="P29" s="38">
        <f>IF(OR($A29="",$D29=0),"",$O29/$D29)</f>
        <v/>
      </c>
      <c r="Q29" s="39">
        <f>IF($A29="","",COUNTIFS(tblVentas[Fecha],"&gt;="&amp;$A29,tblVentas[Fecha],"&lt;"&amp;DATE(YEAR($A29),MONTH($A29)+1,1)))</f>
        <v/>
      </c>
      <c r="R29" s="37">
        <f>IF(OR($A29="",$Q29=0),"",$D29/$Q29)</f>
        <v/>
      </c>
      <c r="S29" s="37">
        <f>IF(OR($A29="",$E29=0),"",$G29/$E29)</f>
        <v/>
      </c>
      <c r="T29" s="37">
        <f>IF($A29="","",SUMIFS(tblGastos[Monto],tblGastos[Categoría],"Publicidad",tblGastos[Fecha],"&gt;="&amp;$A29,tblGastos[Fecha],"&lt;"&amp;DATE(YEAR($A29),MONTH($A29)+1,1)))</f>
        <v/>
      </c>
      <c r="U29" s="60">
        <f>IF(OR($A29="",$T29=0),"",$D29/$T29)</f>
        <v/>
      </c>
      <c r="V29" s="37">
        <f>IF($A29="","",SUMIFS(tblCompras[Costo total de adquisición],tblCompras[Fecha],"&gt;="&amp;$A29,tblCompras[Fecha],"&lt;"&amp;DATE(YEAR($A29),MONTH($A29)+1,1)))</f>
        <v/>
      </c>
      <c r="W29" s="38">
        <f>IF(OR($A29="",($V29+$K29)=0),"",$O29/($V29+$K29))</f>
        <v/>
      </c>
      <c r="X29" s="37">
        <f>IF($A29="","",SUM($D$8:$D29))</f>
        <v/>
      </c>
      <c r="Y29" s="37">
        <f>IF($A29="","",SUM($O$8:$O29))</f>
        <v/>
      </c>
      <c r="AA29" s="51">
        <f>IFERROR(IF(INDEX(tblProductos[SKU],ROW()-7)="","",INDEX(tblProductos[SKU],ROW()-7)),"")</f>
        <v/>
      </c>
      <c r="AB29" s="51">
        <f>IF($AA29="","",IFERROR(IF(INDEX(tblProductos[Nombre del producto],MATCH($AA29,tblProductos[SKU],0))="","",INDEX(tblProductos[Nombre del producto],MATCH($AA29,tblProductos[SKU],0))),"")&amp;IF(IFERROR(IF(INDEX(tblProductos[Presentación],MATCH($AA29,tblProductos[SKU],0))="","",INDEX(tblProductos[Presentación],MATCH($AA29,tblProductos[SKU],0))),"")="",""," · "&amp;IFERROR(IF(INDEX(tblProductos[Presentación],MATCH($AA29,tblProductos[SKU],0))="","",INDEX(tblProductos[Presentación],MATCH($AA29,tblProductos[SKU],0))),"")))</f>
        <v/>
      </c>
      <c r="AC29" s="51">
        <f>IF($AA29="","",IFERROR(IF(INDEX(tblProductos[Categoría],MATCH($AA29,tblProductos[SKU],0))="","",INDEX(tblProductos[Categoría],MATCH($AA29,tblProductos[SKU],0))),""))</f>
        <v/>
      </c>
      <c r="AD29" s="39">
        <f>IF($AA29="","",SUMIFS(tblVentas[Unidades efectivas],tblVentas[SKU],$AA29))</f>
        <v/>
      </c>
      <c r="AE29" s="37">
        <f>IF($AA29="","",SUMIFS(tblVentas[Venta neta],tblVentas[SKU],$AA29))</f>
        <v/>
      </c>
      <c r="AF29" s="37">
        <f>IF($AA29="","",SUMIFS(tblVentas[Costo total],tblVentas[SKU],$AA29))</f>
        <v/>
      </c>
      <c r="AG29" s="37">
        <f>IF($AA29="","",$AE29-$AF29)</f>
        <v/>
      </c>
      <c r="AH29" s="38">
        <f>IF(OR($AA29="",$AE29=0),"",$AG29/$AE29)</f>
        <v/>
      </c>
      <c r="AI29" s="38">
        <f>IF(OR($AA29="",SUM($AE$8:$AE$67)=0),"",$AE29/SUM($AE$8:$AE$67))</f>
        <v/>
      </c>
      <c r="AJ29" s="38">
        <f>IF(OR($AA29="",SUM($AG$8:$AG$67)=0),"",$AG29/SUM($AG$8:$AG$67))</f>
        <v/>
      </c>
      <c r="AK29" s="39">
        <f>IF(OR($AA29="",$AE29=0),"",RANK($AG29,$AG$8:$AG$67))</f>
        <v/>
      </c>
      <c r="AL29" s="39">
        <f>IF(OR($AA29="",$AD29=0),"",RANK($AD29,$AD$8:$AD$67))</f>
        <v/>
      </c>
      <c r="AM29" s="37">
        <f>IF(OR($AA29="",$AD29=0),"",$AG29/$AD29)</f>
        <v/>
      </c>
      <c r="AN29" s="37">
        <f>IF($AA29="","",IFERROR(IF(INDEX(tblProductos[Margen de contribución unitario],MATCH($AA29,tblProductos[SKU],0))="","PENDIENTE",INDEX(tblProductos[Margen de contribución unitario],MATCH($AA29,tblProductos[SKU],0))),"PENDIENTE"))</f>
        <v/>
      </c>
      <c r="AO29" s="60">
        <f>IF(OR($AA29="",NOT(ISNUMBER($AG29))),"",$AG29-ROW()/100000)</f>
        <v/>
      </c>
      <c r="AP29" s="60">
        <f>IF(OR($AA29="",NOT(ISNUMBER($AD29))),"",$AD29-ROW()/100000)</f>
        <v/>
      </c>
      <c r="BJ29" s="63" t="inlineStr">
        <is>
          <t>Valor del inventario (capital inmovilizado)</t>
        </is>
      </c>
      <c r="BK29" s="49">
        <f>SUMIF(tblInventario[VALOR DEL INVENTARIO],"&lt;&gt;PENDIENTE")</f>
        <v/>
      </c>
      <c r="BL29" s="64" t="inlineStr">
        <is>
          <t>Dinero que está dentro de las cajas del inventario, no en su bolsillo.</t>
        </is>
      </c>
    </row>
    <row r="30">
      <c r="A30" s="55">
        <f>IF(NOT(ISNUMBER(PAR_FECHA_INICIO)),"",DATE(YEAR(PAR_FECHA_INICIO),MONTH(PAR_FECHA_INICIO)+22,1))</f>
        <v/>
      </c>
      <c r="B30" s="37">
        <f>IF($A30="","",SUMIFS(tblVentas[Venta bruta],tblVentas[Fecha],"&gt;="&amp;$A30,tblVentas[Fecha],"&lt;"&amp;DATE(YEAR($A30),MONTH($A30)+1,1)))</f>
        <v/>
      </c>
      <c r="C30" s="37">
        <f>IF($A30="","",SUMIFS(tblVentas[Descuento],tblVentas[Fecha],"&gt;="&amp;$A30,tblVentas[Fecha],"&lt;"&amp;DATE(YEAR($A30),MONTH($A30)+1,1)))</f>
        <v/>
      </c>
      <c r="D30" s="49">
        <f>IF($A30="","",SUMIFS(tblVentas[Venta neta],tblVentas[Fecha],"&gt;="&amp;$A30,tblVentas[Fecha],"&lt;"&amp;DATE(YEAR($A30),MONTH($A30)+1,1)))</f>
        <v/>
      </c>
      <c r="E30" s="39">
        <f>IF($A30="","",SUMIFS(tblVentas[Unidades efectivas],tblVentas[Fecha],"&gt;="&amp;$A30,tblVentas[Fecha],"&lt;"&amp;DATE(YEAR($A30),MONTH($A30)+1,1)))</f>
        <v/>
      </c>
      <c r="F30" s="37">
        <f>IF($A30="","",SUMIFS(tblVentas[Costo total],tblVentas[Fecha],"&gt;="&amp;$A30,tblVentas[Fecha],"&lt;"&amp;DATE(YEAR($A30),MONTH($A30)+1,1)))</f>
        <v/>
      </c>
      <c r="G30" s="49">
        <f>IF($A30="","",$D30-$F30)</f>
        <v/>
      </c>
      <c r="H30" s="38">
        <f>IF(OR($A30="",$D30=0),"",$G30/$D30)</f>
        <v/>
      </c>
      <c r="I30" s="37">
        <f>IF($A30="","",SUMIFS(tblGastos[Monto],tblGastos[Tipo de gasto],"Fijo",tblGastos[Fecha],"&gt;="&amp;$A30,tblGastos[Fecha],"&lt;"&amp;DATE(YEAR($A30),MONTH($A30)+1,1)))</f>
        <v/>
      </c>
      <c r="J30" s="37">
        <f>IF($A30="","",SUMIFS(tblGastos[Monto],tblGastos[Tipo de gasto],"Variable",tblGastos[Fecha],"&gt;="&amp;$A30,tblGastos[Fecha],"&lt;"&amp;DATE(YEAR($A30),MONTH($A30)+1,1)))</f>
        <v/>
      </c>
      <c r="K30" s="37">
        <f>IF($A30="","",$I30+$J30)</f>
        <v/>
      </c>
      <c r="L30" s="37">
        <f>IF($A30="","",$G30-$K30)</f>
        <v/>
      </c>
      <c r="M30" s="37">
        <f>IF($A30="","",SUMIFS(tblCajaMov[Monto],tblCajaMov[Concepto],"Otro ingreso",tblCajaMov[Fecha],"&gt;="&amp;$A30,tblCajaMov[Fecha],"&lt;"&amp;DATE(YEAR($A30),MONTH($A30)+1,1)))</f>
        <v/>
      </c>
      <c r="N30" s="37">
        <f>IF($A30="","",SUMIFS(tblCajaMov[Monto],tblCajaMov[Concepto],"Otro egreso",tblCajaMov[Fecha],"&gt;="&amp;$A30,tblCajaMov[Fecha],"&lt;"&amp;DATE(YEAR($A30),MONTH($A30)+1,1)))</f>
        <v/>
      </c>
      <c r="O30" s="49">
        <f>IF($A30="","",$L30+$M30-$N30)</f>
        <v/>
      </c>
      <c r="P30" s="38">
        <f>IF(OR($A30="",$D30=0),"",$O30/$D30)</f>
        <v/>
      </c>
      <c r="Q30" s="39">
        <f>IF($A30="","",COUNTIFS(tblVentas[Fecha],"&gt;="&amp;$A30,tblVentas[Fecha],"&lt;"&amp;DATE(YEAR($A30),MONTH($A30)+1,1)))</f>
        <v/>
      </c>
      <c r="R30" s="37">
        <f>IF(OR($A30="",$Q30=0),"",$D30/$Q30)</f>
        <v/>
      </c>
      <c r="S30" s="37">
        <f>IF(OR($A30="",$E30=0),"",$G30/$E30)</f>
        <v/>
      </c>
      <c r="T30" s="37">
        <f>IF($A30="","",SUMIFS(tblGastos[Monto],tblGastos[Categoría],"Publicidad",tblGastos[Fecha],"&gt;="&amp;$A30,tblGastos[Fecha],"&lt;"&amp;DATE(YEAR($A30),MONTH($A30)+1,1)))</f>
        <v/>
      </c>
      <c r="U30" s="60">
        <f>IF(OR($A30="",$T30=0),"",$D30/$T30)</f>
        <v/>
      </c>
      <c r="V30" s="37">
        <f>IF($A30="","",SUMIFS(tblCompras[Costo total de adquisición],tblCompras[Fecha],"&gt;="&amp;$A30,tblCompras[Fecha],"&lt;"&amp;DATE(YEAR($A30),MONTH($A30)+1,1)))</f>
        <v/>
      </c>
      <c r="W30" s="38">
        <f>IF(OR($A30="",($V30+$K30)=0),"",$O30/($V30+$K30))</f>
        <v/>
      </c>
      <c r="X30" s="37">
        <f>IF($A30="","",SUM($D$8:$D30))</f>
        <v/>
      </c>
      <c r="Y30" s="37">
        <f>IF($A30="","",SUM($O$8:$O30))</f>
        <v/>
      </c>
      <c r="AA30" s="51">
        <f>IFERROR(IF(INDEX(tblProductos[SKU],ROW()-7)="","",INDEX(tblProductos[SKU],ROW()-7)),"")</f>
        <v/>
      </c>
      <c r="AB30" s="51">
        <f>IF($AA30="","",IFERROR(IF(INDEX(tblProductos[Nombre del producto],MATCH($AA30,tblProductos[SKU],0))="","",INDEX(tblProductos[Nombre del producto],MATCH($AA30,tblProductos[SKU],0))),"")&amp;IF(IFERROR(IF(INDEX(tblProductos[Presentación],MATCH($AA30,tblProductos[SKU],0))="","",INDEX(tblProductos[Presentación],MATCH($AA30,tblProductos[SKU],0))),"")="",""," · "&amp;IFERROR(IF(INDEX(tblProductos[Presentación],MATCH($AA30,tblProductos[SKU],0))="","",INDEX(tblProductos[Presentación],MATCH($AA30,tblProductos[SKU],0))),"")))</f>
        <v/>
      </c>
      <c r="AC30" s="51">
        <f>IF($AA30="","",IFERROR(IF(INDEX(tblProductos[Categoría],MATCH($AA30,tblProductos[SKU],0))="","",INDEX(tblProductos[Categoría],MATCH($AA30,tblProductos[SKU],0))),""))</f>
        <v/>
      </c>
      <c r="AD30" s="39">
        <f>IF($AA30="","",SUMIFS(tblVentas[Unidades efectivas],tblVentas[SKU],$AA30))</f>
        <v/>
      </c>
      <c r="AE30" s="37">
        <f>IF($AA30="","",SUMIFS(tblVentas[Venta neta],tblVentas[SKU],$AA30))</f>
        <v/>
      </c>
      <c r="AF30" s="37">
        <f>IF($AA30="","",SUMIFS(tblVentas[Costo total],tblVentas[SKU],$AA30))</f>
        <v/>
      </c>
      <c r="AG30" s="37">
        <f>IF($AA30="","",$AE30-$AF30)</f>
        <v/>
      </c>
      <c r="AH30" s="38">
        <f>IF(OR($AA30="",$AE30=0),"",$AG30/$AE30)</f>
        <v/>
      </c>
      <c r="AI30" s="38">
        <f>IF(OR($AA30="",SUM($AE$8:$AE$67)=0),"",$AE30/SUM($AE$8:$AE$67))</f>
        <v/>
      </c>
      <c r="AJ30" s="38">
        <f>IF(OR($AA30="",SUM($AG$8:$AG$67)=0),"",$AG30/SUM($AG$8:$AG$67))</f>
        <v/>
      </c>
      <c r="AK30" s="39">
        <f>IF(OR($AA30="",$AE30=0),"",RANK($AG30,$AG$8:$AG$67))</f>
        <v/>
      </c>
      <c r="AL30" s="39">
        <f>IF(OR($AA30="",$AD30=0),"",RANK($AD30,$AD$8:$AD$67))</f>
        <v/>
      </c>
      <c r="AM30" s="37">
        <f>IF(OR($AA30="",$AD30=0),"",$AG30/$AD30)</f>
        <v/>
      </c>
      <c r="AN30" s="37">
        <f>IF($AA30="","",IFERROR(IF(INDEX(tblProductos[Margen de contribución unitario],MATCH($AA30,tblProductos[SKU],0))="","PENDIENTE",INDEX(tblProductos[Margen de contribución unitario],MATCH($AA30,tblProductos[SKU],0))),"PENDIENTE"))</f>
        <v/>
      </c>
      <c r="AO30" s="60">
        <f>IF(OR($AA30="",NOT(ISNUMBER($AG30))),"",$AG30-ROW()/100000)</f>
        <v/>
      </c>
      <c r="AP30" s="60">
        <f>IF(OR($AA30="",NOT(ISNUMBER($AD30))),"",$AD30-ROW()/100000)</f>
        <v/>
      </c>
      <c r="BJ30" s="63" t="inlineStr">
        <is>
          <t>Cuentas por cobrar</t>
        </is>
      </c>
      <c r="BK30" s="49">
        <f>SUMIF(tblVentas[Saldo por cobrar],"&gt;0")</f>
        <v/>
      </c>
      <c r="BL30" s="64" t="inlineStr">
        <is>
          <t>Ventas ya realizadas que aún no le han pagado.</t>
        </is>
      </c>
    </row>
    <row r="31">
      <c r="A31" s="55">
        <f>IF(NOT(ISNUMBER(PAR_FECHA_INICIO)),"",DATE(YEAR(PAR_FECHA_INICIO),MONTH(PAR_FECHA_INICIO)+23,1))</f>
        <v/>
      </c>
      <c r="B31" s="37">
        <f>IF($A31="","",SUMIFS(tblVentas[Venta bruta],tblVentas[Fecha],"&gt;="&amp;$A31,tblVentas[Fecha],"&lt;"&amp;DATE(YEAR($A31),MONTH($A31)+1,1)))</f>
        <v/>
      </c>
      <c r="C31" s="37">
        <f>IF($A31="","",SUMIFS(tblVentas[Descuento],tblVentas[Fecha],"&gt;="&amp;$A31,tblVentas[Fecha],"&lt;"&amp;DATE(YEAR($A31),MONTH($A31)+1,1)))</f>
        <v/>
      </c>
      <c r="D31" s="49">
        <f>IF($A31="","",SUMIFS(tblVentas[Venta neta],tblVentas[Fecha],"&gt;="&amp;$A31,tblVentas[Fecha],"&lt;"&amp;DATE(YEAR($A31),MONTH($A31)+1,1)))</f>
        <v/>
      </c>
      <c r="E31" s="39">
        <f>IF($A31="","",SUMIFS(tblVentas[Unidades efectivas],tblVentas[Fecha],"&gt;="&amp;$A31,tblVentas[Fecha],"&lt;"&amp;DATE(YEAR($A31),MONTH($A31)+1,1)))</f>
        <v/>
      </c>
      <c r="F31" s="37">
        <f>IF($A31="","",SUMIFS(tblVentas[Costo total],tblVentas[Fecha],"&gt;="&amp;$A31,tblVentas[Fecha],"&lt;"&amp;DATE(YEAR($A31),MONTH($A31)+1,1)))</f>
        <v/>
      </c>
      <c r="G31" s="49">
        <f>IF($A31="","",$D31-$F31)</f>
        <v/>
      </c>
      <c r="H31" s="38">
        <f>IF(OR($A31="",$D31=0),"",$G31/$D31)</f>
        <v/>
      </c>
      <c r="I31" s="37">
        <f>IF($A31="","",SUMIFS(tblGastos[Monto],tblGastos[Tipo de gasto],"Fijo",tblGastos[Fecha],"&gt;="&amp;$A31,tblGastos[Fecha],"&lt;"&amp;DATE(YEAR($A31),MONTH($A31)+1,1)))</f>
        <v/>
      </c>
      <c r="J31" s="37">
        <f>IF($A31="","",SUMIFS(tblGastos[Monto],tblGastos[Tipo de gasto],"Variable",tblGastos[Fecha],"&gt;="&amp;$A31,tblGastos[Fecha],"&lt;"&amp;DATE(YEAR($A31),MONTH($A31)+1,1)))</f>
        <v/>
      </c>
      <c r="K31" s="37">
        <f>IF($A31="","",$I31+$J31)</f>
        <v/>
      </c>
      <c r="L31" s="37">
        <f>IF($A31="","",$G31-$K31)</f>
        <v/>
      </c>
      <c r="M31" s="37">
        <f>IF($A31="","",SUMIFS(tblCajaMov[Monto],tblCajaMov[Concepto],"Otro ingreso",tblCajaMov[Fecha],"&gt;="&amp;$A31,tblCajaMov[Fecha],"&lt;"&amp;DATE(YEAR($A31),MONTH($A31)+1,1)))</f>
        <v/>
      </c>
      <c r="N31" s="37">
        <f>IF($A31="","",SUMIFS(tblCajaMov[Monto],tblCajaMov[Concepto],"Otro egreso",tblCajaMov[Fecha],"&gt;="&amp;$A31,tblCajaMov[Fecha],"&lt;"&amp;DATE(YEAR($A31),MONTH($A31)+1,1)))</f>
        <v/>
      </c>
      <c r="O31" s="49">
        <f>IF($A31="","",$L31+$M31-$N31)</f>
        <v/>
      </c>
      <c r="P31" s="38">
        <f>IF(OR($A31="",$D31=0),"",$O31/$D31)</f>
        <v/>
      </c>
      <c r="Q31" s="39">
        <f>IF($A31="","",COUNTIFS(tblVentas[Fecha],"&gt;="&amp;$A31,tblVentas[Fecha],"&lt;"&amp;DATE(YEAR($A31),MONTH($A31)+1,1)))</f>
        <v/>
      </c>
      <c r="R31" s="37">
        <f>IF(OR($A31="",$Q31=0),"",$D31/$Q31)</f>
        <v/>
      </c>
      <c r="S31" s="37">
        <f>IF(OR($A31="",$E31=0),"",$G31/$E31)</f>
        <v/>
      </c>
      <c r="T31" s="37">
        <f>IF($A31="","",SUMIFS(tblGastos[Monto],tblGastos[Categoría],"Publicidad",tblGastos[Fecha],"&gt;="&amp;$A31,tblGastos[Fecha],"&lt;"&amp;DATE(YEAR($A31),MONTH($A31)+1,1)))</f>
        <v/>
      </c>
      <c r="U31" s="60">
        <f>IF(OR($A31="",$T31=0),"",$D31/$T31)</f>
        <v/>
      </c>
      <c r="V31" s="37">
        <f>IF($A31="","",SUMIFS(tblCompras[Costo total de adquisición],tblCompras[Fecha],"&gt;="&amp;$A31,tblCompras[Fecha],"&lt;"&amp;DATE(YEAR($A31),MONTH($A31)+1,1)))</f>
        <v/>
      </c>
      <c r="W31" s="38">
        <f>IF(OR($A31="",($V31+$K31)=0),"",$O31/($V31+$K31))</f>
        <v/>
      </c>
      <c r="X31" s="37">
        <f>IF($A31="","",SUM($D$8:$D31))</f>
        <v/>
      </c>
      <c r="Y31" s="37">
        <f>IF($A31="","",SUM($O$8:$O31))</f>
        <v/>
      </c>
      <c r="AA31" s="51">
        <f>IFERROR(IF(INDEX(tblProductos[SKU],ROW()-7)="","",INDEX(tblProductos[SKU],ROW()-7)),"")</f>
        <v/>
      </c>
      <c r="AB31" s="51">
        <f>IF($AA31="","",IFERROR(IF(INDEX(tblProductos[Nombre del producto],MATCH($AA31,tblProductos[SKU],0))="","",INDEX(tblProductos[Nombre del producto],MATCH($AA31,tblProductos[SKU],0))),"")&amp;IF(IFERROR(IF(INDEX(tblProductos[Presentación],MATCH($AA31,tblProductos[SKU],0))="","",INDEX(tblProductos[Presentación],MATCH($AA31,tblProductos[SKU],0))),"")="",""," · "&amp;IFERROR(IF(INDEX(tblProductos[Presentación],MATCH($AA31,tblProductos[SKU],0))="","",INDEX(tblProductos[Presentación],MATCH($AA31,tblProductos[SKU],0))),"")))</f>
        <v/>
      </c>
      <c r="AC31" s="51">
        <f>IF($AA31="","",IFERROR(IF(INDEX(tblProductos[Categoría],MATCH($AA31,tblProductos[SKU],0))="","",INDEX(tblProductos[Categoría],MATCH($AA31,tblProductos[SKU],0))),""))</f>
        <v/>
      </c>
      <c r="AD31" s="39">
        <f>IF($AA31="","",SUMIFS(tblVentas[Unidades efectivas],tblVentas[SKU],$AA31))</f>
        <v/>
      </c>
      <c r="AE31" s="37">
        <f>IF($AA31="","",SUMIFS(tblVentas[Venta neta],tblVentas[SKU],$AA31))</f>
        <v/>
      </c>
      <c r="AF31" s="37">
        <f>IF($AA31="","",SUMIFS(tblVentas[Costo total],tblVentas[SKU],$AA31))</f>
        <v/>
      </c>
      <c r="AG31" s="37">
        <f>IF($AA31="","",$AE31-$AF31)</f>
        <v/>
      </c>
      <c r="AH31" s="38">
        <f>IF(OR($AA31="",$AE31=0),"",$AG31/$AE31)</f>
        <v/>
      </c>
      <c r="AI31" s="38">
        <f>IF(OR($AA31="",SUM($AE$8:$AE$67)=0),"",$AE31/SUM($AE$8:$AE$67))</f>
        <v/>
      </c>
      <c r="AJ31" s="38">
        <f>IF(OR($AA31="",SUM($AG$8:$AG$67)=0),"",$AG31/SUM($AG$8:$AG$67))</f>
        <v/>
      </c>
      <c r="AK31" s="39">
        <f>IF(OR($AA31="",$AE31=0),"",RANK($AG31,$AG$8:$AG$67))</f>
        <v/>
      </c>
      <c r="AL31" s="39">
        <f>IF(OR($AA31="",$AD31=0),"",RANK($AD31,$AD$8:$AD$67))</f>
        <v/>
      </c>
      <c r="AM31" s="37">
        <f>IF(OR($AA31="",$AD31=0),"",$AG31/$AD31)</f>
        <v/>
      </c>
      <c r="AN31" s="37">
        <f>IF($AA31="","",IFERROR(IF(INDEX(tblProductos[Margen de contribución unitario],MATCH($AA31,tblProductos[SKU],0))="","PENDIENTE",INDEX(tblProductos[Margen de contribución unitario],MATCH($AA31,tblProductos[SKU],0))),"PENDIENTE"))</f>
        <v/>
      </c>
      <c r="AO31" s="60">
        <f>IF(OR($AA31="",NOT(ISNUMBER($AG31))),"",$AG31-ROW()/100000)</f>
        <v/>
      </c>
      <c r="AP31" s="60">
        <f>IF(OR($AA31="",NOT(ISNUMBER($AD31))),"",$AD31-ROW()/100000)</f>
        <v/>
      </c>
      <c r="BJ31" s="63" t="inlineStr">
        <is>
          <t>Cuentas por pagar</t>
        </is>
      </c>
      <c r="BK31" s="49">
        <f>SUMIF(tblCompras[Saldo por pagar],"&gt;0")+SUMIF(tblGastos[Saldo por pagar],"&gt;0")</f>
        <v/>
      </c>
      <c r="BL31" s="64" t="inlineStr">
        <is>
          <t>Compras y gastos que usted todavía debe.</t>
        </is>
      </c>
    </row>
    <row r="32">
      <c r="A32" s="55">
        <f>IF(NOT(ISNUMBER(PAR_FECHA_INICIO)),"",DATE(YEAR(PAR_FECHA_INICIO),MONTH(PAR_FECHA_INICIO)+24,1))</f>
        <v/>
      </c>
      <c r="B32" s="37">
        <f>IF($A32="","",SUMIFS(tblVentas[Venta bruta],tblVentas[Fecha],"&gt;="&amp;$A32,tblVentas[Fecha],"&lt;"&amp;DATE(YEAR($A32),MONTH($A32)+1,1)))</f>
        <v/>
      </c>
      <c r="C32" s="37">
        <f>IF($A32="","",SUMIFS(tblVentas[Descuento],tblVentas[Fecha],"&gt;="&amp;$A32,tblVentas[Fecha],"&lt;"&amp;DATE(YEAR($A32),MONTH($A32)+1,1)))</f>
        <v/>
      </c>
      <c r="D32" s="49">
        <f>IF($A32="","",SUMIFS(tblVentas[Venta neta],tblVentas[Fecha],"&gt;="&amp;$A32,tblVentas[Fecha],"&lt;"&amp;DATE(YEAR($A32),MONTH($A32)+1,1)))</f>
        <v/>
      </c>
      <c r="E32" s="39">
        <f>IF($A32="","",SUMIFS(tblVentas[Unidades efectivas],tblVentas[Fecha],"&gt;="&amp;$A32,tblVentas[Fecha],"&lt;"&amp;DATE(YEAR($A32),MONTH($A32)+1,1)))</f>
        <v/>
      </c>
      <c r="F32" s="37">
        <f>IF($A32="","",SUMIFS(tblVentas[Costo total],tblVentas[Fecha],"&gt;="&amp;$A32,tblVentas[Fecha],"&lt;"&amp;DATE(YEAR($A32),MONTH($A32)+1,1)))</f>
        <v/>
      </c>
      <c r="G32" s="49">
        <f>IF($A32="","",$D32-$F32)</f>
        <v/>
      </c>
      <c r="H32" s="38">
        <f>IF(OR($A32="",$D32=0),"",$G32/$D32)</f>
        <v/>
      </c>
      <c r="I32" s="37">
        <f>IF($A32="","",SUMIFS(tblGastos[Monto],tblGastos[Tipo de gasto],"Fijo",tblGastos[Fecha],"&gt;="&amp;$A32,tblGastos[Fecha],"&lt;"&amp;DATE(YEAR($A32),MONTH($A32)+1,1)))</f>
        <v/>
      </c>
      <c r="J32" s="37">
        <f>IF($A32="","",SUMIFS(tblGastos[Monto],tblGastos[Tipo de gasto],"Variable",tblGastos[Fecha],"&gt;="&amp;$A32,tblGastos[Fecha],"&lt;"&amp;DATE(YEAR($A32),MONTH($A32)+1,1)))</f>
        <v/>
      </c>
      <c r="K32" s="37">
        <f>IF($A32="","",$I32+$J32)</f>
        <v/>
      </c>
      <c r="L32" s="37">
        <f>IF($A32="","",$G32-$K32)</f>
        <v/>
      </c>
      <c r="M32" s="37">
        <f>IF($A32="","",SUMIFS(tblCajaMov[Monto],tblCajaMov[Concepto],"Otro ingreso",tblCajaMov[Fecha],"&gt;="&amp;$A32,tblCajaMov[Fecha],"&lt;"&amp;DATE(YEAR($A32),MONTH($A32)+1,1)))</f>
        <v/>
      </c>
      <c r="N32" s="37">
        <f>IF($A32="","",SUMIFS(tblCajaMov[Monto],tblCajaMov[Concepto],"Otro egreso",tblCajaMov[Fecha],"&gt;="&amp;$A32,tblCajaMov[Fecha],"&lt;"&amp;DATE(YEAR($A32),MONTH($A32)+1,1)))</f>
        <v/>
      </c>
      <c r="O32" s="49">
        <f>IF($A32="","",$L32+$M32-$N32)</f>
        <v/>
      </c>
      <c r="P32" s="38">
        <f>IF(OR($A32="",$D32=0),"",$O32/$D32)</f>
        <v/>
      </c>
      <c r="Q32" s="39">
        <f>IF($A32="","",COUNTIFS(tblVentas[Fecha],"&gt;="&amp;$A32,tblVentas[Fecha],"&lt;"&amp;DATE(YEAR($A32),MONTH($A32)+1,1)))</f>
        <v/>
      </c>
      <c r="R32" s="37">
        <f>IF(OR($A32="",$Q32=0),"",$D32/$Q32)</f>
        <v/>
      </c>
      <c r="S32" s="37">
        <f>IF(OR($A32="",$E32=0),"",$G32/$E32)</f>
        <v/>
      </c>
      <c r="T32" s="37">
        <f>IF($A32="","",SUMIFS(tblGastos[Monto],tblGastos[Categoría],"Publicidad",tblGastos[Fecha],"&gt;="&amp;$A32,tblGastos[Fecha],"&lt;"&amp;DATE(YEAR($A32),MONTH($A32)+1,1)))</f>
        <v/>
      </c>
      <c r="U32" s="60">
        <f>IF(OR($A32="",$T32=0),"",$D32/$T32)</f>
        <v/>
      </c>
      <c r="V32" s="37">
        <f>IF($A32="","",SUMIFS(tblCompras[Costo total de adquisición],tblCompras[Fecha],"&gt;="&amp;$A32,tblCompras[Fecha],"&lt;"&amp;DATE(YEAR($A32),MONTH($A32)+1,1)))</f>
        <v/>
      </c>
      <c r="W32" s="38">
        <f>IF(OR($A32="",($V32+$K32)=0),"",$O32/($V32+$K32))</f>
        <v/>
      </c>
      <c r="X32" s="37">
        <f>IF($A32="","",SUM($D$8:$D32))</f>
        <v/>
      </c>
      <c r="Y32" s="37">
        <f>IF($A32="","",SUM($O$8:$O32))</f>
        <v/>
      </c>
      <c r="AA32" s="51">
        <f>IFERROR(IF(INDEX(tblProductos[SKU],ROW()-7)="","",INDEX(tblProductos[SKU],ROW()-7)),"")</f>
        <v/>
      </c>
      <c r="AB32" s="51">
        <f>IF($AA32="","",IFERROR(IF(INDEX(tblProductos[Nombre del producto],MATCH($AA32,tblProductos[SKU],0))="","",INDEX(tblProductos[Nombre del producto],MATCH($AA32,tblProductos[SKU],0))),"")&amp;IF(IFERROR(IF(INDEX(tblProductos[Presentación],MATCH($AA32,tblProductos[SKU],0))="","",INDEX(tblProductos[Presentación],MATCH($AA32,tblProductos[SKU],0))),"")="",""," · "&amp;IFERROR(IF(INDEX(tblProductos[Presentación],MATCH($AA32,tblProductos[SKU],0))="","",INDEX(tblProductos[Presentación],MATCH($AA32,tblProductos[SKU],0))),"")))</f>
        <v/>
      </c>
      <c r="AC32" s="51">
        <f>IF($AA32="","",IFERROR(IF(INDEX(tblProductos[Categoría],MATCH($AA32,tblProductos[SKU],0))="","",INDEX(tblProductos[Categoría],MATCH($AA32,tblProductos[SKU],0))),""))</f>
        <v/>
      </c>
      <c r="AD32" s="39">
        <f>IF($AA32="","",SUMIFS(tblVentas[Unidades efectivas],tblVentas[SKU],$AA32))</f>
        <v/>
      </c>
      <c r="AE32" s="37">
        <f>IF($AA32="","",SUMIFS(tblVentas[Venta neta],tblVentas[SKU],$AA32))</f>
        <v/>
      </c>
      <c r="AF32" s="37">
        <f>IF($AA32="","",SUMIFS(tblVentas[Costo total],tblVentas[SKU],$AA32))</f>
        <v/>
      </c>
      <c r="AG32" s="37">
        <f>IF($AA32="","",$AE32-$AF32)</f>
        <v/>
      </c>
      <c r="AH32" s="38">
        <f>IF(OR($AA32="",$AE32=0),"",$AG32/$AE32)</f>
        <v/>
      </c>
      <c r="AI32" s="38">
        <f>IF(OR($AA32="",SUM($AE$8:$AE$67)=0),"",$AE32/SUM($AE$8:$AE$67))</f>
        <v/>
      </c>
      <c r="AJ32" s="38">
        <f>IF(OR($AA32="",SUM($AG$8:$AG$67)=0),"",$AG32/SUM($AG$8:$AG$67))</f>
        <v/>
      </c>
      <c r="AK32" s="39">
        <f>IF(OR($AA32="",$AE32=0),"",RANK($AG32,$AG$8:$AG$67))</f>
        <v/>
      </c>
      <c r="AL32" s="39">
        <f>IF(OR($AA32="",$AD32=0),"",RANK($AD32,$AD$8:$AD$67))</f>
        <v/>
      </c>
      <c r="AM32" s="37">
        <f>IF(OR($AA32="",$AD32=0),"",$AG32/$AD32)</f>
        <v/>
      </c>
      <c r="AN32" s="37">
        <f>IF($AA32="","",IFERROR(IF(INDEX(tblProductos[Margen de contribución unitario],MATCH($AA32,tblProductos[SKU],0))="","PENDIENTE",INDEX(tblProductos[Margen de contribución unitario],MATCH($AA32,tblProductos[SKU],0))),"PENDIENTE"))</f>
        <v/>
      </c>
      <c r="AO32" s="60">
        <f>IF(OR($AA32="",NOT(ISNUMBER($AG32))),"",$AG32-ROW()/100000)</f>
        <v/>
      </c>
      <c r="AP32" s="60">
        <f>IF(OR($AA32="",NOT(ISNUMBER($AD32))),"",$AD32-ROW()/100000)</f>
        <v/>
      </c>
      <c r="BJ32" s="63" t="inlineStr">
        <is>
          <t>Capital de trabajo comprometido</t>
        </is>
      </c>
      <c r="BK32" s="49">
        <f>$BK$29+$BK$30-$BK$31</f>
        <v/>
      </c>
      <c r="BL32" s="64" t="inlineStr">
        <is>
          <t>Inventario + cuentas por cobrar − cuentas por pagar.</t>
        </is>
      </c>
    </row>
    <row r="33">
      <c r="A33" s="55">
        <f>IF(NOT(ISNUMBER(PAR_FECHA_INICIO)),"",DATE(YEAR(PAR_FECHA_INICIO),MONTH(PAR_FECHA_INICIO)+25,1))</f>
        <v/>
      </c>
      <c r="B33" s="37">
        <f>IF($A33="","",SUMIFS(tblVentas[Venta bruta],tblVentas[Fecha],"&gt;="&amp;$A33,tblVentas[Fecha],"&lt;"&amp;DATE(YEAR($A33),MONTH($A33)+1,1)))</f>
        <v/>
      </c>
      <c r="C33" s="37">
        <f>IF($A33="","",SUMIFS(tblVentas[Descuento],tblVentas[Fecha],"&gt;="&amp;$A33,tblVentas[Fecha],"&lt;"&amp;DATE(YEAR($A33),MONTH($A33)+1,1)))</f>
        <v/>
      </c>
      <c r="D33" s="49">
        <f>IF($A33="","",SUMIFS(tblVentas[Venta neta],tblVentas[Fecha],"&gt;="&amp;$A33,tblVentas[Fecha],"&lt;"&amp;DATE(YEAR($A33),MONTH($A33)+1,1)))</f>
        <v/>
      </c>
      <c r="E33" s="39">
        <f>IF($A33="","",SUMIFS(tblVentas[Unidades efectivas],tblVentas[Fecha],"&gt;="&amp;$A33,tblVentas[Fecha],"&lt;"&amp;DATE(YEAR($A33),MONTH($A33)+1,1)))</f>
        <v/>
      </c>
      <c r="F33" s="37">
        <f>IF($A33="","",SUMIFS(tblVentas[Costo total],tblVentas[Fecha],"&gt;="&amp;$A33,tblVentas[Fecha],"&lt;"&amp;DATE(YEAR($A33),MONTH($A33)+1,1)))</f>
        <v/>
      </c>
      <c r="G33" s="49">
        <f>IF($A33="","",$D33-$F33)</f>
        <v/>
      </c>
      <c r="H33" s="38">
        <f>IF(OR($A33="",$D33=0),"",$G33/$D33)</f>
        <v/>
      </c>
      <c r="I33" s="37">
        <f>IF($A33="","",SUMIFS(tblGastos[Monto],tblGastos[Tipo de gasto],"Fijo",tblGastos[Fecha],"&gt;="&amp;$A33,tblGastos[Fecha],"&lt;"&amp;DATE(YEAR($A33),MONTH($A33)+1,1)))</f>
        <v/>
      </c>
      <c r="J33" s="37">
        <f>IF($A33="","",SUMIFS(tblGastos[Monto],tblGastos[Tipo de gasto],"Variable",tblGastos[Fecha],"&gt;="&amp;$A33,tblGastos[Fecha],"&lt;"&amp;DATE(YEAR($A33),MONTH($A33)+1,1)))</f>
        <v/>
      </c>
      <c r="K33" s="37">
        <f>IF($A33="","",$I33+$J33)</f>
        <v/>
      </c>
      <c r="L33" s="37">
        <f>IF($A33="","",$G33-$K33)</f>
        <v/>
      </c>
      <c r="M33" s="37">
        <f>IF($A33="","",SUMIFS(tblCajaMov[Monto],tblCajaMov[Concepto],"Otro ingreso",tblCajaMov[Fecha],"&gt;="&amp;$A33,tblCajaMov[Fecha],"&lt;"&amp;DATE(YEAR($A33),MONTH($A33)+1,1)))</f>
        <v/>
      </c>
      <c r="N33" s="37">
        <f>IF($A33="","",SUMIFS(tblCajaMov[Monto],tblCajaMov[Concepto],"Otro egreso",tblCajaMov[Fecha],"&gt;="&amp;$A33,tblCajaMov[Fecha],"&lt;"&amp;DATE(YEAR($A33),MONTH($A33)+1,1)))</f>
        <v/>
      </c>
      <c r="O33" s="49">
        <f>IF($A33="","",$L33+$M33-$N33)</f>
        <v/>
      </c>
      <c r="P33" s="38">
        <f>IF(OR($A33="",$D33=0),"",$O33/$D33)</f>
        <v/>
      </c>
      <c r="Q33" s="39">
        <f>IF($A33="","",COUNTIFS(tblVentas[Fecha],"&gt;="&amp;$A33,tblVentas[Fecha],"&lt;"&amp;DATE(YEAR($A33),MONTH($A33)+1,1)))</f>
        <v/>
      </c>
      <c r="R33" s="37">
        <f>IF(OR($A33="",$Q33=0),"",$D33/$Q33)</f>
        <v/>
      </c>
      <c r="S33" s="37">
        <f>IF(OR($A33="",$E33=0),"",$G33/$E33)</f>
        <v/>
      </c>
      <c r="T33" s="37">
        <f>IF($A33="","",SUMIFS(tblGastos[Monto],tblGastos[Categoría],"Publicidad",tblGastos[Fecha],"&gt;="&amp;$A33,tblGastos[Fecha],"&lt;"&amp;DATE(YEAR($A33),MONTH($A33)+1,1)))</f>
        <v/>
      </c>
      <c r="U33" s="60">
        <f>IF(OR($A33="",$T33=0),"",$D33/$T33)</f>
        <v/>
      </c>
      <c r="V33" s="37">
        <f>IF($A33="","",SUMIFS(tblCompras[Costo total de adquisición],tblCompras[Fecha],"&gt;="&amp;$A33,tblCompras[Fecha],"&lt;"&amp;DATE(YEAR($A33),MONTH($A33)+1,1)))</f>
        <v/>
      </c>
      <c r="W33" s="38">
        <f>IF(OR($A33="",($V33+$K33)=0),"",$O33/($V33+$K33))</f>
        <v/>
      </c>
      <c r="X33" s="37">
        <f>IF($A33="","",SUM($D$8:$D33))</f>
        <v/>
      </c>
      <c r="Y33" s="37">
        <f>IF($A33="","",SUM($O$8:$O33))</f>
        <v/>
      </c>
      <c r="AA33" s="51">
        <f>IFERROR(IF(INDEX(tblProductos[SKU],ROW()-7)="","",INDEX(tblProductos[SKU],ROW()-7)),"")</f>
        <v/>
      </c>
      <c r="AB33" s="51">
        <f>IF($AA33="","",IFERROR(IF(INDEX(tblProductos[Nombre del producto],MATCH($AA33,tblProductos[SKU],0))="","",INDEX(tblProductos[Nombre del producto],MATCH($AA33,tblProductos[SKU],0))),"")&amp;IF(IFERROR(IF(INDEX(tblProductos[Presentación],MATCH($AA33,tblProductos[SKU],0))="","",INDEX(tblProductos[Presentación],MATCH($AA33,tblProductos[SKU],0))),"")="",""," · "&amp;IFERROR(IF(INDEX(tblProductos[Presentación],MATCH($AA33,tblProductos[SKU],0))="","",INDEX(tblProductos[Presentación],MATCH($AA33,tblProductos[SKU],0))),"")))</f>
        <v/>
      </c>
      <c r="AC33" s="51">
        <f>IF($AA33="","",IFERROR(IF(INDEX(tblProductos[Categoría],MATCH($AA33,tblProductos[SKU],0))="","",INDEX(tblProductos[Categoría],MATCH($AA33,tblProductos[SKU],0))),""))</f>
        <v/>
      </c>
      <c r="AD33" s="39">
        <f>IF($AA33="","",SUMIFS(tblVentas[Unidades efectivas],tblVentas[SKU],$AA33))</f>
        <v/>
      </c>
      <c r="AE33" s="37">
        <f>IF($AA33="","",SUMIFS(tblVentas[Venta neta],tblVentas[SKU],$AA33))</f>
        <v/>
      </c>
      <c r="AF33" s="37">
        <f>IF($AA33="","",SUMIFS(tblVentas[Costo total],tblVentas[SKU],$AA33))</f>
        <v/>
      </c>
      <c r="AG33" s="37">
        <f>IF($AA33="","",$AE33-$AF33)</f>
        <v/>
      </c>
      <c r="AH33" s="38">
        <f>IF(OR($AA33="",$AE33=0),"",$AG33/$AE33)</f>
        <v/>
      </c>
      <c r="AI33" s="38">
        <f>IF(OR($AA33="",SUM($AE$8:$AE$67)=0),"",$AE33/SUM($AE$8:$AE$67))</f>
        <v/>
      </c>
      <c r="AJ33" s="38">
        <f>IF(OR($AA33="",SUM($AG$8:$AG$67)=0),"",$AG33/SUM($AG$8:$AG$67))</f>
        <v/>
      </c>
      <c r="AK33" s="39">
        <f>IF(OR($AA33="",$AE33=0),"",RANK($AG33,$AG$8:$AG$67))</f>
        <v/>
      </c>
      <c r="AL33" s="39">
        <f>IF(OR($AA33="",$AD33=0),"",RANK($AD33,$AD$8:$AD$67))</f>
        <v/>
      </c>
      <c r="AM33" s="37">
        <f>IF(OR($AA33="",$AD33=0),"",$AG33/$AD33)</f>
        <v/>
      </c>
      <c r="AN33" s="37">
        <f>IF($AA33="","",IFERROR(IF(INDEX(tblProductos[Margen de contribución unitario],MATCH($AA33,tblProductos[SKU],0))="","PENDIENTE",INDEX(tblProductos[Margen de contribución unitario],MATCH($AA33,tblProductos[SKU],0))),"PENDIENTE"))</f>
        <v/>
      </c>
      <c r="AO33" s="60">
        <f>IF(OR($AA33="",NOT(ISNUMBER($AG33))),"",$AG33-ROW()/100000)</f>
        <v/>
      </c>
      <c r="AP33" s="60">
        <f>IF(OR($AA33="",NOT(ISNUMBER($AD33))),"",$AD33-ROW()/100000)</f>
        <v/>
      </c>
      <c r="BJ33" s="63" t="inlineStr">
        <is>
          <t>Rotación del inventario (veces)</t>
        </is>
      </c>
      <c r="BK33" s="68">
        <f>IF($BK$29&lt;=0,"",$BK$14/$BK$29)</f>
        <v/>
      </c>
      <c r="BL33" s="64" t="inlineStr">
        <is>
          <t>Costo de ventas ÷ valor del inventario. Cuántas veces se ha «dado vuelta» el inventario.</t>
        </is>
      </c>
    </row>
    <row r="34">
      <c r="A34" s="55">
        <f>IF(NOT(ISNUMBER(PAR_FECHA_INICIO)),"",DATE(YEAR(PAR_FECHA_INICIO),MONTH(PAR_FECHA_INICIO)+26,1))</f>
        <v/>
      </c>
      <c r="B34" s="37">
        <f>IF($A34="","",SUMIFS(tblVentas[Venta bruta],tblVentas[Fecha],"&gt;="&amp;$A34,tblVentas[Fecha],"&lt;"&amp;DATE(YEAR($A34),MONTH($A34)+1,1)))</f>
        <v/>
      </c>
      <c r="C34" s="37">
        <f>IF($A34="","",SUMIFS(tblVentas[Descuento],tblVentas[Fecha],"&gt;="&amp;$A34,tblVentas[Fecha],"&lt;"&amp;DATE(YEAR($A34),MONTH($A34)+1,1)))</f>
        <v/>
      </c>
      <c r="D34" s="49">
        <f>IF($A34="","",SUMIFS(tblVentas[Venta neta],tblVentas[Fecha],"&gt;="&amp;$A34,tblVentas[Fecha],"&lt;"&amp;DATE(YEAR($A34),MONTH($A34)+1,1)))</f>
        <v/>
      </c>
      <c r="E34" s="39">
        <f>IF($A34="","",SUMIFS(tblVentas[Unidades efectivas],tblVentas[Fecha],"&gt;="&amp;$A34,tblVentas[Fecha],"&lt;"&amp;DATE(YEAR($A34),MONTH($A34)+1,1)))</f>
        <v/>
      </c>
      <c r="F34" s="37">
        <f>IF($A34="","",SUMIFS(tblVentas[Costo total],tblVentas[Fecha],"&gt;="&amp;$A34,tblVentas[Fecha],"&lt;"&amp;DATE(YEAR($A34),MONTH($A34)+1,1)))</f>
        <v/>
      </c>
      <c r="G34" s="49">
        <f>IF($A34="","",$D34-$F34)</f>
        <v/>
      </c>
      <c r="H34" s="38">
        <f>IF(OR($A34="",$D34=0),"",$G34/$D34)</f>
        <v/>
      </c>
      <c r="I34" s="37">
        <f>IF($A34="","",SUMIFS(tblGastos[Monto],tblGastos[Tipo de gasto],"Fijo",tblGastos[Fecha],"&gt;="&amp;$A34,tblGastos[Fecha],"&lt;"&amp;DATE(YEAR($A34),MONTH($A34)+1,1)))</f>
        <v/>
      </c>
      <c r="J34" s="37">
        <f>IF($A34="","",SUMIFS(tblGastos[Monto],tblGastos[Tipo de gasto],"Variable",tblGastos[Fecha],"&gt;="&amp;$A34,tblGastos[Fecha],"&lt;"&amp;DATE(YEAR($A34),MONTH($A34)+1,1)))</f>
        <v/>
      </c>
      <c r="K34" s="37">
        <f>IF($A34="","",$I34+$J34)</f>
        <v/>
      </c>
      <c r="L34" s="37">
        <f>IF($A34="","",$G34-$K34)</f>
        <v/>
      </c>
      <c r="M34" s="37">
        <f>IF($A34="","",SUMIFS(tblCajaMov[Monto],tblCajaMov[Concepto],"Otro ingreso",tblCajaMov[Fecha],"&gt;="&amp;$A34,tblCajaMov[Fecha],"&lt;"&amp;DATE(YEAR($A34),MONTH($A34)+1,1)))</f>
        <v/>
      </c>
      <c r="N34" s="37">
        <f>IF($A34="","",SUMIFS(tblCajaMov[Monto],tblCajaMov[Concepto],"Otro egreso",tblCajaMov[Fecha],"&gt;="&amp;$A34,tblCajaMov[Fecha],"&lt;"&amp;DATE(YEAR($A34),MONTH($A34)+1,1)))</f>
        <v/>
      </c>
      <c r="O34" s="49">
        <f>IF($A34="","",$L34+$M34-$N34)</f>
        <v/>
      </c>
      <c r="P34" s="38">
        <f>IF(OR($A34="",$D34=0),"",$O34/$D34)</f>
        <v/>
      </c>
      <c r="Q34" s="39">
        <f>IF($A34="","",COUNTIFS(tblVentas[Fecha],"&gt;="&amp;$A34,tblVentas[Fecha],"&lt;"&amp;DATE(YEAR($A34),MONTH($A34)+1,1)))</f>
        <v/>
      </c>
      <c r="R34" s="37">
        <f>IF(OR($A34="",$Q34=0),"",$D34/$Q34)</f>
        <v/>
      </c>
      <c r="S34" s="37">
        <f>IF(OR($A34="",$E34=0),"",$G34/$E34)</f>
        <v/>
      </c>
      <c r="T34" s="37">
        <f>IF($A34="","",SUMIFS(tblGastos[Monto],tblGastos[Categoría],"Publicidad",tblGastos[Fecha],"&gt;="&amp;$A34,tblGastos[Fecha],"&lt;"&amp;DATE(YEAR($A34),MONTH($A34)+1,1)))</f>
        <v/>
      </c>
      <c r="U34" s="60">
        <f>IF(OR($A34="",$T34=0),"",$D34/$T34)</f>
        <v/>
      </c>
      <c r="V34" s="37">
        <f>IF($A34="","",SUMIFS(tblCompras[Costo total de adquisición],tblCompras[Fecha],"&gt;="&amp;$A34,tblCompras[Fecha],"&lt;"&amp;DATE(YEAR($A34),MONTH($A34)+1,1)))</f>
        <v/>
      </c>
      <c r="W34" s="38">
        <f>IF(OR($A34="",($V34+$K34)=0),"",$O34/($V34+$K34))</f>
        <v/>
      </c>
      <c r="X34" s="37">
        <f>IF($A34="","",SUM($D$8:$D34))</f>
        <v/>
      </c>
      <c r="Y34" s="37">
        <f>IF($A34="","",SUM($O$8:$O34))</f>
        <v/>
      </c>
      <c r="AA34" s="51">
        <f>IFERROR(IF(INDEX(tblProductos[SKU],ROW()-7)="","",INDEX(tblProductos[SKU],ROW()-7)),"")</f>
        <v/>
      </c>
      <c r="AB34" s="51">
        <f>IF($AA34="","",IFERROR(IF(INDEX(tblProductos[Nombre del producto],MATCH($AA34,tblProductos[SKU],0))="","",INDEX(tblProductos[Nombre del producto],MATCH($AA34,tblProductos[SKU],0))),"")&amp;IF(IFERROR(IF(INDEX(tblProductos[Presentación],MATCH($AA34,tblProductos[SKU],0))="","",INDEX(tblProductos[Presentación],MATCH($AA34,tblProductos[SKU],0))),"")="",""," · "&amp;IFERROR(IF(INDEX(tblProductos[Presentación],MATCH($AA34,tblProductos[SKU],0))="","",INDEX(tblProductos[Presentación],MATCH($AA34,tblProductos[SKU],0))),"")))</f>
        <v/>
      </c>
      <c r="AC34" s="51">
        <f>IF($AA34="","",IFERROR(IF(INDEX(tblProductos[Categoría],MATCH($AA34,tblProductos[SKU],0))="","",INDEX(tblProductos[Categoría],MATCH($AA34,tblProductos[SKU],0))),""))</f>
        <v/>
      </c>
      <c r="AD34" s="39">
        <f>IF($AA34="","",SUMIFS(tblVentas[Unidades efectivas],tblVentas[SKU],$AA34))</f>
        <v/>
      </c>
      <c r="AE34" s="37">
        <f>IF($AA34="","",SUMIFS(tblVentas[Venta neta],tblVentas[SKU],$AA34))</f>
        <v/>
      </c>
      <c r="AF34" s="37">
        <f>IF($AA34="","",SUMIFS(tblVentas[Costo total],tblVentas[SKU],$AA34))</f>
        <v/>
      </c>
      <c r="AG34" s="37">
        <f>IF($AA34="","",$AE34-$AF34)</f>
        <v/>
      </c>
      <c r="AH34" s="38">
        <f>IF(OR($AA34="",$AE34=0),"",$AG34/$AE34)</f>
        <v/>
      </c>
      <c r="AI34" s="38">
        <f>IF(OR($AA34="",SUM($AE$8:$AE$67)=0),"",$AE34/SUM($AE$8:$AE$67))</f>
        <v/>
      </c>
      <c r="AJ34" s="38">
        <f>IF(OR($AA34="",SUM($AG$8:$AG$67)=0),"",$AG34/SUM($AG$8:$AG$67))</f>
        <v/>
      </c>
      <c r="AK34" s="39">
        <f>IF(OR($AA34="",$AE34=0),"",RANK($AG34,$AG$8:$AG$67))</f>
        <v/>
      </c>
      <c r="AL34" s="39">
        <f>IF(OR($AA34="",$AD34=0),"",RANK($AD34,$AD$8:$AD$67))</f>
        <v/>
      </c>
      <c r="AM34" s="37">
        <f>IF(OR($AA34="",$AD34=0),"",$AG34/$AD34)</f>
        <v/>
      </c>
      <c r="AN34" s="37">
        <f>IF($AA34="","",IFERROR(IF(INDEX(tblProductos[Margen de contribución unitario],MATCH($AA34,tblProductos[SKU],0))="","PENDIENTE",INDEX(tblProductos[Margen de contribución unitario],MATCH($AA34,tblProductos[SKU],0))),"PENDIENTE"))</f>
        <v/>
      </c>
      <c r="AO34" s="60">
        <f>IF(OR($AA34="",NOT(ISNUMBER($AG34))),"",$AG34-ROW()/100000)</f>
        <v/>
      </c>
      <c r="AP34" s="60">
        <f>IF(OR($AA34="",NOT(ISNUMBER($AD34))),"",$AD34-ROW()/100000)</f>
        <v/>
      </c>
      <c r="BJ34" s="61" t="inlineStr">
        <is>
          <t>CLIENTES</t>
        </is>
      </c>
      <c r="BK34" s="62" t="n"/>
      <c r="BL34" s="62" t="n"/>
    </row>
    <row r="35">
      <c r="A35" s="55">
        <f>IF(NOT(ISNUMBER(PAR_FECHA_INICIO)),"",DATE(YEAR(PAR_FECHA_INICIO),MONTH(PAR_FECHA_INICIO)+27,1))</f>
        <v/>
      </c>
      <c r="B35" s="37">
        <f>IF($A35="","",SUMIFS(tblVentas[Venta bruta],tblVentas[Fecha],"&gt;="&amp;$A35,tblVentas[Fecha],"&lt;"&amp;DATE(YEAR($A35),MONTH($A35)+1,1)))</f>
        <v/>
      </c>
      <c r="C35" s="37">
        <f>IF($A35="","",SUMIFS(tblVentas[Descuento],tblVentas[Fecha],"&gt;="&amp;$A35,tblVentas[Fecha],"&lt;"&amp;DATE(YEAR($A35),MONTH($A35)+1,1)))</f>
        <v/>
      </c>
      <c r="D35" s="49">
        <f>IF($A35="","",SUMIFS(tblVentas[Venta neta],tblVentas[Fecha],"&gt;="&amp;$A35,tblVentas[Fecha],"&lt;"&amp;DATE(YEAR($A35),MONTH($A35)+1,1)))</f>
        <v/>
      </c>
      <c r="E35" s="39">
        <f>IF($A35="","",SUMIFS(tblVentas[Unidades efectivas],tblVentas[Fecha],"&gt;="&amp;$A35,tblVentas[Fecha],"&lt;"&amp;DATE(YEAR($A35),MONTH($A35)+1,1)))</f>
        <v/>
      </c>
      <c r="F35" s="37">
        <f>IF($A35="","",SUMIFS(tblVentas[Costo total],tblVentas[Fecha],"&gt;="&amp;$A35,tblVentas[Fecha],"&lt;"&amp;DATE(YEAR($A35),MONTH($A35)+1,1)))</f>
        <v/>
      </c>
      <c r="G35" s="49">
        <f>IF($A35="","",$D35-$F35)</f>
        <v/>
      </c>
      <c r="H35" s="38">
        <f>IF(OR($A35="",$D35=0),"",$G35/$D35)</f>
        <v/>
      </c>
      <c r="I35" s="37">
        <f>IF($A35="","",SUMIFS(tblGastos[Monto],tblGastos[Tipo de gasto],"Fijo",tblGastos[Fecha],"&gt;="&amp;$A35,tblGastos[Fecha],"&lt;"&amp;DATE(YEAR($A35),MONTH($A35)+1,1)))</f>
        <v/>
      </c>
      <c r="J35" s="37">
        <f>IF($A35="","",SUMIFS(tblGastos[Monto],tblGastos[Tipo de gasto],"Variable",tblGastos[Fecha],"&gt;="&amp;$A35,tblGastos[Fecha],"&lt;"&amp;DATE(YEAR($A35),MONTH($A35)+1,1)))</f>
        <v/>
      </c>
      <c r="K35" s="37">
        <f>IF($A35="","",$I35+$J35)</f>
        <v/>
      </c>
      <c r="L35" s="37">
        <f>IF($A35="","",$G35-$K35)</f>
        <v/>
      </c>
      <c r="M35" s="37">
        <f>IF($A35="","",SUMIFS(tblCajaMov[Monto],tblCajaMov[Concepto],"Otro ingreso",tblCajaMov[Fecha],"&gt;="&amp;$A35,tblCajaMov[Fecha],"&lt;"&amp;DATE(YEAR($A35),MONTH($A35)+1,1)))</f>
        <v/>
      </c>
      <c r="N35" s="37">
        <f>IF($A35="","",SUMIFS(tblCajaMov[Monto],tblCajaMov[Concepto],"Otro egreso",tblCajaMov[Fecha],"&gt;="&amp;$A35,tblCajaMov[Fecha],"&lt;"&amp;DATE(YEAR($A35),MONTH($A35)+1,1)))</f>
        <v/>
      </c>
      <c r="O35" s="49">
        <f>IF($A35="","",$L35+$M35-$N35)</f>
        <v/>
      </c>
      <c r="P35" s="38">
        <f>IF(OR($A35="",$D35=0),"",$O35/$D35)</f>
        <v/>
      </c>
      <c r="Q35" s="39">
        <f>IF($A35="","",COUNTIFS(tblVentas[Fecha],"&gt;="&amp;$A35,tblVentas[Fecha],"&lt;"&amp;DATE(YEAR($A35),MONTH($A35)+1,1)))</f>
        <v/>
      </c>
      <c r="R35" s="37">
        <f>IF(OR($A35="",$Q35=0),"",$D35/$Q35)</f>
        <v/>
      </c>
      <c r="S35" s="37">
        <f>IF(OR($A35="",$E35=0),"",$G35/$E35)</f>
        <v/>
      </c>
      <c r="T35" s="37">
        <f>IF($A35="","",SUMIFS(tblGastos[Monto],tblGastos[Categoría],"Publicidad",tblGastos[Fecha],"&gt;="&amp;$A35,tblGastos[Fecha],"&lt;"&amp;DATE(YEAR($A35),MONTH($A35)+1,1)))</f>
        <v/>
      </c>
      <c r="U35" s="60">
        <f>IF(OR($A35="",$T35=0),"",$D35/$T35)</f>
        <v/>
      </c>
      <c r="V35" s="37">
        <f>IF($A35="","",SUMIFS(tblCompras[Costo total de adquisición],tblCompras[Fecha],"&gt;="&amp;$A35,tblCompras[Fecha],"&lt;"&amp;DATE(YEAR($A35),MONTH($A35)+1,1)))</f>
        <v/>
      </c>
      <c r="W35" s="38">
        <f>IF(OR($A35="",($V35+$K35)=0),"",$O35/($V35+$K35))</f>
        <v/>
      </c>
      <c r="X35" s="37">
        <f>IF($A35="","",SUM($D$8:$D35))</f>
        <v/>
      </c>
      <c r="Y35" s="37">
        <f>IF($A35="","",SUM($O$8:$O35))</f>
        <v/>
      </c>
      <c r="AA35" s="51">
        <f>IFERROR(IF(INDEX(tblProductos[SKU],ROW()-7)="","",INDEX(tblProductos[SKU],ROW()-7)),"")</f>
        <v/>
      </c>
      <c r="AB35" s="51">
        <f>IF($AA35="","",IFERROR(IF(INDEX(tblProductos[Nombre del producto],MATCH($AA35,tblProductos[SKU],0))="","",INDEX(tblProductos[Nombre del producto],MATCH($AA35,tblProductos[SKU],0))),"")&amp;IF(IFERROR(IF(INDEX(tblProductos[Presentación],MATCH($AA35,tblProductos[SKU],0))="","",INDEX(tblProductos[Presentación],MATCH($AA35,tblProductos[SKU],0))),"")="",""," · "&amp;IFERROR(IF(INDEX(tblProductos[Presentación],MATCH($AA35,tblProductos[SKU],0))="","",INDEX(tblProductos[Presentación],MATCH($AA35,tblProductos[SKU],0))),"")))</f>
        <v/>
      </c>
      <c r="AC35" s="51">
        <f>IF($AA35="","",IFERROR(IF(INDEX(tblProductos[Categoría],MATCH($AA35,tblProductos[SKU],0))="","",INDEX(tblProductos[Categoría],MATCH($AA35,tblProductos[SKU],0))),""))</f>
        <v/>
      </c>
      <c r="AD35" s="39">
        <f>IF($AA35="","",SUMIFS(tblVentas[Unidades efectivas],tblVentas[SKU],$AA35))</f>
        <v/>
      </c>
      <c r="AE35" s="37">
        <f>IF($AA35="","",SUMIFS(tblVentas[Venta neta],tblVentas[SKU],$AA35))</f>
        <v/>
      </c>
      <c r="AF35" s="37">
        <f>IF($AA35="","",SUMIFS(tblVentas[Costo total],tblVentas[SKU],$AA35))</f>
        <v/>
      </c>
      <c r="AG35" s="37">
        <f>IF($AA35="","",$AE35-$AF35)</f>
        <v/>
      </c>
      <c r="AH35" s="38">
        <f>IF(OR($AA35="",$AE35=0),"",$AG35/$AE35)</f>
        <v/>
      </c>
      <c r="AI35" s="38">
        <f>IF(OR($AA35="",SUM($AE$8:$AE$67)=0),"",$AE35/SUM($AE$8:$AE$67))</f>
        <v/>
      </c>
      <c r="AJ35" s="38">
        <f>IF(OR($AA35="",SUM($AG$8:$AG$67)=0),"",$AG35/SUM($AG$8:$AG$67))</f>
        <v/>
      </c>
      <c r="AK35" s="39">
        <f>IF(OR($AA35="",$AE35=0),"",RANK($AG35,$AG$8:$AG$67))</f>
        <v/>
      </c>
      <c r="AL35" s="39">
        <f>IF(OR($AA35="",$AD35=0),"",RANK($AD35,$AD$8:$AD$67))</f>
        <v/>
      </c>
      <c r="AM35" s="37">
        <f>IF(OR($AA35="",$AD35=0),"",$AG35/$AD35)</f>
        <v/>
      </c>
      <c r="AN35" s="37">
        <f>IF($AA35="","",IFERROR(IF(INDEX(tblProductos[Margen de contribución unitario],MATCH($AA35,tblProductos[SKU],0))="","PENDIENTE",INDEX(tblProductos[Margen de contribución unitario],MATCH($AA35,tblProductos[SKU],0))),"PENDIENTE"))</f>
        <v/>
      </c>
      <c r="AO35" s="60">
        <f>IF(OR($AA35="",NOT(ISNUMBER($AG35))),"",$AG35-ROW()/100000)</f>
        <v/>
      </c>
      <c r="AP35" s="60">
        <f>IF(OR($AA35="",NOT(ISNUMBER($AD35))),"",$AD35-ROW()/100000)</f>
        <v/>
      </c>
      <c r="BJ35" s="63" t="inlineStr">
        <is>
          <t>Clientes registrados</t>
        </is>
      </c>
      <c r="BK35" s="65">
        <f>COUNTA(tblClientes[Nombre])</f>
        <v/>
      </c>
      <c r="BL35" s="64" t="inlineStr">
        <is>
          <t>Fichas creadas en CLIENTES.</t>
        </is>
      </c>
    </row>
    <row r="36">
      <c r="A36" s="55">
        <f>IF(NOT(ISNUMBER(PAR_FECHA_INICIO)),"",DATE(YEAR(PAR_FECHA_INICIO),MONTH(PAR_FECHA_INICIO)+28,1))</f>
        <v/>
      </c>
      <c r="B36" s="37">
        <f>IF($A36="","",SUMIFS(tblVentas[Venta bruta],tblVentas[Fecha],"&gt;="&amp;$A36,tblVentas[Fecha],"&lt;"&amp;DATE(YEAR($A36),MONTH($A36)+1,1)))</f>
        <v/>
      </c>
      <c r="C36" s="37">
        <f>IF($A36="","",SUMIFS(tblVentas[Descuento],tblVentas[Fecha],"&gt;="&amp;$A36,tblVentas[Fecha],"&lt;"&amp;DATE(YEAR($A36),MONTH($A36)+1,1)))</f>
        <v/>
      </c>
      <c r="D36" s="49">
        <f>IF($A36="","",SUMIFS(tblVentas[Venta neta],tblVentas[Fecha],"&gt;="&amp;$A36,tblVentas[Fecha],"&lt;"&amp;DATE(YEAR($A36),MONTH($A36)+1,1)))</f>
        <v/>
      </c>
      <c r="E36" s="39">
        <f>IF($A36="","",SUMIFS(tblVentas[Unidades efectivas],tblVentas[Fecha],"&gt;="&amp;$A36,tblVentas[Fecha],"&lt;"&amp;DATE(YEAR($A36),MONTH($A36)+1,1)))</f>
        <v/>
      </c>
      <c r="F36" s="37">
        <f>IF($A36="","",SUMIFS(tblVentas[Costo total],tblVentas[Fecha],"&gt;="&amp;$A36,tblVentas[Fecha],"&lt;"&amp;DATE(YEAR($A36),MONTH($A36)+1,1)))</f>
        <v/>
      </c>
      <c r="G36" s="49">
        <f>IF($A36="","",$D36-$F36)</f>
        <v/>
      </c>
      <c r="H36" s="38">
        <f>IF(OR($A36="",$D36=0),"",$G36/$D36)</f>
        <v/>
      </c>
      <c r="I36" s="37">
        <f>IF($A36="","",SUMIFS(tblGastos[Monto],tblGastos[Tipo de gasto],"Fijo",tblGastos[Fecha],"&gt;="&amp;$A36,tblGastos[Fecha],"&lt;"&amp;DATE(YEAR($A36),MONTH($A36)+1,1)))</f>
        <v/>
      </c>
      <c r="J36" s="37">
        <f>IF($A36="","",SUMIFS(tblGastos[Monto],tblGastos[Tipo de gasto],"Variable",tblGastos[Fecha],"&gt;="&amp;$A36,tblGastos[Fecha],"&lt;"&amp;DATE(YEAR($A36),MONTH($A36)+1,1)))</f>
        <v/>
      </c>
      <c r="K36" s="37">
        <f>IF($A36="","",$I36+$J36)</f>
        <v/>
      </c>
      <c r="L36" s="37">
        <f>IF($A36="","",$G36-$K36)</f>
        <v/>
      </c>
      <c r="M36" s="37">
        <f>IF($A36="","",SUMIFS(tblCajaMov[Monto],tblCajaMov[Concepto],"Otro ingreso",tblCajaMov[Fecha],"&gt;="&amp;$A36,tblCajaMov[Fecha],"&lt;"&amp;DATE(YEAR($A36),MONTH($A36)+1,1)))</f>
        <v/>
      </c>
      <c r="N36" s="37">
        <f>IF($A36="","",SUMIFS(tblCajaMov[Monto],tblCajaMov[Concepto],"Otro egreso",tblCajaMov[Fecha],"&gt;="&amp;$A36,tblCajaMov[Fecha],"&lt;"&amp;DATE(YEAR($A36),MONTH($A36)+1,1)))</f>
        <v/>
      </c>
      <c r="O36" s="49">
        <f>IF($A36="","",$L36+$M36-$N36)</f>
        <v/>
      </c>
      <c r="P36" s="38">
        <f>IF(OR($A36="",$D36=0),"",$O36/$D36)</f>
        <v/>
      </c>
      <c r="Q36" s="39">
        <f>IF($A36="","",COUNTIFS(tblVentas[Fecha],"&gt;="&amp;$A36,tblVentas[Fecha],"&lt;"&amp;DATE(YEAR($A36),MONTH($A36)+1,1)))</f>
        <v/>
      </c>
      <c r="R36" s="37">
        <f>IF(OR($A36="",$Q36=0),"",$D36/$Q36)</f>
        <v/>
      </c>
      <c r="S36" s="37">
        <f>IF(OR($A36="",$E36=0),"",$G36/$E36)</f>
        <v/>
      </c>
      <c r="T36" s="37">
        <f>IF($A36="","",SUMIFS(tblGastos[Monto],tblGastos[Categoría],"Publicidad",tblGastos[Fecha],"&gt;="&amp;$A36,tblGastos[Fecha],"&lt;"&amp;DATE(YEAR($A36),MONTH($A36)+1,1)))</f>
        <v/>
      </c>
      <c r="U36" s="60">
        <f>IF(OR($A36="",$T36=0),"",$D36/$T36)</f>
        <v/>
      </c>
      <c r="V36" s="37">
        <f>IF($A36="","",SUMIFS(tblCompras[Costo total de adquisición],tblCompras[Fecha],"&gt;="&amp;$A36,tblCompras[Fecha],"&lt;"&amp;DATE(YEAR($A36),MONTH($A36)+1,1)))</f>
        <v/>
      </c>
      <c r="W36" s="38">
        <f>IF(OR($A36="",($V36+$K36)=0),"",$O36/($V36+$K36))</f>
        <v/>
      </c>
      <c r="X36" s="37">
        <f>IF($A36="","",SUM($D$8:$D36))</f>
        <v/>
      </c>
      <c r="Y36" s="37">
        <f>IF($A36="","",SUM($O$8:$O36))</f>
        <v/>
      </c>
      <c r="AA36" s="51">
        <f>IFERROR(IF(INDEX(tblProductos[SKU],ROW()-7)="","",INDEX(tblProductos[SKU],ROW()-7)),"")</f>
        <v/>
      </c>
      <c r="AB36" s="51">
        <f>IF($AA36="","",IFERROR(IF(INDEX(tblProductos[Nombre del producto],MATCH($AA36,tblProductos[SKU],0))="","",INDEX(tblProductos[Nombre del producto],MATCH($AA36,tblProductos[SKU],0))),"")&amp;IF(IFERROR(IF(INDEX(tblProductos[Presentación],MATCH($AA36,tblProductos[SKU],0))="","",INDEX(tblProductos[Presentación],MATCH($AA36,tblProductos[SKU],0))),"")="",""," · "&amp;IFERROR(IF(INDEX(tblProductos[Presentación],MATCH($AA36,tblProductos[SKU],0))="","",INDEX(tblProductos[Presentación],MATCH($AA36,tblProductos[SKU],0))),"")))</f>
        <v/>
      </c>
      <c r="AC36" s="51">
        <f>IF($AA36="","",IFERROR(IF(INDEX(tblProductos[Categoría],MATCH($AA36,tblProductos[SKU],0))="","",INDEX(tblProductos[Categoría],MATCH($AA36,tblProductos[SKU],0))),""))</f>
        <v/>
      </c>
      <c r="AD36" s="39">
        <f>IF($AA36="","",SUMIFS(tblVentas[Unidades efectivas],tblVentas[SKU],$AA36))</f>
        <v/>
      </c>
      <c r="AE36" s="37">
        <f>IF($AA36="","",SUMIFS(tblVentas[Venta neta],tblVentas[SKU],$AA36))</f>
        <v/>
      </c>
      <c r="AF36" s="37">
        <f>IF($AA36="","",SUMIFS(tblVentas[Costo total],tblVentas[SKU],$AA36))</f>
        <v/>
      </c>
      <c r="AG36" s="37">
        <f>IF($AA36="","",$AE36-$AF36)</f>
        <v/>
      </c>
      <c r="AH36" s="38">
        <f>IF(OR($AA36="",$AE36=0),"",$AG36/$AE36)</f>
        <v/>
      </c>
      <c r="AI36" s="38">
        <f>IF(OR($AA36="",SUM($AE$8:$AE$67)=0),"",$AE36/SUM($AE$8:$AE$67))</f>
        <v/>
      </c>
      <c r="AJ36" s="38">
        <f>IF(OR($AA36="",SUM($AG$8:$AG$67)=0),"",$AG36/SUM($AG$8:$AG$67))</f>
        <v/>
      </c>
      <c r="AK36" s="39">
        <f>IF(OR($AA36="",$AE36=0),"",RANK($AG36,$AG$8:$AG$67))</f>
        <v/>
      </c>
      <c r="AL36" s="39">
        <f>IF(OR($AA36="",$AD36=0),"",RANK($AD36,$AD$8:$AD$67))</f>
        <v/>
      </c>
      <c r="AM36" s="37">
        <f>IF(OR($AA36="",$AD36=0),"",$AG36/$AD36)</f>
        <v/>
      </c>
      <c r="AN36" s="37">
        <f>IF($AA36="","",IFERROR(IF(INDEX(tblProductos[Margen de contribución unitario],MATCH($AA36,tblProductos[SKU],0))="","PENDIENTE",INDEX(tblProductos[Margen de contribución unitario],MATCH($AA36,tblProductos[SKU],0))),"PENDIENTE"))</f>
        <v/>
      </c>
      <c r="AO36" s="60">
        <f>IF(OR($AA36="",NOT(ISNUMBER($AG36))),"",$AG36-ROW()/100000)</f>
        <v/>
      </c>
      <c r="AP36" s="60">
        <f>IF(OR($AA36="",NOT(ISNUMBER($AD36))),"",$AD36-ROW()/100000)</f>
        <v/>
      </c>
      <c r="BJ36" s="63" t="inlineStr">
        <is>
          <t>Clientes con al menos una compra</t>
        </is>
      </c>
      <c r="BK36" s="65">
        <f>SUMPRODUCT(--(COUNTIFS(tblVentas[Cliente],tblClientes[Nombre])&gt;0),--(tblClientes[Nombre]&lt;&gt;""))</f>
        <v/>
      </c>
      <c r="BL36" s="64" t="inlineStr">
        <is>
          <t>Clientes que ya compraron.</t>
        </is>
      </c>
    </row>
    <row r="37">
      <c r="A37" s="55">
        <f>IF(NOT(ISNUMBER(PAR_FECHA_INICIO)),"",DATE(YEAR(PAR_FECHA_INICIO),MONTH(PAR_FECHA_INICIO)+29,1))</f>
        <v/>
      </c>
      <c r="B37" s="37">
        <f>IF($A37="","",SUMIFS(tblVentas[Venta bruta],tblVentas[Fecha],"&gt;="&amp;$A37,tblVentas[Fecha],"&lt;"&amp;DATE(YEAR($A37),MONTH($A37)+1,1)))</f>
        <v/>
      </c>
      <c r="C37" s="37">
        <f>IF($A37="","",SUMIFS(tblVentas[Descuento],tblVentas[Fecha],"&gt;="&amp;$A37,tblVentas[Fecha],"&lt;"&amp;DATE(YEAR($A37),MONTH($A37)+1,1)))</f>
        <v/>
      </c>
      <c r="D37" s="49">
        <f>IF($A37="","",SUMIFS(tblVentas[Venta neta],tblVentas[Fecha],"&gt;="&amp;$A37,tblVentas[Fecha],"&lt;"&amp;DATE(YEAR($A37),MONTH($A37)+1,1)))</f>
        <v/>
      </c>
      <c r="E37" s="39">
        <f>IF($A37="","",SUMIFS(tblVentas[Unidades efectivas],tblVentas[Fecha],"&gt;="&amp;$A37,tblVentas[Fecha],"&lt;"&amp;DATE(YEAR($A37),MONTH($A37)+1,1)))</f>
        <v/>
      </c>
      <c r="F37" s="37">
        <f>IF($A37="","",SUMIFS(tblVentas[Costo total],tblVentas[Fecha],"&gt;="&amp;$A37,tblVentas[Fecha],"&lt;"&amp;DATE(YEAR($A37),MONTH($A37)+1,1)))</f>
        <v/>
      </c>
      <c r="G37" s="49">
        <f>IF($A37="","",$D37-$F37)</f>
        <v/>
      </c>
      <c r="H37" s="38">
        <f>IF(OR($A37="",$D37=0),"",$G37/$D37)</f>
        <v/>
      </c>
      <c r="I37" s="37">
        <f>IF($A37="","",SUMIFS(tblGastos[Monto],tblGastos[Tipo de gasto],"Fijo",tblGastos[Fecha],"&gt;="&amp;$A37,tblGastos[Fecha],"&lt;"&amp;DATE(YEAR($A37),MONTH($A37)+1,1)))</f>
        <v/>
      </c>
      <c r="J37" s="37">
        <f>IF($A37="","",SUMIFS(tblGastos[Monto],tblGastos[Tipo de gasto],"Variable",tblGastos[Fecha],"&gt;="&amp;$A37,tblGastos[Fecha],"&lt;"&amp;DATE(YEAR($A37),MONTH($A37)+1,1)))</f>
        <v/>
      </c>
      <c r="K37" s="37">
        <f>IF($A37="","",$I37+$J37)</f>
        <v/>
      </c>
      <c r="L37" s="37">
        <f>IF($A37="","",$G37-$K37)</f>
        <v/>
      </c>
      <c r="M37" s="37">
        <f>IF($A37="","",SUMIFS(tblCajaMov[Monto],tblCajaMov[Concepto],"Otro ingreso",tblCajaMov[Fecha],"&gt;="&amp;$A37,tblCajaMov[Fecha],"&lt;"&amp;DATE(YEAR($A37),MONTH($A37)+1,1)))</f>
        <v/>
      </c>
      <c r="N37" s="37">
        <f>IF($A37="","",SUMIFS(tblCajaMov[Monto],tblCajaMov[Concepto],"Otro egreso",tblCajaMov[Fecha],"&gt;="&amp;$A37,tblCajaMov[Fecha],"&lt;"&amp;DATE(YEAR($A37),MONTH($A37)+1,1)))</f>
        <v/>
      </c>
      <c r="O37" s="49">
        <f>IF($A37="","",$L37+$M37-$N37)</f>
        <v/>
      </c>
      <c r="P37" s="38">
        <f>IF(OR($A37="",$D37=0),"",$O37/$D37)</f>
        <v/>
      </c>
      <c r="Q37" s="39">
        <f>IF($A37="","",COUNTIFS(tblVentas[Fecha],"&gt;="&amp;$A37,tblVentas[Fecha],"&lt;"&amp;DATE(YEAR($A37),MONTH($A37)+1,1)))</f>
        <v/>
      </c>
      <c r="R37" s="37">
        <f>IF(OR($A37="",$Q37=0),"",$D37/$Q37)</f>
        <v/>
      </c>
      <c r="S37" s="37">
        <f>IF(OR($A37="",$E37=0),"",$G37/$E37)</f>
        <v/>
      </c>
      <c r="T37" s="37">
        <f>IF($A37="","",SUMIFS(tblGastos[Monto],tblGastos[Categoría],"Publicidad",tblGastos[Fecha],"&gt;="&amp;$A37,tblGastos[Fecha],"&lt;"&amp;DATE(YEAR($A37),MONTH($A37)+1,1)))</f>
        <v/>
      </c>
      <c r="U37" s="60">
        <f>IF(OR($A37="",$T37=0),"",$D37/$T37)</f>
        <v/>
      </c>
      <c r="V37" s="37">
        <f>IF($A37="","",SUMIFS(tblCompras[Costo total de adquisición],tblCompras[Fecha],"&gt;="&amp;$A37,tblCompras[Fecha],"&lt;"&amp;DATE(YEAR($A37),MONTH($A37)+1,1)))</f>
        <v/>
      </c>
      <c r="W37" s="38">
        <f>IF(OR($A37="",($V37+$K37)=0),"",$O37/($V37+$K37))</f>
        <v/>
      </c>
      <c r="X37" s="37">
        <f>IF($A37="","",SUM($D$8:$D37))</f>
        <v/>
      </c>
      <c r="Y37" s="37">
        <f>IF($A37="","",SUM($O$8:$O37))</f>
        <v/>
      </c>
      <c r="AA37" s="51">
        <f>IFERROR(IF(INDEX(tblProductos[SKU],ROW()-7)="","",INDEX(tblProductos[SKU],ROW()-7)),"")</f>
        <v/>
      </c>
      <c r="AB37" s="51">
        <f>IF($AA37="","",IFERROR(IF(INDEX(tblProductos[Nombre del producto],MATCH($AA37,tblProductos[SKU],0))="","",INDEX(tblProductos[Nombre del producto],MATCH($AA37,tblProductos[SKU],0))),"")&amp;IF(IFERROR(IF(INDEX(tblProductos[Presentación],MATCH($AA37,tblProductos[SKU],0))="","",INDEX(tblProductos[Presentación],MATCH($AA37,tblProductos[SKU],0))),"")="",""," · "&amp;IFERROR(IF(INDEX(tblProductos[Presentación],MATCH($AA37,tblProductos[SKU],0))="","",INDEX(tblProductos[Presentación],MATCH($AA37,tblProductos[SKU],0))),"")))</f>
        <v/>
      </c>
      <c r="AC37" s="51">
        <f>IF($AA37="","",IFERROR(IF(INDEX(tblProductos[Categoría],MATCH($AA37,tblProductos[SKU],0))="","",INDEX(tblProductos[Categoría],MATCH($AA37,tblProductos[SKU],0))),""))</f>
        <v/>
      </c>
      <c r="AD37" s="39">
        <f>IF($AA37="","",SUMIFS(tblVentas[Unidades efectivas],tblVentas[SKU],$AA37))</f>
        <v/>
      </c>
      <c r="AE37" s="37">
        <f>IF($AA37="","",SUMIFS(tblVentas[Venta neta],tblVentas[SKU],$AA37))</f>
        <v/>
      </c>
      <c r="AF37" s="37">
        <f>IF($AA37="","",SUMIFS(tblVentas[Costo total],tblVentas[SKU],$AA37))</f>
        <v/>
      </c>
      <c r="AG37" s="37">
        <f>IF($AA37="","",$AE37-$AF37)</f>
        <v/>
      </c>
      <c r="AH37" s="38">
        <f>IF(OR($AA37="",$AE37=0),"",$AG37/$AE37)</f>
        <v/>
      </c>
      <c r="AI37" s="38">
        <f>IF(OR($AA37="",SUM($AE$8:$AE$67)=0),"",$AE37/SUM($AE$8:$AE$67))</f>
        <v/>
      </c>
      <c r="AJ37" s="38">
        <f>IF(OR($AA37="",SUM($AG$8:$AG$67)=0),"",$AG37/SUM($AG$8:$AG$67))</f>
        <v/>
      </c>
      <c r="AK37" s="39">
        <f>IF(OR($AA37="",$AE37=0),"",RANK($AG37,$AG$8:$AG$67))</f>
        <v/>
      </c>
      <c r="AL37" s="39">
        <f>IF(OR($AA37="",$AD37=0),"",RANK($AD37,$AD$8:$AD$67))</f>
        <v/>
      </c>
      <c r="AM37" s="37">
        <f>IF(OR($AA37="",$AD37=0),"",$AG37/$AD37)</f>
        <v/>
      </c>
      <c r="AN37" s="37">
        <f>IF($AA37="","",IFERROR(IF(INDEX(tblProductos[Margen de contribución unitario],MATCH($AA37,tblProductos[SKU],0))="","PENDIENTE",INDEX(tblProductos[Margen de contribución unitario],MATCH($AA37,tblProductos[SKU],0))),"PENDIENTE"))</f>
        <v/>
      </c>
      <c r="AO37" s="60">
        <f>IF(OR($AA37="",NOT(ISNUMBER($AG37))),"",$AG37-ROW()/100000)</f>
        <v/>
      </c>
      <c r="AP37" s="60">
        <f>IF(OR($AA37="",NOT(ISNUMBER($AD37))),"",$AD37-ROW()/100000)</f>
        <v/>
      </c>
      <c r="BJ37" s="63" t="inlineStr">
        <is>
          <t>Venta promedio por cliente</t>
        </is>
      </c>
      <c r="BK37" s="49">
        <f>IF($BK$36=0,"",$BK$9/$BK$36)</f>
        <v/>
      </c>
      <c r="BL37" s="64" t="inlineStr">
        <is>
          <t>Ventas netas ÷ clientes con compras.</t>
        </is>
      </c>
    </row>
    <row r="38">
      <c r="A38" s="55">
        <f>IF(NOT(ISNUMBER(PAR_FECHA_INICIO)),"",DATE(YEAR(PAR_FECHA_INICIO),MONTH(PAR_FECHA_INICIO)+30,1))</f>
        <v/>
      </c>
      <c r="B38" s="37">
        <f>IF($A38="","",SUMIFS(tblVentas[Venta bruta],tblVentas[Fecha],"&gt;="&amp;$A38,tblVentas[Fecha],"&lt;"&amp;DATE(YEAR($A38),MONTH($A38)+1,1)))</f>
        <v/>
      </c>
      <c r="C38" s="37">
        <f>IF($A38="","",SUMIFS(tblVentas[Descuento],tblVentas[Fecha],"&gt;="&amp;$A38,tblVentas[Fecha],"&lt;"&amp;DATE(YEAR($A38),MONTH($A38)+1,1)))</f>
        <v/>
      </c>
      <c r="D38" s="49">
        <f>IF($A38="","",SUMIFS(tblVentas[Venta neta],tblVentas[Fecha],"&gt;="&amp;$A38,tblVentas[Fecha],"&lt;"&amp;DATE(YEAR($A38),MONTH($A38)+1,1)))</f>
        <v/>
      </c>
      <c r="E38" s="39">
        <f>IF($A38="","",SUMIFS(tblVentas[Unidades efectivas],tblVentas[Fecha],"&gt;="&amp;$A38,tblVentas[Fecha],"&lt;"&amp;DATE(YEAR($A38),MONTH($A38)+1,1)))</f>
        <v/>
      </c>
      <c r="F38" s="37">
        <f>IF($A38="","",SUMIFS(tblVentas[Costo total],tblVentas[Fecha],"&gt;="&amp;$A38,tblVentas[Fecha],"&lt;"&amp;DATE(YEAR($A38),MONTH($A38)+1,1)))</f>
        <v/>
      </c>
      <c r="G38" s="49">
        <f>IF($A38="","",$D38-$F38)</f>
        <v/>
      </c>
      <c r="H38" s="38">
        <f>IF(OR($A38="",$D38=0),"",$G38/$D38)</f>
        <v/>
      </c>
      <c r="I38" s="37">
        <f>IF($A38="","",SUMIFS(tblGastos[Monto],tblGastos[Tipo de gasto],"Fijo",tblGastos[Fecha],"&gt;="&amp;$A38,tblGastos[Fecha],"&lt;"&amp;DATE(YEAR($A38),MONTH($A38)+1,1)))</f>
        <v/>
      </c>
      <c r="J38" s="37">
        <f>IF($A38="","",SUMIFS(tblGastos[Monto],tblGastos[Tipo de gasto],"Variable",tblGastos[Fecha],"&gt;="&amp;$A38,tblGastos[Fecha],"&lt;"&amp;DATE(YEAR($A38),MONTH($A38)+1,1)))</f>
        <v/>
      </c>
      <c r="K38" s="37">
        <f>IF($A38="","",$I38+$J38)</f>
        <v/>
      </c>
      <c r="L38" s="37">
        <f>IF($A38="","",$G38-$K38)</f>
        <v/>
      </c>
      <c r="M38" s="37">
        <f>IF($A38="","",SUMIFS(tblCajaMov[Monto],tblCajaMov[Concepto],"Otro ingreso",tblCajaMov[Fecha],"&gt;="&amp;$A38,tblCajaMov[Fecha],"&lt;"&amp;DATE(YEAR($A38),MONTH($A38)+1,1)))</f>
        <v/>
      </c>
      <c r="N38" s="37">
        <f>IF($A38="","",SUMIFS(tblCajaMov[Monto],tblCajaMov[Concepto],"Otro egreso",tblCajaMov[Fecha],"&gt;="&amp;$A38,tblCajaMov[Fecha],"&lt;"&amp;DATE(YEAR($A38),MONTH($A38)+1,1)))</f>
        <v/>
      </c>
      <c r="O38" s="49">
        <f>IF($A38="","",$L38+$M38-$N38)</f>
        <v/>
      </c>
      <c r="P38" s="38">
        <f>IF(OR($A38="",$D38=0),"",$O38/$D38)</f>
        <v/>
      </c>
      <c r="Q38" s="39">
        <f>IF($A38="","",COUNTIFS(tblVentas[Fecha],"&gt;="&amp;$A38,tblVentas[Fecha],"&lt;"&amp;DATE(YEAR($A38),MONTH($A38)+1,1)))</f>
        <v/>
      </c>
      <c r="R38" s="37">
        <f>IF(OR($A38="",$Q38=0),"",$D38/$Q38)</f>
        <v/>
      </c>
      <c r="S38" s="37">
        <f>IF(OR($A38="",$E38=0),"",$G38/$E38)</f>
        <v/>
      </c>
      <c r="T38" s="37">
        <f>IF($A38="","",SUMIFS(tblGastos[Monto],tblGastos[Categoría],"Publicidad",tblGastos[Fecha],"&gt;="&amp;$A38,tblGastos[Fecha],"&lt;"&amp;DATE(YEAR($A38),MONTH($A38)+1,1)))</f>
        <v/>
      </c>
      <c r="U38" s="60">
        <f>IF(OR($A38="",$T38=0),"",$D38/$T38)</f>
        <v/>
      </c>
      <c r="V38" s="37">
        <f>IF($A38="","",SUMIFS(tblCompras[Costo total de adquisición],tblCompras[Fecha],"&gt;="&amp;$A38,tblCompras[Fecha],"&lt;"&amp;DATE(YEAR($A38),MONTH($A38)+1,1)))</f>
        <v/>
      </c>
      <c r="W38" s="38">
        <f>IF(OR($A38="",($V38+$K38)=0),"",$O38/($V38+$K38))</f>
        <v/>
      </c>
      <c r="X38" s="37">
        <f>IF($A38="","",SUM($D$8:$D38))</f>
        <v/>
      </c>
      <c r="Y38" s="37">
        <f>IF($A38="","",SUM($O$8:$O38))</f>
        <v/>
      </c>
      <c r="AA38" s="51">
        <f>IFERROR(IF(INDEX(tblProductos[SKU],ROW()-7)="","",INDEX(tblProductos[SKU],ROW()-7)),"")</f>
        <v/>
      </c>
      <c r="AB38" s="51">
        <f>IF($AA38="","",IFERROR(IF(INDEX(tblProductos[Nombre del producto],MATCH($AA38,tblProductos[SKU],0))="","",INDEX(tblProductos[Nombre del producto],MATCH($AA38,tblProductos[SKU],0))),"")&amp;IF(IFERROR(IF(INDEX(tblProductos[Presentación],MATCH($AA38,tblProductos[SKU],0))="","",INDEX(tblProductos[Presentación],MATCH($AA38,tblProductos[SKU],0))),"")="",""," · "&amp;IFERROR(IF(INDEX(tblProductos[Presentación],MATCH($AA38,tblProductos[SKU],0))="","",INDEX(tblProductos[Presentación],MATCH($AA38,tblProductos[SKU],0))),"")))</f>
        <v/>
      </c>
      <c r="AC38" s="51">
        <f>IF($AA38="","",IFERROR(IF(INDEX(tblProductos[Categoría],MATCH($AA38,tblProductos[SKU],0))="","",INDEX(tblProductos[Categoría],MATCH($AA38,tblProductos[SKU],0))),""))</f>
        <v/>
      </c>
      <c r="AD38" s="39">
        <f>IF($AA38="","",SUMIFS(tblVentas[Unidades efectivas],tblVentas[SKU],$AA38))</f>
        <v/>
      </c>
      <c r="AE38" s="37">
        <f>IF($AA38="","",SUMIFS(tblVentas[Venta neta],tblVentas[SKU],$AA38))</f>
        <v/>
      </c>
      <c r="AF38" s="37">
        <f>IF($AA38="","",SUMIFS(tblVentas[Costo total],tblVentas[SKU],$AA38))</f>
        <v/>
      </c>
      <c r="AG38" s="37">
        <f>IF($AA38="","",$AE38-$AF38)</f>
        <v/>
      </c>
      <c r="AH38" s="38">
        <f>IF(OR($AA38="",$AE38=0),"",$AG38/$AE38)</f>
        <v/>
      </c>
      <c r="AI38" s="38">
        <f>IF(OR($AA38="",SUM($AE$8:$AE$67)=0),"",$AE38/SUM($AE$8:$AE$67))</f>
        <v/>
      </c>
      <c r="AJ38" s="38">
        <f>IF(OR($AA38="",SUM($AG$8:$AG$67)=0),"",$AG38/SUM($AG$8:$AG$67))</f>
        <v/>
      </c>
      <c r="AK38" s="39">
        <f>IF(OR($AA38="",$AE38=0),"",RANK($AG38,$AG$8:$AG$67))</f>
        <v/>
      </c>
      <c r="AL38" s="39">
        <f>IF(OR($AA38="",$AD38=0),"",RANK($AD38,$AD$8:$AD$67))</f>
        <v/>
      </c>
      <c r="AM38" s="37">
        <f>IF(OR($AA38="",$AD38=0),"",$AG38/$AD38)</f>
        <v/>
      </c>
      <c r="AN38" s="37">
        <f>IF($AA38="","",IFERROR(IF(INDEX(tblProductos[Margen de contribución unitario],MATCH($AA38,tblProductos[SKU],0))="","PENDIENTE",INDEX(tblProductos[Margen de contribución unitario],MATCH($AA38,tblProductos[SKU],0))),"PENDIENTE"))</f>
        <v/>
      </c>
      <c r="AO38" s="60">
        <f>IF(OR($AA38="",NOT(ISNUMBER($AG38))),"",$AG38-ROW()/100000)</f>
        <v/>
      </c>
      <c r="AP38" s="60">
        <f>IF(OR($AA38="",NOT(ISNUMBER($AD38))),"",$AD38-ROW()/100000)</f>
        <v/>
      </c>
    </row>
    <row r="39">
      <c r="A39" s="55">
        <f>IF(NOT(ISNUMBER(PAR_FECHA_INICIO)),"",DATE(YEAR(PAR_FECHA_INICIO),MONTH(PAR_FECHA_INICIO)+31,1))</f>
        <v/>
      </c>
      <c r="B39" s="37">
        <f>IF($A39="","",SUMIFS(tblVentas[Venta bruta],tblVentas[Fecha],"&gt;="&amp;$A39,tblVentas[Fecha],"&lt;"&amp;DATE(YEAR($A39),MONTH($A39)+1,1)))</f>
        <v/>
      </c>
      <c r="C39" s="37">
        <f>IF($A39="","",SUMIFS(tblVentas[Descuento],tblVentas[Fecha],"&gt;="&amp;$A39,tblVentas[Fecha],"&lt;"&amp;DATE(YEAR($A39),MONTH($A39)+1,1)))</f>
        <v/>
      </c>
      <c r="D39" s="49">
        <f>IF($A39="","",SUMIFS(tblVentas[Venta neta],tblVentas[Fecha],"&gt;="&amp;$A39,tblVentas[Fecha],"&lt;"&amp;DATE(YEAR($A39),MONTH($A39)+1,1)))</f>
        <v/>
      </c>
      <c r="E39" s="39">
        <f>IF($A39="","",SUMIFS(tblVentas[Unidades efectivas],tblVentas[Fecha],"&gt;="&amp;$A39,tblVentas[Fecha],"&lt;"&amp;DATE(YEAR($A39),MONTH($A39)+1,1)))</f>
        <v/>
      </c>
      <c r="F39" s="37">
        <f>IF($A39="","",SUMIFS(tblVentas[Costo total],tblVentas[Fecha],"&gt;="&amp;$A39,tblVentas[Fecha],"&lt;"&amp;DATE(YEAR($A39),MONTH($A39)+1,1)))</f>
        <v/>
      </c>
      <c r="G39" s="49">
        <f>IF($A39="","",$D39-$F39)</f>
        <v/>
      </c>
      <c r="H39" s="38">
        <f>IF(OR($A39="",$D39=0),"",$G39/$D39)</f>
        <v/>
      </c>
      <c r="I39" s="37">
        <f>IF($A39="","",SUMIFS(tblGastos[Monto],tblGastos[Tipo de gasto],"Fijo",tblGastos[Fecha],"&gt;="&amp;$A39,tblGastos[Fecha],"&lt;"&amp;DATE(YEAR($A39),MONTH($A39)+1,1)))</f>
        <v/>
      </c>
      <c r="J39" s="37">
        <f>IF($A39="","",SUMIFS(tblGastos[Monto],tblGastos[Tipo de gasto],"Variable",tblGastos[Fecha],"&gt;="&amp;$A39,tblGastos[Fecha],"&lt;"&amp;DATE(YEAR($A39),MONTH($A39)+1,1)))</f>
        <v/>
      </c>
      <c r="K39" s="37">
        <f>IF($A39="","",$I39+$J39)</f>
        <v/>
      </c>
      <c r="L39" s="37">
        <f>IF($A39="","",$G39-$K39)</f>
        <v/>
      </c>
      <c r="M39" s="37">
        <f>IF($A39="","",SUMIFS(tblCajaMov[Monto],tblCajaMov[Concepto],"Otro ingreso",tblCajaMov[Fecha],"&gt;="&amp;$A39,tblCajaMov[Fecha],"&lt;"&amp;DATE(YEAR($A39),MONTH($A39)+1,1)))</f>
        <v/>
      </c>
      <c r="N39" s="37">
        <f>IF($A39="","",SUMIFS(tblCajaMov[Monto],tblCajaMov[Concepto],"Otro egreso",tblCajaMov[Fecha],"&gt;="&amp;$A39,tblCajaMov[Fecha],"&lt;"&amp;DATE(YEAR($A39),MONTH($A39)+1,1)))</f>
        <v/>
      </c>
      <c r="O39" s="49">
        <f>IF($A39="","",$L39+$M39-$N39)</f>
        <v/>
      </c>
      <c r="P39" s="38">
        <f>IF(OR($A39="",$D39=0),"",$O39/$D39)</f>
        <v/>
      </c>
      <c r="Q39" s="39">
        <f>IF($A39="","",COUNTIFS(tblVentas[Fecha],"&gt;="&amp;$A39,tblVentas[Fecha],"&lt;"&amp;DATE(YEAR($A39),MONTH($A39)+1,1)))</f>
        <v/>
      </c>
      <c r="R39" s="37">
        <f>IF(OR($A39="",$Q39=0),"",$D39/$Q39)</f>
        <v/>
      </c>
      <c r="S39" s="37">
        <f>IF(OR($A39="",$E39=0),"",$G39/$E39)</f>
        <v/>
      </c>
      <c r="T39" s="37">
        <f>IF($A39="","",SUMIFS(tblGastos[Monto],tblGastos[Categoría],"Publicidad",tblGastos[Fecha],"&gt;="&amp;$A39,tblGastos[Fecha],"&lt;"&amp;DATE(YEAR($A39),MONTH($A39)+1,1)))</f>
        <v/>
      </c>
      <c r="U39" s="60">
        <f>IF(OR($A39="",$T39=0),"",$D39/$T39)</f>
        <v/>
      </c>
      <c r="V39" s="37">
        <f>IF($A39="","",SUMIFS(tblCompras[Costo total de adquisición],tblCompras[Fecha],"&gt;="&amp;$A39,tblCompras[Fecha],"&lt;"&amp;DATE(YEAR($A39),MONTH($A39)+1,1)))</f>
        <v/>
      </c>
      <c r="W39" s="38">
        <f>IF(OR($A39="",($V39+$K39)=0),"",$O39/($V39+$K39))</f>
        <v/>
      </c>
      <c r="X39" s="37">
        <f>IF($A39="","",SUM($D$8:$D39))</f>
        <v/>
      </c>
      <c r="Y39" s="37">
        <f>IF($A39="","",SUM($O$8:$O39))</f>
        <v/>
      </c>
      <c r="AA39" s="51">
        <f>IFERROR(IF(INDEX(tblProductos[SKU],ROW()-7)="","",INDEX(tblProductos[SKU],ROW()-7)),"")</f>
        <v/>
      </c>
      <c r="AB39" s="51">
        <f>IF($AA39="","",IFERROR(IF(INDEX(tblProductos[Nombre del producto],MATCH($AA39,tblProductos[SKU],0))="","",INDEX(tblProductos[Nombre del producto],MATCH($AA39,tblProductos[SKU],0))),"")&amp;IF(IFERROR(IF(INDEX(tblProductos[Presentación],MATCH($AA39,tblProductos[SKU],0))="","",INDEX(tblProductos[Presentación],MATCH($AA39,tblProductos[SKU],0))),"")="",""," · "&amp;IFERROR(IF(INDEX(tblProductos[Presentación],MATCH($AA39,tblProductos[SKU],0))="","",INDEX(tblProductos[Presentación],MATCH($AA39,tblProductos[SKU],0))),"")))</f>
        <v/>
      </c>
      <c r="AC39" s="51">
        <f>IF($AA39="","",IFERROR(IF(INDEX(tblProductos[Categoría],MATCH($AA39,tblProductos[SKU],0))="","",INDEX(tblProductos[Categoría],MATCH($AA39,tblProductos[SKU],0))),""))</f>
        <v/>
      </c>
      <c r="AD39" s="39">
        <f>IF($AA39="","",SUMIFS(tblVentas[Unidades efectivas],tblVentas[SKU],$AA39))</f>
        <v/>
      </c>
      <c r="AE39" s="37">
        <f>IF($AA39="","",SUMIFS(tblVentas[Venta neta],tblVentas[SKU],$AA39))</f>
        <v/>
      </c>
      <c r="AF39" s="37">
        <f>IF($AA39="","",SUMIFS(tblVentas[Costo total],tblVentas[SKU],$AA39))</f>
        <v/>
      </c>
      <c r="AG39" s="37">
        <f>IF($AA39="","",$AE39-$AF39)</f>
        <v/>
      </c>
      <c r="AH39" s="38">
        <f>IF(OR($AA39="",$AE39=0),"",$AG39/$AE39)</f>
        <v/>
      </c>
      <c r="AI39" s="38">
        <f>IF(OR($AA39="",SUM($AE$8:$AE$67)=0),"",$AE39/SUM($AE$8:$AE$67))</f>
        <v/>
      </c>
      <c r="AJ39" s="38">
        <f>IF(OR($AA39="",SUM($AG$8:$AG$67)=0),"",$AG39/SUM($AG$8:$AG$67))</f>
        <v/>
      </c>
      <c r="AK39" s="39">
        <f>IF(OR($AA39="",$AE39=0),"",RANK($AG39,$AG$8:$AG$67))</f>
        <v/>
      </c>
      <c r="AL39" s="39">
        <f>IF(OR($AA39="",$AD39=0),"",RANK($AD39,$AD$8:$AD$67))</f>
        <v/>
      </c>
      <c r="AM39" s="37">
        <f>IF(OR($AA39="",$AD39=0),"",$AG39/$AD39)</f>
        <v/>
      </c>
      <c r="AN39" s="37">
        <f>IF($AA39="","",IFERROR(IF(INDEX(tblProductos[Margen de contribución unitario],MATCH($AA39,tblProductos[SKU],0))="","PENDIENTE",INDEX(tblProductos[Margen de contribución unitario],MATCH($AA39,tblProductos[SKU],0))),"PENDIENTE"))</f>
        <v/>
      </c>
      <c r="AO39" s="60">
        <f>IF(OR($AA39="",NOT(ISNUMBER($AG39))),"",$AG39-ROW()/100000)</f>
        <v/>
      </c>
      <c r="AP39" s="60">
        <f>IF(OR($AA39="",NOT(ISNUMBER($AD39))),"",$AD39-ROW()/100000)</f>
        <v/>
      </c>
    </row>
    <row r="40">
      <c r="A40" s="55">
        <f>IF(NOT(ISNUMBER(PAR_FECHA_INICIO)),"",DATE(YEAR(PAR_FECHA_INICIO),MONTH(PAR_FECHA_INICIO)+32,1))</f>
        <v/>
      </c>
      <c r="B40" s="37">
        <f>IF($A40="","",SUMIFS(tblVentas[Venta bruta],tblVentas[Fecha],"&gt;="&amp;$A40,tblVentas[Fecha],"&lt;"&amp;DATE(YEAR($A40),MONTH($A40)+1,1)))</f>
        <v/>
      </c>
      <c r="C40" s="37">
        <f>IF($A40="","",SUMIFS(tblVentas[Descuento],tblVentas[Fecha],"&gt;="&amp;$A40,tblVentas[Fecha],"&lt;"&amp;DATE(YEAR($A40),MONTH($A40)+1,1)))</f>
        <v/>
      </c>
      <c r="D40" s="49">
        <f>IF($A40="","",SUMIFS(tblVentas[Venta neta],tblVentas[Fecha],"&gt;="&amp;$A40,tblVentas[Fecha],"&lt;"&amp;DATE(YEAR($A40),MONTH($A40)+1,1)))</f>
        <v/>
      </c>
      <c r="E40" s="39">
        <f>IF($A40="","",SUMIFS(tblVentas[Unidades efectivas],tblVentas[Fecha],"&gt;="&amp;$A40,tblVentas[Fecha],"&lt;"&amp;DATE(YEAR($A40),MONTH($A40)+1,1)))</f>
        <v/>
      </c>
      <c r="F40" s="37">
        <f>IF($A40="","",SUMIFS(tblVentas[Costo total],tblVentas[Fecha],"&gt;="&amp;$A40,tblVentas[Fecha],"&lt;"&amp;DATE(YEAR($A40),MONTH($A40)+1,1)))</f>
        <v/>
      </c>
      <c r="G40" s="49">
        <f>IF($A40="","",$D40-$F40)</f>
        <v/>
      </c>
      <c r="H40" s="38">
        <f>IF(OR($A40="",$D40=0),"",$G40/$D40)</f>
        <v/>
      </c>
      <c r="I40" s="37">
        <f>IF($A40="","",SUMIFS(tblGastos[Monto],tblGastos[Tipo de gasto],"Fijo",tblGastos[Fecha],"&gt;="&amp;$A40,tblGastos[Fecha],"&lt;"&amp;DATE(YEAR($A40),MONTH($A40)+1,1)))</f>
        <v/>
      </c>
      <c r="J40" s="37">
        <f>IF($A40="","",SUMIFS(tblGastos[Monto],tblGastos[Tipo de gasto],"Variable",tblGastos[Fecha],"&gt;="&amp;$A40,tblGastos[Fecha],"&lt;"&amp;DATE(YEAR($A40),MONTH($A40)+1,1)))</f>
        <v/>
      </c>
      <c r="K40" s="37">
        <f>IF($A40="","",$I40+$J40)</f>
        <v/>
      </c>
      <c r="L40" s="37">
        <f>IF($A40="","",$G40-$K40)</f>
        <v/>
      </c>
      <c r="M40" s="37">
        <f>IF($A40="","",SUMIFS(tblCajaMov[Monto],tblCajaMov[Concepto],"Otro ingreso",tblCajaMov[Fecha],"&gt;="&amp;$A40,tblCajaMov[Fecha],"&lt;"&amp;DATE(YEAR($A40),MONTH($A40)+1,1)))</f>
        <v/>
      </c>
      <c r="N40" s="37">
        <f>IF($A40="","",SUMIFS(tblCajaMov[Monto],tblCajaMov[Concepto],"Otro egreso",tblCajaMov[Fecha],"&gt;="&amp;$A40,tblCajaMov[Fecha],"&lt;"&amp;DATE(YEAR($A40),MONTH($A40)+1,1)))</f>
        <v/>
      </c>
      <c r="O40" s="49">
        <f>IF($A40="","",$L40+$M40-$N40)</f>
        <v/>
      </c>
      <c r="P40" s="38">
        <f>IF(OR($A40="",$D40=0),"",$O40/$D40)</f>
        <v/>
      </c>
      <c r="Q40" s="39">
        <f>IF($A40="","",COUNTIFS(tblVentas[Fecha],"&gt;="&amp;$A40,tblVentas[Fecha],"&lt;"&amp;DATE(YEAR($A40),MONTH($A40)+1,1)))</f>
        <v/>
      </c>
      <c r="R40" s="37">
        <f>IF(OR($A40="",$Q40=0),"",$D40/$Q40)</f>
        <v/>
      </c>
      <c r="S40" s="37">
        <f>IF(OR($A40="",$E40=0),"",$G40/$E40)</f>
        <v/>
      </c>
      <c r="T40" s="37">
        <f>IF($A40="","",SUMIFS(tblGastos[Monto],tblGastos[Categoría],"Publicidad",tblGastos[Fecha],"&gt;="&amp;$A40,tblGastos[Fecha],"&lt;"&amp;DATE(YEAR($A40),MONTH($A40)+1,1)))</f>
        <v/>
      </c>
      <c r="U40" s="60">
        <f>IF(OR($A40="",$T40=0),"",$D40/$T40)</f>
        <v/>
      </c>
      <c r="V40" s="37">
        <f>IF($A40="","",SUMIFS(tblCompras[Costo total de adquisición],tblCompras[Fecha],"&gt;="&amp;$A40,tblCompras[Fecha],"&lt;"&amp;DATE(YEAR($A40),MONTH($A40)+1,1)))</f>
        <v/>
      </c>
      <c r="W40" s="38">
        <f>IF(OR($A40="",($V40+$K40)=0),"",$O40/($V40+$K40))</f>
        <v/>
      </c>
      <c r="X40" s="37">
        <f>IF($A40="","",SUM($D$8:$D40))</f>
        <v/>
      </c>
      <c r="Y40" s="37">
        <f>IF($A40="","",SUM($O$8:$O40))</f>
        <v/>
      </c>
      <c r="AA40" s="51">
        <f>IFERROR(IF(INDEX(tblProductos[SKU],ROW()-7)="","",INDEX(tblProductos[SKU],ROW()-7)),"")</f>
        <v/>
      </c>
      <c r="AB40" s="51">
        <f>IF($AA40="","",IFERROR(IF(INDEX(tblProductos[Nombre del producto],MATCH($AA40,tblProductos[SKU],0))="","",INDEX(tblProductos[Nombre del producto],MATCH($AA40,tblProductos[SKU],0))),"")&amp;IF(IFERROR(IF(INDEX(tblProductos[Presentación],MATCH($AA40,tblProductos[SKU],0))="","",INDEX(tblProductos[Presentación],MATCH($AA40,tblProductos[SKU],0))),"")="",""," · "&amp;IFERROR(IF(INDEX(tblProductos[Presentación],MATCH($AA40,tblProductos[SKU],0))="","",INDEX(tblProductos[Presentación],MATCH($AA40,tblProductos[SKU],0))),"")))</f>
        <v/>
      </c>
      <c r="AC40" s="51">
        <f>IF($AA40="","",IFERROR(IF(INDEX(tblProductos[Categoría],MATCH($AA40,tblProductos[SKU],0))="","",INDEX(tblProductos[Categoría],MATCH($AA40,tblProductos[SKU],0))),""))</f>
        <v/>
      </c>
      <c r="AD40" s="39">
        <f>IF($AA40="","",SUMIFS(tblVentas[Unidades efectivas],tblVentas[SKU],$AA40))</f>
        <v/>
      </c>
      <c r="AE40" s="37">
        <f>IF($AA40="","",SUMIFS(tblVentas[Venta neta],tblVentas[SKU],$AA40))</f>
        <v/>
      </c>
      <c r="AF40" s="37">
        <f>IF($AA40="","",SUMIFS(tblVentas[Costo total],tblVentas[SKU],$AA40))</f>
        <v/>
      </c>
      <c r="AG40" s="37">
        <f>IF($AA40="","",$AE40-$AF40)</f>
        <v/>
      </c>
      <c r="AH40" s="38">
        <f>IF(OR($AA40="",$AE40=0),"",$AG40/$AE40)</f>
        <v/>
      </c>
      <c r="AI40" s="38">
        <f>IF(OR($AA40="",SUM($AE$8:$AE$67)=0),"",$AE40/SUM($AE$8:$AE$67))</f>
        <v/>
      </c>
      <c r="AJ40" s="38">
        <f>IF(OR($AA40="",SUM($AG$8:$AG$67)=0),"",$AG40/SUM($AG$8:$AG$67))</f>
        <v/>
      </c>
      <c r="AK40" s="39">
        <f>IF(OR($AA40="",$AE40=0),"",RANK($AG40,$AG$8:$AG$67))</f>
        <v/>
      </c>
      <c r="AL40" s="39">
        <f>IF(OR($AA40="",$AD40=0),"",RANK($AD40,$AD$8:$AD$67))</f>
        <v/>
      </c>
      <c r="AM40" s="37">
        <f>IF(OR($AA40="",$AD40=0),"",$AG40/$AD40)</f>
        <v/>
      </c>
      <c r="AN40" s="37">
        <f>IF($AA40="","",IFERROR(IF(INDEX(tblProductos[Margen de contribución unitario],MATCH($AA40,tblProductos[SKU],0))="","PENDIENTE",INDEX(tblProductos[Margen de contribución unitario],MATCH($AA40,tblProductos[SKU],0))),"PENDIENTE"))</f>
        <v/>
      </c>
      <c r="AO40" s="60">
        <f>IF(OR($AA40="",NOT(ISNUMBER($AG40))),"",$AG40-ROW()/100000)</f>
        <v/>
      </c>
      <c r="AP40" s="60">
        <f>IF(OR($AA40="",NOT(ISNUMBER($AD40))),"",$AD40-ROW()/100000)</f>
        <v/>
      </c>
    </row>
    <row r="41">
      <c r="A41" s="55">
        <f>IF(NOT(ISNUMBER(PAR_FECHA_INICIO)),"",DATE(YEAR(PAR_FECHA_INICIO),MONTH(PAR_FECHA_INICIO)+33,1))</f>
        <v/>
      </c>
      <c r="B41" s="37">
        <f>IF($A41="","",SUMIFS(tblVentas[Venta bruta],tblVentas[Fecha],"&gt;="&amp;$A41,tblVentas[Fecha],"&lt;"&amp;DATE(YEAR($A41),MONTH($A41)+1,1)))</f>
        <v/>
      </c>
      <c r="C41" s="37">
        <f>IF($A41="","",SUMIFS(tblVentas[Descuento],tblVentas[Fecha],"&gt;="&amp;$A41,tblVentas[Fecha],"&lt;"&amp;DATE(YEAR($A41),MONTH($A41)+1,1)))</f>
        <v/>
      </c>
      <c r="D41" s="49">
        <f>IF($A41="","",SUMIFS(tblVentas[Venta neta],tblVentas[Fecha],"&gt;="&amp;$A41,tblVentas[Fecha],"&lt;"&amp;DATE(YEAR($A41),MONTH($A41)+1,1)))</f>
        <v/>
      </c>
      <c r="E41" s="39">
        <f>IF($A41="","",SUMIFS(tblVentas[Unidades efectivas],tblVentas[Fecha],"&gt;="&amp;$A41,tblVentas[Fecha],"&lt;"&amp;DATE(YEAR($A41),MONTH($A41)+1,1)))</f>
        <v/>
      </c>
      <c r="F41" s="37">
        <f>IF($A41="","",SUMIFS(tblVentas[Costo total],tblVentas[Fecha],"&gt;="&amp;$A41,tblVentas[Fecha],"&lt;"&amp;DATE(YEAR($A41),MONTH($A41)+1,1)))</f>
        <v/>
      </c>
      <c r="G41" s="49">
        <f>IF($A41="","",$D41-$F41)</f>
        <v/>
      </c>
      <c r="H41" s="38">
        <f>IF(OR($A41="",$D41=0),"",$G41/$D41)</f>
        <v/>
      </c>
      <c r="I41" s="37">
        <f>IF($A41="","",SUMIFS(tblGastos[Monto],tblGastos[Tipo de gasto],"Fijo",tblGastos[Fecha],"&gt;="&amp;$A41,tblGastos[Fecha],"&lt;"&amp;DATE(YEAR($A41),MONTH($A41)+1,1)))</f>
        <v/>
      </c>
      <c r="J41" s="37">
        <f>IF($A41="","",SUMIFS(tblGastos[Monto],tblGastos[Tipo de gasto],"Variable",tblGastos[Fecha],"&gt;="&amp;$A41,tblGastos[Fecha],"&lt;"&amp;DATE(YEAR($A41),MONTH($A41)+1,1)))</f>
        <v/>
      </c>
      <c r="K41" s="37">
        <f>IF($A41="","",$I41+$J41)</f>
        <v/>
      </c>
      <c r="L41" s="37">
        <f>IF($A41="","",$G41-$K41)</f>
        <v/>
      </c>
      <c r="M41" s="37">
        <f>IF($A41="","",SUMIFS(tblCajaMov[Monto],tblCajaMov[Concepto],"Otro ingreso",tblCajaMov[Fecha],"&gt;="&amp;$A41,tblCajaMov[Fecha],"&lt;"&amp;DATE(YEAR($A41),MONTH($A41)+1,1)))</f>
        <v/>
      </c>
      <c r="N41" s="37">
        <f>IF($A41="","",SUMIFS(tblCajaMov[Monto],tblCajaMov[Concepto],"Otro egreso",tblCajaMov[Fecha],"&gt;="&amp;$A41,tblCajaMov[Fecha],"&lt;"&amp;DATE(YEAR($A41),MONTH($A41)+1,1)))</f>
        <v/>
      </c>
      <c r="O41" s="49">
        <f>IF($A41="","",$L41+$M41-$N41)</f>
        <v/>
      </c>
      <c r="P41" s="38">
        <f>IF(OR($A41="",$D41=0),"",$O41/$D41)</f>
        <v/>
      </c>
      <c r="Q41" s="39">
        <f>IF($A41="","",COUNTIFS(tblVentas[Fecha],"&gt;="&amp;$A41,tblVentas[Fecha],"&lt;"&amp;DATE(YEAR($A41),MONTH($A41)+1,1)))</f>
        <v/>
      </c>
      <c r="R41" s="37">
        <f>IF(OR($A41="",$Q41=0),"",$D41/$Q41)</f>
        <v/>
      </c>
      <c r="S41" s="37">
        <f>IF(OR($A41="",$E41=0),"",$G41/$E41)</f>
        <v/>
      </c>
      <c r="T41" s="37">
        <f>IF($A41="","",SUMIFS(tblGastos[Monto],tblGastos[Categoría],"Publicidad",tblGastos[Fecha],"&gt;="&amp;$A41,tblGastos[Fecha],"&lt;"&amp;DATE(YEAR($A41),MONTH($A41)+1,1)))</f>
        <v/>
      </c>
      <c r="U41" s="60">
        <f>IF(OR($A41="",$T41=0),"",$D41/$T41)</f>
        <v/>
      </c>
      <c r="V41" s="37">
        <f>IF($A41="","",SUMIFS(tblCompras[Costo total de adquisición],tblCompras[Fecha],"&gt;="&amp;$A41,tblCompras[Fecha],"&lt;"&amp;DATE(YEAR($A41),MONTH($A41)+1,1)))</f>
        <v/>
      </c>
      <c r="W41" s="38">
        <f>IF(OR($A41="",($V41+$K41)=0),"",$O41/($V41+$K41))</f>
        <v/>
      </c>
      <c r="X41" s="37">
        <f>IF($A41="","",SUM($D$8:$D41))</f>
        <v/>
      </c>
      <c r="Y41" s="37">
        <f>IF($A41="","",SUM($O$8:$O41))</f>
        <v/>
      </c>
      <c r="AA41" s="51">
        <f>IFERROR(IF(INDEX(tblProductos[SKU],ROW()-7)="","",INDEX(tblProductos[SKU],ROW()-7)),"")</f>
        <v/>
      </c>
      <c r="AB41" s="51">
        <f>IF($AA41="","",IFERROR(IF(INDEX(tblProductos[Nombre del producto],MATCH($AA41,tblProductos[SKU],0))="","",INDEX(tblProductos[Nombre del producto],MATCH($AA41,tblProductos[SKU],0))),"")&amp;IF(IFERROR(IF(INDEX(tblProductos[Presentación],MATCH($AA41,tblProductos[SKU],0))="","",INDEX(tblProductos[Presentación],MATCH($AA41,tblProductos[SKU],0))),"")="",""," · "&amp;IFERROR(IF(INDEX(tblProductos[Presentación],MATCH($AA41,tblProductos[SKU],0))="","",INDEX(tblProductos[Presentación],MATCH($AA41,tblProductos[SKU],0))),"")))</f>
        <v/>
      </c>
      <c r="AC41" s="51">
        <f>IF($AA41="","",IFERROR(IF(INDEX(tblProductos[Categoría],MATCH($AA41,tblProductos[SKU],0))="","",INDEX(tblProductos[Categoría],MATCH($AA41,tblProductos[SKU],0))),""))</f>
        <v/>
      </c>
      <c r="AD41" s="39">
        <f>IF($AA41="","",SUMIFS(tblVentas[Unidades efectivas],tblVentas[SKU],$AA41))</f>
        <v/>
      </c>
      <c r="AE41" s="37">
        <f>IF($AA41="","",SUMIFS(tblVentas[Venta neta],tblVentas[SKU],$AA41))</f>
        <v/>
      </c>
      <c r="AF41" s="37">
        <f>IF($AA41="","",SUMIFS(tblVentas[Costo total],tblVentas[SKU],$AA41))</f>
        <v/>
      </c>
      <c r="AG41" s="37">
        <f>IF($AA41="","",$AE41-$AF41)</f>
        <v/>
      </c>
      <c r="AH41" s="38">
        <f>IF(OR($AA41="",$AE41=0),"",$AG41/$AE41)</f>
        <v/>
      </c>
      <c r="AI41" s="38">
        <f>IF(OR($AA41="",SUM($AE$8:$AE$67)=0),"",$AE41/SUM($AE$8:$AE$67))</f>
        <v/>
      </c>
      <c r="AJ41" s="38">
        <f>IF(OR($AA41="",SUM($AG$8:$AG$67)=0),"",$AG41/SUM($AG$8:$AG$67))</f>
        <v/>
      </c>
      <c r="AK41" s="39">
        <f>IF(OR($AA41="",$AE41=0),"",RANK($AG41,$AG$8:$AG$67))</f>
        <v/>
      </c>
      <c r="AL41" s="39">
        <f>IF(OR($AA41="",$AD41=0),"",RANK($AD41,$AD$8:$AD$67))</f>
        <v/>
      </c>
      <c r="AM41" s="37">
        <f>IF(OR($AA41="",$AD41=0),"",$AG41/$AD41)</f>
        <v/>
      </c>
      <c r="AN41" s="37">
        <f>IF($AA41="","",IFERROR(IF(INDEX(tblProductos[Margen de contribución unitario],MATCH($AA41,tblProductos[SKU],0))="","PENDIENTE",INDEX(tblProductos[Margen de contribución unitario],MATCH($AA41,tblProductos[SKU],0))),"PENDIENTE"))</f>
        <v/>
      </c>
      <c r="AO41" s="60">
        <f>IF(OR($AA41="",NOT(ISNUMBER($AG41))),"",$AG41-ROW()/100000)</f>
        <v/>
      </c>
      <c r="AP41" s="60">
        <f>IF(OR($AA41="",NOT(ISNUMBER($AD41))),"",$AD41-ROW()/100000)</f>
        <v/>
      </c>
    </row>
    <row r="42">
      <c r="A42" s="55">
        <f>IF(NOT(ISNUMBER(PAR_FECHA_INICIO)),"",DATE(YEAR(PAR_FECHA_INICIO),MONTH(PAR_FECHA_INICIO)+34,1))</f>
        <v/>
      </c>
      <c r="B42" s="37">
        <f>IF($A42="","",SUMIFS(tblVentas[Venta bruta],tblVentas[Fecha],"&gt;="&amp;$A42,tblVentas[Fecha],"&lt;"&amp;DATE(YEAR($A42),MONTH($A42)+1,1)))</f>
        <v/>
      </c>
      <c r="C42" s="37">
        <f>IF($A42="","",SUMIFS(tblVentas[Descuento],tblVentas[Fecha],"&gt;="&amp;$A42,tblVentas[Fecha],"&lt;"&amp;DATE(YEAR($A42),MONTH($A42)+1,1)))</f>
        <v/>
      </c>
      <c r="D42" s="49">
        <f>IF($A42="","",SUMIFS(tblVentas[Venta neta],tblVentas[Fecha],"&gt;="&amp;$A42,tblVentas[Fecha],"&lt;"&amp;DATE(YEAR($A42),MONTH($A42)+1,1)))</f>
        <v/>
      </c>
      <c r="E42" s="39">
        <f>IF($A42="","",SUMIFS(tblVentas[Unidades efectivas],tblVentas[Fecha],"&gt;="&amp;$A42,tblVentas[Fecha],"&lt;"&amp;DATE(YEAR($A42),MONTH($A42)+1,1)))</f>
        <v/>
      </c>
      <c r="F42" s="37">
        <f>IF($A42="","",SUMIFS(tblVentas[Costo total],tblVentas[Fecha],"&gt;="&amp;$A42,tblVentas[Fecha],"&lt;"&amp;DATE(YEAR($A42),MONTH($A42)+1,1)))</f>
        <v/>
      </c>
      <c r="G42" s="49">
        <f>IF($A42="","",$D42-$F42)</f>
        <v/>
      </c>
      <c r="H42" s="38">
        <f>IF(OR($A42="",$D42=0),"",$G42/$D42)</f>
        <v/>
      </c>
      <c r="I42" s="37">
        <f>IF($A42="","",SUMIFS(tblGastos[Monto],tblGastos[Tipo de gasto],"Fijo",tblGastos[Fecha],"&gt;="&amp;$A42,tblGastos[Fecha],"&lt;"&amp;DATE(YEAR($A42),MONTH($A42)+1,1)))</f>
        <v/>
      </c>
      <c r="J42" s="37">
        <f>IF($A42="","",SUMIFS(tblGastos[Monto],tblGastos[Tipo de gasto],"Variable",tblGastos[Fecha],"&gt;="&amp;$A42,tblGastos[Fecha],"&lt;"&amp;DATE(YEAR($A42),MONTH($A42)+1,1)))</f>
        <v/>
      </c>
      <c r="K42" s="37">
        <f>IF($A42="","",$I42+$J42)</f>
        <v/>
      </c>
      <c r="L42" s="37">
        <f>IF($A42="","",$G42-$K42)</f>
        <v/>
      </c>
      <c r="M42" s="37">
        <f>IF($A42="","",SUMIFS(tblCajaMov[Monto],tblCajaMov[Concepto],"Otro ingreso",tblCajaMov[Fecha],"&gt;="&amp;$A42,tblCajaMov[Fecha],"&lt;"&amp;DATE(YEAR($A42),MONTH($A42)+1,1)))</f>
        <v/>
      </c>
      <c r="N42" s="37">
        <f>IF($A42="","",SUMIFS(tblCajaMov[Monto],tblCajaMov[Concepto],"Otro egreso",tblCajaMov[Fecha],"&gt;="&amp;$A42,tblCajaMov[Fecha],"&lt;"&amp;DATE(YEAR($A42),MONTH($A42)+1,1)))</f>
        <v/>
      </c>
      <c r="O42" s="49">
        <f>IF($A42="","",$L42+$M42-$N42)</f>
        <v/>
      </c>
      <c r="P42" s="38">
        <f>IF(OR($A42="",$D42=0),"",$O42/$D42)</f>
        <v/>
      </c>
      <c r="Q42" s="39">
        <f>IF($A42="","",COUNTIFS(tblVentas[Fecha],"&gt;="&amp;$A42,tblVentas[Fecha],"&lt;"&amp;DATE(YEAR($A42),MONTH($A42)+1,1)))</f>
        <v/>
      </c>
      <c r="R42" s="37">
        <f>IF(OR($A42="",$Q42=0),"",$D42/$Q42)</f>
        <v/>
      </c>
      <c r="S42" s="37">
        <f>IF(OR($A42="",$E42=0),"",$G42/$E42)</f>
        <v/>
      </c>
      <c r="T42" s="37">
        <f>IF($A42="","",SUMIFS(tblGastos[Monto],tblGastos[Categoría],"Publicidad",tblGastos[Fecha],"&gt;="&amp;$A42,tblGastos[Fecha],"&lt;"&amp;DATE(YEAR($A42),MONTH($A42)+1,1)))</f>
        <v/>
      </c>
      <c r="U42" s="60">
        <f>IF(OR($A42="",$T42=0),"",$D42/$T42)</f>
        <v/>
      </c>
      <c r="V42" s="37">
        <f>IF($A42="","",SUMIFS(tblCompras[Costo total de adquisición],tblCompras[Fecha],"&gt;="&amp;$A42,tblCompras[Fecha],"&lt;"&amp;DATE(YEAR($A42),MONTH($A42)+1,1)))</f>
        <v/>
      </c>
      <c r="W42" s="38">
        <f>IF(OR($A42="",($V42+$K42)=0),"",$O42/($V42+$K42))</f>
        <v/>
      </c>
      <c r="X42" s="37">
        <f>IF($A42="","",SUM($D$8:$D42))</f>
        <v/>
      </c>
      <c r="Y42" s="37">
        <f>IF($A42="","",SUM($O$8:$O42))</f>
        <v/>
      </c>
      <c r="AA42" s="51">
        <f>IFERROR(IF(INDEX(tblProductos[SKU],ROW()-7)="","",INDEX(tblProductos[SKU],ROW()-7)),"")</f>
        <v/>
      </c>
      <c r="AB42" s="51">
        <f>IF($AA42="","",IFERROR(IF(INDEX(tblProductos[Nombre del producto],MATCH($AA42,tblProductos[SKU],0))="","",INDEX(tblProductos[Nombre del producto],MATCH($AA42,tblProductos[SKU],0))),"")&amp;IF(IFERROR(IF(INDEX(tblProductos[Presentación],MATCH($AA42,tblProductos[SKU],0))="","",INDEX(tblProductos[Presentación],MATCH($AA42,tblProductos[SKU],0))),"")="",""," · "&amp;IFERROR(IF(INDEX(tblProductos[Presentación],MATCH($AA42,tblProductos[SKU],0))="","",INDEX(tblProductos[Presentación],MATCH($AA42,tblProductos[SKU],0))),"")))</f>
        <v/>
      </c>
      <c r="AC42" s="51">
        <f>IF($AA42="","",IFERROR(IF(INDEX(tblProductos[Categoría],MATCH($AA42,tblProductos[SKU],0))="","",INDEX(tblProductos[Categoría],MATCH($AA42,tblProductos[SKU],0))),""))</f>
        <v/>
      </c>
      <c r="AD42" s="39">
        <f>IF($AA42="","",SUMIFS(tblVentas[Unidades efectivas],tblVentas[SKU],$AA42))</f>
        <v/>
      </c>
      <c r="AE42" s="37">
        <f>IF($AA42="","",SUMIFS(tblVentas[Venta neta],tblVentas[SKU],$AA42))</f>
        <v/>
      </c>
      <c r="AF42" s="37">
        <f>IF($AA42="","",SUMIFS(tblVentas[Costo total],tblVentas[SKU],$AA42))</f>
        <v/>
      </c>
      <c r="AG42" s="37">
        <f>IF($AA42="","",$AE42-$AF42)</f>
        <v/>
      </c>
      <c r="AH42" s="38">
        <f>IF(OR($AA42="",$AE42=0),"",$AG42/$AE42)</f>
        <v/>
      </c>
      <c r="AI42" s="38">
        <f>IF(OR($AA42="",SUM($AE$8:$AE$67)=0),"",$AE42/SUM($AE$8:$AE$67))</f>
        <v/>
      </c>
      <c r="AJ42" s="38">
        <f>IF(OR($AA42="",SUM($AG$8:$AG$67)=0),"",$AG42/SUM($AG$8:$AG$67))</f>
        <v/>
      </c>
      <c r="AK42" s="39">
        <f>IF(OR($AA42="",$AE42=0),"",RANK($AG42,$AG$8:$AG$67))</f>
        <v/>
      </c>
      <c r="AL42" s="39">
        <f>IF(OR($AA42="",$AD42=0),"",RANK($AD42,$AD$8:$AD$67))</f>
        <v/>
      </c>
      <c r="AM42" s="37">
        <f>IF(OR($AA42="",$AD42=0),"",$AG42/$AD42)</f>
        <v/>
      </c>
      <c r="AN42" s="37">
        <f>IF($AA42="","",IFERROR(IF(INDEX(tblProductos[Margen de contribución unitario],MATCH($AA42,tblProductos[SKU],0))="","PENDIENTE",INDEX(tblProductos[Margen de contribución unitario],MATCH($AA42,tblProductos[SKU],0))),"PENDIENTE"))</f>
        <v/>
      </c>
      <c r="AO42" s="60">
        <f>IF(OR($AA42="",NOT(ISNUMBER($AG42))),"",$AG42-ROW()/100000)</f>
        <v/>
      </c>
      <c r="AP42" s="60">
        <f>IF(OR($AA42="",NOT(ISNUMBER($AD42))),"",$AD42-ROW()/100000)</f>
        <v/>
      </c>
    </row>
    <row r="43">
      <c r="A43" s="55">
        <f>IF(NOT(ISNUMBER(PAR_FECHA_INICIO)),"",DATE(YEAR(PAR_FECHA_INICIO),MONTH(PAR_FECHA_INICIO)+35,1))</f>
        <v/>
      </c>
      <c r="B43" s="37">
        <f>IF($A43="","",SUMIFS(tblVentas[Venta bruta],tblVentas[Fecha],"&gt;="&amp;$A43,tblVentas[Fecha],"&lt;"&amp;DATE(YEAR($A43),MONTH($A43)+1,1)))</f>
        <v/>
      </c>
      <c r="C43" s="37">
        <f>IF($A43="","",SUMIFS(tblVentas[Descuento],tblVentas[Fecha],"&gt;="&amp;$A43,tblVentas[Fecha],"&lt;"&amp;DATE(YEAR($A43),MONTH($A43)+1,1)))</f>
        <v/>
      </c>
      <c r="D43" s="49">
        <f>IF($A43="","",SUMIFS(tblVentas[Venta neta],tblVentas[Fecha],"&gt;="&amp;$A43,tblVentas[Fecha],"&lt;"&amp;DATE(YEAR($A43),MONTH($A43)+1,1)))</f>
        <v/>
      </c>
      <c r="E43" s="39">
        <f>IF($A43="","",SUMIFS(tblVentas[Unidades efectivas],tblVentas[Fecha],"&gt;="&amp;$A43,tblVentas[Fecha],"&lt;"&amp;DATE(YEAR($A43),MONTH($A43)+1,1)))</f>
        <v/>
      </c>
      <c r="F43" s="37">
        <f>IF($A43="","",SUMIFS(tblVentas[Costo total],tblVentas[Fecha],"&gt;="&amp;$A43,tblVentas[Fecha],"&lt;"&amp;DATE(YEAR($A43),MONTH($A43)+1,1)))</f>
        <v/>
      </c>
      <c r="G43" s="49">
        <f>IF($A43="","",$D43-$F43)</f>
        <v/>
      </c>
      <c r="H43" s="38">
        <f>IF(OR($A43="",$D43=0),"",$G43/$D43)</f>
        <v/>
      </c>
      <c r="I43" s="37">
        <f>IF($A43="","",SUMIFS(tblGastos[Monto],tblGastos[Tipo de gasto],"Fijo",tblGastos[Fecha],"&gt;="&amp;$A43,tblGastos[Fecha],"&lt;"&amp;DATE(YEAR($A43),MONTH($A43)+1,1)))</f>
        <v/>
      </c>
      <c r="J43" s="37">
        <f>IF($A43="","",SUMIFS(tblGastos[Monto],tblGastos[Tipo de gasto],"Variable",tblGastos[Fecha],"&gt;="&amp;$A43,tblGastos[Fecha],"&lt;"&amp;DATE(YEAR($A43),MONTH($A43)+1,1)))</f>
        <v/>
      </c>
      <c r="K43" s="37">
        <f>IF($A43="","",$I43+$J43)</f>
        <v/>
      </c>
      <c r="L43" s="37">
        <f>IF($A43="","",$G43-$K43)</f>
        <v/>
      </c>
      <c r="M43" s="37">
        <f>IF($A43="","",SUMIFS(tblCajaMov[Monto],tblCajaMov[Concepto],"Otro ingreso",tblCajaMov[Fecha],"&gt;="&amp;$A43,tblCajaMov[Fecha],"&lt;"&amp;DATE(YEAR($A43),MONTH($A43)+1,1)))</f>
        <v/>
      </c>
      <c r="N43" s="37">
        <f>IF($A43="","",SUMIFS(tblCajaMov[Monto],tblCajaMov[Concepto],"Otro egreso",tblCajaMov[Fecha],"&gt;="&amp;$A43,tblCajaMov[Fecha],"&lt;"&amp;DATE(YEAR($A43),MONTH($A43)+1,1)))</f>
        <v/>
      </c>
      <c r="O43" s="49">
        <f>IF($A43="","",$L43+$M43-$N43)</f>
        <v/>
      </c>
      <c r="P43" s="38">
        <f>IF(OR($A43="",$D43=0),"",$O43/$D43)</f>
        <v/>
      </c>
      <c r="Q43" s="39">
        <f>IF($A43="","",COUNTIFS(tblVentas[Fecha],"&gt;="&amp;$A43,tblVentas[Fecha],"&lt;"&amp;DATE(YEAR($A43),MONTH($A43)+1,1)))</f>
        <v/>
      </c>
      <c r="R43" s="37">
        <f>IF(OR($A43="",$Q43=0),"",$D43/$Q43)</f>
        <v/>
      </c>
      <c r="S43" s="37">
        <f>IF(OR($A43="",$E43=0),"",$G43/$E43)</f>
        <v/>
      </c>
      <c r="T43" s="37">
        <f>IF($A43="","",SUMIFS(tblGastos[Monto],tblGastos[Categoría],"Publicidad",tblGastos[Fecha],"&gt;="&amp;$A43,tblGastos[Fecha],"&lt;"&amp;DATE(YEAR($A43),MONTH($A43)+1,1)))</f>
        <v/>
      </c>
      <c r="U43" s="60">
        <f>IF(OR($A43="",$T43=0),"",$D43/$T43)</f>
        <v/>
      </c>
      <c r="V43" s="37">
        <f>IF($A43="","",SUMIFS(tblCompras[Costo total de adquisición],tblCompras[Fecha],"&gt;="&amp;$A43,tblCompras[Fecha],"&lt;"&amp;DATE(YEAR($A43),MONTH($A43)+1,1)))</f>
        <v/>
      </c>
      <c r="W43" s="38">
        <f>IF(OR($A43="",($V43+$K43)=0),"",$O43/($V43+$K43))</f>
        <v/>
      </c>
      <c r="X43" s="37">
        <f>IF($A43="","",SUM($D$8:$D43))</f>
        <v/>
      </c>
      <c r="Y43" s="37">
        <f>IF($A43="","",SUM($O$8:$O43))</f>
        <v/>
      </c>
      <c r="AA43" s="51">
        <f>IFERROR(IF(INDEX(tblProductos[SKU],ROW()-7)="","",INDEX(tblProductos[SKU],ROW()-7)),"")</f>
        <v/>
      </c>
      <c r="AB43" s="51">
        <f>IF($AA43="","",IFERROR(IF(INDEX(tblProductos[Nombre del producto],MATCH($AA43,tblProductos[SKU],0))="","",INDEX(tblProductos[Nombre del producto],MATCH($AA43,tblProductos[SKU],0))),"")&amp;IF(IFERROR(IF(INDEX(tblProductos[Presentación],MATCH($AA43,tblProductos[SKU],0))="","",INDEX(tblProductos[Presentación],MATCH($AA43,tblProductos[SKU],0))),"")="",""," · "&amp;IFERROR(IF(INDEX(tblProductos[Presentación],MATCH($AA43,tblProductos[SKU],0))="","",INDEX(tblProductos[Presentación],MATCH($AA43,tblProductos[SKU],0))),"")))</f>
        <v/>
      </c>
      <c r="AC43" s="51">
        <f>IF($AA43="","",IFERROR(IF(INDEX(tblProductos[Categoría],MATCH($AA43,tblProductos[SKU],0))="","",INDEX(tblProductos[Categoría],MATCH($AA43,tblProductos[SKU],0))),""))</f>
        <v/>
      </c>
      <c r="AD43" s="39">
        <f>IF($AA43="","",SUMIFS(tblVentas[Unidades efectivas],tblVentas[SKU],$AA43))</f>
        <v/>
      </c>
      <c r="AE43" s="37">
        <f>IF($AA43="","",SUMIFS(tblVentas[Venta neta],tblVentas[SKU],$AA43))</f>
        <v/>
      </c>
      <c r="AF43" s="37">
        <f>IF($AA43="","",SUMIFS(tblVentas[Costo total],tblVentas[SKU],$AA43))</f>
        <v/>
      </c>
      <c r="AG43" s="37">
        <f>IF($AA43="","",$AE43-$AF43)</f>
        <v/>
      </c>
      <c r="AH43" s="38">
        <f>IF(OR($AA43="",$AE43=0),"",$AG43/$AE43)</f>
        <v/>
      </c>
      <c r="AI43" s="38">
        <f>IF(OR($AA43="",SUM($AE$8:$AE$67)=0),"",$AE43/SUM($AE$8:$AE$67))</f>
        <v/>
      </c>
      <c r="AJ43" s="38">
        <f>IF(OR($AA43="",SUM($AG$8:$AG$67)=0),"",$AG43/SUM($AG$8:$AG$67))</f>
        <v/>
      </c>
      <c r="AK43" s="39">
        <f>IF(OR($AA43="",$AE43=0),"",RANK($AG43,$AG$8:$AG$67))</f>
        <v/>
      </c>
      <c r="AL43" s="39">
        <f>IF(OR($AA43="",$AD43=0),"",RANK($AD43,$AD$8:$AD$67))</f>
        <v/>
      </c>
      <c r="AM43" s="37">
        <f>IF(OR($AA43="",$AD43=0),"",$AG43/$AD43)</f>
        <v/>
      </c>
      <c r="AN43" s="37">
        <f>IF($AA43="","",IFERROR(IF(INDEX(tblProductos[Margen de contribución unitario],MATCH($AA43,tblProductos[SKU],0))="","PENDIENTE",INDEX(tblProductos[Margen de contribución unitario],MATCH($AA43,tblProductos[SKU],0))),"PENDIENTE"))</f>
        <v/>
      </c>
      <c r="AO43" s="60">
        <f>IF(OR($AA43="",NOT(ISNUMBER($AG43))),"",$AG43-ROW()/100000)</f>
        <v/>
      </c>
      <c r="AP43" s="60">
        <f>IF(OR($AA43="",NOT(ISNUMBER($AD43))),"",$AD43-ROW()/100000)</f>
        <v/>
      </c>
    </row>
    <row r="44">
      <c r="A44" s="56" t="inlineStr">
        <is>
          <t>TOTAL</t>
        </is>
      </c>
      <c r="B44" s="57">
        <f>SUM($B$8:$B$43)</f>
        <v/>
      </c>
      <c r="C44" s="57">
        <f>SUM($C$8:$C$43)</f>
        <v/>
      </c>
      <c r="D44" s="57">
        <f>SUM($D$8:$D$43)</f>
        <v/>
      </c>
      <c r="E44" s="69">
        <f>SUM($E$8:$E$43)</f>
        <v/>
      </c>
      <c r="F44" s="57">
        <f>SUM($F$8:$F$43)</f>
        <v/>
      </c>
      <c r="G44" s="57">
        <f>SUM($G$8:$G$43)</f>
        <v/>
      </c>
      <c r="H44" s="70">
        <f>IF(SUM($D$8:$D$43)=0,"",SUM($G$8:$G$43)/SUM($D$8:$D$43))</f>
        <v/>
      </c>
      <c r="I44" s="57">
        <f>SUM($I$8:$I$43)</f>
        <v/>
      </c>
      <c r="J44" s="57">
        <f>SUM($J$8:$J$43)</f>
        <v/>
      </c>
      <c r="K44" s="57">
        <f>SUM($K$8:$K$43)</f>
        <v/>
      </c>
      <c r="L44" s="57">
        <f>SUM($L$8:$L$43)</f>
        <v/>
      </c>
      <c r="M44" s="57">
        <f>SUM($M$8:$M$43)</f>
        <v/>
      </c>
      <c r="N44" s="57">
        <f>SUM($N$8:$N$43)</f>
        <v/>
      </c>
      <c r="O44" s="57">
        <f>SUM($O$8:$O$43)</f>
        <v/>
      </c>
      <c r="P44" s="70">
        <f>IF(SUM($D$8:$D$43)=0,"",SUM($O$8:$O$43)/SUM($D$8:$D$43))</f>
        <v/>
      </c>
      <c r="Q44" s="69">
        <f>SUM($Q$8:$Q$43)</f>
        <v/>
      </c>
      <c r="R44" s="57">
        <f>IF(SUM($Q$8:$Q$43)=0,"",SUM($D$8:$D$43)/SUM($Q$8:$Q$43))</f>
        <v/>
      </c>
      <c r="S44" s="57">
        <f>IF(SUM($E$8:$E$43)=0,"",SUM($G$8:$G$43)/SUM($E$8:$E$43))</f>
        <v/>
      </c>
      <c r="T44" s="57">
        <f>SUM($T$8:$T$43)</f>
        <v/>
      </c>
      <c r="U44" s="71">
        <f>IF(SUM($T$8:$T$43)=0,"",SUM($D$8:$D$43)/SUM($T$8:$T$43))</f>
        <v/>
      </c>
      <c r="V44" s="57">
        <f>SUM($V$8:$V$43)</f>
        <v/>
      </c>
      <c r="W44" s="70">
        <f>IF((SUM($V$8:$V$43)+SUM($K$8:$K$43))=0,"",SUM($O$8:$O$43)/(SUM($V$8:$V$43)+SUM($K$8:$K$43)))</f>
        <v/>
      </c>
      <c r="X44" s="57">
        <f>IF(COUNT($X$8:$X$43)=0,"",MAX($X$8:$X$43))</f>
        <v/>
      </c>
      <c r="Y44" s="57">
        <f>IF(COUNT($Y$8:$Y$43)=0,"",MAX($Y$8:$Y$43))</f>
        <v/>
      </c>
      <c r="AA44" s="51">
        <f>IFERROR(IF(INDEX(tblProductos[SKU],ROW()-7)="","",INDEX(tblProductos[SKU],ROW()-7)),"")</f>
        <v/>
      </c>
      <c r="AB44" s="51">
        <f>IF($AA44="","",IFERROR(IF(INDEX(tblProductos[Nombre del producto],MATCH($AA44,tblProductos[SKU],0))="","",INDEX(tblProductos[Nombre del producto],MATCH($AA44,tblProductos[SKU],0))),"")&amp;IF(IFERROR(IF(INDEX(tblProductos[Presentación],MATCH($AA44,tblProductos[SKU],0))="","",INDEX(tblProductos[Presentación],MATCH($AA44,tblProductos[SKU],0))),"")="",""," · "&amp;IFERROR(IF(INDEX(tblProductos[Presentación],MATCH($AA44,tblProductos[SKU],0))="","",INDEX(tblProductos[Presentación],MATCH($AA44,tblProductos[SKU],0))),"")))</f>
        <v/>
      </c>
      <c r="AC44" s="51">
        <f>IF($AA44="","",IFERROR(IF(INDEX(tblProductos[Categoría],MATCH($AA44,tblProductos[SKU],0))="","",INDEX(tblProductos[Categoría],MATCH($AA44,tblProductos[SKU],0))),""))</f>
        <v/>
      </c>
      <c r="AD44" s="39">
        <f>IF($AA44="","",SUMIFS(tblVentas[Unidades efectivas],tblVentas[SKU],$AA44))</f>
        <v/>
      </c>
      <c r="AE44" s="37">
        <f>IF($AA44="","",SUMIFS(tblVentas[Venta neta],tblVentas[SKU],$AA44))</f>
        <v/>
      </c>
      <c r="AF44" s="37">
        <f>IF($AA44="","",SUMIFS(tblVentas[Costo total],tblVentas[SKU],$AA44))</f>
        <v/>
      </c>
      <c r="AG44" s="37">
        <f>IF($AA44="","",$AE44-$AF44)</f>
        <v/>
      </c>
      <c r="AH44" s="38">
        <f>IF(OR($AA44="",$AE44=0),"",$AG44/$AE44)</f>
        <v/>
      </c>
      <c r="AI44" s="38">
        <f>IF(OR($AA44="",SUM($AE$8:$AE$67)=0),"",$AE44/SUM($AE$8:$AE$67))</f>
        <v/>
      </c>
      <c r="AJ44" s="38">
        <f>IF(OR($AA44="",SUM($AG$8:$AG$67)=0),"",$AG44/SUM($AG$8:$AG$67))</f>
        <v/>
      </c>
      <c r="AK44" s="39">
        <f>IF(OR($AA44="",$AE44=0),"",RANK($AG44,$AG$8:$AG$67))</f>
        <v/>
      </c>
      <c r="AL44" s="39">
        <f>IF(OR($AA44="",$AD44=0),"",RANK($AD44,$AD$8:$AD$67))</f>
        <v/>
      </c>
      <c r="AM44" s="37">
        <f>IF(OR($AA44="",$AD44=0),"",$AG44/$AD44)</f>
        <v/>
      </c>
      <c r="AN44" s="37">
        <f>IF($AA44="","",IFERROR(IF(INDEX(tblProductos[Margen de contribución unitario],MATCH($AA44,tblProductos[SKU],0))="","PENDIENTE",INDEX(tblProductos[Margen de contribución unitario],MATCH($AA44,tblProductos[SKU],0))),"PENDIENTE"))</f>
        <v/>
      </c>
      <c r="AO44" s="60">
        <f>IF(OR($AA44="",NOT(ISNUMBER($AG44))),"",$AG44-ROW()/100000)</f>
        <v/>
      </c>
      <c r="AP44" s="60">
        <f>IF(OR($AA44="",NOT(ISNUMBER($AD44))),"",$AD44-ROW()/100000)</f>
        <v/>
      </c>
    </row>
    <row r="45">
      <c r="AA45" s="51">
        <f>IFERROR(IF(INDEX(tblProductos[SKU],ROW()-7)="","",INDEX(tblProductos[SKU],ROW()-7)),"")</f>
        <v/>
      </c>
      <c r="AB45" s="51">
        <f>IF($AA45="","",IFERROR(IF(INDEX(tblProductos[Nombre del producto],MATCH($AA45,tblProductos[SKU],0))="","",INDEX(tblProductos[Nombre del producto],MATCH($AA45,tblProductos[SKU],0))),"")&amp;IF(IFERROR(IF(INDEX(tblProductos[Presentación],MATCH($AA45,tblProductos[SKU],0))="","",INDEX(tblProductos[Presentación],MATCH($AA45,tblProductos[SKU],0))),"")="",""," · "&amp;IFERROR(IF(INDEX(tblProductos[Presentación],MATCH($AA45,tblProductos[SKU],0))="","",INDEX(tblProductos[Presentación],MATCH($AA45,tblProductos[SKU],0))),"")))</f>
        <v/>
      </c>
      <c r="AC45" s="51">
        <f>IF($AA45="","",IFERROR(IF(INDEX(tblProductos[Categoría],MATCH($AA45,tblProductos[SKU],0))="","",INDEX(tblProductos[Categoría],MATCH($AA45,tblProductos[SKU],0))),""))</f>
        <v/>
      </c>
      <c r="AD45" s="39">
        <f>IF($AA45="","",SUMIFS(tblVentas[Unidades efectivas],tblVentas[SKU],$AA45))</f>
        <v/>
      </c>
      <c r="AE45" s="37">
        <f>IF($AA45="","",SUMIFS(tblVentas[Venta neta],tblVentas[SKU],$AA45))</f>
        <v/>
      </c>
      <c r="AF45" s="37">
        <f>IF($AA45="","",SUMIFS(tblVentas[Costo total],tblVentas[SKU],$AA45))</f>
        <v/>
      </c>
      <c r="AG45" s="37">
        <f>IF($AA45="","",$AE45-$AF45)</f>
        <v/>
      </c>
      <c r="AH45" s="38">
        <f>IF(OR($AA45="",$AE45=0),"",$AG45/$AE45)</f>
        <v/>
      </c>
      <c r="AI45" s="38">
        <f>IF(OR($AA45="",SUM($AE$8:$AE$67)=0),"",$AE45/SUM($AE$8:$AE$67))</f>
        <v/>
      </c>
      <c r="AJ45" s="38">
        <f>IF(OR($AA45="",SUM($AG$8:$AG$67)=0),"",$AG45/SUM($AG$8:$AG$67))</f>
        <v/>
      </c>
      <c r="AK45" s="39">
        <f>IF(OR($AA45="",$AE45=0),"",RANK($AG45,$AG$8:$AG$67))</f>
        <v/>
      </c>
      <c r="AL45" s="39">
        <f>IF(OR($AA45="",$AD45=0),"",RANK($AD45,$AD$8:$AD$67))</f>
        <v/>
      </c>
      <c r="AM45" s="37">
        <f>IF(OR($AA45="",$AD45=0),"",$AG45/$AD45)</f>
        <v/>
      </c>
      <c r="AN45" s="37">
        <f>IF($AA45="","",IFERROR(IF(INDEX(tblProductos[Margen de contribución unitario],MATCH($AA45,tblProductos[SKU],0))="","PENDIENTE",INDEX(tblProductos[Margen de contribución unitario],MATCH($AA45,tblProductos[SKU],0))),"PENDIENTE"))</f>
        <v/>
      </c>
      <c r="AO45" s="60">
        <f>IF(OR($AA45="",NOT(ISNUMBER($AG45))),"",$AG45-ROW()/100000)</f>
        <v/>
      </c>
      <c r="AP45" s="60">
        <f>IF(OR($AA45="",NOT(ISNUMBER($AD45))),"",$AD45-ROW()/100000)</f>
        <v/>
      </c>
    </row>
    <row r="46">
      <c r="AA46" s="51">
        <f>IFERROR(IF(INDEX(tblProductos[SKU],ROW()-7)="","",INDEX(tblProductos[SKU],ROW()-7)),"")</f>
        <v/>
      </c>
      <c r="AB46" s="51">
        <f>IF($AA46="","",IFERROR(IF(INDEX(tblProductos[Nombre del producto],MATCH($AA46,tblProductos[SKU],0))="","",INDEX(tblProductos[Nombre del producto],MATCH($AA46,tblProductos[SKU],0))),"")&amp;IF(IFERROR(IF(INDEX(tblProductos[Presentación],MATCH($AA46,tblProductos[SKU],0))="","",INDEX(tblProductos[Presentación],MATCH($AA46,tblProductos[SKU],0))),"")="",""," · "&amp;IFERROR(IF(INDEX(tblProductos[Presentación],MATCH($AA46,tblProductos[SKU],0))="","",INDEX(tblProductos[Presentación],MATCH($AA46,tblProductos[SKU],0))),"")))</f>
        <v/>
      </c>
      <c r="AC46" s="51">
        <f>IF($AA46="","",IFERROR(IF(INDEX(tblProductos[Categoría],MATCH($AA46,tblProductos[SKU],0))="","",INDEX(tblProductos[Categoría],MATCH($AA46,tblProductos[SKU],0))),""))</f>
        <v/>
      </c>
      <c r="AD46" s="39">
        <f>IF($AA46="","",SUMIFS(tblVentas[Unidades efectivas],tblVentas[SKU],$AA46))</f>
        <v/>
      </c>
      <c r="AE46" s="37">
        <f>IF($AA46="","",SUMIFS(tblVentas[Venta neta],tblVentas[SKU],$AA46))</f>
        <v/>
      </c>
      <c r="AF46" s="37">
        <f>IF($AA46="","",SUMIFS(tblVentas[Costo total],tblVentas[SKU],$AA46))</f>
        <v/>
      </c>
      <c r="AG46" s="37">
        <f>IF($AA46="","",$AE46-$AF46)</f>
        <v/>
      </c>
      <c r="AH46" s="38">
        <f>IF(OR($AA46="",$AE46=0),"",$AG46/$AE46)</f>
        <v/>
      </c>
      <c r="AI46" s="38">
        <f>IF(OR($AA46="",SUM($AE$8:$AE$67)=0),"",$AE46/SUM($AE$8:$AE$67))</f>
        <v/>
      </c>
      <c r="AJ46" s="38">
        <f>IF(OR($AA46="",SUM($AG$8:$AG$67)=0),"",$AG46/SUM($AG$8:$AG$67))</f>
        <v/>
      </c>
      <c r="AK46" s="39">
        <f>IF(OR($AA46="",$AE46=0),"",RANK($AG46,$AG$8:$AG$67))</f>
        <v/>
      </c>
      <c r="AL46" s="39">
        <f>IF(OR($AA46="",$AD46=0),"",RANK($AD46,$AD$8:$AD$67))</f>
        <v/>
      </c>
      <c r="AM46" s="37">
        <f>IF(OR($AA46="",$AD46=0),"",$AG46/$AD46)</f>
        <v/>
      </c>
      <c r="AN46" s="37">
        <f>IF($AA46="","",IFERROR(IF(INDEX(tblProductos[Margen de contribución unitario],MATCH($AA46,tblProductos[SKU],0))="","PENDIENTE",INDEX(tblProductos[Margen de contribución unitario],MATCH($AA46,tblProductos[SKU],0))),"PENDIENTE"))</f>
        <v/>
      </c>
      <c r="AO46" s="60">
        <f>IF(OR($AA46="",NOT(ISNUMBER($AG46))),"",$AG46-ROW()/100000)</f>
        <v/>
      </c>
      <c r="AP46" s="60">
        <f>IF(OR($AA46="",NOT(ISNUMBER($AD46))),"",$AD46-ROW()/100000)</f>
        <v/>
      </c>
    </row>
    <row r="47">
      <c r="AA47" s="51">
        <f>IFERROR(IF(INDEX(tblProductos[SKU],ROW()-7)="","",INDEX(tblProductos[SKU],ROW()-7)),"")</f>
        <v/>
      </c>
      <c r="AB47" s="51">
        <f>IF($AA47="","",IFERROR(IF(INDEX(tblProductos[Nombre del producto],MATCH($AA47,tblProductos[SKU],0))="","",INDEX(tblProductos[Nombre del producto],MATCH($AA47,tblProductos[SKU],0))),"")&amp;IF(IFERROR(IF(INDEX(tblProductos[Presentación],MATCH($AA47,tblProductos[SKU],0))="","",INDEX(tblProductos[Presentación],MATCH($AA47,tblProductos[SKU],0))),"")="",""," · "&amp;IFERROR(IF(INDEX(tblProductos[Presentación],MATCH($AA47,tblProductos[SKU],0))="","",INDEX(tblProductos[Presentación],MATCH($AA47,tblProductos[SKU],0))),"")))</f>
        <v/>
      </c>
      <c r="AC47" s="51">
        <f>IF($AA47="","",IFERROR(IF(INDEX(tblProductos[Categoría],MATCH($AA47,tblProductos[SKU],0))="","",INDEX(tblProductos[Categoría],MATCH($AA47,tblProductos[SKU],0))),""))</f>
        <v/>
      </c>
      <c r="AD47" s="39">
        <f>IF($AA47="","",SUMIFS(tblVentas[Unidades efectivas],tblVentas[SKU],$AA47))</f>
        <v/>
      </c>
      <c r="AE47" s="37">
        <f>IF($AA47="","",SUMIFS(tblVentas[Venta neta],tblVentas[SKU],$AA47))</f>
        <v/>
      </c>
      <c r="AF47" s="37">
        <f>IF($AA47="","",SUMIFS(tblVentas[Costo total],tblVentas[SKU],$AA47))</f>
        <v/>
      </c>
      <c r="AG47" s="37">
        <f>IF($AA47="","",$AE47-$AF47)</f>
        <v/>
      </c>
      <c r="AH47" s="38">
        <f>IF(OR($AA47="",$AE47=0),"",$AG47/$AE47)</f>
        <v/>
      </c>
      <c r="AI47" s="38">
        <f>IF(OR($AA47="",SUM($AE$8:$AE$67)=0),"",$AE47/SUM($AE$8:$AE$67))</f>
        <v/>
      </c>
      <c r="AJ47" s="38">
        <f>IF(OR($AA47="",SUM($AG$8:$AG$67)=0),"",$AG47/SUM($AG$8:$AG$67))</f>
        <v/>
      </c>
      <c r="AK47" s="39">
        <f>IF(OR($AA47="",$AE47=0),"",RANK($AG47,$AG$8:$AG$67))</f>
        <v/>
      </c>
      <c r="AL47" s="39">
        <f>IF(OR($AA47="",$AD47=0),"",RANK($AD47,$AD$8:$AD$67))</f>
        <v/>
      </c>
      <c r="AM47" s="37">
        <f>IF(OR($AA47="",$AD47=0),"",$AG47/$AD47)</f>
        <v/>
      </c>
      <c r="AN47" s="37">
        <f>IF($AA47="","",IFERROR(IF(INDEX(tblProductos[Margen de contribución unitario],MATCH($AA47,tblProductos[SKU],0))="","PENDIENTE",INDEX(tblProductos[Margen de contribución unitario],MATCH($AA47,tblProductos[SKU],0))),"PENDIENTE"))</f>
        <v/>
      </c>
      <c r="AO47" s="60">
        <f>IF(OR($AA47="",NOT(ISNUMBER($AG47))),"",$AG47-ROW()/100000)</f>
        <v/>
      </c>
      <c r="AP47" s="60">
        <f>IF(OR($AA47="",NOT(ISNUMBER($AD47))),"",$AD47-ROW()/100000)</f>
        <v/>
      </c>
    </row>
    <row r="48">
      <c r="AA48" s="51">
        <f>IFERROR(IF(INDEX(tblProductos[SKU],ROW()-7)="","",INDEX(tblProductos[SKU],ROW()-7)),"")</f>
        <v/>
      </c>
      <c r="AB48" s="51">
        <f>IF($AA48="","",IFERROR(IF(INDEX(tblProductos[Nombre del producto],MATCH($AA48,tblProductos[SKU],0))="","",INDEX(tblProductos[Nombre del producto],MATCH($AA48,tblProductos[SKU],0))),"")&amp;IF(IFERROR(IF(INDEX(tblProductos[Presentación],MATCH($AA48,tblProductos[SKU],0))="","",INDEX(tblProductos[Presentación],MATCH($AA48,tblProductos[SKU],0))),"")="",""," · "&amp;IFERROR(IF(INDEX(tblProductos[Presentación],MATCH($AA48,tblProductos[SKU],0))="","",INDEX(tblProductos[Presentación],MATCH($AA48,tblProductos[SKU],0))),"")))</f>
        <v/>
      </c>
      <c r="AC48" s="51">
        <f>IF($AA48="","",IFERROR(IF(INDEX(tblProductos[Categoría],MATCH($AA48,tblProductos[SKU],0))="","",INDEX(tblProductos[Categoría],MATCH($AA48,tblProductos[SKU],0))),""))</f>
        <v/>
      </c>
      <c r="AD48" s="39">
        <f>IF($AA48="","",SUMIFS(tblVentas[Unidades efectivas],tblVentas[SKU],$AA48))</f>
        <v/>
      </c>
      <c r="AE48" s="37">
        <f>IF($AA48="","",SUMIFS(tblVentas[Venta neta],tblVentas[SKU],$AA48))</f>
        <v/>
      </c>
      <c r="AF48" s="37">
        <f>IF($AA48="","",SUMIFS(tblVentas[Costo total],tblVentas[SKU],$AA48))</f>
        <v/>
      </c>
      <c r="AG48" s="37">
        <f>IF($AA48="","",$AE48-$AF48)</f>
        <v/>
      </c>
      <c r="AH48" s="38">
        <f>IF(OR($AA48="",$AE48=0),"",$AG48/$AE48)</f>
        <v/>
      </c>
      <c r="AI48" s="38">
        <f>IF(OR($AA48="",SUM($AE$8:$AE$67)=0),"",$AE48/SUM($AE$8:$AE$67))</f>
        <v/>
      </c>
      <c r="AJ48" s="38">
        <f>IF(OR($AA48="",SUM($AG$8:$AG$67)=0),"",$AG48/SUM($AG$8:$AG$67))</f>
        <v/>
      </c>
      <c r="AK48" s="39">
        <f>IF(OR($AA48="",$AE48=0),"",RANK($AG48,$AG$8:$AG$67))</f>
        <v/>
      </c>
      <c r="AL48" s="39">
        <f>IF(OR($AA48="",$AD48=0),"",RANK($AD48,$AD$8:$AD$67))</f>
        <v/>
      </c>
      <c r="AM48" s="37">
        <f>IF(OR($AA48="",$AD48=0),"",$AG48/$AD48)</f>
        <v/>
      </c>
      <c r="AN48" s="37">
        <f>IF($AA48="","",IFERROR(IF(INDEX(tblProductos[Margen de contribución unitario],MATCH($AA48,tblProductos[SKU],0))="","PENDIENTE",INDEX(tblProductos[Margen de contribución unitario],MATCH($AA48,tblProductos[SKU],0))),"PENDIENTE"))</f>
        <v/>
      </c>
      <c r="AO48" s="60">
        <f>IF(OR($AA48="",NOT(ISNUMBER($AG48))),"",$AG48-ROW()/100000)</f>
        <v/>
      </c>
      <c r="AP48" s="60">
        <f>IF(OR($AA48="",NOT(ISNUMBER($AD48))),"",$AD48-ROW()/100000)</f>
        <v/>
      </c>
    </row>
    <row r="49">
      <c r="AA49" s="51">
        <f>IFERROR(IF(INDEX(tblProductos[SKU],ROW()-7)="","",INDEX(tblProductos[SKU],ROW()-7)),"")</f>
        <v/>
      </c>
      <c r="AB49" s="51">
        <f>IF($AA49="","",IFERROR(IF(INDEX(tblProductos[Nombre del producto],MATCH($AA49,tblProductos[SKU],0))="","",INDEX(tblProductos[Nombre del producto],MATCH($AA49,tblProductos[SKU],0))),"")&amp;IF(IFERROR(IF(INDEX(tblProductos[Presentación],MATCH($AA49,tblProductos[SKU],0))="","",INDEX(tblProductos[Presentación],MATCH($AA49,tblProductos[SKU],0))),"")="",""," · "&amp;IFERROR(IF(INDEX(tblProductos[Presentación],MATCH($AA49,tblProductos[SKU],0))="","",INDEX(tblProductos[Presentación],MATCH($AA49,tblProductos[SKU],0))),"")))</f>
        <v/>
      </c>
      <c r="AC49" s="51">
        <f>IF($AA49="","",IFERROR(IF(INDEX(tblProductos[Categoría],MATCH($AA49,tblProductos[SKU],0))="","",INDEX(tblProductos[Categoría],MATCH($AA49,tblProductos[SKU],0))),""))</f>
        <v/>
      </c>
      <c r="AD49" s="39">
        <f>IF($AA49="","",SUMIFS(tblVentas[Unidades efectivas],tblVentas[SKU],$AA49))</f>
        <v/>
      </c>
      <c r="AE49" s="37">
        <f>IF($AA49="","",SUMIFS(tblVentas[Venta neta],tblVentas[SKU],$AA49))</f>
        <v/>
      </c>
      <c r="AF49" s="37">
        <f>IF($AA49="","",SUMIFS(tblVentas[Costo total],tblVentas[SKU],$AA49))</f>
        <v/>
      </c>
      <c r="AG49" s="37">
        <f>IF($AA49="","",$AE49-$AF49)</f>
        <v/>
      </c>
      <c r="AH49" s="38">
        <f>IF(OR($AA49="",$AE49=0),"",$AG49/$AE49)</f>
        <v/>
      </c>
      <c r="AI49" s="38">
        <f>IF(OR($AA49="",SUM($AE$8:$AE$67)=0),"",$AE49/SUM($AE$8:$AE$67))</f>
        <v/>
      </c>
      <c r="AJ49" s="38">
        <f>IF(OR($AA49="",SUM($AG$8:$AG$67)=0),"",$AG49/SUM($AG$8:$AG$67))</f>
        <v/>
      </c>
      <c r="AK49" s="39">
        <f>IF(OR($AA49="",$AE49=0),"",RANK($AG49,$AG$8:$AG$67))</f>
        <v/>
      </c>
      <c r="AL49" s="39">
        <f>IF(OR($AA49="",$AD49=0),"",RANK($AD49,$AD$8:$AD$67))</f>
        <v/>
      </c>
      <c r="AM49" s="37">
        <f>IF(OR($AA49="",$AD49=0),"",$AG49/$AD49)</f>
        <v/>
      </c>
      <c r="AN49" s="37">
        <f>IF($AA49="","",IFERROR(IF(INDEX(tblProductos[Margen de contribución unitario],MATCH($AA49,tblProductos[SKU],0))="","PENDIENTE",INDEX(tblProductos[Margen de contribución unitario],MATCH($AA49,tblProductos[SKU],0))),"PENDIENTE"))</f>
        <v/>
      </c>
      <c r="AO49" s="60">
        <f>IF(OR($AA49="",NOT(ISNUMBER($AG49))),"",$AG49-ROW()/100000)</f>
        <v/>
      </c>
      <c r="AP49" s="60">
        <f>IF(OR($AA49="",NOT(ISNUMBER($AD49))),"",$AD49-ROW()/100000)</f>
        <v/>
      </c>
    </row>
    <row r="50">
      <c r="AA50" s="51">
        <f>IFERROR(IF(INDEX(tblProductos[SKU],ROW()-7)="","",INDEX(tblProductos[SKU],ROW()-7)),"")</f>
        <v/>
      </c>
      <c r="AB50" s="51">
        <f>IF($AA50="","",IFERROR(IF(INDEX(tblProductos[Nombre del producto],MATCH($AA50,tblProductos[SKU],0))="","",INDEX(tblProductos[Nombre del producto],MATCH($AA50,tblProductos[SKU],0))),"")&amp;IF(IFERROR(IF(INDEX(tblProductos[Presentación],MATCH($AA50,tblProductos[SKU],0))="","",INDEX(tblProductos[Presentación],MATCH($AA50,tblProductos[SKU],0))),"")="",""," · "&amp;IFERROR(IF(INDEX(tblProductos[Presentación],MATCH($AA50,tblProductos[SKU],0))="","",INDEX(tblProductos[Presentación],MATCH($AA50,tblProductos[SKU],0))),"")))</f>
        <v/>
      </c>
      <c r="AC50" s="51">
        <f>IF($AA50="","",IFERROR(IF(INDEX(tblProductos[Categoría],MATCH($AA50,tblProductos[SKU],0))="","",INDEX(tblProductos[Categoría],MATCH($AA50,tblProductos[SKU],0))),""))</f>
        <v/>
      </c>
      <c r="AD50" s="39">
        <f>IF($AA50="","",SUMIFS(tblVentas[Unidades efectivas],tblVentas[SKU],$AA50))</f>
        <v/>
      </c>
      <c r="AE50" s="37">
        <f>IF($AA50="","",SUMIFS(tblVentas[Venta neta],tblVentas[SKU],$AA50))</f>
        <v/>
      </c>
      <c r="AF50" s="37">
        <f>IF($AA50="","",SUMIFS(tblVentas[Costo total],tblVentas[SKU],$AA50))</f>
        <v/>
      </c>
      <c r="AG50" s="37">
        <f>IF($AA50="","",$AE50-$AF50)</f>
        <v/>
      </c>
      <c r="AH50" s="38">
        <f>IF(OR($AA50="",$AE50=0),"",$AG50/$AE50)</f>
        <v/>
      </c>
      <c r="AI50" s="38">
        <f>IF(OR($AA50="",SUM($AE$8:$AE$67)=0),"",$AE50/SUM($AE$8:$AE$67))</f>
        <v/>
      </c>
      <c r="AJ50" s="38">
        <f>IF(OR($AA50="",SUM($AG$8:$AG$67)=0),"",$AG50/SUM($AG$8:$AG$67))</f>
        <v/>
      </c>
      <c r="AK50" s="39">
        <f>IF(OR($AA50="",$AE50=0),"",RANK($AG50,$AG$8:$AG$67))</f>
        <v/>
      </c>
      <c r="AL50" s="39">
        <f>IF(OR($AA50="",$AD50=0),"",RANK($AD50,$AD$8:$AD$67))</f>
        <v/>
      </c>
      <c r="AM50" s="37">
        <f>IF(OR($AA50="",$AD50=0),"",$AG50/$AD50)</f>
        <v/>
      </c>
      <c r="AN50" s="37">
        <f>IF($AA50="","",IFERROR(IF(INDEX(tblProductos[Margen de contribución unitario],MATCH($AA50,tblProductos[SKU],0))="","PENDIENTE",INDEX(tblProductos[Margen de contribución unitario],MATCH($AA50,tblProductos[SKU],0))),"PENDIENTE"))</f>
        <v/>
      </c>
      <c r="AO50" s="60">
        <f>IF(OR($AA50="",NOT(ISNUMBER($AG50))),"",$AG50-ROW()/100000)</f>
        <v/>
      </c>
      <c r="AP50" s="60">
        <f>IF(OR($AA50="",NOT(ISNUMBER($AD50))),"",$AD50-ROW()/100000)</f>
        <v/>
      </c>
    </row>
    <row r="51">
      <c r="AA51" s="51">
        <f>IFERROR(IF(INDEX(tblProductos[SKU],ROW()-7)="","",INDEX(tblProductos[SKU],ROW()-7)),"")</f>
        <v/>
      </c>
      <c r="AB51" s="51">
        <f>IF($AA51="","",IFERROR(IF(INDEX(tblProductos[Nombre del producto],MATCH($AA51,tblProductos[SKU],0))="","",INDEX(tblProductos[Nombre del producto],MATCH($AA51,tblProductos[SKU],0))),"")&amp;IF(IFERROR(IF(INDEX(tblProductos[Presentación],MATCH($AA51,tblProductos[SKU],0))="","",INDEX(tblProductos[Presentación],MATCH($AA51,tblProductos[SKU],0))),"")="",""," · "&amp;IFERROR(IF(INDEX(tblProductos[Presentación],MATCH($AA51,tblProductos[SKU],0))="","",INDEX(tblProductos[Presentación],MATCH($AA51,tblProductos[SKU],0))),"")))</f>
        <v/>
      </c>
      <c r="AC51" s="51">
        <f>IF($AA51="","",IFERROR(IF(INDEX(tblProductos[Categoría],MATCH($AA51,tblProductos[SKU],0))="","",INDEX(tblProductos[Categoría],MATCH($AA51,tblProductos[SKU],0))),""))</f>
        <v/>
      </c>
      <c r="AD51" s="39">
        <f>IF($AA51="","",SUMIFS(tblVentas[Unidades efectivas],tblVentas[SKU],$AA51))</f>
        <v/>
      </c>
      <c r="AE51" s="37">
        <f>IF($AA51="","",SUMIFS(tblVentas[Venta neta],tblVentas[SKU],$AA51))</f>
        <v/>
      </c>
      <c r="AF51" s="37">
        <f>IF($AA51="","",SUMIFS(tblVentas[Costo total],tblVentas[SKU],$AA51))</f>
        <v/>
      </c>
      <c r="AG51" s="37">
        <f>IF($AA51="","",$AE51-$AF51)</f>
        <v/>
      </c>
      <c r="AH51" s="38">
        <f>IF(OR($AA51="",$AE51=0),"",$AG51/$AE51)</f>
        <v/>
      </c>
      <c r="AI51" s="38">
        <f>IF(OR($AA51="",SUM($AE$8:$AE$67)=0),"",$AE51/SUM($AE$8:$AE$67))</f>
        <v/>
      </c>
      <c r="AJ51" s="38">
        <f>IF(OR($AA51="",SUM($AG$8:$AG$67)=0),"",$AG51/SUM($AG$8:$AG$67))</f>
        <v/>
      </c>
      <c r="AK51" s="39">
        <f>IF(OR($AA51="",$AE51=0),"",RANK($AG51,$AG$8:$AG$67))</f>
        <v/>
      </c>
      <c r="AL51" s="39">
        <f>IF(OR($AA51="",$AD51=0),"",RANK($AD51,$AD$8:$AD$67))</f>
        <v/>
      </c>
      <c r="AM51" s="37">
        <f>IF(OR($AA51="",$AD51=0),"",$AG51/$AD51)</f>
        <v/>
      </c>
      <c r="AN51" s="37">
        <f>IF($AA51="","",IFERROR(IF(INDEX(tblProductos[Margen de contribución unitario],MATCH($AA51,tblProductos[SKU],0))="","PENDIENTE",INDEX(tblProductos[Margen de contribución unitario],MATCH($AA51,tblProductos[SKU],0))),"PENDIENTE"))</f>
        <v/>
      </c>
      <c r="AO51" s="60">
        <f>IF(OR($AA51="",NOT(ISNUMBER($AG51))),"",$AG51-ROW()/100000)</f>
        <v/>
      </c>
      <c r="AP51" s="60">
        <f>IF(OR($AA51="",NOT(ISNUMBER($AD51))),"",$AD51-ROW()/100000)</f>
        <v/>
      </c>
    </row>
    <row r="52">
      <c r="AA52" s="51">
        <f>IFERROR(IF(INDEX(tblProductos[SKU],ROW()-7)="","",INDEX(tblProductos[SKU],ROW()-7)),"")</f>
        <v/>
      </c>
      <c r="AB52" s="51">
        <f>IF($AA52="","",IFERROR(IF(INDEX(tblProductos[Nombre del producto],MATCH($AA52,tblProductos[SKU],0))="","",INDEX(tblProductos[Nombre del producto],MATCH($AA52,tblProductos[SKU],0))),"")&amp;IF(IFERROR(IF(INDEX(tblProductos[Presentación],MATCH($AA52,tblProductos[SKU],0))="","",INDEX(tblProductos[Presentación],MATCH($AA52,tblProductos[SKU],0))),"")="",""," · "&amp;IFERROR(IF(INDEX(tblProductos[Presentación],MATCH($AA52,tblProductos[SKU],0))="","",INDEX(tblProductos[Presentación],MATCH($AA52,tblProductos[SKU],0))),"")))</f>
        <v/>
      </c>
      <c r="AC52" s="51">
        <f>IF($AA52="","",IFERROR(IF(INDEX(tblProductos[Categoría],MATCH($AA52,tblProductos[SKU],0))="","",INDEX(tblProductos[Categoría],MATCH($AA52,tblProductos[SKU],0))),""))</f>
        <v/>
      </c>
      <c r="AD52" s="39">
        <f>IF($AA52="","",SUMIFS(tblVentas[Unidades efectivas],tblVentas[SKU],$AA52))</f>
        <v/>
      </c>
      <c r="AE52" s="37">
        <f>IF($AA52="","",SUMIFS(tblVentas[Venta neta],tblVentas[SKU],$AA52))</f>
        <v/>
      </c>
      <c r="AF52" s="37">
        <f>IF($AA52="","",SUMIFS(tblVentas[Costo total],tblVentas[SKU],$AA52))</f>
        <v/>
      </c>
      <c r="AG52" s="37">
        <f>IF($AA52="","",$AE52-$AF52)</f>
        <v/>
      </c>
      <c r="AH52" s="38">
        <f>IF(OR($AA52="",$AE52=0),"",$AG52/$AE52)</f>
        <v/>
      </c>
      <c r="AI52" s="38">
        <f>IF(OR($AA52="",SUM($AE$8:$AE$67)=0),"",$AE52/SUM($AE$8:$AE$67))</f>
        <v/>
      </c>
      <c r="AJ52" s="38">
        <f>IF(OR($AA52="",SUM($AG$8:$AG$67)=0),"",$AG52/SUM($AG$8:$AG$67))</f>
        <v/>
      </c>
      <c r="AK52" s="39">
        <f>IF(OR($AA52="",$AE52=0),"",RANK($AG52,$AG$8:$AG$67))</f>
        <v/>
      </c>
      <c r="AL52" s="39">
        <f>IF(OR($AA52="",$AD52=0),"",RANK($AD52,$AD$8:$AD$67))</f>
        <v/>
      </c>
      <c r="AM52" s="37">
        <f>IF(OR($AA52="",$AD52=0),"",$AG52/$AD52)</f>
        <v/>
      </c>
      <c r="AN52" s="37">
        <f>IF($AA52="","",IFERROR(IF(INDEX(tblProductos[Margen de contribución unitario],MATCH($AA52,tblProductos[SKU],0))="","PENDIENTE",INDEX(tblProductos[Margen de contribución unitario],MATCH($AA52,tblProductos[SKU],0))),"PENDIENTE"))</f>
        <v/>
      </c>
      <c r="AO52" s="60">
        <f>IF(OR($AA52="",NOT(ISNUMBER($AG52))),"",$AG52-ROW()/100000)</f>
        <v/>
      </c>
      <c r="AP52" s="60">
        <f>IF(OR($AA52="",NOT(ISNUMBER($AD52))),"",$AD52-ROW()/100000)</f>
        <v/>
      </c>
    </row>
    <row r="53">
      <c r="AA53" s="51">
        <f>IFERROR(IF(INDEX(tblProductos[SKU],ROW()-7)="","",INDEX(tblProductos[SKU],ROW()-7)),"")</f>
        <v/>
      </c>
      <c r="AB53" s="51">
        <f>IF($AA53="","",IFERROR(IF(INDEX(tblProductos[Nombre del producto],MATCH($AA53,tblProductos[SKU],0))="","",INDEX(tblProductos[Nombre del producto],MATCH($AA53,tblProductos[SKU],0))),"")&amp;IF(IFERROR(IF(INDEX(tblProductos[Presentación],MATCH($AA53,tblProductos[SKU],0))="","",INDEX(tblProductos[Presentación],MATCH($AA53,tblProductos[SKU],0))),"")="",""," · "&amp;IFERROR(IF(INDEX(tblProductos[Presentación],MATCH($AA53,tblProductos[SKU],0))="","",INDEX(tblProductos[Presentación],MATCH($AA53,tblProductos[SKU],0))),"")))</f>
        <v/>
      </c>
      <c r="AC53" s="51">
        <f>IF($AA53="","",IFERROR(IF(INDEX(tblProductos[Categoría],MATCH($AA53,tblProductos[SKU],0))="","",INDEX(tblProductos[Categoría],MATCH($AA53,tblProductos[SKU],0))),""))</f>
        <v/>
      </c>
      <c r="AD53" s="39">
        <f>IF($AA53="","",SUMIFS(tblVentas[Unidades efectivas],tblVentas[SKU],$AA53))</f>
        <v/>
      </c>
      <c r="AE53" s="37">
        <f>IF($AA53="","",SUMIFS(tblVentas[Venta neta],tblVentas[SKU],$AA53))</f>
        <v/>
      </c>
      <c r="AF53" s="37">
        <f>IF($AA53="","",SUMIFS(tblVentas[Costo total],tblVentas[SKU],$AA53))</f>
        <v/>
      </c>
      <c r="AG53" s="37">
        <f>IF($AA53="","",$AE53-$AF53)</f>
        <v/>
      </c>
      <c r="AH53" s="38">
        <f>IF(OR($AA53="",$AE53=0),"",$AG53/$AE53)</f>
        <v/>
      </c>
      <c r="AI53" s="38">
        <f>IF(OR($AA53="",SUM($AE$8:$AE$67)=0),"",$AE53/SUM($AE$8:$AE$67))</f>
        <v/>
      </c>
      <c r="AJ53" s="38">
        <f>IF(OR($AA53="",SUM($AG$8:$AG$67)=0),"",$AG53/SUM($AG$8:$AG$67))</f>
        <v/>
      </c>
      <c r="AK53" s="39">
        <f>IF(OR($AA53="",$AE53=0),"",RANK($AG53,$AG$8:$AG$67))</f>
        <v/>
      </c>
      <c r="AL53" s="39">
        <f>IF(OR($AA53="",$AD53=0),"",RANK($AD53,$AD$8:$AD$67))</f>
        <v/>
      </c>
      <c r="AM53" s="37">
        <f>IF(OR($AA53="",$AD53=0),"",$AG53/$AD53)</f>
        <v/>
      </c>
      <c r="AN53" s="37">
        <f>IF($AA53="","",IFERROR(IF(INDEX(tblProductos[Margen de contribución unitario],MATCH($AA53,tblProductos[SKU],0))="","PENDIENTE",INDEX(tblProductos[Margen de contribución unitario],MATCH($AA53,tblProductos[SKU],0))),"PENDIENTE"))</f>
        <v/>
      </c>
      <c r="AO53" s="60">
        <f>IF(OR($AA53="",NOT(ISNUMBER($AG53))),"",$AG53-ROW()/100000)</f>
        <v/>
      </c>
      <c r="AP53" s="60">
        <f>IF(OR($AA53="",NOT(ISNUMBER($AD53))),"",$AD53-ROW()/100000)</f>
        <v/>
      </c>
    </row>
    <row r="54">
      <c r="AA54" s="51">
        <f>IFERROR(IF(INDEX(tblProductos[SKU],ROW()-7)="","",INDEX(tblProductos[SKU],ROW()-7)),"")</f>
        <v/>
      </c>
      <c r="AB54" s="51">
        <f>IF($AA54="","",IFERROR(IF(INDEX(tblProductos[Nombre del producto],MATCH($AA54,tblProductos[SKU],0))="","",INDEX(tblProductos[Nombre del producto],MATCH($AA54,tblProductos[SKU],0))),"")&amp;IF(IFERROR(IF(INDEX(tblProductos[Presentación],MATCH($AA54,tblProductos[SKU],0))="","",INDEX(tblProductos[Presentación],MATCH($AA54,tblProductos[SKU],0))),"")="",""," · "&amp;IFERROR(IF(INDEX(tblProductos[Presentación],MATCH($AA54,tblProductos[SKU],0))="","",INDEX(tblProductos[Presentación],MATCH($AA54,tblProductos[SKU],0))),"")))</f>
        <v/>
      </c>
      <c r="AC54" s="51">
        <f>IF($AA54="","",IFERROR(IF(INDEX(tblProductos[Categoría],MATCH($AA54,tblProductos[SKU],0))="","",INDEX(tblProductos[Categoría],MATCH($AA54,tblProductos[SKU],0))),""))</f>
        <v/>
      </c>
      <c r="AD54" s="39">
        <f>IF($AA54="","",SUMIFS(tblVentas[Unidades efectivas],tblVentas[SKU],$AA54))</f>
        <v/>
      </c>
      <c r="AE54" s="37">
        <f>IF($AA54="","",SUMIFS(tblVentas[Venta neta],tblVentas[SKU],$AA54))</f>
        <v/>
      </c>
      <c r="AF54" s="37">
        <f>IF($AA54="","",SUMIFS(tblVentas[Costo total],tblVentas[SKU],$AA54))</f>
        <v/>
      </c>
      <c r="AG54" s="37">
        <f>IF($AA54="","",$AE54-$AF54)</f>
        <v/>
      </c>
      <c r="AH54" s="38">
        <f>IF(OR($AA54="",$AE54=0),"",$AG54/$AE54)</f>
        <v/>
      </c>
      <c r="AI54" s="38">
        <f>IF(OR($AA54="",SUM($AE$8:$AE$67)=0),"",$AE54/SUM($AE$8:$AE$67))</f>
        <v/>
      </c>
      <c r="AJ54" s="38">
        <f>IF(OR($AA54="",SUM($AG$8:$AG$67)=0),"",$AG54/SUM($AG$8:$AG$67))</f>
        <v/>
      </c>
      <c r="AK54" s="39">
        <f>IF(OR($AA54="",$AE54=0),"",RANK($AG54,$AG$8:$AG$67))</f>
        <v/>
      </c>
      <c r="AL54" s="39">
        <f>IF(OR($AA54="",$AD54=0),"",RANK($AD54,$AD$8:$AD$67))</f>
        <v/>
      </c>
      <c r="AM54" s="37">
        <f>IF(OR($AA54="",$AD54=0),"",$AG54/$AD54)</f>
        <v/>
      </c>
      <c r="AN54" s="37">
        <f>IF($AA54="","",IFERROR(IF(INDEX(tblProductos[Margen de contribución unitario],MATCH($AA54,tblProductos[SKU],0))="","PENDIENTE",INDEX(tblProductos[Margen de contribución unitario],MATCH($AA54,tblProductos[SKU],0))),"PENDIENTE"))</f>
        <v/>
      </c>
      <c r="AO54" s="60">
        <f>IF(OR($AA54="",NOT(ISNUMBER($AG54))),"",$AG54-ROW()/100000)</f>
        <v/>
      </c>
      <c r="AP54" s="60">
        <f>IF(OR($AA54="",NOT(ISNUMBER($AD54))),"",$AD54-ROW()/100000)</f>
        <v/>
      </c>
    </row>
    <row r="55">
      <c r="AA55" s="51">
        <f>IFERROR(IF(INDEX(tblProductos[SKU],ROW()-7)="","",INDEX(tblProductos[SKU],ROW()-7)),"")</f>
        <v/>
      </c>
      <c r="AB55" s="51">
        <f>IF($AA55="","",IFERROR(IF(INDEX(tblProductos[Nombre del producto],MATCH($AA55,tblProductos[SKU],0))="","",INDEX(tblProductos[Nombre del producto],MATCH($AA55,tblProductos[SKU],0))),"")&amp;IF(IFERROR(IF(INDEX(tblProductos[Presentación],MATCH($AA55,tblProductos[SKU],0))="","",INDEX(tblProductos[Presentación],MATCH($AA55,tblProductos[SKU],0))),"")="",""," · "&amp;IFERROR(IF(INDEX(tblProductos[Presentación],MATCH($AA55,tblProductos[SKU],0))="","",INDEX(tblProductos[Presentación],MATCH($AA55,tblProductos[SKU],0))),"")))</f>
        <v/>
      </c>
      <c r="AC55" s="51">
        <f>IF($AA55="","",IFERROR(IF(INDEX(tblProductos[Categoría],MATCH($AA55,tblProductos[SKU],0))="","",INDEX(tblProductos[Categoría],MATCH($AA55,tblProductos[SKU],0))),""))</f>
        <v/>
      </c>
      <c r="AD55" s="39">
        <f>IF($AA55="","",SUMIFS(tblVentas[Unidades efectivas],tblVentas[SKU],$AA55))</f>
        <v/>
      </c>
      <c r="AE55" s="37">
        <f>IF($AA55="","",SUMIFS(tblVentas[Venta neta],tblVentas[SKU],$AA55))</f>
        <v/>
      </c>
      <c r="AF55" s="37">
        <f>IF($AA55="","",SUMIFS(tblVentas[Costo total],tblVentas[SKU],$AA55))</f>
        <v/>
      </c>
      <c r="AG55" s="37">
        <f>IF($AA55="","",$AE55-$AF55)</f>
        <v/>
      </c>
      <c r="AH55" s="38">
        <f>IF(OR($AA55="",$AE55=0),"",$AG55/$AE55)</f>
        <v/>
      </c>
      <c r="AI55" s="38">
        <f>IF(OR($AA55="",SUM($AE$8:$AE$67)=0),"",$AE55/SUM($AE$8:$AE$67))</f>
        <v/>
      </c>
      <c r="AJ55" s="38">
        <f>IF(OR($AA55="",SUM($AG$8:$AG$67)=0),"",$AG55/SUM($AG$8:$AG$67))</f>
        <v/>
      </c>
      <c r="AK55" s="39">
        <f>IF(OR($AA55="",$AE55=0),"",RANK($AG55,$AG$8:$AG$67))</f>
        <v/>
      </c>
      <c r="AL55" s="39">
        <f>IF(OR($AA55="",$AD55=0),"",RANK($AD55,$AD$8:$AD$67))</f>
        <v/>
      </c>
      <c r="AM55" s="37">
        <f>IF(OR($AA55="",$AD55=0),"",$AG55/$AD55)</f>
        <v/>
      </c>
      <c r="AN55" s="37">
        <f>IF($AA55="","",IFERROR(IF(INDEX(tblProductos[Margen de contribución unitario],MATCH($AA55,tblProductos[SKU],0))="","PENDIENTE",INDEX(tblProductos[Margen de contribución unitario],MATCH($AA55,tblProductos[SKU],0))),"PENDIENTE"))</f>
        <v/>
      </c>
      <c r="AO55" s="60">
        <f>IF(OR($AA55="",NOT(ISNUMBER($AG55))),"",$AG55-ROW()/100000)</f>
        <v/>
      </c>
      <c r="AP55" s="60">
        <f>IF(OR($AA55="",NOT(ISNUMBER($AD55))),"",$AD55-ROW()/100000)</f>
        <v/>
      </c>
    </row>
    <row r="56">
      <c r="AA56" s="51">
        <f>IFERROR(IF(INDEX(tblProductos[SKU],ROW()-7)="","",INDEX(tblProductos[SKU],ROW()-7)),"")</f>
        <v/>
      </c>
      <c r="AB56" s="51">
        <f>IF($AA56="","",IFERROR(IF(INDEX(tblProductos[Nombre del producto],MATCH($AA56,tblProductos[SKU],0))="","",INDEX(tblProductos[Nombre del producto],MATCH($AA56,tblProductos[SKU],0))),"")&amp;IF(IFERROR(IF(INDEX(tblProductos[Presentación],MATCH($AA56,tblProductos[SKU],0))="","",INDEX(tblProductos[Presentación],MATCH($AA56,tblProductos[SKU],0))),"")="",""," · "&amp;IFERROR(IF(INDEX(tblProductos[Presentación],MATCH($AA56,tblProductos[SKU],0))="","",INDEX(tblProductos[Presentación],MATCH($AA56,tblProductos[SKU],0))),"")))</f>
        <v/>
      </c>
      <c r="AC56" s="51">
        <f>IF($AA56="","",IFERROR(IF(INDEX(tblProductos[Categoría],MATCH($AA56,tblProductos[SKU],0))="","",INDEX(tblProductos[Categoría],MATCH($AA56,tblProductos[SKU],0))),""))</f>
        <v/>
      </c>
      <c r="AD56" s="39">
        <f>IF($AA56="","",SUMIFS(tblVentas[Unidades efectivas],tblVentas[SKU],$AA56))</f>
        <v/>
      </c>
      <c r="AE56" s="37">
        <f>IF($AA56="","",SUMIFS(tblVentas[Venta neta],tblVentas[SKU],$AA56))</f>
        <v/>
      </c>
      <c r="AF56" s="37">
        <f>IF($AA56="","",SUMIFS(tblVentas[Costo total],tblVentas[SKU],$AA56))</f>
        <v/>
      </c>
      <c r="AG56" s="37">
        <f>IF($AA56="","",$AE56-$AF56)</f>
        <v/>
      </c>
      <c r="AH56" s="38">
        <f>IF(OR($AA56="",$AE56=0),"",$AG56/$AE56)</f>
        <v/>
      </c>
      <c r="AI56" s="38">
        <f>IF(OR($AA56="",SUM($AE$8:$AE$67)=0),"",$AE56/SUM($AE$8:$AE$67))</f>
        <v/>
      </c>
      <c r="AJ56" s="38">
        <f>IF(OR($AA56="",SUM($AG$8:$AG$67)=0),"",$AG56/SUM($AG$8:$AG$67))</f>
        <v/>
      </c>
      <c r="AK56" s="39">
        <f>IF(OR($AA56="",$AE56=0),"",RANK($AG56,$AG$8:$AG$67))</f>
        <v/>
      </c>
      <c r="AL56" s="39">
        <f>IF(OR($AA56="",$AD56=0),"",RANK($AD56,$AD$8:$AD$67))</f>
        <v/>
      </c>
      <c r="AM56" s="37">
        <f>IF(OR($AA56="",$AD56=0),"",$AG56/$AD56)</f>
        <v/>
      </c>
      <c r="AN56" s="37">
        <f>IF($AA56="","",IFERROR(IF(INDEX(tblProductos[Margen de contribución unitario],MATCH($AA56,tblProductos[SKU],0))="","PENDIENTE",INDEX(tblProductos[Margen de contribución unitario],MATCH($AA56,tblProductos[SKU],0))),"PENDIENTE"))</f>
        <v/>
      </c>
      <c r="AO56" s="60">
        <f>IF(OR($AA56="",NOT(ISNUMBER($AG56))),"",$AG56-ROW()/100000)</f>
        <v/>
      </c>
      <c r="AP56" s="60">
        <f>IF(OR($AA56="",NOT(ISNUMBER($AD56))),"",$AD56-ROW()/100000)</f>
        <v/>
      </c>
    </row>
    <row r="57">
      <c r="AA57" s="51">
        <f>IFERROR(IF(INDEX(tblProductos[SKU],ROW()-7)="","",INDEX(tblProductos[SKU],ROW()-7)),"")</f>
        <v/>
      </c>
      <c r="AB57" s="51">
        <f>IF($AA57="","",IFERROR(IF(INDEX(tblProductos[Nombre del producto],MATCH($AA57,tblProductos[SKU],0))="","",INDEX(tblProductos[Nombre del producto],MATCH($AA57,tblProductos[SKU],0))),"")&amp;IF(IFERROR(IF(INDEX(tblProductos[Presentación],MATCH($AA57,tblProductos[SKU],0))="","",INDEX(tblProductos[Presentación],MATCH($AA57,tblProductos[SKU],0))),"")="",""," · "&amp;IFERROR(IF(INDEX(tblProductos[Presentación],MATCH($AA57,tblProductos[SKU],0))="","",INDEX(tblProductos[Presentación],MATCH($AA57,tblProductos[SKU],0))),"")))</f>
        <v/>
      </c>
      <c r="AC57" s="51">
        <f>IF($AA57="","",IFERROR(IF(INDEX(tblProductos[Categoría],MATCH($AA57,tblProductos[SKU],0))="","",INDEX(tblProductos[Categoría],MATCH($AA57,tblProductos[SKU],0))),""))</f>
        <v/>
      </c>
      <c r="AD57" s="39">
        <f>IF($AA57="","",SUMIFS(tblVentas[Unidades efectivas],tblVentas[SKU],$AA57))</f>
        <v/>
      </c>
      <c r="AE57" s="37">
        <f>IF($AA57="","",SUMIFS(tblVentas[Venta neta],tblVentas[SKU],$AA57))</f>
        <v/>
      </c>
      <c r="AF57" s="37">
        <f>IF($AA57="","",SUMIFS(tblVentas[Costo total],tblVentas[SKU],$AA57))</f>
        <v/>
      </c>
      <c r="AG57" s="37">
        <f>IF($AA57="","",$AE57-$AF57)</f>
        <v/>
      </c>
      <c r="AH57" s="38">
        <f>IF(OR($AA57="",$AE57=0),"",$AG57/$AE57)</f>
        <v/>
      </c>
      <c r="AI57" s="38">
        <f>IF(OR($AA57="",SUM($AE$8:$AE$67)=0),"",$AE57/SUM($AE$8:$AE$67))</f>
        <v/>
      </c>
      <c r="AJ57" s="38">
        <f>IF(OR($AA57="",SUM($AG$8:$AG$67)=0),"",$AG57/SUM($AG$8:$AG$67))</f>
        <v/>
      </c>
      <c r="AK57" s="39">
        <f>IF(OR($AA57="",$AE57=0),"",RANK($AG57,$AG$8:$AG$67))</f>
        <v/>
      </c>
      <c r="AL57" s="39">
        <f>IF(OR($AA57="",$AD57=0),"",RANK($AD57,$AD$8:$AD$67))</f>
        <v/>
      </c>
      <c r="AM57" s="37">
        <f>IF(OR($AA57="",$AD57=0),"",$AG57/$AD57)</f>
        <v/>
      </c>
      <c r="AN57" s="37">
        <f>IF($AA57="","",IFERROR(IF(INDEX(tblProductos[Margen de contribución unitario],MATCH($AA57,tblProductos[SKU],0))="","PENDIENTE",INDEX(tblProductos[Margen de contribución unitario],MATCH($AA57,tblProductos[SKU],0))),"PENDIENTE"))</f>
        <v/>
      </c>
      <c r="AO57" s="60">
        <f>IF(OR($AA57="",NOT(ISNUMBER($AG57))),"",$AG57-ROW()/100000)</f>
        <v/>
      </c>
      <c r="AP57" s="60">
        <f>IF(OR($AA57="",NOT(ISNUMBER($AD57))),"",$AD57-ROW()/100000)</f>
        <v/>
      </c>
    </row>
    <row r="58">
      <c r="AA58" s="51">
        <f>IFERROR(IF(INDEX(tblProductos[SKU],ROW()-7)="","",INDEX(tblProductos[SKU],ROW()-7)),"")</f>
        <v/>
      </c>
      <c r="AB58" s="51">
        <f>IF($AA58="","",IFERROR(IF(INDEX(tblProductos[Nombre del producto],MATCH($AA58,tblProductos[SKU],0))="","",INDEX(tblProductos[Nombre del producto],MATCH($AA58,tblProductos[SKU],0))),"")&amp;IF(IFERROR(IF(INDEX(tblProductos[Presentación],MATCH($AA58,tblProductos[SKU],0))="","",INDEX(tblProductos[Presentación],MATCH($AA58,tblProductos[SKU],0))),"")="",""," · "&amp;IFERROR(IF(INDEX(tblProductos[Presentación],MATCH($AA58,tblProductos[SKU],0))="","",INDEX(tblProductos[Presentación],MATCH($AA58,tblProductos[SKU],0))),"")))</f>
        <v/>
      </c>
      <c r="AC58" s="51">
        <f>IF($AA58="","",IFERROR(IF(INDEX(tblProductos[Categoría],MATCH($AA58,tblProductos[SKU],0))="","",INDEX(tblProductos[Categoría],MATCH($AA58,tblProductos[SKU],0))),""))</f>
        <v/>
      </c>
      <c r="AD58" s="39">
        <f>IF($AA58="","",SUMIFS(tblVentas[Unidades efectivas],tblVentas[SKU],$AA58))</f>
        <v/>
      </c>
      <c r="AE58" s="37">
        <f>IF($AA58="","",SUMIFS(tblVentas[Venta neta],tblVentas[SKU],$AA58))</f>
        <v/>
      </c>
      <c r="AF58" s="37">
        <f>IF($AA58="","",SUMIFS(tblVentas[Costo total],tblVentas[SKU],$AA58))</f>
        <v/>
      </c>
      <c r="AG58" s="37">
        <f>IF($AA58="","",$AE58-$AF58)</f>
        <v/>
      </c>
      <c r="AH58" s="38">
        <f>IF(OR($AA58="",$AE58=0),"",$AG58/$AE58)</f>
        <v/>
      </c>
      <c r="AI58" s="38">
        <f>IF(OR($AA58="",SUM($AE$8:$AE$67)=0),"",$AE58/SUM($AE$8:$AE$67))</f>
        <v/>
      </c>
      <c r="AJ58" s="38">
        <f>IF(OR($AA58="",SUM($AG$8:$AG$67)=0),"",$AG58/SUM($AG$8:$AG$67))</f>
        <v/>
      </c>
      <c r="AK58" s="39">
        <f>IF(OR($AA58="",$AE58=0),"",RANK($AG58,$AG$8:$AG$67))</f>
        <v/>
      </c>
      <c r="AL58" s="39">
        <f>IF(OR($AA58="",$AD58=0),"",RANK($AD58,$AD$8:$AD$67))</f>
        <v/>
      </c>
      <c r="AM58" s="37">
        <f>IF(OR($AA58="",$AD58=0),"",$AG58/$AD58)</f>
        <v/>
      </c>
      <c r="AN58" s="37">
        <f>IF($AA58="","",IFERROR(IF(INDEX(tblProductos[Margen de contribución unitario],MATCH($AA58,tblProductos[SKU],0))="","PENDIENTE",INDEX(tblProductos[Margen de contribución unitario],MATCH($AA58,tblProductos[SKU],0))),"PENDIENTE"))</f>
        <v/>
      </c>
      <c r="AO58" s="60">
        <f>IF(OR($AA58="",NOT(ISNUMBER($AG58))),"",$AG58-ROW()/100000)</f>
        <v/>
      </c>
      <c r="AP58" s="60">
        <f>IF(OR($AA58="",NOT(ISNUMBER($AD58))),"",$AD58-ROW()/100000)</f>
        <v/>
      </c>
    </row>
    <row r="59">
      <c r="AA59" s="51">
        <f>IFERROR(IF(INDEX(tblProductos[SKU],ROW()-7)="","",INDEX(tblProductos[SKU],ROW()-7)),"")</f>
        <v/>
      </c>
      <c r="AB59" s="51">
        <f>IF($AA59="","",IFERROR(IF(INDEX(tblProductos[Nombre del producto],MATCH($AA59,tblProductos[SKU],0))="","",INDEX(tblProductos[Nombre del producto],MATCH($AA59,tblProductos[SKU],0))),"")&amp;IF(IFERROR(IF(INDEX(tblProductos[Presentación],MATCH($AA59,tblProductos[SKU],0))="","",INDEX(tblProductos[Presentación],MATCH($AA59,tblProductos[SKU],0))),"")="",""," · "&amp;IFERROR(IF(INDEX(tblProductos[Presentación],MATCH($AA59,tblProductos[SKU],0))="","",INDEX(tblProductos[Presentación],MATCH($AA59,tblProductos[SKU],0))),"")))</f>
        <v/>
      </c>
      <c r="AC59" s="51">
        <f>IF($AA59="","",IFERROR(IF(INDEX(tblProductos[Categoría],MATCH($AA59,tblProductos[SKU],0))="","",INDEX(tblProductos[Categoría],MATCH($AA59,tblProductos[SKU],0))),""))</f>
        <v/>
      </c>
      <c r="AD59" s="39">
        <f>IF($AA59="","",SUMIFS(tblVentas[Unidades efectivas],tblVentas[SKU],$AA59))</f>
        <v/>
      </c>
      <c r="AE59" s="37">
        <f>IF($AA59="","",SUMIFS(tblVentas[Venta neta],tblVentas[SKU],$AA59))</f>
        <v/>
      </c>
      <c r="AF59" s="37">
        <f>IF($AA59="","",SUMIFS(tblVentas[Costo total],tblVentas[SKU],$AA59))</f>
        <v/>
      </c>
      <c r="AG59" s="37">
        <f>IF($AA59="","",$AE59-$AF59)</f>
        <v/>
      </c>
      <c r="AH59" s="38">
        <f>IF(OR($AA59="",$AE59=0),"",$AG59/$AE59)</f>
        <v/>
      </c>
      <c r="AI59" s="38">
        <f>IF(OR($AA59="",SUM($AE$8:$AE$67)=0),"",$AE59/SUM($AE$8:$AE$67))</f>
        <v/>
      </c>
      <c r="AJ59" s="38">
        <f>IF(OR($AA59="",SUM($AG$8:$AG$67)=0),"",$AG59/SUM($AG$8:$AG$67))</f>
        <v/>
      </c>
      <c r="AK59" s="39">
        <f>IF(OR($AA59="",$AE59=0),"",RANK($AG59,$AG$8:$AG$67))</f>
        <v/>
      </c>
      <c r="AL59" s="39">
        <f>IF(OR($AA59="",$AD59=0),"",RANK($AD59,$AD$8:$AD$67))</f>
        <v/>
      </c>
      <c r="AM59" s="37">
        <f>IF(OR($AA59="",$AD59=0),"",$AG59/$AD59)</f>
        <v/>
      </c>
      <c r="AN59" s="37">
        <f>IF($AA59="","",IFERROR(IF(INDEX(tblProductos[Margen de contribución unitario],MATCH($AA59,tblProductos[SKU],0))="","PENDIENTE",INDEX(tblProductos[Margen de contribución unitario],MATCH($AA59,tblProductos[SKU],0))),"PENDIENTE"))</f>
        <v/>
      </c>
      <c r="AO59" s="60">
        <f>IF(OR($AA59="",NOT(ISNUMBER($AG59))),"",$AG59-ROW()/100000)</f>
        <v/>
      </c>
      <c r="AP59" s="60">
        <f>IF(OR($AA59="",NOT(ISNUMBER($AD59))),"",$AD59-ROW()/100000)</f>
        <v/>
      </c>
    </row>
    <row r="60">
      <c r="AA60" s="51">
        <f>IFERROR(IF(INDEX(tblProductos[SKU],ROW()-7)="","",INDEX(tblProductos[SKU],ROW()-7)),"")</f>
        <v/>
      </c>
      <c r="AB60" s="51">
        <f>IF($AA60="","",IFERROR(IF(INDEX(tblProductos[Nombre del producto],MATCH($AA60,tblProductos[SKU],0))="","",INDEX(tblProductos[Nombre del producto],MATCH($AA60,tblProductos[SKU],0))),"")&amp;IF(IFERROR(IF(INDEX(tblProductos[Presentación],MATCH($AA60,tblProductos[SKU],0))="","",INDEX(tblProductos[Presentación],MATCH($AA60,tblProductos[SKU],0))),"")="",""," · "&amp;IFERROR(IF(INDEX(tblProductos[Presentación],MATCH($AA60,tblProductos[SKU],0))="","",INDEX(tblProductos[Presentación],MATCH($AA60,tblProductos[SKU],0))),"")))</f>
        <v/>
      </c>
      <c r="AC60" s="51">
        <f>IF($AA60="","",IFERROR(IF(INDEX(tblProductos[Categoría],MATCH($AA60,tblProductos[SKU],0))="","",INDEX(tblProductos[Categoría],MATCH($AA60,tblProductos[SKU],0))),""))</f>
        <v/>
      </c>
      <c r="AD60" s="39">
        <f>IF($AA60="","",SUMIFS(tblVentas[Unidades efectivas],tblVentas[SKU],$AA60))</f>
        <v/>
      </c>
      <c r="AE60" s="37">
        <f>IF($AA60="","",SUMIFS(tblVentas[Venta neta],tblVentas[SKU],$AA60))</f>
        <v/>
      </c>
      <c r="AF60" s="37">
        <f>IF($AA60="","",SUMIFS(tblVentas[Costo total],tblVentas[SKU],$AA60))</f>
        <v/>
      </c>
      <c r="AG60" s="37">
        <f>IF($AA60="","",$AE60-$AF60)</f>
        <v/>
      </c>
      <c r="AH60" s="38">
        <f>IF(OR($AA60="",$AE60=0),"",$AG60/$AE60)</f>
        <v/>
      </c>
      <c r="AI60" s="38">
        <f>IF(OR($AA60="",SUM($AE$8:$AE$67)=0),"",$AE60/SUM($AE$8:$AE$67))</f>
        <v/>
      </c>
      <c r="AJ60" s="38">
        <f>IF(OR($AA60="",SUM($AG$8:$AG$67)=0),"",$AG60/SUM($AG$8:$AG$67))</f>
        <v/>
      </c>
      <c r="AK60" s="39">
        <f>IF(OR($AA60="",$AE60=0),"",RANK($AG60,$AG$8:$AG$67))</f>
        <v/>
      </c>
      <c r="AL60" s="39">
        <f>IF(OR($AA60="",$AD60=0),"",RANK($AD60,$AD$8:$AD$67))</f>
        <v/>
      </c>
      <c r="AM60" s="37">
        <f>IF(OR($AA60="",$AD60=0),"",$AG60/$AD60)</f>
        <v/>
      </c>
      <c r="AN60" s="37">
        <f>IF($AA60="","",IFERROR(IF(INDEX(tblProductos[Margen de contribución unitario],MATCH($AA60,tblProductos[SKU],0))="","PENDIENTE",INDEX(tblProductos[Margen de contribución unitario],MATCH($AA60,tblProductos[SKU],0))),"PENDIENTE"))</f>
        <v/>
      </c>
      <c r="AO60" s="60">
        <f>IF(OR($AA60="",NOT(ISNUMBER($AG60))),"",$AG60-ROW()/100000)</f>
        <v/>
      </c>
      <c r="AP60" s="60">
        <f>IF(OR($AA60="",NOT(ISNUMBER($AD60))),"",$AD60-ROW()/100000)</f>
        <v/>
      </c>
    </row>
    <row r="61">
      <c r="AA61" s="51">
        <f>IFERROR(IF(INDEX(tblProductos[SKU],ROW()-7)="","",INDEX(tblProductos[SKU],ROW()-7)),"")</f>
        <v/>
      </c>
      <c r="AB61" s="51">
        <f>IF($AA61="","",IFERROR(IF(INDEX(tblProductos[Nombre del producto],MATCH($AA61,tblProductos[SKU],0))="","",INDEX(tblProductos[Nombre del producto],MATCH($AA61,tblProductos[SKU],0))),"")&amp;IF(IFERROR(IF(INDEX(tblProductos[Presentación],MATCH($AA61,tblProductos[SKU],0))="","",INDEX(tblProductos[Presentación],MATCH($AA61,tblProductos[SKU],0))),"")="",""," · "&amp;IFERROR(IF(INDEX(tblProductos[Presentación],MATCH($AA61,tblProductos[SKU],0))="","",INDEX(tblProductos[Presentación],MATCH($AA61,tblProductos[SKU],0))),"")))</f>
        <v/>
      </c>
      <c r="AC61" s="51">
        <f>IF($AA61="","",IFERROR(IF(INDEX(tblProductos[Categoría],MATCH($AA61,tblProductos[SKU],0))="","",INDEX(tblProductos[Categoría],MATCH($AA61,tblProductos[SKU],0))),""))</f>
        <v/>
      </c>
      <c r="AD61" s="39">
        <f>IF($AA61="","",SUMIFS(tblVentas[Unidades efectivas],tblVentas[SKU],$AA61))</f>
        <v/>
      </c>
      <c r="AE61" s="37">
        <f>IF($AA61="","",SUMIFS(tblVentas[Venta neta],tblVentas[SKU],$AA61))</f>
        <v/>
      </c>
      <c r="AF61" s="37">
        <f>IF($AA61="","",SUMIFS(tblVentas[Costo total],tblVentas[SKU],$AA61))</f>
        <v/>
      </c>
      <c r="AG61" s="37">
        <f>IF($AA61="","",$AE61-$AF61)</f>
        <v/>
      </c>
      <c r="AH61" s="38">
        <f>IF(OR($AA61="",$AE61=0),"",$AG61/$AE61)</f>
        <v/>
      </c>
      <c r="AI61" s="38">
        <f>IF(OR($AA61="",SUM($AE$8:$AE$67)=0),"",$AE61/SUM($AE$8:$AE$67))</f>
        <v/>
      </c>
      <c r="AJ61" s="38">
        <f>IF(OR($AA61="",SUM($AG$8:$AG$67)=0),"",$AG61/SUM($AG$8:$AG$67))</f>
        <v/>
      </c>
      <c r="AK61" s="39">
        <f>IF(OR($AA61="",$AE61=0),"",RANK($AG61,$AG$8:$AG$67))</f>
        <v/>
      </c>
      <c r="AL61" s="39">
        <f>IF(OR($AA61="",$AD61=0),"",RANK($AD61,$AD$8:$AD$67))</f>
        <v/>
      </c>
      <c r="AM61" s="37">
        <f>IF(OR($AA61="",$AD61=0),"",$AG61/$AD61)</f>
        <v/>
      </c>
      <c r="AN61" s="37">
        <f>IF($AA61="","",IFERROR(IF(INDEX(tblProductos[Margen de contribución unitario],MATCH($AA61,tblProductos[SKU],0))="","PENDIENTE",INDEX(tblProductos[Margen de contribución unitario],MATCH($AA61,tblProductos[SKU],0))),"PENDIENTE"))</f>
        <v/>
      </c>
      <c r="AO61" s="60">
        <f>IF(OR($AA61="",NOT(ISNUMBER($AG61))),"",$AG61-ROW()/100000)</f>
        <v/>
      </c>
      <c r="AP61" s="60">
        <f>IF(OR($AA61="",NOT(ISNUMBER($AD61))),"",$AD61-ROW()/100000)</f>
        <v/>
      </c>
    </row>
    <row r="62">
      <c r="AA62" s="51">
        <f>IFERROR(IF(INDEX(tblProductos[SKU],ROW()-7)="","",INDEX(tblProductos[SKU],ROW()-7)),"")</f>
        <v/>
      </c>
      <c r="AB62" s="51">
        <f>IF($AA62="","",IFERROR(IF(INDEX(tblProductos[Nombre del producto],MATCH($AA62,tblProductos[SKU],0))="","",INDEX(tblProductos[Nombre del producto],MATCH($AA62,tblProductos[SKU],0))),"")&amp;IF(IFERROR(IF(INDEX(tblProductos[Presentación],MATCH($AA62,tblProductos[SKU],0))="","",INDEX(tblProductos[Presentación],MATCH($AA62,tblProductos[SKU],0))),"")="",""," · "&amp;IFERROR(IF(INDEX(tblProductos[Presentación],MATCH($AA62,tblProductos[SKU],0))="","",INDEX(tblProductos[Presentación],MATCH($AA62,tblProductos[SKU],0))),"")))</f>
        <v/>
      </c>
      <c r="AC62" s="51">
        <f>IF($AA62="","",IFERROR(IF(INDEX(tblProductos[Categoría],MATCH($AA62,tblProductos[SKU],0))="","",INDEX(tblProductos[Categoría],MATCH($AA62,tblProductos[SKU],0))),""))</f>
        <v/>
      </c>
      <c r="AD62" s="39">
        <f>IF($AA62="","",SUMIFS(tblVentas[Unidades efectivas],tblVentas[SKU],$AA62))</f>
        <v/>
      </c>
      <c r="AE62" s="37">
        <f>IF($AA62="","",SUMIFS(tblVentas[Venta neta],tblVentas[SKU],$AA62))</f>
        <v/>
      </c>
      <c r="AF62" s="37">
        <f>IF($AA62="","",SUMIFS(tblVentas[Costo total],tblVentas[SKU],$AA62))</f>
        <v/>
      </c>
      <c r="AG62" s="37">
        <f>IF($AA62="","",$AE62-$AF62)</f>
        <v/>
      </c>
      <c r="AH62" s="38">
        <f>IF(OR($AA62="",$AE62=0),"",$AG62/$AE62)</f>
        <v/>
      </c>
      <c r="AI62" s="38">
        <f>IF(OR($AA62="",SUM($AE$8:$AE$67)=0),"",$AE62/SUM($AE$8:$AE$67))</f>
        <v/>
      </c>
      <c r="AJ62" s="38">
        <f>IF(OR($AA62="",SUM($AG$8:$AG$67)=0),"",$AG62/SUM($AG$8:$AG$67))</f>
        <v/>
      </c>
      <c r="AK62" s="39">
        <f>IF(OR($AA62="",$AE62=0),"",RANK($AG62,$AG$8:$AG$67))</f>
        <v/>
      </c>
      <c r="AL62" s="39">
        <f>IF(OR($AA62="",$AD62=0),"",RANK($AD62,$AD$8:$AD$67))</f>
        <v/>
      </c>
      <c r="AM62" s="37">
        <f>IF(OR($AA62="",$AD62=0),"",$AG62/$AD62)</f>
        <v/>
      </c>
      <c r="AN62" s="37">
        <f>IF($AA62="","",IFERROR(IF(INDEX(tblProductos[Margen de contribución unitario],MATCH($AA62,tblProductos[SKU],0))="","PENDIENTE",INDEX(tblProductos[Margen de contribución unitario],MATCH($AA62,tblProductos[SKU],0))),"PENDIENTE"))</f>
        <v/>
      </c>
      <c r="AO62" s="60">
        <f>IF(OR($AA62="",NOT(ISNUMBER($AG62))),"",$AG62-ROW()/100000)</f>
        <v/>
      </c>
      <c r="AP62" s="60">
        <f>IF(OR($AA62="",NOT(ISNUMBER($AD62))),"",$AD62-ROW()/100000)</f>
        <v/>
      </c>
    </row>
    <row r="63">
      <c r="AA63" s="51">
        <f>IFERROR(IF(INDEX(tblProductos[SKU],ROW()-7)="","",INDEX(tblProductos[SKU],ROW()-7)),"")</f>
        <v/>
      </c>
      <c r="AB63" s="51">
        <f>IF($AA63="","",IFERROR(IF(INDEX(tblProductos[Nombre del producto],MATCH($AA63,tblProductos[SKU],0))="","",INDEX(tblProductos[Nombre del producto],MATCH($AA63,tblProductos[SKU],0))),"")&amp;IF(IFERROR(IF(INDEX(tblProductos[Presentación],MATCH($AA63,tblProductos[SKU],0))="","",INDEX(tblProductos[Presentación],MATCH($AA63,tblProductos[SKU],0))),"")="",""," · "&amp;IFERROR(IF(INDEX(tblProductos[Presentación],MATCH($AA63,tblProductos[SKU],0))="","",INDEX(tblProductos[Presentación],MATCH($AA63,tblProductos[SKU],0))),"")))</f>
        <v/>
      </c>
      <c r="AC63" s="51">
        <f>IF($AA63="","",IFERROR(IF(INDEX(tblProductos[Categoría],MATCH($AA63,tblProductos[SKU],0))="","",INDEX(tblProductos[Categoría],MATCH($AA63,tblProductos[SKU],0))),""))</f>
        <v/>
      </c>
      <c r="AD63" s="39">
        <f>IF($AA63="","",SUMIFS(tblVentas[Unidades efectivas],tblVentas[SKU],$AA63))</f>
        <v/>
      </c>
      <c r="AE63" s="37">
        <f>IF($AA63="","",SUMIFS(tblVentas[Venta neta],tblVentas[SKU],$AA63))</f>
        <v/>
      </c>
      <c r="AF63" s="37">
        <f>IF($AA63="","",SUMIFS(tblVentas[Costo total],tblVentas[SKU],$AA63))</f>
        <v/>
      </c>
      <c r="AG63" s="37">
        <f>IF($AA63="","",$AE63-$AF63)</f>
        <v/>
      </c>
      <c r="AH63" s="38">
        <f>IF(OR($AA63="",$AE63=0),"",$AG63/$AE63)</f>
        <v/>
      </c>
      <c r="AI63" s="38">
        <f>IF(OR($AA63="",SUM($AE$8:$AE$67)=0),"",$AE63/SUM($AE$8:$AE$67))</f>
        <v/>
      </c>
      <c r="AJ63" s="38">
        <f>IF(OR($AA63="",SUM($AG$8:$AG$67)=0),"",$AG63/SUM($AG$8:$AG$67))</f>
        <v/>
      </c>
      <c r="AK63" s="39">
        <f>IF(OR($AA63="",$AE63=0),"",RANK($AG63,$AG$8:$AG$67))</f>
        <v/>
      </c>
      <c r="AL63" s="39">
        <f>IF(OR($AA63="",$AD63=0),"",RANK($AD63,$AD$8:$AD$67))</f>
        <v/>
      </c>
      <c r="AM63" s="37">
        <f>IF(OR($AA63="",$AD63=0),"",$AG63/$AD63)</f>
        <v/>
      </c>
      <c r="AN63" s="37">
        <f>IF($AA63="","",IFERROR(IF(INDEX(tblProductos[Margen de contribución unitario],MATCH($AA63,tblProductos[SKU],0))="","PENDIENTE",INDEX(tblProductos[Margen de contribución unitario],MATCH($AA63,tblProductos[SKU],0))),"PENDIENTE"))</f>
        <v/>
      </c>
      <c r="AO63" s="60">
        <f>IF(OR($AA63="",NOT(ISNUMBER($AG63))),"",$AG63-ROW()/100000)</f>
        <v/>
      </c>
      <c r="AP63" s="60">
        <f>IF(OR($AA63="",NOT(ISNUMBER($AD63))),"",$AD63-ROW()/100000)</f>
        <v/>
      </c>
    </row>
    <row r="64">
      <c r="AA64" s="51">
        <f>IFERROR(IF(INDEX(tblProductos[SKU],ROW()-7)="","",INDEX(tblProductos[SKU],ROW()-7)),"")</f>
        <v/>
      </c>
      <c r="AB64" s="51">
        <f>IF($AA64="","",IFERROR(IF(INDEX(tblProductos[Nombre del producto],MATCH($AA64,tblProductos[SKU],0))="","",INDEX(tblProductos[Nombre del producto],MATCH($AA64,tblProductos[SKU],0))),"")&amp;IF(IFERROR(IF(INDEX(tblProductos[Presentación],MATCH($AA64,tblProductos[SKU],0))="","",INDEX(tblProductos[Presentación],MATCH($AA64,tblProductos[SKU],0))),"")="",""," · "&amp;IFERROR(IF(INDEX(tblProductos[Presentación],MATCH($AA64,tblProductos[SKU],0))="","",INDEX(tblProductos[Presentación],MATCH($AA64,tblProductos[SKU],0))),"")))</f>
        <v/>
      </c>
      <c r="AC64" s="51">
        <f>IF($AA64="","",IFERROR(IF(INDEX(tblProductos[Categoría],MATCH($AA64,tblProductos[SKU],0))="","",INDEX(tblProductos[Categoría],MATCH($AA64,tblProductos[SKU],0))),""))</f>
        <v/>
      </c>
      <c r="AD64" s="39">
        <f>IF($AA64="","",SUMIFS(tblVentas[Unidades efectivas],tblVentas[SKU],$AA64))</f>
        <v/>
      </c>
      <c r="AE64" s="37">
        <f>IF($AA64="","",SUMIFS(tblVentas[Venta neta],tblVentas[SKU],$AA64))</f>
        <v/>
      </c>
      <c r="AF64" s="37">
        <f>IF($AA64="","",SUMIFS(tblVentas[Costo total],tblVentas[SKU],$AA64))</f>
        <v/>
      </c>
      <c r="AG64" s="37">
        <f>IF($AA64="","",$AE64-$AF64)</f>
        <v/>
      </c>
      <c r="AH64" s="38">
        <f>IF(OR($AA64="",$AE64=0),"",$AG64/$AE64)</f>
        <v/>
      </c>
      <c r="AI64" s="38">
        <f>IF(OR($AA64="",SUM($AE$8:$AE$67)=0),"",$AE64/SUM($AE$8:$AE$67))</f>
        <v/>
      </c>
      <c r="AJ64" s="38">
        <f>IF(OR($AA64="",SUM($AG$8:$AG$67)=0),"",$AG64/SUM($AG$8:$AG$67))</f>
        <v/>
      </c>
      <c r="AK64" s="39">
        <f>IF(OR($AA64="",$AE64=0),"",RANK($AG64,$AG$8:$AG$67))</f>
        <v/>
      </c>
      <c r="AL64" s="39">
        <f>IF(OR($AA64="",$AD64=0),"",RANK($AD64,$AD$8:$AD$67))</f>
        <v/>
      </c>
      <c r="AM64" s="37">
        <f>IF(OR($AA64="",$AD64=0),"",$AG64/$AD64)</f>
        <v/>
      </c>
      <c r="AN64" s="37">
        <f>IF($AA64="","",IFERROR(IF(INDEX(tblProductos[Margen de contribución unitario],MATCH($AA64,tblProductos[SKU],0))="","PENDIENTE",INDEX(tblProductos[Margen de contribución unitario],MATCH($AA64,tblProductos[SKU],0))),"PENDIENTE"))</f>
        <v/>
      </c>
      <c r="AO64" s="60">
        <f>IF(OR($AA64="",NOT(ISNUMBER($AG64))),"",$AG64-ROW()/100000)</f>
        <v/>
      </c>
      <c r="AP64" s="60">
        <f>IF(OR($AA64="",NOT(ISNUMBER($AD64))),"",$AD64-ROW()/100000)</f>
        <v/>
      </c>
    </row>
    <row r="65">
      <c r="AA65" s="51">
        <f>IFERROR(IF(INDEX(tblProductos[SKU],ROW()-7)="","",INDEX(tblProductos[SKU],ROW()-7)),"")</f>
        <v/>
      </c>
      <c r="AB65" s="51">
        <f>IF($AA65="","",IFERROR(IF(INDEX(tblProductos[Nombre del producto],MATCH($AA65,tblProductos[SKU],0))="","",INDEX(tblProductos[Nombre del producto],MATCH($AA65,tblProductos[SKU],0))),"")&amp;IF(IFERROR(IF(INDEX(tblProductos[Presentación],MATCH($AA65,tblProductos[SKU],0))="","",INDEX(tblProductos[Presentación],MATCH($AA65,tblProductos[SKU],0))),"")="",""," · "&amp;IFERROR(IF(INDEX(tblProductos[Presentación],MATCH($AA65,tblProductos[SKU],0))="","",INDEX(tblProductos[Presentación],MATCH($AA65,tblProductos[SKU],0))),"")))</f>
        <v/>
      </c>
      <c r="AC65" s="51">
        <f>IF($AA65="","",IFERROR(IF(INDEX(tblProductos[Categoría],MATCH($AA65,tblProductos[SKU],0))="","",INDEX(tblProductos[Categoría],MATCH($AA65,tblProductos[SKU],0))),""))</f>
        <v/>
      </c>
      <c r="AD65" s="39">
        <f>IF($AA65="","",SUMIFS(tblVentas[Unidades efectivas],tblVentas[SKU],$AA65))</f>
        <v/>
      </c>
      <c r="AE65" s="37">
        <f>IF($AA65="","",SUMIFS(tblVentas[Venta neta],tblVentas[SKU],$AA65))</f>
        <v/>
      </c>
      <c r="AF65" s="37">
        <f>IF($AA65="","",SUMIFS(tblVentas[Costo total],tblVentas[SKU],$AA65))</f>
        <v/>
      </c>
      <c r="AG65" s="37">
        <f>IF($AA65="","",$AE65-$AF65)</f>
        <v/>
      </c>
      <c r="AH65" s="38">
        <f>IF(OR($AA65="",$AE65=0),"",$AG65/$AE65)</f>
        <v/>
      </c>
      <c r="AI65" s="38">
        <f>IF(OR($AA65="",SUM($AE$8:$AE$67)=0),"",$AE65/SUM($AE$8:$AE$67))</f>
        <v/>
      </c>
      <c r="AJ65" s="38">
        <f>IF(OR($AA65="",SUM($AG$8:$AG$67)=0),"",$AG65/SUM($AG$8:$AG$67))</f>
        <v/>
      </c>
      <c r="AK65" s="39">
        <f>IF(OR($AA65="",$AE65=0),"",RANK($AG65,$AG$8:$AG$67))</f>
        <v/>
      </c>
      <c r="AL65" s="39">
        <f>IF(OR($AA65="",$AD65=0),"",RANK($AD65,$AD$8:$AD$67))</f>
        <v/>
      </c>
      <c r="AM65" s="37">
        <f>IF(OR($AA65="",$AD65=0),"",$AG65/$AD65)</f>
        <v/>
      </c>
      <c r="AN65" s="37">
        <f>IF($AA65="","",IFERROR(IF(INDEX(tblProductos[Margen de contribución unitario],MATCH($AA65,tblProductos[SKU],0))="","PENDIENTE",INDEX(tblProductos[Margen de contribución unitario],MATCH($AA65,tblProductos[SKU],0))),"PENDIENTE"))</f>
        <v/>
      </c>
      <c r="AO65" s="60">
        <f>IF(OR($AA65="",NOT(ISNUMBER($AG65))),"",$AG65-ROW()/100000)</f>
        <v/>
      </c>
      <c r="AP65" s="60">
        <f>IF(OR($AA65="",NOT(ISNUMBER($AD65))),"",$AD65-ROW()/100000)</f>
        <v/>
      </c>
    </row>
    <row r="66">
      <c r="AA66" s="51">
        <f>IFERROR(IF(INDEX(tblProductos[SKU],ROW()-7)="","",INDEX(tblProductos[SKU],ROW()-7)),"")</f>
        <v/>
      </c>
      <c r="AB66" s="51">
        <f>IF($AA66="","",IFERROR(IF(INDEX(tblProductos[Nombre del producto],MATCH($AA66,tblProductos[SKU],0))="","",INDEX(tblProductos[Nombre del producto],MATCH($AA66,tblProductos[SKU],0))),"")&amp;IF(IFERROR(IF(INDEX(tblProductos[Presentación],MATCH($AA66,tblProductos[SKU],0))="","",INDEX(tblProductos[Presentación],MATCH($AA66,tblProductos[SKU],0))),"")="",""," · "&amp;IFERROR(IF(INDEX(tblProductos[Presentación],MATCH($AA66,tblProductos[SKU],0))="","",INDEX(tblProductos[Presentación],MATCH($AA66,tblProductos[SKU],0))),"")))</f>
        <v/>
      </c>
      <c r="AC66" s="51">
        <f>IF($AA66="","",IFERROR(IF(INDEX(tblProductos[Categoría],MATCH($AA66,tblProductos[SKU],0))="","",INDEX(tblProductos[Categoría],MATCH($AA66,tblProductos[SKU],0))),""))</f>
        <v/>
      </c>
      <c r="AD66" s="39">
        <f>IF($AA66="","",SUMIFS(tblVentas[Unidades efectivas],tblVentas[SKU],$AA66))</f>
        <v/>
      </c>
      <c r="AE66" s="37">
        <f>IF($AA66="","",SUMIFS(tblVentas[Venta neta],tblVentas[SKU],$AA66))</f>
        <v/>
      </c>
      <c r="AF66" s="37">
        <f>IF($AA66="","",SUMIFS(tblVentas[Costo total],tblVentas[SKU],$AA66))</f>
        <v/>
      </c>
      <c r="AG66" s="37">
        <f>IF($AA66="","",$AE66-$AF66)</f>
        <v/>
      </c>
      <c r="AH66" s="38">
        <f>IF(OR($AA66="",$AE66=0),"",$AG66/$AE66)</f>
        <v/>
      </c>
      <c r="AI66" s="38">
        <f>IF(OR($AA66="",SUM($AE$8:$AE$67)=0),"",$AE66/SUM($AE$8:$AE$67))</f>
        <v/>
      </c>
      <c r="AJ66" s="38">
        <f>IF(OR($AA66="",SUM($AG$8:$AG$67)=0),"",$AG66/SUM($AG$8:$AG$67))</f>
        <v/>
      </c>
      <c r="AK66" s="39">
        <f>IF(OR($AA66="",$AE66=0),"",RANK($AG66,$AG$8:$AG$67))</f>
        <v/>
      </c>
      <c r="AL66" s="39">
        <f>IF(OR($AA66="",$AD66=0),"",RANK($AD66,$AD$8:$AD$67))</f>
        <v/>
      </c>
      <c r="AM66" s="37">
        <f>IF(OR($AA66="",$AD66=0),"",$AG66/$AD66)</f>
        <v/>
      </c>
      <c r="AN66" s="37">
        <f>IF($AA66="","",IFERROR(IF(INDEX(tblProductos[Margen de contribución unitario],MATCH($AA66,tblProductos[SKU],0))="","PENDIENTE",INDEX(tblProductos[Margen de contribución unitario],MATCH($AA66,tblProductos[SKU],0))),"PENDIENTE"))</f>
        <v/>
      </c>
      <c r="AO66" s="60">
        <f>IF(OR($AA66="",NOT(ISNUMBER($AG66))),"",$AG66-ROW()/100000)</f>
        <v/>
      </c>
      <c r="AP66" s="60">
        <f>IF(OR($AA66="",NOT(ISNUMBER($AD66))),"",$AD66-ROW()/100000)</f>
        <v/>
      </c>
    </row>
    <row r="67">
      <c r="AA67" s="51">
        <f>IFERROR(IF(INDEX(tblProductos[SKU],ROW()-7)="","",INDEX(tblProductos[SKU],ROW()-7)),"")</f>
        <v/>
      </c>
      <c r="AB67" s="51">
        <f>IF($AA67="","",IFERROR(IF(INDEX(tblProductos[Nombre del producto],MATCH($AA67,tblProductos[SKU],0))="","",INDEX(tblProductos[Nombre del producto],MATCH($AA67,tblProductos[SKU],0))),"")&amp;IF(IFERROR(IF(INDEX(tblProductos[Presentación],MATCH($AA67,tblProductos[SKU],0))="","",INDEX(tblProductos[Presentación],MATCH($AA67,tblProductos[SKU],0))),"")="",""," · "&amp;IFERROR(IF(INDEX(tblProductos[Presentación],MATCH($AA67,tblProductos[SKU],0))="","",INDEX(tblProductos[Presentación],MATCH($AA67,tblProductos[SKU],0))),"")))</f>
        <v/>
      </c>
      <c r="AC67" s="51">
        <f>IF($AA67="","",IFERROR(IF(INDEX(tblProductos[Categoría],MATCH($AA67,tblProductos[SKU],0))="","",INDEX(tblProductos[Categoría],MATCH($AA67,tblProductos[SKU],0))),""))</f>
        <v/>
      </c>
      <c r="AD67" s="39">
        <f>IF($AA67="","",SUMIFS(tblVentas[Unidades efectivas],tblVentas[SKU],$AA67))</f>
        <v/>
      </c>
      <c r="AE67" s="37">
        <f>IF($AA67="","",SUMIFS(tblVentas[Venta neta],tblVentas[SKU],$AA67))</f>
        <v/>
      </c>
      <c r="AF67" s="37">
        <f>IF($AA67="","",SUMIFS(tblVentas[Costo total],tblVentas[SKU],$AA67))</f>
        <v/>
      </c>
      <c r="AG67" s="37">
        <f>IF($AA67="","",$AE67-$AF67)</f>
        <v/>
      </c>
      <c r="AH67" s="38">
        <f>IF(OR($AA67="",$AE67=0),"",$AG67/$AE67)</f>
        <v/>
      </c>
      <c r="AI67" s="38">
        <f>IF(OR($AA67="",SUM($AE$8:$AE$67)=0),"",$AE67/SUM($AE$8:$AE$67))</f>
        <v/>
      </c>
      <c r="AJ67" s="38">
        <f>IF(OR($AA67="",SUM($AG$8:$AG$67)=0),"",$AG67/SUM($AG$8:$AG$67))</f>
        <v/>
      </c>
      <c r="AK67" s="39">
        <f>IF(OR($AA67="",$AE67=0),"",RANK($AG67,$AG$8:$AG$67))</f>
        <v/>
      </c>
      <c r="AL67" s="39">
        <f>IF(OR($AA67="",$AD67=0),"",RANK($AD67,$AD$8:$AD$67))</f>
        <v/>
      </c>
      <c r="AM67" s="37">
        <f>IF(OR($AA67="",$AD67=0),"",$AG67/$AD67)</f>
        <v/>
      </c>
      <c r="AN67" s="37">
        <f>IF($AA67="","",IFERROR(IF(INDEX(tblProductos[Margen de contribución unitario],MATCH($AA67,tblProductos[SKU],0))="","PENDIENTE",INDEX(tblProductos[Margen de contribución unitario],MATCH($AA67,tblProductos[SKU],0))),"PENDIENTE"))</f>
        <v/>
      </c>
      <c r="AO67" s="60">
        <f>IF(OR($AA67="",NOT(ISNUMBER($AG67))),"",$AG67-ROW()/100000)</f>
        <v/>
      </c>
      <c r="AP67" s="60">
        <f>IF(OR($AA67="",NOT(ISNUMBER($AD67))),"",$AD67-ROW()/100000)</f>
        <v/>
      </c>
    </row>
    <row r="68">
      <c r="AA68" s="72" t="inlineStr">
        <is>
          <t>TOTAL</t>
        </is>
      </c>
      <c r="AB68" s="72" t="n"/>
      <c r="AC68" s="72" t="n"/>
      <c r="AD68" s="69">
        <f>SUM($AD$8:$AD$67)</f>
        <v/>
      </c>
      <c r="AE68" s="57">
        <f>SUM($AE$8:$AE$67)</f>
        <v/>
      </c>
      <c r="AF68" s="57">
        <f>SUM($AF$8:$AF$67)</f>
        <v/>
      </c>
      <c r="AG68" s="57">
        <f>SUM($AG$8:$AG$67)</f>
        <v/>
      </c>
      <c r="AH68" s="70">
        <f>IF(SUM($AE$8:$AE$67)=0,"",SUM($AG$8:$AG$67)/SUM($AE$8:$AE$67))</f>
        <v/>
      </c>
      <c r="AI68" s="70" t="n"/>
      <c r="AJ68" s="70" t="n"/>
      <c r="AK68" s="69" t="n"/>
      <c r="AL68" s="69" t="n"/>
      <c r="AM68" s="57" t="n"/>
      <c r="AN68" s="57" t="n"/>
      <c r="AO68" s="71" t="n"/>
      <c r="AP68" s="71" t="n"/>
    </row>
  </sheetData>
  <sheetProtection selectLockedCells="0" selectUnlockedCells="0" sheet="1" objects="0" insertRows="1" insertHyperlinks="1" autoFilter="0" scenarios="0" formatColumns="0" deleteColumns="1" insertColumns="1" pivotTables="1" deleteRows="1" formatCells="0" formatRows="0" sort="0"/>
  <mergeCells count="2">
    <mergeCell ref="A5:Y5"/>
    <mergeCell ref="A3:N4"/>
  </mergeCells>
  <conditionalFormatting sqref="O8:O43">
    <cfRule type="cellIs" priority="1" operator="lessThan" dxfId="0">
      <formula>0</formula>
    </cfRule>
  </conditionalFormatting>
  <conditionalFormatting sqref="G8:G43">
    <cfRule type="cellIs" priority="2" operator="lessThan" dxfId="0">
      <formula>0</formula>
    </cfRule>
  </conditionalFormatting>
  <printOptions horizontalCentered="1"/>
  <pageMargins left="0.4" right="0.4" top="0.5" bottom="0.5" header="0.5" footer="0.5"/>
  <pageSetup orientation="landscape" fitToHeight="0" fitToWidth="1"/>
</worksheet>
</file>

<file path=xl/worksheets/sheet13.xml><?xml version="1.0" encoding="utf-8"?>
<worksheet xmlns="http://schemas.openxmlformats.org/spreadsheetml/2006/main">
  <sheetPr>
    <tabColor rgb="001E7B4F"/>
    <outlinePr summaryBelow="1" summaryRight="1"/>
    <pageSetUpPr fitToPage="1"/>
  </sheetPr>
  <dimension ref="A1:L40"/>
  <sheetViews>
    <sheetView showGridLines="0" workbookViewId="0">
      <selection activeCell="A1" sqref="A1"/>
    </sheetView>
  </sheetViews>
  <sheetFormatPr baseColWidth="8" defaultRowHeight="15"/>
  <cols>
    <col width="46" customWidth="1" min="1" max="1"/>
    <col width="18" customWidth="1" min="2" max="2"/>
    <col width="20" customWidth="1" min="3" max="3"/>
    <col width="20" customWidth="1" min="4" max="4"/>
    <col width="62" customWidth="1" min="5" max="5"/>
    <col width="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PUNTO DE EQUILIBRIO</t>
        </is>
      </c>
    </row>
    <row r="2">
      <c r="A2" s="2" t="inlineStr">
        <is>
          <t>Cuánto tiene que vender para no perder dinero. Puede trabajar con los valores automáticos (calculados con sus datos reales) o escribir los suyos poniendo el Modo en «Manual».</t>
        </is>
      </c>
    </row>
    <row r="3">
      <c r="A3" s="16" t="inlineStr">
        <is>
          <t>Margen de contribución = precio − costo variable unitario. Es lo que deja cada unidad para pagar los costos fijos. Si no hay margen de contribución positivo, NO existe punto de equilibrio: se pierde dinero con cada venta.</t>
        </is>
      </c>
    </row>
    <row r="5">
      <c r="A5" s="3" t="inlineStr">
        <is>
          <t>1 · VARIABLES DEL CÁLCULO</t>
        </is>
      </c>
      <c r="B5" s="4" t="n"/>
      <c r="C5" s="4" t="n"/>
      <c r="D5" s="4" t="n"/>
      <c r="E5" s="4" t="n"/>
    </row>
    <row r="6" ht="30" customHeight="1">
      <c r="A6" s="11" t="inlineStr">
        <is>
          <t>Variable</t>
        </is>
      </c>
      <c r="B6" s="11" t="inlineStr">
        <is>
          <t>Valor utilizado</t>
        </is>
      </c>
      <c r="C6" s="11" t="inlineStr">
        <is>
          <t>Valor automático (sus datos)</t>
        </is>
      </c>
      <c r="D6" s="11" t="inlineStr">
        <is>
          <t>Valor manual (editable)</t>
        </is>
      </c>
      <c r="E6" s="11" t="inlineStr">
        <is>
          <t>Notas</t>
        </is>
      </c>
    </row>
    <row r="7">
      <c r="A7" s="67" t="inlineStr">
        <is>
          <t>Modo de cálculo</t>
        </is>
      </c>
      <c r="B7" s="73" t="inlineStr">
        <is>
          <t>Automático</t>
        </is>
      </c>
      <c r="E7" s="16" t="inlineStr">
        <is>
          <t>«Automático» usa sus datos reales. «Manual» usa la columna amarilla.</t>
        </is>
      </c>
    </row>
    <row r="8">
      <c r="A8" s="67" t="inlineStr">
        <is>
          <t>Costos fijos mensuales</t>
        </is>
      </c>
      <c r="B8" s="49">
        <f>IF($B$7="Manual",IF(ISNUMBER($D8),$D8,"PENDIENTE"),IF(ISNUMBER($C8),$C8,"PENDIENTE"))</f>
        <v/>
      </c>
      <c r="C8" s="37">
        <f>IF(COUNTIF(RENTABILIDAD!$I$8:$I$43,"&gt;0")=0,"",SUMIF(RENTABILIDAD!$I$8:$I$43,"&gt;0")/COUNTIF(RENTABILIDAD!$I$8:$I$43,"&gt;0"))</f>
        <v/>
      </c>
      <c r="D8" s="36" t="n"/>
      <c r="E8" s="16" t="inlineStr">
        <is>
          <t>Promedio mensual de los gastos FIJOS registrados (solo meses con gastos).</t>
        </is>
      </c>
    </row>
    <row r="9">
      <c r="A9" s="67" t="inlineStr">
        <is>
          <t>Precio de venta promedio</t>
        </is>
      </c>
      <c r="B9" s="49">
        <f>IF($B$7="Manual",IF(ISNUMBER($D9),$D9,"PENDIENTE"),IF(ISNUMBER($C9),$C9,"PENDIENTE"))</f>
        <v/>
      </c>
      <c r="C9" s="37">
        <f>IF(RENTABILIDAD!$E$44=0,"",RENTABILIDAD!$D$44/RENTABILIDAD!$E$44)</f>
        <v/>
      </c>
      <c r="D9" s="36" t="n"/>
      <c r="E9" s="16" t="inlineStr">
        <is>
          <t>Ventas netas ÷ unidades vendidas. Necesita ventas registradas.</t>
        </is>
      </c>
    </row>
    <row r="10">
      <c r="A10" s="67" t="inlineStr">
        <is>
          <t>Costo variable unitario promedio</t>
        </is>
      </c>
      <c r="B10" s="49">
        <f>IF($B$7="Manual",IF(ISNUMBER($D10),$D10,"PENDIENTE"),IF(ISNUMBER($C10),$C10,"PENDIENTE"))</f>
        <v/>
      </c>
      <c r="C10" s="37">
        <f>IF(RENTABILIDAD!$E$44=0,"",(RENTABILIDAD!$F$44+RENTABILIDAD!$J$44)/RENTABILIDAD!$E$44)</f>
        <v/>
      </c>
      <c r="D10" s="36" t="n"/>
      <c r="E10" s="16" t="inlineStr">
        <is>
          <t>(Costo de ventas + gastos variables) ÷ unidades vendidas.</t>
        </is>
      </c>
    </row>
    <row r="11">
      <c r="A11" s="67" t="inlineStr">
        <is>
          <t>Días de venta por mes</t>
        </is>
      </c>
      <c r="B11" s="39">
        <f>IF(ISNUMBER(PAR_DIAS_MES),PAR_DIAS_MES,26)</f>
        <v/>
      </c>
      <c r="E11" s="16" t="inlineStr">
        <is>
          <t>Se configura en la hoja CONFIG.</t>
        </is>
      </c>
    </row>
    <row r="13">
      <c r="A13" s="3" t="inlineStr">
        <is>
          <t>2 · RESULTADOS</t>
        </is>
      </c>
      <c r="B13" s="4" t="n"/>
      <c r="C13" s="4" t="n"/>
      <c r="D13" s="4" t="n"/>
      <c r="E13" s="4" t="n"/>
    </row>
    <row r="14">
      <c r="A14" s="63" t="inlineStr">
        <is>
          <t>Margen de contribución unitario</t>
        </is>
      </c>
      <c r="B14" s="37">
        <f>IF(OR(NOT(ISNUMBER($B$9)),NOT(ISNUMBER($B$10))),"PENDIENTE",$B$9-$B$10)</f>
        <v/>
      </c>
      <c r="E14" s="16" t="inlineStr">
        <is>
          <t>Precio promedio − costo variable unitario.</t>
        </is>
      </c>
    </row>
    <row r="15">
      <c r="A15" s="63" t="inlineStr">
        <is>
          <t>Margen de contribución %</t>
        </is>
      </c>
      <c r="B15" s="38">
        <f>IF(OR(NOT(ISNUMBER($B$14)),NOT(ISNUMBER($B$9)),$B$9&lt;=0),"PENDIENTE",$B$14/$B$9)</f>
        <v/>
      </c>
      <c r="E15" s="16" t="inlineStr">
        <is>
          <t>Qué porcentaje de cada venta queda para cubrir costos fijos.</t>
        </is>
      </c>
    </row>
    <row r="16">
      <c r="A16" s="67" t="inlineStr">
        <is>
          <t>PUNTO DE EQUILIBRIO EN UNIDADES</t>
        </is>
      </c>
      <c r="B16" s="74">
        <f>IF(OR(NOT(ISNUMBER($B$8)),NOT(ISNUMBER($B$14))),"PENDIENTE",IF($B$14&lt;=0,"IMPOSIBLE: el margen de contribución no es positivo",ROUNDUP($B$8/$B$14,0)))</f>
        <v/>
      </c>
      <c r="E16" s="16" t="inlineStr">
        <is>
          <t>Unidades que debe vender en el mes para no ganar ni perder.</t>
        </is>
      </c>
    </row>
    <row r="17">
      <c r="A17" s="67" t="inlineStr">
        <is>
          <t>PUNTO DE EQUILIBRIO EN LEMPIRAS</t>
        </is>
      </c>
      <c r="B17" s="75">
        <f>IF(OR(NOT(ISNUMBER($B$16)),NOT(ISNUMBER($B$9))),"PENDIENTE",$B$16*$B$9)</f>
        <v/>
      </c>
      <c r="E17" s="16" t="inlineStr">
        <is>
          <t>Ventas mensuales necesarias para no ganar ni perder.</t>
        </is>
      </c>
    </row>
    <row r="18">
      <c r="A18" s="63" t="inlineStr">
        <is>
          <t>Punto de equilibrio diario (unidades)</t>
        </is>
      </c>
      <c r="B18" s="39">
        <f>IF(OR(NOT(ISNUMBER($B$16)),NOT(ISNUMBER($B$11)),$B$11&lt;=0),"PENDIENTE",ROUNDUP($B$16/$B$11,0))</f>
        <v/>
      </c>
      <c r="E18" s="16" t="inlineStr">
        <is>
          <t>Unidades por día de venta.</t>
        </is>
      </c>
    </row>
    <row r="19">
      <c r="A19" s="63" t="inlineStr">
        <is>
          <t>Punto de equilibrio diario (Lempiras)</t>
        </is>
      </c>
      <c r="B19" s="37">
        <f>IF(OR(NOT(ISNUMBER($B$17)),NOT(ISNUMBER($B$11)),$B$11&lt;=0),"PENDIENTE",$B$17/$B$11)</f>
        <v/>
      </c>
      <c r="E19" s="16" t="inlineStr">
        <is>
          <t>Venta diaria necesaria.</t>
        </is>
      </c>
    </row>
    <row r="20">
      <c r="A20" s="63" t="inlineStr">
        <is>
          <t>Unidades vendidas por mes (promedio real)</t>
        </is>
      </c>
      <c r="B20" s="39">
        <f>IF(COUNTIF(RENTABILIDAD!$E$8:$E$43,"&gt;0")=0,"",SUMIF(RENTABILIDAD!$E$8:$E$43,"&gt;0")/COUNTIF(RENTABILIDAD!$E$8:$E$43,"&gt;0"))</f>
        <v/>
      </c>
      <c r="E20" s="16" t="inlineStr">
        <is>
          <t>Promedio de los meses en los que sí hubo ventas.</t>
        </is>
      </c>
    </row>
    <row r="21">
      <c r="A21" s="63" t="inlineStr">
        <is>
          <t>Margen de seguridad (unidades)</t>
        </is>
      </c>
      <c r="B21" s="39">
        <f>IF(OR(NOT(ISNUMBER($B$20)),NOT(ISNUMBER($B$16))),"PENDIENTE",$B$20-$B$16)</f>
        <v/>
      </c>
      <c r="E21" s="16" t="inlineStr">
        <is>
          <t>Cuántas unidades por encima del equilibrio vende hoy. Negativo = todavía pierde dinero.</t>
        </is>
      </c>
    </row>
    <row r="22">
      <c r="A22" s="63" t="inlineStr">
        <is>
          <t>Margen de seguridad %</t>
        </is>
      </c>
      <c r="B22" s="38">
        <f>IF(OR(NOT(ISNUMBER($B$21)),NOT(ISNUMBER($B$20)),$B$20&lt;=0),"PENDIENTE",$B$21/$B$20)</f>
        <v/>
      </c>
      <c r="E22" s="16" t="inlineStr">
        <is>
          <t>Cuánto pueden caer sus ventas antes de empezar a perder.</t>
        </is>
      </c>
    </row>
    <row r="23">
      <c r="A23" s="63" t="inlineStr">
        <is>
          <t>Utilidad operativa esperada al nivel actual</t>
        </is>
      </c>
      <c r="B23" s="37">
        <f>IF(OR(NOT(ISNUMBER($B$20)),NOT(ISNUMBER($B$14)),NOT(ISNUMBER($B$8))),"PENDIENTE",$B$20*$B$14-$B$8)</f>
        <v/>
      </c>
      <c r="E23" s="16" t="inlineStr">
        <is>
          <t>(Unidades promedio × margen de contribución) − costos fijos.</t>
        </is>
      </c>
    </row>
    <row r="25">
      <c r="A25" s="3" t="inlineStr">
        <is>
          <t>3 · SIMULADOR: ¿CUÁNTO DEBO VENDER PARA GANAR X?</t>
        </is>
      </c>
      <c r="B25" s="4" t="n"/>
      <c r="C25" s="4" t="n"/>
      <c r="D25" s="4" t="n"/>
      <c r="E25" s="4" t="n"/>
    </row>
    <row r="26">
      <c r="A26" s="67" t="inlineStr">
        <is>
          <t>Utilidad mensual deseada</t>
        </is>
      </c>
      <c r="B26" s="36" t="n"/>
      <c r="E26" s="16" t="inlineStr">
        <is>
          <t>Escriba cuánto quiere ganar en el mes (utilidad operativa).</t>
        </is>
      </c>
    </row>
    <row r="27">
      <c r="A27" s="18" t="inlineStr">
        <is>
          <t>Unidades necesarias para lograrlo</t>
        </is>
      </c>
      <c r="B27" s="39">
        <f>IF(OR(NOT(ISNUMBER($B$26)),NOT(ISNUMBER($B$8)),NOT(ISNUMBER($B$14)),$B$14&lt;=0),"PENDIENTE",ROUNDUP(($B$8+$B$26)/$B$14,0))</f>
        <v/>
      </c>
    </row>
    <row r="28">
      <c r="A28" s="18" t="inlineStr">
        <is>
          <t>Ventas necesarias para lograrlo</t>
        </is>
      </c>
      <c r="B28" s="37">
        <f>IF(OR(NOT(ISNUMBER($B$27)),NOT(ISNUMBER($B$9))),"PENDIENTE",$B$27*$B$9)</f>
        <v/>
      </c>
    </row>
    <row r="29">
      <c r="A29" s="18" t="inlineStr">
        <is>
          <t>Venta diaria necesaria</t>
        </is>
      </c>
      <c r="B29" s="37">
        <f>IF(OR(NOT(ISNUMBER($B$28)),NOT(ISNUMBER($B$11)),$B$11&lt;=0),"PENDIENTE",$B$28/$B$11)</f>
        <v/>
      </c>
    </row>
    <row r="31">
      <c r="G31" s="3" t="inlineStr">
        <is>
          <t>4 · SENSIBILIDAD DEL PUNTO DE EQUILIBRIO (unidades)</t>
        </is>
      </c>
      <c r="H31" s="4" t="n"/>
      <c r="I31" s="4" t="n"/>
      <c r="J31" s="4" t="n"/>
      <c r="K31" s="4" t="n"/>
      <c r="L31" s="4" t="n"/>
    </row>
    <row r="32">
      <c r="G32" s="11" t="inlineStr">
        <is>
          <t>Precio ↓ / Costo variable →</t>
        </is>
      </c>
      <c r="H32" s="76" t="n">
        <v>-0.1</v>
      </c>
      <c r="I32" s="76" t="n">
        <v>-0.05</v>
      </c>
      <c r="J32" s="76" t="n">
        <v>0</v>
      </c>
      <c r="K32" s="76" t="n">
        <v>0.05</v>
      </c>
      <c r="L32" s="76" t="n">
        <v>0.1</v>
      </c>
    </row>
    <row r="33">
      <c r="G33" s="76" t="n">
        <v>-0.1</v>
      </c>
      <c r="H33" s="39">
        <f>IF(OR(NOT(ISNUMBER($B$8)),NOT(ISNUMBER($B$9)),NOT(ISNUMBER($B$10))),"",IF(($B$9*(1+$G33)-$B$10*(1+H$32))&lt;=0,"—",ROUNDUP($B$8/($B$9*(1+$G33)-$B$10*(1+H$32)),0)))</f>
        <v/>
      </c>
      <c r="I33" s="39">
        <f>IF(OR(NOT(ISNUMBER($B$8)),NOT(ISNUMBER($B$9)),NOT(ISNUMBER($B$10))),"",IF(($B$9*(1+$G33)-$B$10*(1+I$32))&lt;=0,"—",ROUNDUP($B$8/($B$9*(1+$G33)-$B$10*(1+I$32)),0)))</f>
        <v/>
      </c>
      <c r="J33" s="39">
        <f>IF(OR(NOT(ISNUMBER($B$8)),NOT(ISNUMBER($B$9)),NOT(ISNUMBER($B$10))),"",IF(($B$9*(1+$G33)-$B$10*(1+J$32))&lt;=0,"—",ROUNDUP($B$8/($B$9*(1+$G33)-$B$10*(1+J$32)),0)))</f>
        <v/>
      </c>
      <c r="K33" s="39">
        <f>IF(OR(NOT(ISNUMBER($B$8)),NOT(ISNUMBER($B$9)),NOT(ISNUMBER($B$10))),"",IF(($B$9*(1+$G33)-$B$10*(1+K$32))&lt;=0,"—",ROUNDUP($B$8/($B$9*(1+$G33)-$B$10*(1+K$32)),0)))</f>
        <v/>
      </c>
      <c r="L33" s="39">
        <f>IF(OR(NOT(ISNUMBER($B$8)),NOT(ISNUMBER($B$9)),NOT(ISNUMBER($B$10))),"",IF(($B$9*(1+$G33)-$B$10*(1+L$32))&lt;=0,"—",ROUNDUP($B$8/($B$9*(1+$G33)-$B$10*(1+L$32)),0)))</f>
        <v/>
      </c>
    </row>
    <row r="34">
      <c r="G34" s="76" t="n">
        <v>-0.05</v>
      </c>
      <c r="H34" s="39">
        <f>IF(OR(NOT(ISNUMBER($B$8)),NOT(ISNUMBER($B$9)),NOT(ISNUMBER($B$10))),"",IF(($B$9*(1+$G34)-$B$10*(1+H$32))&lt;=0,"—",ROUNDUP($B$8/($B$9*(1+$G34)-$B$10*(1+H$32)),0)))</f>
        <v/>
      </c>
      <c r="I34" s="39">
        <f>IF(OR(NOT(ISNUMBER($B$8)),NOT(ISNUMBER($B$9)),NOT(ISNUMBER($B$10))),"",IF(($B$9*(1+$G34)-$B$10*(1+I$32))&lt;=0,"—",ROUNDUP($B$8/($B$9*(1+$G34)-$B$10*(1+I$32)),0)))</f>
        <v/>
      </c>
      <c r="J34" s="39">
        <f>IF(OR(NOT(ISNUMBER($B$8)),NOT(ISNUMBER($B$9)),NOT(ISNUMBER($B$10))),"",IF(($B$9*(1+$G34)-$B$10*(1+J$32))&lt;=0,"—",ROUNDUP($B$8/($B$9*(1+$G34)-$B$10*(1+J$32)),0)))</f>
        <v/>
      </c>
      <c r="K34" s="39">
        <f>IF(OR(NOT(ISNUMBER($B$8)),NOT(ISNUMBER($B$9)),NOT(ISNUMBER($B$10))),"",IF(($B$9*(1+$G34)-$B$10*(1+K$32))&lt;=0,"—",ROUNDUP($B$8/($B$9*(1+$G34)-$B$10*(1+K$32)),0)))</f>
        <v/>
      </c>
      <c r="L34" s="39">
        <f>IF(OR(NOT(ISNUMBER($B$8)),NOT(ISNUMBER($B$9)),NOT(ISNUMBER($B$10))),"",IF(($B$9*(1+$G34)-$B$10*(1+L$32))&lt;=0,"—",ROUNDUP($B$8/($B$9*(1+$G34)-$B$10*(1+L$32)),0)))</f>
        <v/>
      </c>
    </row>
    <row r="35">
      <c r="G35" s="76" t="n">
        <v>0</v>
      </c>
      <c r="H35" s="39">
        <f>IF(OR(NOT(ISNUMBER($B$8)),NOT(ISNUMBER($B$9)),NOT(ISNUMBER($B$10))),"",IF(($B$9*(1+$G35)-$B$10*(1+H$32))&lt;=0,"—",ROUNDUP($B$8/($B$9*(1+$G35)-$B$10*(1+H$32)),0)))</f>
        <v/>
      </c>
      <c r="I35" s="39">
        <f>IF(OR(NOT(ISNUMBER($B$8)),NOT(ISNUMBER($B$9)),NOT(ISNUMBER($B$10))),"",IF(($B$9*(1+$G35)-$B$10*(1+I$32))&lt;=0,"—",ROUNDUP($B$8/($B$9*(1+$G35)-$B$10*(1+I$32)),0)))</f>
        <v/>
      </c>
      <c r="J35" s="39">
        <f>IF(OR(NOT(ISNUMBER($B$8)),NOT(ISNUMBER($B$9)),NOT(ISNUMBER($B$10))),"",IF(($B$9*(1+$G35)-$B$10*(1+J$32))&lt;=0,"—",ROUNDUP($B$8/($B$9*(1+$G35)-$B$10*(1+J$32)),0)))</f>
        <v/>
      </c>
      <c r="K35" s="39">
        <f>IF(OR(NOT(ISNUMBER($B$8)),NOT(ISNUMBER($B$9)),NOT(ISNUMBER($B$10))),"",IF(($B$9*(1+$G35)-$B$10*(1+K$32))&lt;=0,"—",ROUNDUP($B$8/($B$9*(1+$G35)-$B$10*(1+K$32)),0)))</f>
        <v/>
      </c>
      <c r="L35" s="39">
        <f>IF(OR(NOT(ISNUMBER($B$8)),NOT(ISNUMBER($B$9)),NOT(ISNUMBER($B$10))),"",IF(($B$9*(1+$G35)-$B$10*(1+L$32))&lt;=0,"—",ROUNDUP($B$8/($B$9*(1+$G35)-$B$10*(1+L$32)),0)))</f>
        <v/>
      </c>
    </row>
    <row r="36">
      <c r="G36" s="76" t="n">
        <v>0.05</v>
      </c>
      <c r="H36" s="39">
        <f>IF(OR(NOT(ISNUMBER($B$8)),NOT(ISNUMBER($B$9)),NOT(ISNUMBER($B$10))),"",IF(($B$9*(1+$G36)-$B$10*(1+H$32))&lt;=0,"—",ROUNDUP($B$8/($B$9*(1+$G36)-$B$10*(1+H$32)),0)))</f>
        <v/>
      </c>
      <c r="I36" s="39">
        <f>IF(OR(NOT(ISNUMBER($B$8)),NOT(ISNUMBER($B$9)),NOT(ISNUMBER($B$10))),"",IF(($B$9*(1+$G36)-$B$10*(1+I$32))&lt;=0,"—",ROUNDUP($B$8/($B$9*(1+$G36)-$B$10*(1+I$32)),0)))</f>
        <v/>
      </c>
      <c r="J36" s="39">
        <f>IF(OR(NOT(ISNUMBER($B$8)),NOT(ISNUMBER($B$9)),NOT(ISNUMBER($B$10))),"",IF(($B$9*(1+$G36)-$B$10*(1+J$32))&lt;=0,"—",ROUNDUP($B$8/($B$9*(1+$G36)-$B$10*(1+J$32)),0)))</f>
        <v/>
      </c>
      <c r="K36" s="39">
        <f>IF(OR(NOT(ISNUMBER($B$8)),NOT(ISNUMBER($B$9)),NOT(ISNUMBER($B$10))),"",IF(($B$9*(1+$G36)-$B$10*(1+K$32))&lt;=0,"—",ROUNDUP($B$8/($B$9*(1+$G36)-$B$10*(1+K$32)),0)))</f>
        <v/>
      </c>
      <c r="L36" s="39">
        <f>IF(OR(NOT(ISNUMBER($B$8)),NOT(ISNUMBER($B$9)),NOT(ISNUMBER($B$10))),"",IF(($B$9*(1+$G36)-$B$10*(1+L$32))&lt;=0,"—",ROUNDUP($B$8/($B$9*(1+$G36)-$B$10*(1+L$32)),0)))</f>
        <v/>
      </c>
    </row>
    <row r="37">
      <c r="G37" s="76" t="n">
        <v>0.1</v>
      </c>
      <c r="H37" s="39">
        <f>IF(OR(NOT(ISNUMBER($B$8)),NOT(ISNUMBER($B$9)),NOT(ISNUMBER($B$10))),"",IF(($B$9*(1+$G37)-$B$10*(1+H$32))&lt;=0,"—",ROUNDUP($B$8/($B$9*(1+$G37)-$B$10*(1+H$32)),0)))</f>
        <v/>
      </c>
      <c r="I37" s="39">
        <f>IF(OR(NOT(ISNUMBER($B$8)),NOT(ISNUMBER($B$9)),NOT(ISNUMBER($B$10))),"",IF(($B$9*(1+$G37)-$B$10*(1+I$32))&lt;=0,"—",ROUNDUP($B$8/($B$9*(1+$G37)-$B$10*(1+I$32)),0)))</f>
        <v/>
      </c>
      <c r="J37" s="39">
        <f>IF(OR(NOT(ISNUMBER($B$8)),NOT(ISNUMBER($B$9)),NOT(ISNUMBER($B$10))),"",IF(($B$9*(1+$G37)-$B$10*(1+J$32))&lt;=0,"—",ROUNDUP($B$8/($B$9*(1+$G37)-$B$10*(1+J$32)),0)))</f>
        <v/>
      </c>
      <c r="K37" s="39">
        <f>IF(OR(NOT(ISNUMBER($B$8)),NOT(ISNUMBER($B$9)),NOT(ISNUMBER($B$10))),"",IF(($B$9*(1+$G37)-$B$10*(1+K$32))&lt;=0,"—",ROUNDUP($B$8/($B$9*(1+$G37)-$B$10*(1+K$32)),0)))</f>
        <v/>
      </c>
      <c r="L37" s="39">
        <f>IF(OR(NOT(ISNUMBER($B$8)),NOT(ISNUMBER($B$9)),NOT(ISNUMBER($B$10))),"",IF(($B$9*(1+$G37)-$B$10*(1+L$32))&lt;=0,"—",ROUNDUP($B$8/($B$9*(1+$G37)-$B$10*(1+L$32)),0)))</f>
        <v/>
      </c>
    </row>
    <row r="39">
      <c r="G39" s="16" t="inlineStr">
        <is>
          <t>Lee así: si su precio baja 10% y su costo variable sube 10%, necesita vender las unidades que muestra la celda correspondiente para seguir en equilibrio.</t>
        </is>
      </c>
    </row>
    <row r="40"/>
  </sheetData>
  <mergeCells count="2">
    <mergeCell ref="G39:L40"/>
    <mergeCell ref="A3:E3"/>
  </mergeCells>
  <conditionalFormatting sqref="B21:B22">
    <cfRule type="cellIs" priority="1" operator="lessThan" dxfId="0">
      <formula>0</formula>
    </cfRule>
  </conditionalFormatting>
  <conditionalFormatting sqref="H33:L37">
    <cfRule type="colorScale" priority="2">
      <colorScale>
        <cfvo type="min"/>
        <cfvo type="max"/>
        <color rgb="00E3F4EA"/>
        <color rgb="00FBE3E6"/>
      </colorScale>
    </cfRule>
  </conditionalFormatting>
  <dataValidations count="1">
    <dataValidation sqref="B7" showDropDown="0" showInputMessage="0" showErrorMessage="0" allowBlank="1" errorTitle="Valor fuera de la lista" error="Ese valor no está en la lista. Agréguelo en la hoja CONFIG si es nuevo." type="list" errorStyle="stop">
      <formula1>=LISTA_MODO</formula1>
    </dataValidation>
  </dataValidations>
  <printOptions horizontalCentered="1"/>
  <pageMargins left="0.4" right="0.4" top="0.5" bottom="0.5" header="0.5" footer="0.5"/>
  <pageSetup orientation="landscape" fitToHeight="0" fitToWidth="1"/>
</worksheet>
</file>

<file path=xl/worksheets/sheet14.xml><?xml version="1.0" encoding="utf-8"?>
<worksheet xmlns="http://schemas.openxmlformats.org/spreadsheetml/2006/main">
  <sheetPr>
    <tabColor rgb="001E7B4F"/>
    <outlinePr summaryBelow="1" summaryRight="1"/>
    <pageSetUpPr fitToPage="1"/>
  </sheetPr>
  <dimension ref="A1:W43"/>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2" customWidth="1" min="4" max="4"/>
    <col width="12" customWidth="1" min="5" max="5"/>
    <col width="13" customWidth="1" min="6" max="6"/>
    <col width="14" customWidth="1" min="7" max="7"/>
    <col width="14" customWidth="1" min="8" max="8"/>
    <col width="12" customWidth="1" min="9" max="9"/>
    <col width="12" customWidth="1" min="10" max="10"/>
    <col width="14" customWidth="1" min="11" max="11"/>
    <col width="12" customWidth="1" min="12" max="12"/>
    <col width="12" customWidth="1" min="13" max="13"/>
    <col width="12" customWidth="1" min="14" max="14"/>
    <col width="12" customWidth="1" min="15" max="15"/>
    <col width="14" customWidth="1" min="16" max="16"/>
    <col width="14" customWidth="1" min="17" max="17"/>
    <col width="12" customWidth="1" min="18" max="18"/>
    <col width="13" customWidth="1" min="19" max="19"/>
    <col width="10" customWidth="1" min="20" max="20"/>
    <col width="10" customWidth="1" min="21" max="21"/>
    <col width="14" customWidth="1" min="22" max="22"/>
    <col width="16" customWidth="1" min="23" max="23"/>
  </cols>
  <sheetData>
    <row r="1">
      <c r="A1" s="1" t="inlineStr">
        <is>
          <t>METAS — Objetivos y cumplimiento</t>
        </is>
      </c>
    </row>
    <row r="2">
      <c r="A2" s="2" t="inlineStr">
        <is>
          <t>Escriba sus metas del mes en las columnas amarillas. El sistema compara contra la realidad, calcula el % de cumplimiento y le dice cuánto necesita vender por día para llegar.</t>
        </is>
      </c>
    </row>
    <row r="3">
      <c r="A3" s="16" t="inlineStr">
        <is>
          <t>Si deja una meta vacía, el sistema no inventa ninguna: simplemente indicará «SIN META».</t>
        </is>
      </c>
    </row>
    <row r="5">
      <c r="A5" s="3" t="inlineStr">
        <is>
          <t>METAS MENSUALES Y SEGUIMIENTO</t>
        </is>
      </c>
      <c r="B5" s="4" t="n"/>
      <c r="C5" s="4" t="n"/>
      <c r="D5" s="4" t="n"/>
      <c r="E5" s="4" t="n"/>
      <c r="F5" s="4" t="n"/>
      <c r="G5" s="4" t="n"/>
      <c r="H5" s="4" t="n"/>
      <c r="I5" s="4" t="n"/>
      <c r="J5" s="4" t="n"/>
      <c r="K5" s="4" t="n"/>
      <c r="L5" s="4" t="n"/>
      <c r="M5" s="4" t="n"/>
      <c r="N5" s="4" t="n"/>
      <c r="O5" s="4" t="n"/>
      <c r="P5" s="4" t="n"/>
      <c r="Q5" s="4" t="n"/>
      <c r="R5" s="4" t="n"/>
      <c r="S5" s="4" t="n"/>
      <c r="T5" s="4" t="n"/>
      <c r="U5" s="4" t="n"/>
      <c r="V5" s="4" t="n"/>
      <c r="W5" s="4" t="n"/>
    </row>
    <row r="6" ht="48" customHeight="1">
      <c r="A6" s="11" t="inlineStr">
        <is>
          <t>Mes</t>
        </is>
      </c>
      <c r="B6" s="11" t="inlineStr">
        <is>
          <t>Meta de ventas</t>
        </is>
      </c>
      <c r="C6" s="11" t="inlineStr">
        <is>
          <t>Meta de utilidad neta</t>
        </is>
      </c>
      <c r="D6" s="11" t="inlineStr">
        <is>
          <t>Meta de unidades</t>
        </is>
      </c>
      <c r="E6" s="11" t="inlineStr">
        <is>
          <t>Meta de margen neto %</t>
        </is>
      </c>
      <c r="F6" s="11" t="inlineStr">
        <is>
          <t>Meta de efectivo (flujo neto)</t>
        </is>
      </c>
      <c r="G6" s="11" t="inlineStr">
        <is>
          <t>Ventas reales</t>
        </is>
      </c>
      <c r="H6" s="11" t="inlineStr">
        <is>
          <t>Utilidad neta real</t>
        </is>
      </c>
      <c r="I6" s="11" t="inlineStr">
        <is>
          <t>Unidades reales</t>
        </is>
      </c>
      <c r="J6" s="11" t="inlineStr">
        <is>
          <t>Margen neto real</t>
        </is>
      </c>
      <c r="K6" s="11" t="inlineStr">
        <is>
          <t>Flujo de efectivo real</t>
        </is>
      </c>
      <c r="L6" s="11" t="inlineStr">
        <is>
          <t>% cumplimiento ventas</t>
        </is>
      </c>
      <c r="M6" s="11" t="inlineStr">
        <is>
          <t>% cumplimiento utilidad</t>
        </is>
      </c>
      <c r="N6" s="11" t="inlineStr">
        <is>
          <t>% cumplimiento unidades</t>
        </is>
      </c>
      <c r="O6" s="11" t="inlineStr">
        <is>
          <t>% cumplimiento efectivo</t>
        </is>
      </c>
      <c r="P6" s="11" t="inlineStr">
        <is>
          <t>Diferencia en ventas</t>
        </is>
      </c>
      <c r="Q6" s="11" t="inlineStr">
        <is>
          <t>Diferencia en utilidad</t>
        </is>
      </c>
      <c r="R6" s="11" t="inlineStr">
        <is>
          <t>Diferencia en unidades</t>
        </is>
      </c>
      <c r="S6" s="11" t="inlineStr">
        <is>
          <t>Venta diaria requerida (mes completo)</t>
        </is>
      </c>
      <c r="T6" s="11" t="inlineStr">
        <is>
          <t>Días transcurridos</t>
        </is>
      </c>
      <c r="U6" s="11" t="inlineStr">
        <is>
          <t>Días restantes</t>
        </is>
      </c>
      <c r="V6" s="11" t="inlineStr">
        <is>
          <t>Venta diaria requerida para alcanzar la meta</t>
        </is>
      </c>
      <c r="W6" s="11" t="inlineStr">
        <is>
          <t>ESTADO</t>
        </is>
      </c>
    </row>
    <row r="7">
      <c r="A7" s="55">
        <f>IF(NOT(ISNUMBER(PAR_FECHA_INICIO)),"",DATE(YEAR(PAR_FECHA_INICIO),MONTH(PAR_FECHA_INICIO)+0,1))</f>
        <v/>
      </c>
      <c r="B7" s="36" t="n"/>
      <c r="C7" s="36" t="n"/>
      <c r="D7" s="34" t="n"/>
      <c r="E7" s="50" t="n"/>
      <c r="F7" s="36" t="n"/>
      <c r="G7" s="37">
        <f>IF($A7="","",RENTABILIDAD!$D$8)</f>
        <v/>
      </c>
      <c r="H7" s="37">
        <f>IF($A7="","",RENTABILIDAD!$O$8)</f>
        <v/>
      </c>
      <c r="I7" s="39">
        <f>IF($A7="","",RENTABILIDAD!$E$8)</f>
        <v/>
      </c>
      <c r="J7" s="38">
        <f>IF(OR($A7="",$G7=0),"",$H7/$G7)</f>
        <v/>
      </c>
      <c r="K7" s="37">
        <f>IF($A7="","",CAJA!$N$7)</f>
        <v/>
      </c>
      <c r="L7" s="38">
        <f>IF(OR($A7="",$B7="",NOT(ISNUMBER($B7)),$B7=0),"",$G7/$B7)</f>
        <v/>
      </c>
      <c r="M7" s="38">
        <f>IF(OR($A7="",$C7="",NOT(ISNUMBER($C7)),$C7=0),"",$H7/$C7)</f>
        <v/>
      </c>
      <c r="N7" s="38">
        <f>IF(OR($A7="",$D7="",NOT(ISNUMBER($D7)),$D7=0),"",$I7/$D7)</f>
        <v/>
      </c>
      <c r="O7" s="38">
        <f>IF(OR($A7="",$F7="",NOT(ISNUMBER($F7)),$F7=0),"",$K7/$F7)</f>
        <v/>
      </c>
      <c r="P7" s="37">
        <f>IF(OR($A7="",NOT(ISNUMBER($B7))),"",$G7-$B7)</f>
        <v/>
      </c>
      <c r="Q7" s="37">
        <f>IF(OR($A7="",NOT(ISNUMBER($C7))),"",$H7-$C7)</f>
        <v/>
      </c>
      <c r="R7" s="39">
        <f>IF(OR($A7="",NOT(ISNUMBER($D7))),"",$I7-$D7)</f>
        <v/>
      </c>
      <c r="S7" s="37">
        <f>IF(OR($A7="",NOT(ISNUMBER($B7)),NOT(ISNUMBER(PAR_DIAS_MES)),PAR_DIAS_MES&lt;=0),"",$B7/PAR_DIAS_MES)</f>
        <v/>
      </c>
      <c r="T7" s="39">
        <f>IF($A7="","",IF(TODAY()&gt;=DATE(YEAR($A7),MONTH($A7)+1,1),DAY(DATE(YEAR($A7),MONTH($A7)+1,0)),IF(TODAY()&lt;$A7,0,DAY(TODAY()))))</f>
        <v/>
      </c>
      <c r="U7" s="39">
        <f>IF($A7="","",DAY(DATE(YEAR($A7),MONTH($A7)+1,0))-$T7)</f>
        <v/>
      </c>
      <c r="V7" s="37">
        <f>IF(OR($A7="",NOT(ISNUMBER($B7)),$U7&lt;=0),"",MAX(0,($B7-$G7)/$U7))</f>
        <v/>
      </c>
      <c r="W7" s="52">
        <f>IF($A7="","",IF(NOT(ISNUMBER($B7)),"SIN META",IF($G7&gt;=$B7,"META CUMPLIDA",IF($U7&lt;=0,"NO ALCANZADA",IF($L7&gt;=($T7/MAX(1,DAY(DATE(YEAR($A7),MONTH($A7)+1,0)))),"EN RITMO","ATRASADA")))))</f>
        <v/>
      </c>
    </row>
    <row r="8">
      <c r="A8" s="55">
        <f>IF(NOT(ISNUMBER(PAR_FECHA_INICIO)),"",DATE(YEAR(PAR_FECHA_INICIO),MONTH(PAR_FECHA_INICIO)+1,1))</f>
        <v/>
      </c>
      <c r="B8" s="36" t="n"/>
      <c r="C8" s="36" t="n"/>
      <c r="D8" s="34" t="n"/>
      <c r="E8" s="50" t="n"/>
      <c r="F8" s="36" t="n"/>
      <c r="G8" s="37">
        <f>IF($A8="","",RENTABILIDAD!$D$9)</f>
        <v/>
      </c>
      <c r="H8" s="37">
        <f>IF($A8="","",RENTABILIDAD!$O$9)</f>
        <v/>
      </c>
      <c r="I8" s="39">
        <f>IF($A8="","",RENTABILIDAD!$E$9)</f>
        <v/>
      </c>
      <c r="J8" s="38">
        <f>IF(OR($A8="",$G8=0),"",$H8/$G8)</f>
        <v/>
      </c>
      <c r="K8" s="37">
        <f>IF($A8="","",CAJA!$N$8)</f>
        <v/>
      </c>
      <c r="L8" s="38">
        <f>IF(OR($A8="",$B8="",NOT(ISNUMBER($B8)),$B8=0),"",$G8/$B8)</f>
        <v/>
      </c>
      <c r="M8" s="38">
        <f>IF(OR($A8="",$C8="",NOT(ISNUMBER($C8)),$C8=0),"",$H8/$C8)</f>
        <v/>
      </c>
      <c r="N8" s="38">
        <f>IF(OR($A8="",$D8="",NOT(ISNUMBER($D8)),$D8=0),"",$I8/$D8)</f>
        <v/>
      </c>
      <c r="O8" s="38">
        <f>IF(OR($A8="",$F8="",NOT(ISNUMBER($F8)),$F8=0),"",$K8/$F8)</f>
        <v/>
      </c>
      <c r="P8" s="37">
        <f>IF(OR($A8="",NOT(ISNUMBER($B8))),"",$G8-$B8)</f>
        <v/>
      </c>
      <c r="Q8" s="37">
        <f>IF(OR($A8="",NOT(ISNUMBER($C8))),"",$H8-$C8)</f>
        <v/>
      </c>
      <c r="R8" s="39">
        <f>IF(OR($A8="",NOT(ISNUMBER($D8))),"",$I8-$D8)</f>
        <v/>
      </c>
      <c r="S8" s="37">
        <f>IF(OR($A8="",NOT(ISNUMBER($B8)),NOT(ISNUMBER(PAR_DIAS_MES)),PAR_DIAS_MES&lt;=0),"",$B8/PAR_DIAS_MES)</f>
        <v/>
      </c>
      <c r="T8" s="39">
        <f>IF($A8="","",IF(TODAY()&gt;=DATE(YEAR($A8),MONTH($A8)+1,1),DAY(DATE(YEAR($A8),MONTH($A8)+1,0)),IF(TODAY()&lt;$A8,0,DAY(TODAY()))))</f>
        <v/>
      </c>
      <c r="U8" s="39">
        <f>IF($A8="","",DAY(DATE(YEAR($A8),MONTH($A8)+1,0))-$T8)</f>
        <v/>
      </c>
      <c r="V8" s="37">
        <f>IF(OR($A8="",NOT(ISNUMBER($B8)),$U8&lt;=0),"",MAX(0,($B8-$G8)/$U8))</f>
        <v/>
      </c>
      <c r="W8" s="52">
        <f>IF($A8="","",IF(NOT(ISNUMBER($B8)),"SIN META",IF($G8&gt;=$B8,"META CUMPLIDA",IF($U8&lt;=0,"NO ALCANZADA",IF($L8&gt;=($T8/MAX(1,DAY(DATE(YEAR($A8),MONTH($A8)+1,0)))),"EN RITMO","ATRASADA")))))</f>
        <v/>
      </c>
    </row>
    <row r="9">
      <c r="A9" s="55">
        <f>IF(NOT(ISNUMBER(PAR_FECHA_INICIO)),"",DATE(YEAR(PAR_FECHA_INICIO),MONTH(PAR_FECHA_INICIO)+2,1))</f>
        <v/>
      </c>
      <c r="B9" s="36" t="n"/>
      <c r="C9" s="36" t="n"/>
      <c r="D9" s="34" t="n"/>
      <c r="E9" s="50" t="n"/>
      <c r="F9" s="36" t="n"/>
      <c r="G9" s="37">
        <f>IF($A9="","",RENTABILIDAD!$D$10)</f>
        <v/>
      </c>
      <c r="H9" s="37">
        <f>IF($A9="","",RENTABILIDAD!$O$10)</f>
        <v/>
      </c>
      <c r="I9" s="39">
        <f>IF($A9="","",RENTABILIDAD!$E$10)</f>
        <v/>
      </c>
      <c r="J9" s="38">
        <f>IF(OR($A9="",$G9=0),"",$H9/$G9)</f>
        <v/>
      </c>
      <c r="K9" s="37">
        <f>IF($A9="","",CAJA!$N$9)</f>
        <v/>
      </c>
      <c r="L9" s="38">
        <f>IF(OR($A9="",$B9="",NOT(ISNUMBER($B9)),$B9=0),"",$G9/$B9)</f>
        <v/>
      </c>
      <c r="M9" s="38">
        <f>IF(OR($A9="",$C9="",NOT(ISNUMBER($C9)),$C9=0),"",$H9/$C9)</f>
        <v/>
      </c>
      <c r="N9" s="38">
        <f>IF(OR($A9="",$D9="",NOT(ISNUMBER($D9)),$D9=0),"",$I9/$D9)</f>
        <v/>
      </c>
      <c r="O9" s="38">
        <f>IF(OR($A9="",$F9="",NOT(ISNUMBER($F9)),$F9=0),"",$K9/$F9)</f>
        <v/>
      </c>
      <c r="P9" s="37">
        <f>IF(OR($A9="",NOT(ISNUMBER($B9))),"",$G9-$B9)</f>
        <v/>
      </c>
      <c r="Q9" s="37">
        <f>IF(OR($A9="",NOT(ISNUMBER($C9))),"",$H9-$C9)</f>
        <v/>
      </c>
      <c r="R9" s="39">
        <f>IF(OR($A9="",NOT(ISNUMBER($D9))),"",$I9-$D9)</f>
        <v/>
      </c>
      <c r="S9" s="37">
        <f>IF(OR($A9="",NOT(ISNUMBER($B9)),NOT(ISNUMBER(PAR_DIAS_MES)),PAR_DIAS_MES&lt;=0),"",$B9/PAR_DIAS_MES)</f>
        <v/>
      </c>
      <c r="T9" s="39">
        <f>IF($A9="","",IF(TODAY()&gt;=DATE(YEAR($A9),MONTH($A9)+1,1),DAY(DATE(YEAR($A9),MONTH($A9)+1,0)),IF(TODAY()&lt;$A9,0,DAY(TODAY()))))</f>
        <v/>
      </c>
      <c r="U9" s="39">
        <f>IF($A9="","",DAY(DATE(YEAR($A9),MONTH($A9)+1,0))-$T9)</f>
        <v/>
      </c>
      <c r="V9" s="37">
        <f>IF(OR($A9="",NOT(ISNUMBER($B9)),$U9&lt;=0),"",MAX(0,($B9-$G9)/$U9))</f>
        <v/>
      </c>
      <c r="W9" s="52">
        <f>IF($A9="","",IF(NOT(ISNUMBER($B9)),"SIN META",IF($G9&gt;=$B9,"META CUMPLIDA",IF($U9&lt;=0,"NO ALCANZADA",IF($L9&gt;=($T9/MAX(1,DAY(DATE(YEAR($A9),MONTH($A9)+1,0)))),"EN RITMO","ATRASADA")))))</f>
        <v/>
      </c>
    </row>
    <row r="10">
      <c r="A10" s="55">
        <f>IF(NOT(ISNUMBER(PAR_FECHA_INICIO)),"",DATE(YEAR(PAR_FECHA_INICIO),MONTH(PAR_FECHA_INICIO)+3,1))</f>
        <v/>
      </c>
      <c r="B10" s="36" t="n"/>
      <c r="C10" s="36" t="n"/>
      <c r="D10" s="34" t="n"/>
      <c r="E10" s="50" t="n"/>
      <c r="F10" s="36" t="n"/>
      <c r="G10" s="37">
        <f>IF($A10="","",RENTABILIDAD!$D$11)</f>
        <v/>
      </c>
      <c r="H10" s="37">
        <f>IF($A10="","",RENTABILIDAD!$O$11)</f>
        <v/>
      </c>
      <c r="I10" s="39">
        <f>IF($A10="","",RENTABILIDAD!$E$11)</f>
        <v/>
      </c>
      <c r="J10" s="38">
        <f>IF(OR($A10="",$G10=0),"",$H10/$G10)</f>
        <v/>
      </c>
      <c r="K10" s="37">
        <f>IF($A10="","",CAJA!$N$10)</f>
        <v/>
      </c>
      <c r="L10" s="38">
        <f>IF(OR($A10="",$B10="",NOT(ISNUMBER($B10)),$B10=0),"",$G10/$B10)</f>
        <v/>
      </c>
      <c r="M10" s="38">
        <f>IF(OR($A10="",$C10="",NOT(ISNUMBER($C10)),$C10=0),"",$H10/$C10)</f>
        <v/>
      </c>
      <c r="N10" s="38">
        <f>IF(OR($A10="",$D10="",NOT(ISNUMBER($D10)),$D10=0),"",$I10/$D10)</f>
        <v/>
      </c>
      <c r="O10" s="38">
        <f>IF(OR($A10="",$F10="",NOT(ISNUMBER($F10)),$F10=0),"",$K10/$F10)</f>
        <v/>
      </c>
      <c r="P10" s="37">
        <f>IF(OR($A10="",NOT(ISNUMBER($B10))),"",$G10-$B10)</f>
        <v/>
      </c>
      <c r="Q10" s="37">
        <f>IF(OR($A10="",NOT(ISNUMBER($C10))),"",$H10-$C10)</f>
        <v/>
      </c>
      <c r="R10" s="39">
        <f>IF(OR($A10="",NOT(ISNUMBER($D10))),"",$I10-$D10)</f>
        <v/>
      </c>
      <c r="S10" s="37">
        <f>IF(OR($A10="",NOT(ISNUMBER($B10)),NOT(ISNUMBER(PAR_DIAS_MES)),PAR_DIAS_MES&lt;=0),"",$B10/PAR_DIAS_MES)</f>
        <v/>
      </c>
      <c r="T10" s="39">
        <f>IF($A10="","",IF(TODAY()&gt;=DATE(YEAR($A10),MONTH($A10)+1,1),DAY(DATE(YEAR($A10),MONTH($A10)+1,0)),IF(TODAY()&lt;$A10,0,DAY(TODAY()))))</f>
        <v/>
      </c>
      <c r="U10" s="39">
        <f>IF($A10="","",DAY(DATE(YEAR($A10),MONTH($A10)+1,0))-$T10)</f>
        <v/>
      </c>
      <c r="V10" s="37">
        <f>IF(OR($A10="",NOT(ISNUMBER($B10)),$U10&lt;=0),"",MAX(0,($B10-$G10)/$U10))</f>
        <v/>
      </c>
      <c r="W10" s="52">
        <f>IF($A10="","",IF(NOT(ISNUMBER($B10)),"SIN META",IF($G10&gt;=$B10,"META CUMPLIDA",IF($U10&lt;=0,"NO ALCANZADA",IF($L10&gt;=($T10/MAX(1,DAY(DATE(YEAR($A10),MONTH($A10)+1,0)))),"EN RITMO","ATRASADA")))))</f>
        <v/>
      </c>
    </row>
    <row r="11">
      <c r="A11" s="55">
        <f>IF(NOT(ISNUMBER(PAR_FECHA_INICIO)),"",DATE(YEAR(PAR_FECHA_INICIO),MONTH(PAR_FECHA_INICIO)+4,1))</f>
        <v/>
      </c>
      <c r="B11" s="36" t="n"/>
      <c r="C11" s="36" t="n"/>
      <c r="D11" s="34" t="n"/>
      <c r="E11" s="50" t="n"/>
      <c r="F11" s="36" t="n"/>
      <c r="G11" s="37">
        <f>IF($A11="","",RENTABILIDAD!$D$12)</f>
        <v/>
      </c>
      <c r="H11" s="37">
        <f>IF($A11="","",RENTABILIDAD!$O$12)</f>
        <v/>
      </c>
      <c r="I11" s="39">
        <f>IF($A11="","",RENTABILIDAD!$E$12)</f>
        <v/>
      </c>
      <c r="J11" s="38">
        <f>IF(OR($A11="",$G11=0),"",$H11/$G11)</f>
        <v/>
      </c>
      <c r="K11" s="37">
        <f>IF($A11="","",CAJA!$N$11)</f>
        <v/>
      </c>
      <c r="L11" s="38">
        <f>IF(OR($A11="",$B11="",NOT(ISNUMBER($B11)),$B11=0),"",$G11/$B11)</f>
        <v/>
      </c>
      <c r="M11" s="38">
        <f>IF(OR($A11="",$C11="",NOT(ISNUMBER($C11)),$C11=0),"",$H11/$C11)</f>
        <v/>
      </c>
      <c r="N11" s="38">
        <f>IF(OR($A11="",$D11="",NOT(ISNUMBER($D11)),$D11=0),"",$I11/$D11)</f>
        <v/>
      </c>
      <c r="O11" s="38">
        <f>IF(OR($A11="",$F11="",NOT(ISNUMBER($F11)),$F11=0),"",$K11/$F11)</f>
        <v/>
      </c>
      <c r="P11" s="37">
        <f>IF(OR($A11="",NOT(ISNUMBER($B11))),"",$G11-$B11)</f>
        <v/>
      </c>
      <c r="Q11" s="37">
        <f>IF(OR($A11="",NOT(ISNUMBER($C11))),"",$H11-$C11)</f>
        <v/>
      </c>
      <c r="R11" s="39">
        <f>IF(OR($A11="",NOT(ISNUMBER($D11))),"",$I11-$D11)</f>
        <v/>
      </c>
      <c r="S11" s="37">
        <f>IF(OR($A11="",NOT(ISNUMBER($B11)),NOT(ISNUMBER(PAR_DIAS_MES)),PAR_DIAS_MES&lt;=0),"",$B11/PAR_DIAS_MES)</f>
        <v/>
      </c>
      <c r="T11" s="39">
        <f>IF($A11="","",IF(TODAY()&gt;=DATE(YEAR($A11),MONTH($A11)+1,1),DAY(DATE(YEAR($A11),MONTH($A11)+1,0)),IF(TODAY()&lt;$A11,0,DAY(TODAY()))))</f>
        <v/>
      </c>
      <c r="U11" s="39">
        <f>IF($A11="","",DAY(DATE(YEAR($A11),MONTH($A11)+1,0))-$T11)</f>
        <v/>
      </c>
      <c r="V11" s="37">
        <f>IF(OR($A11="",NOT(ISNUMBER($B11)),$U11&lt;=0),"",MAX(0,($B11-$G11)/$U11))</f>
        <v/>
      </c>
      <c r="W11" s="52">
        <f>IF($A11="","",IF(NOT(ISNUMBER($B11)),"SIN META",IF($G11&gt;=$B11,"META CUMPLIDA",IF($U11&lt;=0,"NO ALCANZADA",IF($L11&gt;=($T11/MAX(1,DAY(DATE(YEAR($A11),MONTH($A11)+1,0)))),"EN RITMO","ATRASADA")))))</f>
        <v/>
      </c>
    </row>
    <row r="12">
      <c r="A12" s="55">
        <f>IF(NOT(ISNUMBER(PAR_FECHA_INICIO)),"",DATE(YEAR(PAR_FECHA_INICIO),MONTH(PAR_FECHA_INICIO)+5,1))</f>
        <v/>
      </c>
      <c r="B12" s="36" t="n"/>
      <c r="C12" s="36" t="n"/>
      <c r="D12" s="34" t="n"/>
      <c r="E12" s="50" t="n"/>
      <c r="F12" s="36" t="n"/>
      <c r="G12" s="37">
        <f>IF($A12="","",RENTABILIDAD!$D$13)</f>
        <v/>
      </c>
      <c r="H12" s="37">
        <f>IF($A12="","",RENTABILIDAD!$O$13)</f>
        <v/>
      </c>
      <c r="I12" s="39">
        <f>IF($A12="","",RENTABILIDAD!$E$13)</f>
        <v/>
      </c>
      <c r="J12" s="38">
        <f>IF(OR($A12="",$G12=0),"",$H12/$G12)</f>
        <v/>
      </c>
      <c r="K12" s="37">
        <f>IF($A12="","",CAJA!$N$12)</f>
        <v/>
      </c>
      <c r="L12" s="38">
        <f>IF(OR($A12="",$B12="",NOT(ISNUMBER($B12)),$B12=0),"",$G12/$B12)</f>
        <v/>
      </c>
      <c r="M12" s="38">
        <f>IF(OR($A12="",$C12="",NOT(ISNUMBER($C12)),$C12=0),"",$H12/$C12)</f>
        <v/>
      </c>
      <c r="N12" s="38">
        <f>IF(OR($A12="",$D12="",NOT(ISNUMBER($D12)),$D12=0),"",$I12/$D12)</f>
        <v/>
      </c>
      <c r="O12" s="38">
        <f>IF(OR($A12="",$F12="",NOT(ISNUMBER($F12)),$F12=0),"",$K12/$F12)</f>
        <v/>
      </c>
      <c r="P12" s="37">
        <f>IF(OR($A12="",NOT(ISNUMBER($B12))),"",$G12-$B12)</f>
        <v/>
      </c>
      <c r="Q12" s="37">
        <f>IF(OR($A12="",NOT(ISNUMBER($C12))),"",$H12-$C12)</f>
        <v/>
      </c>
      <c r="R12" s="39">
        <f>IF(OR($A12="",NOT(ISNUMBER($D12))),"",$I12-$D12)</f>
        <v/>
      </c>
      <c r="S12" s="37">
        <f>IF(OR($A12="",NOT(ISNUMBER($B12)),NOT(ISNUMBER(PAR_DIAS_MES)),PAR_DIAS_MES&lt;=0),"",$B12/PAR_DIAS_MES)</f>
        <v/>
      </c>
      <c r="T12" s="39">
        <f>IF($A12="","",IF(TODAY()&gt;=DATE(YEAR($A12),MONTH($A12)+1,1),DAY(DATE(YEAR($A12),MONTH($A12)+1,0)),IF(TODAY()&lt;$A12,0,DAY(TODAY()))))</f>
        <v/>
      </c>
      <c r="U12" s="39">
        <f>IF($A12="","",DAY(DATE(YEAR($A12),MONTH($A12)+1,0))-$T12)</f>
        <v/>
      </c>
      <c r="V12" s="37">
        <f>IF(OR($A12="",NOT(ISNUMBER($B12)),$U12&lt;=0),"",MAX(0,($B12-$G12)/$U12))</f>
        <v/>
      </c>
      <c r="W12" s="52">
        <f>IF($A12="","",IF(NOT(ISNUMBER($B12)),"SIN META",IF($G12&gt;=$B12,"META CUMPLIDA",IF($U12&lt;=0,"NO ALCANZADA",IF($L12&gt;=($T12/MAX(1,DAY(DATE(YEAR($A12),MONTH($A12)+1,0)))),"EN RITMO","ATRASADA")))))</f>
        <v/>
      </c>
    </row>
    <row r="13">
      <c r="A13" s="55">
        <f>IF(NOT(ISNUMBER(PAR_FECHA_INICIO)),"",DATE(YEAR(PAR_FECHA_INICIO),MONTH(PAR_FECHA_INICIO)+6,1))</f>
        <v/>
      </c>
      <c r="B13" s="36" t="n"/>
      <c r="C13" s="36" t="n"/>
      <c r="D13" s="34" t="n"/>
      <c r="E13" s="50" t="n"/>
      <c r="F13" s="36" t="n"/>
      <c r="G13" s="37">
        <f>IF($A13="","",RENTABILIDAD!$D$14)</f>
        <v/>
      </c>
      <c r="H13" s="37">
        <f>IF($A13="","",RENTABILIDAD!$O$14)</f>
        <v/>
      </c>
      <c r="I13" s="39">
        <f>IF($A13="","",RENTABILIDAD!$E$14)</f>
        <v/>
      </c>
      <c r="J13" s="38">
        <f>IF(OR($A13="",$G13=0),"",$H13/$G13)</f>
        <v/>
      </c>
      <c r="K13" s="37">
        <f>IF($A13="","",CAJA!$N$13)</f>
        <v/>
      </c>
      <c r="L13" s="38">
        <f>IF(OR($A13="",$B13="",NOT(ISNUMBER($B13)),$B13=0),"",$G13/$B13)</f>
        <v/>
      </c>
      <c r="M13" s="38">
        <f>IF(OR($A13="",$C13="",NOT(ISNUMBER($C13)),$C13=0),"",$H13/$C13)</f>
        <v/>
      </c>
      <c r="N13" s="38">
        <f>IF(OR($A13="",$D13="",NOT(ISNUMBER($D13)),$D13=0),"",$I13/$D13)</f>
        <v/>
      </c>
      <c r="O13" s="38">
        <f>IF(OR($A13="",$F13="",NOT(ISNUMBER($F13)),$F13=0),"",$K13/$F13)</f>
        <v/>
      </c>
      <c r="P13" s="37">
        <f>IF(OR($A13="",NOT(ISNUMBER($B13))),"",$G13-$B13)</f>
        <v/>
      </c>
      <c r="Q13" s="37">
        <f>IF(OR($A13="",NOT(ISNUMBER($C13))),"",$H13-$C13)</f>
        <v/>
      </c>
      <c r="R13" s="39">
        <f>IF(OR($A13="",NOT(ISNUMBER($D13))),"",$I13-$D13)</f>
        <v/>
      </c>
      <c r="S13" s="37">
        <f>IF(OR($A13="",NOT(ISNUMBER($B13)),NOT(ISNUMBER(PAR_DIAS_MES)),PAR_DIAS_MES&lt;=0),"",$B13/PAR_DIAS_MES)</f>
        <v/>
      </c>
      <c r="T13" s="39">
        <f>IF($A13="","",IF(TODAY()&gt;=DATE(YEAR($A13),MONTH($A13)+1,1),DAY(DATE(YEAR($A13),MONTH($A13)+1,0)),IF(TODAY()&lt;$A13,0,DAY(TODAY()))))</f>
        <v/>
      </c>
      <c r="U13" s="39">
        <f>IF($A13="","",DAY(DATE(YEAR($A13),MONTH($A13)+1,0))-$T13)</f>
        <v/>
      </c>
      <c r="V13" s="37">
        <f>IF(OR($A13="",NOT(ISNUMBER($B13)),$U13&lt;=0),"",MAX(0,($B13-$G13)/$U13))</f>
        <v/>
      </c>
      <c r="W13" s="52">
        <f>IF($A13="","",IF(NOT(ISNUMBER($B13)),"SIN META",IF($G13&gt;=$B13,"META CUMPLIDA",IF($U13&lt;=0,"NO ALCANZADA",IF($L13&gt;=($T13/MAX(1,DAY(DATE(YEAR($A13),MONTH($A13)+1,0)))),"EN RITMO","ATRASADA")))))</f>
        <v/>
      </c>
    </row>
    <row r="14">
      <c r="A14" s="55">
        <f>IF(NOT(ISNUMBER(PAR_FECHA_INICIO)),"",DATE(YEAR(PAR_FECHA_INICIO),MONTH(PAR_FECHA_INICIO)+7,1))</f>
        <v/>
      </c>
      <c r="B14" s="36" t="n"/>
      <c r="C14" s="36" t="n"/>
      <c r="D14" s="34" t="n"/>
      <c r="E14" s="50" t="n"/>
      <c r="F14" s="36" t="n"/>
      <c r="G14" s="37">
        <f>IF($A14="","",RENTABILIDAD!$D$15)</f>
        <v/>
      </c>
      <c r="H14" s="37">
        <f>IF($A14="","",RENTABILIDAD!$O$15)</f>
        <v/>
      </c>
      <c r="I14" s="39">
        <f>IF($A14="","",RENTABILIDAD!$E$15)</f>
        <v/>
      </c>
      <c r="J14" s="38">
        <f>IF(OR($A14="",$G14=0),"",$H14/$G14)</f>
        <v/>
      </c>
      <c r="K14" s="37">
        <f>IF($A14="","",CAJA!$N$14)</f>
        <v/>
      </c>
      <c r="L14" s="38">
        <f>IF(OR($A14="",$B14="",NOT(ISNUMBER($B14)),$B14=0),"",$G14/$B14)</f>
        <v/>
      </c>
      <c r="M14" s="38">
        <f>IF(OR($A14="",$C14="",NOT(ISNUMBER($C14)),$C14=0),"",$H14/$C14)</f>
        <v/>
      </c>
      <c r="N14" s="38">
        <f>IF(OR($A14="",$D14="",NOT(ISNUMBER($D14)),$D14=0),"",$I14/$D14)</f>
        <v/>
      </c>
      <c r="O14" s="38">
        <f>IF(OR($A14="",$F14="",NOT(ISNUMBER($F14)),$F14=0),"",$K14/$F14)</f>
        <v/>
      </c>
      <c r="P14" s="37">
        <f>IF(OR($A14="",NOT(ISNUMBER($B14))),"",$G14-$B14)</f>
        <v/>
      </c>
      <c r="Q14" s="37">
        <f>IF(OR($A14="",NOT(ISNUMBER($C14))),"",$H14-$C14)</f>
        <v/>
      </c>
      <c r="R14" s="39">
        <f>IF(OR($A14="",NOT(ISNUMBER($D14))),"",$I14-$D14)</f>
        <v/>
      </c>
      <c r="S14" s="37">
        <f>IF(OR($A14="",NOT(ISNUMBER($B14)),NOT(ISNUMBER(PAR_DIAS_MES)),PAR_DIAS_MES&lt;=0),"",$B14/PAR_DIAS_MES)</f>
        <v/>
      </c>
      <c r="T14" s="39">
        <f>IF($A14="","",IF(TODAY()&gt;=DATE(YEAR($A14),MONTH($A14)+1,1),DAY(DATE(YEAR($A14),MONTH($A14)+1,0)),IF(TODAY()&lt;$A14,0,DAY(TODAY()))))</f>
        <v/>
      </c>
      <c r="U14" s="39">
        <f>IF($A14="","",DAY(DATE(YEAR($A14),MONTH($A14)+1,0))-$T14)</f>
        <v/>
      </c>
      <c r="V14" s="37">
        <f>IF(OR($A14="",NOT(ISNUMBER($B14)),$U14&lt;=0),"",MAX(0,($B14-$G14)/$U14))</f>
        <v/>
      </c>
      <c r="W14" s="52">
        <f>IF($A14="","",IF(NOT(ISNUMBER($B14)),"SIN META",IF($G14&gt;=$B14,"META CUMPLIDA",IF($U14&lt;=0,"NO ALCANZADA",IF($L14&gt;=($T14/MAX(1,DAY(DATE(YEAR($A14),MONTH($A14)+1,0)))),"EN RITMO","ATRASADA")))))</f>
        <v/>
      </c>
    </row>
    <row r="15">
      <c r="A15" s="55">
        <f>IF(NOT(ISNUMBER(PAR_FECHA_INICIO)),"",DATE(YEAR(PAR_FECHA_INICIO),MONTH(PAR_FECHA_INICIO)+8,1))</f>
        <v/>
      </c>
      <c r="B15" s="36" t="n"/>
      <c r="C15" s="36" t="n"/>
      <c r="D15" s="34" t="n"/>
      <c r="E15" s="50" t="n"/>
      <c r="F15" s="36" t="n"/>
      <c r="G15" s="37">
        <f>IF($A15="","",RENTABILIDAD!$D$16)</f>
        <v/>
      </c>
      <c r="H15" s="37">
        <f>IF($A15="","",RENTABILIDAD!$O$16)</f>
        <v/>
      </c>
      <c r="I15" s="39">
        <f>IF($A15="","",RENTABILIDAD!$E$16)</f>
        <v/>
      </c>
      <c r="J15" s="38">
        <f>IF(OR($A15="",$G15=0),"",$H15/$G15)</f>
        <v/>
      </c>
      <c r="K15" s="37">
        <f>IF($A15="","",CAJA!$N$15)</f>
        <v/>
      </c>
      <c r="L15" s="38">
        <f>IF(OR($A15="",$B15="",NOT(ISNUMBER($B15)),$B15=0),"",$G15/$B15)</f>
        <v/>
      </c>
      <c r="M15" s="38">
        <f>IF(OR($A15="",$C15="",NOT(ISNUMBER($C15)),$C15=0),"",$H15/$C15)</f>
        <v/>
      </c>
      <c r="N15" s="38">
        <f>IF(OR($A15="",$D15="",NOT(ISNUMBER($D15)),$D15=0),"",$I15/$D15)</f>
        <v/>
      </c>
      <c r="O15" s="38">
        <f>IF(OR($A15="",$F15="",NOT(ISNUMBER($F15)),$F15=0),"",$K15/$F15)</f>
        <v/>
      </c>
      <c r="P15" s="37">
        <f>IF(OR($A15="",NOT(ISNUMBER($B15))),"",$G15-$B15)</f>
        <v/>
      </c>
      <c r="Q15" s="37">
        <f>IF(OR($A15="",NOT(ISNUMBER($C15))),"",$H15-$C15)</f>
        <v/>
      </c>
      <c r="R15" s="39">
        <f>IF(OR($A15="",NOT(ISNUMBER($D15))),"",$I15-$D15)</f>
        <v/>
      </c>
      <c r="S15" s="37">
        <f>IF(OR($A15="",NOT(ISNUMBER($B15)),NOT(ISNUMBER(PAR_DIAS_MES)),PAR_DIAS_MES&lt;=0),"",$B15/PAR_DIAS_MES)</f>
        <v/>
      </c>
      <c r="T15" s="39">
        <f>IF($A15="","",IF(TODAY()&gt;=DATE(YEAR($A15),MONTH($A15)+1,1),DAY(DATE(YEAR($A15),MONTH($A15)+1,0)),IF(TODAY()&lt;$A15,0,DAY(TODAY()))))</f>
        <v/>
      </c>
      <c r="U15" s="39">
        <f>IF($A15="","",DAY(DATE(YEAR($A15),MONTH($A15)+1,0))-$T15)</f>
        <v/>
      </c>
      <c r="V15" s="37">
        <f>IF(OR($A15="",NOT(ISNUMBER($B15)),$U15&lt;=0),"",MAX(0,($B15-$G15)/$U15))</f>
        <v/>
      </c>
      <c r="W15" s="52">
        <f>IF($A15="","",IF(NOT(ISNUMBER($B15)),"SIN META",IF($G15&gt;=$B15,"META CUMPLIDA",IF($U15&lt;=0,"NO ALCANZADA",IF($L15&gt;=($T15/MAX(1,DAY(DATE(YEAR($A15),MONTH($A15)+1,0)))),"EN RITMO","ATRASADA")))))</f>
        <v/>
      </c>
    </row>
    <row r="16">
      <c r="A16" s="55">
        <f>IF(NOT(ISNUMBER(PAR_FECHA_INICIO)),"",DATE(YEAR(PAR_FECHA_INICIO),MONTH(PAR_FECHA_INICIO)+9,1))</f>
        <v/>
      </c>
      <c r="B16" s="36" t="n"/>
      <c r="C16" s="36" t="n"/>
      <c r="D16" s="34" t="n"/>
      <c r="E16" s="50" t="n"/>
      <c r="F16" s="36" t="n"/>
      <c r="G16" s="37">
        <f>IF($A16="","",RENTABILIDAD!$D$17)</f>
        <v/>
      </c>
      <c r="H16" s="37">
        <f>IF($A16="","",RENTABILIDAD!$O$17)</f>
        <v/>
      </c>
      <c r="I16" s="39">
        <f>IF($A16="","",RENTABILIDAD!$E$17)</f>
        <v/>
      </c>
      <c r="J16" s="38">
        <f>IF(OR($A16="",$G16=0),"",$H16/$G16)</f>
        <v/>
      </c>
      <c r="K16" s="37">
        <f>IF($A16="","",CAJA!$N$16)</f>
        <v/>
      </c>
      <c r="L16" s="38">
        <f>IF(OR($A16="",$B16="",NOT(ISNUMBER($B16)),$B16=0),"",$G16/$B16)</f>
        <v/>
      </c>
      <c r="M16" s="38">
        <f>IF(OR($A16="",$C16="",NOT(ISNUMBER($C16)),$C16=0),"",$H16/$C16)</f>
        <v/>
      </c>
      <c r="N16" s="38">
        <f>IF(OR($A16="",$D16="",NOT(ISNUMBER($D16)),$D16=0),"",$I16/$D16)</f>
        <v/>
      </c>
      <c r="O16" s="38">
        <f>IF(OR($A16="",$F16="",NOT(ISNUMBER($F16)),$F16=0),"",$K16/$F16)</f>
        <v/>
      </c>
      <c r="P16" s="37">
        <f>IF(OR($A16="",NOT(ISNUMBER($B16))),"",$G16-$B16)</f>
        <v/>
      </c>
      <c r="Q16" s="37">
        <f>IF(OR($A16="",NOT(ISNUMBER($C16))),"",$H16-$C16)</f>
        <v/>
      </c>
      <c r="R16" s="39">
        <f>IF(OR($A16="",NOT(ISNUMBER($D16))),"",$I16-$D16)</f>
        <v/>
      </c>
      <c r="S16" s="37">
        <f>IF(OR($A16="",NOT(ISNUMBER($B16)),NOT(ISNUMBER(PAR_DIAS_MES)),PAR_DIAS_MES&lt;=0),"",$B16/PAR_DIAS_MES)</f>
        <v/>
      </c>
      <c r="T16" s="39">
        <f>IF($A16="","",IF(TODAY()&gt;=DATE(YEAR($A16),MONTH($A16)+1,1),DAY(DATE(YEAR($A16),MONTH($A16)+1,0)),IF(TODAY()&lt;$A16,0,DAY(TODAY()))))</f>
        <v/>
      </c>
      <c r="U16" s="39">
        <f>IF($A16="","",DAY(DATE(YEAR($A16),MONTH($A16)+1,0))-$T16)</f>
        <v/>
      </c>
      <c r="V16" s="37">
        <f>IF(OR($A16="",NOT(ISNUMBER($B16)),$U16&lt;=0),"",MAX(0,($B16-$G16)/$U16))</f>
        <v/>
      </c>
      <c r="W16" s="52">
        <f>IF($A16="","",IF(NOT(ISNUMBER($B16)),"SIN META",IF($G16&gt;=$B16,"META CUMPLIDA",IF($U16&lt;=0,"NO ALCANZADA",IF($L16&gt;=($T16/MAX(1,DAY(DATE(YEAR($A16),MONTH($A16)+1,0)))),"EN RITMO","ATRASADA")))))</f>
        <v/>
      </c>
    </row>
    <row r="17">
      <c r="A17" s="55">
        <f>IF(NOT(ISNUMBER(PAR_FECHA_INICIO)),"",DATE(YEAR(PAR_FECHA_INICIO),MONTH(PAR_FECHA_INICIO)+10,1))</f>
        <v/>
      </c>
      <c r="B17" s="36" t="n"/>
      <c r="C17" s="36" t="n"/>
      <c r="D17" s="34" t="n"/>
      <c r="E17" s="50" t="n"/>
      <c r="F17" s="36" t="n"/>
      <c r="G17" s="37">
        <f>IF($A17="","",RENTABILIDAD!$D$18)</f>
        <v/>
      </c>
      <c r="H17" s="37">
        <f>IF($A17="","",RENTABILIDAD!$O$18)</f>
        <v/>
      </c>
      <c r="I17" s="39">
        <f>IF($A17="","",RENTABILIDAD!$E$18)</f>
        <v/>
      </c>
      <c r="J17" s="38">
        <f>IF(OR($A17="",$G17=0),"",$H17/$G17)</f>
        <v/>
      </c>
      <c r="K17" s="37">
        <f>IF($A17="","",CAJA!$N$17)</f>
        <v/>
      </c>
      <c r="L17" s="38">
        <f>IF(OR($A17="",$B17="",NOT(ISNUMBER($B17)),$B17=0),"",$G17/$B17)</f>
        <v/>
      </c>
      <c r="M17" s="38">
        <f>IF(OR($A17="",$C17="",NOT(ISNUMBER($C17)),$C17=0),"",$H17/$C17)</f>
        <v/>
      </c>
      <c r="N17" s="38">
        <f>IF(OR($A17="",$D17="",NOT(ISNUMBER($D17)),$D17=0),"",$I17/$D17)</f>
        <v/>
      </c>
      <c r="O17" s="38">
        <f>IF(OR($A17="",$F17="",NOT(ISNUMBER($F17)),$F17=0),"",$K17/$F17)</f>
        <v/>
      </c>
      <c r="P17" s="37">
        <f>IF(OR($A17="",NOT(ISNUMBER($B17))),"",$G17-$B17)</f>
        <v/>
      </c>
      <c r="Q17" s="37">
        <f>IF(OR($A17="",NOT(ISNUMBER($C17))),"",$H17-$C17)</f>
        <v/>
      </c>
      <c r="R17" s="39">
        <f>IF(OR($A17="",NOT(ISNUMBER($D17))),"",$I17-$D17)</f>
        <v/>
      </c>
      <c r="S17" s="37">
        <f>IF(OR($A17="",NOT(ISNUMBER($B17)),NOT(ISNUMBER(PAR_DIAS_MES)),PAR_DIAS_MES&lt;=0),"",$B17/PAR_DIAS_MES)</f>
        <v/>
      </c>
      <c r="T17" s="39">
        <f>IF($A17="","",IF(TODAY()&gt;=DATE(YEAR($A17),MONTH($A17)+1,1),DAY(DATE(YEAR($A17),MONTH($A17)+1,0)),IF(TODAY()&lt;$A17,0,DAY(TODAY()))))</f>
        <v/>
      </c>
      <c r="U17" s="39">
        <f>IF($A17="","",DAY(DATE(YEAR($A17),MONTH($A17)+1,0))-$T17)</f>
        <v/>
      </c>
      <c r="V17" s="37">
        <f>IF(OR($A17="",NOT(ISNUMBER($B17)),$U17&lt;=0),"",MAX(0,($B17-$G17)/$U17))</f>
        <v/>
      </c>
      <c r="W17" s="52">
        <f>IF($A17="","",IF(NOT(ISNUMBER($B17)),"SIN META",IF($G17&gt;=$B17,"META CUMPLIDA",IF($U17&lt;=0,"NO ALCANZADA",IF($L17&gt;=($T17/MAX(1,DAY(DATE(YEAR($A17),MONTH($A17)+1,0)))),"EN RITMO","ATRASADA")))))</f>
        <v/>
      </c>
    </row>
    <row r="18">
      <c r="A18" s="55">
        <f>IF(NOT(ISNUMBER(PAR_FECHA_INICIO)),"",DATE(YEAR(PAR_FECHA_INICIO),MONTH(PAR_FECHA_INICIO)+11,1))</f>
        <v/>
      </c>
      <c r="B18" s="36" t="n"/>
      <c r="C18" s="36" t="n"/>
      <c r="D18" s="34" t="n"/>
      <c r="E18" s="50" t="n"/>
      <c r="F18" s="36" t="n"/>
      <c r="G18" s="37">
        <f>IF($A18="","",RENTABILIDAD!$D$19)</f>
        <v/>
      </c>
      <c r="H18" s="37">
        <f>IF($A18="","",RENTABILIDAD!$O$19)</f>
        <v/>
      </c>
      <c r="I18" s="39">
        <f>IF($A18="","",RENTABILIDAD!$E$19)</f>
        <v/>
      </c>
      <c r="J18" s="38">
        <f>IF(OR($A18="",$G18=0),"",$H18/$G18)</f>
        <v/>
      </c>
      <c r="K18" s="37">
        <f>IF($A18="","",CAJA!$N$18)</f>
        <v/>
      </c>
      <c r="L18" s="38">
        <f>IF(OR($A18="",$B18="",NOT(ISNUMBER($B18)),$B18=0),"",$G18/$B18)</f>
        <v/>
      </c>
      <c r="M18" s="38">
        <f>IF(OR($A18="",$C18="",NOT(ISNUMBER($C18)),$C18=0),"",$H18/$C18)</f>
        <v/>
      </c>
      <c r="N18" s="38">
        <f>IF(OR($A18="",$D18="",NOT(ISNUMBER($D18)),$D18=0),"",$I18/$D18)</f>
        <v/>
      </c>
      <c r="O18" s="38">
        <f>IF(OR($A18="",$F18="",NOT(ISNUMBER($F18)),$F18=0),"",$K18/$F18)</f>
        <v/>
      </c>
      <c r="P18" s="37">
        <f>IF(OR($A18="",NOT(ISNUMBER($B18))),"",$G18-$B18)</f>
        <v/>
      </c>
      <c r="Q18" s="37">
        <f>IF(OR($A18="",NOT(ISNUMBER($C18))),"",$H18-$C18)</f>
        <v/>
      </c>
      <c r="R18" s="39">
        <f>IF(OR($A18="",NOT(ISNUMBER($D18))),"",$I18-$D18)</f>
        <v/>
      </c>
      <c r="S18" s="37">
        <f>IF(OR($A18="",NOT(ISNUMBER($B18)),NOT(ISNUMBER(PAR_DIAS_MES)),PAR_DIAS_MES&lt;=0),"",$B18/PAR_DIAS_MES)</f>
        <v/>
      </c>
      <c r="T18" s="39">
        <f>IF($A18="","",IF(TODAY()&gt;=DATE(YEAR($A18),MONTH($A18)+1,1),DAY(DATE(YEAR($A18),MONTH($A18)+1,0)),IF(TODAY()&lt;$A18,0,DAY(TODAY()))))</f>
        <v/>
      </c>
      <c r="U18" s="39">
        <f>IF($A18="","",DAY(DATE(YEAR($A18),MONTH($A18)+1,0))-$T18)</f>
        <v/>
      </c>
      <c r="V18" s="37">
        <f>IF(OR($A18="",NOT(ISNUMBER($B18)),$U18&lt;=0),"",MAX(0,($B18-$G18)/$U18))</f>
        <v/>
      </c>
      <c r="W18" s="52">
        <f>IF($A18="","",IF(NOT(ISNUMBER($B18)),"SIN META",IF($G18&gt;=$B18,"META CUMPLIDA",IF($U18&lt;=0,"NO ALCANZADA",IF($L18&gt;=($T18/MAX(1,DAY(DATE(YEAR($A18),MONTH($A18)+1,0)))),"EN RITMO","ATRASADA")))))</f>
        <v/>
      </c>
    </row>
    <row r="19">
      <c r="A19" s="55">
        <f>IF(NOT(ISNUMBER(PAR_FECHA_INICIO)),"",DATE(YEAR(PAR_FECHA_INICIO),MONTH(PAR_FECHA_INICIO)+12,1))</f>
        <v/>
      </c>
      <c r="B19" s="36" t="n"/>
      <c r="C19" s="36" t="n"/>
      <c r="D19" s="34" t="n"/>
      <c r="E19" s="50" t="n"/>
      <c r="F19" s="36" t="n"/>
      <c r="G19" s="37">
        <f>IF($A19="","",RENTABILIDAD!$D$20)</f>
        <v/>
      </c>
      <c r="H19" s="37">
        <f>IF($A19="","",RENTABILIDAD!$O$20)</f>
        <v/>
      </c>
      <c r="I19" s="39">
        <f>IF($A19="","",RENTABILIDAD!$E$20)</f>
        <v/>
      </c>
      <c r="J19" s="38">
        <f>IF(OR($A19="",$G19=0),"",$H19/$G19)</f>
        <v/>
      </c>
      <c r="K19" s="37">
        <f>IF($A19="","",CAJA!$N$19)</f>
        <v/>
      </c>
      <c r="L19" s="38">
        <f>IF(OR($A19="",$B19="",NOT(ISNUMBER($B19)),$B19=0),"",$G19/$B19)</f>
        <v/>
      </c>
      <c r="M19" s="38">
        <f>IF(OR($A19="",$C19="",NOT(ISNUMBER($C19)),$C19=0),"",$H19/$C19)</f>
        <v/>
      </c>
      <c r="N19" s="38">
        <f>IF(OR($A19="",$D19="",NOT(ISNUMBER($D19)),$D19=0),"",$I19/$D19)</f>
        <v/>
      </c>
      <c r="O19" s="38">
        <f>IF(OR($A19="",$F19="",NOT(ISNUMBER($F19)),$F19=0),"",$K19/$F19)</f>
        <v/>
      </c>
      <c r="P19" s="37">
        <f>IF(OR($A19="",NOT(ISNUMBER($B19))),"",$G19-$B19)</f>
        <v/>
      </c>
      <c r="Q19" s="37">
        <f>IF(OR($A19="",NOT(ISNUMBER($C19))),"",$H19-$C19)</f>
        <v/>
      </c>
      <c r="R19" s="39">
        <f>IF(OR($A19="",NOT(ISNUMBER($D19))),"",$I19-$D19)</f>
        <v/>
      </c>
      <c r="S19" s="37">
        <f>IF(OR($A19="",NOT(ISNUMBER($B19)),NOT(ISNUMBER(PAR_DIAS_MES)),PAR_DIAS_MES&lt;=0),"",$B19/PAR_DIAS_MES)</f>
        <v/>
      </c>
      <c r="T19" s="39">
        <f>IF($A19="","",IF(TODAY()&gt;=DATE(YEAR($A19),MONTH($A19)+1,1),DAY(DATE(YEAR($A19),MONTH($A19)+1,0)),IF(TODAY()&lt;$A19,0,DAY(TODAY()))))</f>
        <v/>
      </c>
      <c r="U19" s="39">
        <f>IF($A19="","",DAY(DATE(YEAR($A19),MONTH($A19)+1,0))-$T19)</f>
        <v/>
      </c>
      <c r="V19" s="37">
        <f>IF(OR($A19="",NOT(ISNUMBER($B19)),$U19&lt;=0),"",MAX(0,($B19-$G19)/$U19))</f>
        <v/>
      </c>
      <c r="W19" s="52">
        <f>IF($A19="","",IF(NOT(ISNUMBER($B19)),"SIN META",IF($G19&gt;=$B19,"META CUMPLIDA",IF($U19&lt;=0,"NO ALCANZADA",IF($L19&gt;=($T19/MAX(1,DAY(DATE(YEAR($A19),MONTH($A19)+1,0)))),"EN RITMO","ATRASADA")))))</f>
        <v/>
      </c>
    </row>
    <row r="20">
      <c r="A20" s="55">
        <f>IF(NOT(ISNUMBER(PAR_FECHA_INICIO)),"",DATE(YEAR(PAR_FECHA_INICIO),MONTH(PAR_FECHA_INICIO)+13,1))</f>
        <v/>
      </c>
      <c r="B20" s="36" t="n"/>
      <c r="C20" s="36" t="n"/>
      <c r="D20" s="34" t="n"/>
      <c r="E20" s="50" t="n"/>
      <c r="F20" s="36" t="n"/>
      <c r="G20" s="37">
        <f>IF($A20="","",RENTABILIDAD!$D$21)</f>
        <v/>
      </c>
      <c r="H20" s="37">
        <f>IF($A20="","",RENTABILIDAD!$O$21)</f>
        <v/>
      </c>
      <c r="I20" s="39">
        <f>IF($A20="","",RENTABILIDAD!$E$21)</f>
        <v/>
      </c>
      <c r="J20" s="38">
        <f>IF(OR($A20="",$G20=0),"",$H20/$G20)</f>
        <v/>
      </c>
      <c r="K20" s="37">
        <f>IF($A20="","",CAJA!$N$20)</f>
        <v/>
      </c>
      <c r="L20" s="38">
        <f>IF(OR($A20="",$B20="",NOT(ISNUMBER($B20)),$B20=0),"",$G20/$B20)</f>
        <v/>
      </c>
      <c r="M20" s="38">
        <f>IF(OR($A20="",$C20="",NOT(ISNUMBER($C20)),$C20=0),"",$H20/$C20)</f>
        <v/>
      </c>
      <c r="N20" s="38">
        <f>IF(OR($A20="",$D20="",NOT(ISNUMBER($D20)),$D20=0),"",$I20/$D20)</f>
        <v/>
      </c>
      <c r="O20" s="38">
        <f>IF(OR($A20="",$F20="",NOT(ISNUMBER($F20)),$F20=0),"",$K20/$F20)</f>
        <v/>
      </c>
      <c r="P20" s="37">
        <f>IF(OR($A20="",NOT(ISNUMBER($B20))),"",$G20-$B20)</f>
        <v/>
      </c>
      <c r="Q20" s="37">
        <f>IF(OR($A20="",NOT(ISNUMBER($C20))),"",$H20-$C20)</f>
        <v/>
      </c>
      <c r="R20" s="39">
        <f>IF(OR($A20="",NOT(ISNUMBER($D20))),"",$I20-$D20)</f>
        <v/>
      </c>
      <c r="S20" s="37">
        <f>IF(OR($A20="",NOT(ISNUMBER($B20)),NOT(ISNUMBER(PAR_DIAS_MES)),PAR_DIAS_MES&lt;=0),"",$B20/PAR_DIAS_MES)</f>
        <v/>
      </c>
      <c r="T20" s="39">
        <f>IF($A20="","",IF(TODAY()&gt;=DATE(YEAR($A20),MONTH($A20)+1,1),DAY(DATE(YEAR($A20),MONTH($A20)+1,0)),IF(TODAY()&lt;$A20,0,DAY(TODAY()))))</f>
        <v/>
      </c>
      <c r="U20" s="39">
        <f>IF($A20="","",DAY(DATE(YEAR($A20),MONTH($A20)+1,0))-$T20)</f>
        <v/>
      </c>
      <c r="V20" s="37">
        <f>IF(OR($A20="",NOT(ISNUMBER($B20)),$U20&lt;=0),"",MAX(0,($B20-$G20)/$U20))</f>
        <v/>
      </c>
      <c r="W20" s="52">
        <f>IF($A20="","",IF(NOT(ISNUMBER($B20)),"SIN META",IF($G20&gt;=$B20,"META CUMPLIDA",IF($U20&lt;=0,"NO ALCANZADA",IF($L20&gt;=($T20/MAX(1,DAY(DATE(YEAR($A20),MONTH($A20)+1,0)))),"EN RITMO","ATRASADA")))))</f>
        <v/>
      </c>
    </row>
    <row r="21">
      <c r="A21" s="55">
        <f>IF(NOT(ISNUMBER(PAR_FECHA_INICIO)),"",DATE(YEAR(PAR_FECHA_INICIO),MONTH(PAR_FECHA_INICIO)+14,1))</f>
        <v/>
      </c>
      <c r="B21" s="36" t="n"/>
      <c r="C21" s="36" t="n"/>
      <c r="D21" s="34" t="n"/>
      <c r="E21" s="50" t="n"/>
      <c r="F21" s="36" t="n"/>
      <c r="G21" s="37">
        <f>IF($A21="","",RENTABILIDAD!$D$22)</f>
        <v/>
      </c>
      <c r="H21" s="37">
        <f>IF($A21="","",RENTABILIDAD!$O$22)</f>
        <v/>
      </c>
      <c r="I21" s="39">
        <f>IF($A21="","",RENTABILIDAD!$E$22)</f>
        <v/>
      </c>
      <c r="J21" s="38">
        <f>IF(OR($A21="",$G21=0),"",$H21/$G21)</f>
        <v/>
      </c>
      <c r="K21" s="37">
        <f>IF($A21="","",CAJA!$N$21)</f>
        <v/>
      </c>
      <c r="L21" s="38">
        <f>IF(OR($A21="",$B21="",NOT(ISNUMBER($B21)),$B21=0),"",$G21/$B21)</f>
        <v/>
      </c>
      <c r="M21" s="38">
        <f>IF(OR($A21="",$C21="",NOT(ISNUMBER($C21)),$C21=0),"",$H21/$C21)</f>
        <v/>
      </c>
      <c r="N21" s="38">
        <f>IF(OR($A21="",$D21="",NOT(ISNUMBER($D21)),$D21=0),"",$I21/$D21)</f>
        <v/>
      </c>
      <c r="O21" s="38">
        <f>IF(OR($A21="",$F21="",NOT(ISNUMBER($F21)),$F21=0),"",$K21/$F21)</f>
        <v/>
      </c>
      <c r="P21" s="37">
        <f>IF(OR($A21="",NOT(ISNUMBER($B21))),"",$G21-$B21)</f>
        <v/>
      </c>
      <c r="Q21" s="37">
        <f>IF(OR($A21="",NOT(ISNUMBER($C21))),"",$H21-$C21)</f>
        <v/>
      </c>
      <c r="R21" s="39">
        <f>IF(OR($A21="",NOT(ISNUMBER($D21))),"",$I21-$D21)</f>
        <v/>
      </c>
      <c r="S21" s="37">
        <f>IF(OR($A21="",NOT(ISNUMBER($B21)),NOT(ISNUMBER(PAR_DIAS_MES)),PAR_DIAS_MES&lt;=0),"",$B21/PAR_DIAS_MES)</f>
        <v/>
      </c>
      <c r="T21" s="39">
        <f>IF($A21="","",IF(TODAY()&gt;=DATE(YEAR($A21),MONTH($A21)+1,1),DAY(DATE(YEAR($A21),MONTH($A21)+1,0)),IF(TODAY()&lt;$A21,0,DAY(TODAY()))))</f>
        <v/>
      </c>
      <c r="U21" s="39">
        <f>IF($A21="","",DAY(DATE(YEAR($A21),MONTH($A21)+1,0))-$T21)</f>
        <v/>
      </c>
      <c r="V21" s="37">
        <f>IF(OR($A21="",NOT(ISNUMBER($B21)),$U21&lt;=0),"",MAX(0,($B21-$G21)/$U21))</f>
        <v/>
      </c>
      <c r="W21" s="52">
        <f>IF($A21="","",IF(NOT(ISNUMBER($B21)),"SIN META",IF($G21&gt;=$B21,"META CUMPLIDA",IF($U21&lt;=0,"NO ALCANZADA",IF($L21&gt;=($T21/MAX(1,DAY(DATE(YEAR($A21),MONTH($A21)+1,0)))),"EN RITMO","ATRASADA")))))</f>
        <v/>
      </c>
    </row>
    <row r="22">
      <c r="A22" s="55">
        <f>IF(NOT(ISNUMBER(PAR_FECHA_INICIO)),"",DATE(YEAR(PAR_FECHA_INICIO),MONTH(PAR_FECHA_INICIO)+15,1))</f>
        <v/>
      </c>
      <c r="B22" s="36" t="n"/>
      <c r="C22" s="36" t="n"/>
      <c r="D22" s="34" t="n"/>
      <c r="E22" s="50" t="n"/>
      <c r="F22" s="36" t="n"/>
      <c r="G22" s="37">
        <f>IF($A22="","",RENTABILIDAD!$D$23)</f>
        <v/>
      </c>
      <c r="H22" s="37">
        <f>IF($A22="","",RENTABILIDAD!$O$23)</f>
        <v/>
      </c>
      <c r="I22" s="39">
        <f>IF($A22="","",RENTABILIDAD!$E$23)</f>
        <v/>
      </c>
      <c r="J22" s="38">
        <f>IF(OR($A22="",$G22=0),"",$H22/$G22)</f>
        <v/>
      </c>
      <c r="K22" s="37">
        <f>IF($A22="","",CAJA!$N$22)</f>
        <v/>
      </c>
      <c r="L22" s="38">
        <f>IF(OR($A22="",$B22="",NOT(ISNUMBER($B22)),$B22=0),"",$G22/$B22)</f>
        <v/>
      </c>
      <c r="M22" s="38">
        <f>IF(OR($A22="",$C22="",NOT(ISNUMBER($C22)),$C22=0),"",$H22/$C22)</f>
        <v/>
      </c>
      <c r="N22" s="38">
        <f>IF(OR($A22="",$D22="",NOT(ISNUMBER($D22)),$D22=0),"",$I22/$D22)</f>
        <v/>
      </c>
      <c r="O22" s="38">
        <f>IF(OR($A22="",$F22="",NOT(ISNUMBER($F22)),$F22=0),"",$K22/$F22)</f>
        <v/>
      </c>
      <c r="P22" s="37">
        <f>IF(OR($A22="",NOT(ISNUMBER($B22))),"",$G22-$B22)</f>
        <v/>
      </c>
      <c r="Q22" s="37">
        <f>IF(OR($A22="",NOT(ISNUMBER($C22))),"",$H22-$C22)</f>
        <v/>
      </c>
      <c r="R22" s="39">
        <f>IF(OR($A22="",NOT(ISNUMBER($D22))),"",$I22-$D22)</f>
        <v/>
      </c>
      <c r="S22" s="37">
        <f>IF(OR($A22="",NOT(ISNUMBER($B22)),NOT(ISNUMBER(PAR_DIAS_MES)),PAR_DIAS_MES&lt;=0),"",$B22/PAR_DIAS_MES)</f>
        <v/>
      </c>
      <c r="T22" s="39">
        <f>IF($A22="","",IF(TODAY()&gt;=DATE(YEAR($A22),MONTH($A22)+1,1),DAY(DATE(YEAR($A22),MONTH($A22)+1,0)),IF(TODAY()&lt;$A22,0,DAY(TODAY()))))</f>
        <v/>
      </c>
      <c r="U22" s="39">
        <f>IF($A22="","",DAY(DATE(YEAR($A22),MONTH($A22)+1,0))-$T22)</f>
        <v/>
      </c>
      <c r="V22" s="37">
        <f>IF(OR($A22="",NOT(ISNUMBER($B22)),$U22&lt;=0),"",MAX(0,($B22-$G22)/$U22))</f>
        <v/>
      </c>
      <c r="W22" s="52">
        <f>IF($A22="","",IF(NOT(ISNUMBER($B22)),"SIN META",IF($G22&gt;=$B22,"META CUMPLIDA",IF($U22&lt;=0,"NO ALCANZADA",IF($L22&gt;=($T22/MAX(1,DAY(DATE(YEAR($A22),MONTH($A22)+1,0)))),"EN RITMO","ATRASADA")))))</f>
        <v/>
      </c>
    </row>
    <row r="23">
      <c r="A23" s="55">
        <f>IF(NOT(ISNUMBER(PAR_FECHA_INICIO)),"",DATE(YEAR(PAR_FECHA_INICIO),MONTH(PAR_FECHA_INICIO)+16,1))</f>
        <v/>
      </c>
      <c r="B23" s="36" t="n"/>
      <c r="C23" s="36" t="n"/>
      <c r="D23" s="34" t="n"/>
      <c r="E23" s="50" t="n"/>
      <c r="F23" s="36" t="n"/>
      <c r="G23" s="37">
        <f>IF($A23="","",RENTABILIDAD!$D$24)</f>
        <v/>
      </c>
      <c r="H23" s="37">
        <f>IF($A23="","",RENTABILIDAD!$O$24)</f>
        <v/>
      </c>
      <c r="I23" s="39">
        <f>IF($A23="","",RENTABILIDAD!$E$24)</f>
        <v/>
      </c>
      <c r="J23" s="38">
        <f>IF(OR($A23="",$G23=0),"",$H23/$G23)</f>
        <v/>
      </c>
      <c r="K23" s="37">
        <f>IF($A23="","",CAJA!$N$23)</f>
        <v/>
      </c>
      <c r="L23" s="38">
        <f>IF(OR($A23="",$B23="",NOT(ISNUMBER($B23)),$B23=0),"",$G23/$B23)</f>
        <v/>
      </c>
      <c r="M23" s="38">
        <f>IF(OR($A23="",$C23="",NOT(ISNUMBER($C23)),$C23=0),"",$H23/$C23)</f>
        <v/>
      </c>
      <c r="N23" s="38">
        <f>IF(OR($A23="",$D23="",NOT(ISNUMBER($D23)),$D23=0),"",$I23/$D23)</f>
        <v/>
      </c>
      <c r="O23" s="38">
        <f>IF(OR($A23="",$F23="",NOT(ISNUMBER($F23)),$F23=0),"",$K23/$F23)</f>
        <v/>
      </c>
      <c r="P23" s="37">
        <f>IF(OR($A23="",NOT(ISNUMBER($B23))),"",$G23-$B23)</f>
        <v/>
      </c>
      <c r="Q23" s="37">
        <f>IF(OR($A23="",NOT(ISNUMBER($C23))),"",$H23-$C23)</f>
        <v/>
      </c>
      <c r="R23" s="39">
        <f>IF(OR($A23="",NOT(ISNUMBER($D23))),"",$I23-$D23)</f>
        <v/>
      </c>
      <c r="S23" s="37">
        <f>IF(OR($A23="",NOT(ISNUMBER($B23)),NOT(ISNUMBER(PAR_DIAS_MES)),PAR_DIAS_MES&lt;=0),"",$B23/PAR_DIAS_MES)</f>
        <v/>
      </c>
      <c r="T23" s="39">
        <f>IF($A23="","",IF(TODAY()&gt;=DATE(YEAR($A23),MONTH($A23)+1,1),DAY(DATE(YEAR($A23),MONTH($A23)+1,0)),IF(TODAY()&lt;$A23,0,DAY(TODAY()))))</f>
        <v/>
      </c>
      <c r="U23" s="39">
        <f>IF($A23="","",DAY(DATE(YEAR($A23),MONTH($A23)+1,0))-$T23)</f>
        <v/>
      </c>
      <c r="V23" s="37">
        <f>IF(OR($A23="",NOT(ISNUMBER($B23)),$U23&lt;=0),"",MAX(0,($B23-$G23)/$U23))</f>
        <v/>
      </c>
      <c r="W23" s="52">
        <f>IF($A23="","",IF(NOT(ISNUMBER($B23)),"SIN META",IF($G23&gt;=$B23,"META CUMPLIDA",IF($U23&lt;=0,"NO ALCANZADA",IF($L23&gt;=($T23/MAX(1,DAY(DATE(YEAR($A23),MONTH($A23)+1,0)))),"EN RITMO","ATRASADA")))))</f>
        <v/>
      </c>
    </row>
    <row r="24">
      <c r="A24" s="55">
        <f>IF(NOT(ISNUMBER(PAR_FECHA_INICIO)),"",DATE(YEAR(PAR_FECHA_INICIO),MONTH(PAR_FECHA_INICIO)+17,1))</f>
        <v/>
      </c>
      <c r="B24" s="36" t="n"/>
      <c r="C24" s="36" t="n"/>
      <c r="D24" s="34" t="n"/>
      <c r="E24" s="50" t="n"/>
      <c r="F24" s="36" t="n"/>
      <c r="G24" s="37">
        <f>IF($A24="","",RENTABILIDAD!$D$25)</f>
        <v/>
      </c>
      <c r="H24" s="37">
        <f>IF($A24="","",RENTABILIDAD!$O$25)</f>
        <v/>
      </c>
      <c r="I24" s="39">
        <f>IF($A24="","",RENTABILIDAD!$E$25)</f>
        <v/>
      </c>
      <c r="J24" s="38">
        <f>IF(OR($A24="",$G24=0),"",$H24/$G24)</f>
        <v/>
      </c>
      <c r="K24" s="37">
        <f>IF($A24="","",CAJA!$N$24)</f>
        <v/>
      </c>
      <c r="L24" s="38">
        <f>IF(OR($A24="",$B24="",NOT(ISNUMBER($B24)),$B24=0),"",$G24/$B24)</f>
        <v/>
      </c>
      <c r="M24" s="38">
        <f>IF(OR($A24="",$C24="",NOT(ISNUMBER($C24)),$C24=0),"",$H24/$C24)</f>
        <v/>
      </c>
      <c r="N24" s="38">
        <f>IF(OR($A24="",$D24="",NOT(ISNUMBER($D24)),$D24=0),"",$I24/$D24)</f>
        <v/>
      </c>
      <c r="O24" s="38">
        <f>IF(OR($A24="",$F24="",NOT(ISNUMBER($F24)),$F24=0),"",$K24/$F24)</f>
        <v/>
      </c>
      <c r="P24" s="37">
        <f>IF(OR($A24="",NOT(ISNUMBER($B24))),"",$G24-$B24)</f>
        <v/>
      </c>
      <c r="Q24" s="37">
        <f>IF(OR($A24="",NOT(ISNUMBER($C24))),"",$H24-$C24)</f>
        <v/>
      </c>
      <c r="R24" s="39">
        <f>IF(OR($A24="",NOT(ISNUMBER($D24))),"",$I24-$D24)</f>
        <v/>
      </c>
      <c r="S24" s="37">
        <f>IF(OR($A24="",NOT(ISNUMBER($B24)),NOT(ISNUMBER(PAR_DIAS_MES)),PAR_DIAS_MES&lt;=0),"",$B24/PAR_DIAS_MES)</f>
        <v/>
      </c>
      <c r="T24" s="39">
        <f>IF($A24="","",IF(TODAY()&gt;=DATE(YEAR($A24),MONTH($A24)+1,1),DAY(DATE(YEAR($A24),MONTH($A24)+1,0)),IF(TODAY()&lt;$A24,0,DAY(TODAY()))))</f>
        <v/>
      </c>
      <c r="U24" s="39">
        <f>IF($A24="","",DAY(DATE(YEAR($A24),MONTH($A24)+1,0))-$T24)</f>
        <v/>
      </c>
      <c r="V24" s="37">
        <f>IF(OR($A24="",NOT(ISNUMBER($B24)),$U24&lt;=0),"",MAX(0,($B24-$G24)/$U24))</f>
        <v/>
      </c>
      <c r="W24" s="52">
        <f>IF($A24="","",IF(NOT(ISNUMBER($B24)),"SIN META",IF($G24&gt;=$B24,"META CUMPLIDA",IF($U24&lt;=0,"NO ALCANZADA",IF($L24&gt;=($T24/MAX(1,DAY(DATE(YEAR($A24),MONTH($A24)+1,0)))),"EN RITMO","ATRASADA")))))</f>
        <v/>
      </c>
    </row>
    <row r="25">
      <c r="A25" s="55">
        <f>IF(NOT(ISNUMBER(PAR_FECHA_INICIO)),"",DATE(YEAR(PAR_FECHA_INICIO),MONTH(PAR_FECHA_INICIO)+18,1))</f>
        <v/>
      </c>
      <c r="B25" s="36" t="n"/>
      <c r="C25" s="36" t="n"/>
      <c r="D25" s="34" t="n"/>
      <c r="E25" s="50" t="n"/>
      <c r="F25" s="36" t="n"/>
      <c r="G25" s="37">
        <f>IF($A25="","",RENTABILIDAD!$D$26)</f>
        <v/>
      </c>
      <c r="H25" s="37">
        <f>IF($A25="","",RENTABILIDAD!$O$26)</f>
        <v/>
      </c>
      <c r="I25" s="39">
        <f>IF($A25="","",RENTABILIDAD!$E$26)</f>
        <v/>
      </c>
      <c r="J25" s="38">
        <f>IF(OR($A25="",$G25=0),"",$H25/$G25)</f>
        <v/>
      </c>
      <c r="K25" s="37">
        <f>IF($A25="","",CAJA!$N$25)</f>
        <v/>
      </c>
      <c r="L25" s="38">
        <f>IF(OR($A25="",$B25="",NOT(ISNUMBER($B25)),$B25=0),"",$G25/$B25)</f>
        <v/>
      </c>
      <c r="M25" s="38">
        <f>IF(OR($A25="",$C25="",NOT(ISNUMBER($C25)),$C25=0),"",$H25/$C25)</f>
        <v/>
      </c>
      <c r="N25" s="38">
        <f>IF(OR($A25="",$D25="",NOT(ISNUMBER($D25)),$D25=0),"",$I25/$D25)</f>
        <v/>
      </c>
      <c r="O25" s="38">
        <f>IF(OR($A25="",$F25="",NOT(ISNUMBER($F25)),$F25=0),"",$K25/$F25)</f>
        <v/>
      </c>
      <c r="P25" s="37">
        <f>IF(OR($A25="",NOT(ISNUMBER($B25))),"",$G25-$B25)</f>
        <v/>
      </c>
      <c r="Q25" s="37">
        <f>IF(OR($A25="",NOT(ISNUMBER($C25))),"",$H25-$C25)</f>
        <v/>
      </c>
      <c r="R25" s="39">
        <f>IF(OR($A25="",NOT(ISNUMBER($D25))),"",$I25-$D25)</f>
        <v/>
      </c>
      <c r="S25" s="37">
        <f>IF(OR($A25="",NOT(ISNUMBER($B25)),NOT(ISNUMBER(PAR_DIAS_MES)),PAR_DIAS_MES&lt;=0),"",$B25/PAR_DIAS_MES)</f>
        <v/>
      </c>
      <c r="T25" s="39">
        <f>IF($A25="","",IF(TODAY()&gt;=DATE(YEAR($A25),MONTH($A25)+1,1),DAY(DATE(YEAR($A25),MONTH($A25)+1,0)),IF(TODAY()&lt;$A25,0,DAY(TODAY()))))</f>
        <v/>
      </c>
      <c r="U25" s="39">
        <f>IF($A25="","",DAY(DATE(YEAR($A25),MONTH($A25)+1,0))-$T25)</f>
        <v/>
      </c>
      <c r="V25" s="37">
        <f>IF(OR($A25="",NOT(ISNUMBER($B25)),$U25&lt;=0),"",MAX(0,($B25-$G25)/$U25))</f>
        <v/>
      </c>
      <c r="W25" s="52">
        <f>IF($A25="","",IF(NOT(ISNUMBER($B25)),"SIN META",IF($G25&gt;=$B25,"META CUMPLIDA",IF($U25&lt;=0,"NO ALCANZADA",IF($L25&gt;=($T25/MAX(1,DAY(DATE(YEAR($A25),MONTH($A25)+1,0)))),"EN RITMO","ATRASADA")))))</f>
        <v/>
      </c>
    </row>
    <row r="26">
      <c r="A26" s="55">
        <f>IF(NOT(ISNUMBER(PAR_FECHA_INICIO)),"",DATE(YEAR(PAR_FECHA_INICIO),MONTH(PAR_FECHA_INICIO)+19,1))</f>
        <v/>
      </c>
      <c r="B26" s="36" t="n"/>
      <c r="C26" s="36" t="n"/>
      <c r="D26" s="34" t="n"/>
      <c r="E26" s="50" t="n"/>
      <c r="F26" s="36" t="n"/>
      <c r="G26" s="37">
        <f>IF($A26="","",RENTABILIDAD!$D$27)</f>
        <v/>
      </c>
      <c r="H26" s="37">
        <f>IF($A26="","",RENTABILIDAD!$O$27)</f>
        <v/>
      </c>
      <c r="I26" s="39">
        <f>IF($A26="","",RENTABILIDAD!$E$27)</f>
        <v/>
      </c>
      <c r="J26" s="38">
        <f>IF(OR($A26="",$G26=0),"",$H26/$G26)</f>
        <v/>
      </c>
      <c r="K26" s="37">
        <f>IF($A26="","",CAJA!$N$26)</f>
        <v/>
      </c>
      <c r="L26" s="38">
        <f>IF(OR($A26="",$B26="",NOT(ISNUMBER($B26)),$B26=0),"",$G26/$B26)</f>
        <v/>
      </c>
      <c r="M26" s="38">
        <f>IF(OR($A26="",$C26="",NOT(ISNUMBER($C26)),$C26=0),"",$H26/$C26)</f>
        <v/>
      </c>
      <c r="N26" s="38">
        <f>IF(OR($A26="",$D26="",NOT(ISNUMBER($D26)),$D26=0),"",$I26/$D26)</f>
        <v/>
      </c>
      <c r="O26" s="38">
        <f>IF(OR($A26="",$F26="",NOT(ISNUMBER($F26)),$F26=0),"",$K26/$F26)</f>
        <v/>
      </c>
      <c r="P26" s="37">
        <f>IF(OR($A26="",NOT(ISNUMBER($B26))),"",$G26-$B26)</f>
        <v/>
      </c>
      <c r="Q26" s="37">
        <f>IF(OR($A26="",NOT(ISNUMBER($C26))),"",$H26-$C26)</f>
        <v/>
      </c>
      <c r="R26" s="39">
        <f>IF(OR($A26="",NOT(ISNUMBER($D26))),"",$I26-$D26)</f>
        <v/>
      </c>
      <c r="S26" s="37">
        <f>IF(OR($A26="",NOT(ISNUMBER($B26)),NOT(ISNUMBER(PAR_DIAS_MES)),PAR_DIAS_MES&lt;=0),"",$B26/PAR_DIAS_MES)</f>
        <v/>
      </c>
      <c r="T26" s="39">
        <f>IF($A26="","",IF(TODAY()&gt;=DATE(YEAR($A26),MONTH($A26)+1,1),DAY(DATE(YEAR($A26),MONTH($A26)+1,0)),IF(TODAY()&lt;$A26,0,DAY(TODAY()))))</f>
        <v/>
      </c>
      <c r="U26" s="39">
        <f>IF($A26="","",DAY(DATE(YEAR($A26),MONTH($A26)+1,0))-$T26)</f>
        <v/>
      </c>
      <c r="V26" s="37">
        <f>IF(OR($A26="",NOT(ISNUMBER($B26)),$U26&lt;=0),"",MAX(0,($B26-$G26)/$U26))</f>
        <v/>
      </c>
      <c r="W26" s="52">
        <f>IF($A26="","",IF(NOT(ISNUMBER($B26)),"SIN META",IF($G26&gt;=$B26,"META CUMPLIDA",IF($U26&lt;=0,"NO ALCANZADA",IF($L26&gt;=($T26/MAX(1,DAY(DATE(YEAR($A26),MONTH($A26)+1,0)))),"EN RITMO","ATRASADA")))))</f>
        <v/>
      </c>
    </row>
    <row r="27">
      <c r="A27" s="55">
        <f>IF(NOT(ISNUMBER(PAR_FECHA_INICIO)),"",DATE(YEAR(PAR_FECHA_INICIO),MONTH(PAR_FECHA_INICIO)+20,1))</f>
        <v/>
      </c>
      <c r="B27" s="36" t="n"/>
      <c r="C27" s="36" t="n"/>
      <c r="D27" s="34" t="n"/>
      <c r="E27" s="50" t="n"/>
      <c r="F27" s="36" t="n"/>
      <c r="G27" s="37">
        <f>IF($A27="","",RENTABILIDAD!$D$28)</f>
        <v/>
      </c>
      <c r="H27" s="37">
        <f>IF($A27="","",RENTABILIDAD!$O$28)</f>
        <v/>
      </c>
      <c r="I27" s="39">
        <f>IF($A27="","",RENTABILIDAD!$E$28)</f>
        <v/>
      </c>
      <c r="J27" s="38">
        <f>IF(OR($A27="",$G27=0),"",$H27/$G27)</f>
        <v/>
      </c>
      <c r="K27" s="37">
        <f>IF($A27="","",CAJA!$N$27)</f>
        <v/>
      </c>
      <c r="L27" s="38">
        <f>IF(OR($A27="",$B27="",NOT(ISNUMBER($B27)),$B27=0),"",$G27/$B27)</f>
        <v/>
      </c>
      <c r="M27" s="38">
        <f>IF(OR($A27="",$C27="",NOT(ISNUMBER($C27)),$C27=0),"",$H27/$C27)</f>
        <v/>
      </c>
      <c r="N27" s="38">
        <f>IF(OR($A27="",$D27="",NOT(ISNUMBER($D27)),$D27=0),"",$I27/$D27)</f>
        <v/>
      </c>
      <c r="O27" s="38">
        <f>IF(OR($A27="",$F27="",NOT(ISNUMBER($F27)),$F27=0),"",$K27/$F27)</f>
        <v/>
      </c>
      <c r="P27" s="37">
        <f>IF(OR($A27="",NOT(ISNUMBER($B27))),"",$G27-$B27)</f>
        <v/>
      </c>
      <c r="Q27" s="37">
        <f>IF(OR($A27="",NOT(ISNUMBER($C27))),"",$H27-$C27)</f>
        <v/>
      </c>
      <c r="R27" s="39">
        <f>IF(OR($A27="",NOT(ISNUMBER($D27))),"",$I27-$D27)</f>
        <v/>
      </c>
      <c r="S27" s="37">
        <f>IF(OR($A27="",NOT(ISNUMBER($B27)),NOT(ISNUMBER(PAR_DIAS_MES)),PAR_DIAS_MES&lt;=0),"",$B27/PAR_DIAS_MES)</f>
        <v/>
      </c>
      <c r="T27" s="39">
        <f>IF($A27="","",IF(TODAY()&gt;=DATE(YEAR($A27),MONTH($A27)+1,1),DAY(DATE(YEAR($A27),MONTH($A27)+1,0)),IF(TODAY()&lt;$A27,0,DAY(TODAY()))))</f>
        <v/>
      </c>
      <c r="U27" s="39">
        <f>IF($A27="","",DAY(DATE(YEAR($A27),MONTH($A27)+1,0))-$T27)</f>
        <v/>
      </c>
      <c r="V27" s="37">
        <f>IF(OR($A27="",NOT(ISNUMBER($B27)),$U27&lt;=0),"",MAX(0,($B27-$G27)/$U27))</f>
        <v/>
      </c>
      <c r="W27" s="52">
        <f>IF($A27="","",IF(NOT(ISNUMBER($B27)),"SIN META",IF($G27&gt;=$B27,"META CUMPLIDA",IF($U27&lt;=0,"NO ALCANZADA",IF($L27&gt;=($T27/MAX(1,DAY(DATE(YEAR($A27),MONTH($A27)+1,0)))),"EN RITMO","ATRASADA")))))</f>
        <v/>
      </c>
    </row>
    <row r="28">
      <c r="A28" s="55">
        <f>IF(NOT(ISNUMBER(PAR_FECHA_INICIO)),"",DATE(YEAR(PAR_FECHA_INICIO),MONTH(PAR_FECHA_INICIO)+21,1))</f>
        <v/>
      </c>
      <c r="B28" s="36" t="n"/>
      <c r="C28" s="36" t="n"/>
      <c r="D28" s="34" t="n"/>
      <c r="E28" s="50" t="n"/>
      <c r="F28" s="36" t="n"/>
      <c r="G28" s="37">
        <f>IF($A28="","",RENTABILIDAD!$D$29)</f>
        <v/>
      </c>
      <c r="H28" s="37">
        <f>IF($A28="","",RENTABILIDAD!$O$29)</f>
        <v/>
      </c>
      <c r="I28" s="39">
        <f>IF($A28="","",RENTABILIDAD!$E$29)</f>
        <v/>
      </c>
      <c r="J28" s="38">
        <f>IF(OR($A28="",$G28=0),"",$H28/$G28)</f>
        <v/>
      </c>
      <c r="K28" s="37">
        <f>IF($A28="","",CAJA!$N$28)</f>
        <v/>
      </c>
      <c r="L28" s="38">
        <f>IF(OR($A28="",$B28="",NOT(ISNUMBER($B28)),$B28=0),"",$G28/$B28)</f>
        <v/>
      </c>
      <c r="M28" s="38">
        <f>IF(OR($A28="",$C28="",NOT(ISNUMBER($C28)),$C28=0),"",$H28/$C28)</f>
        <v/>
      </c>
      <c r="N28" s="38">
        <f>IF(OR($A28="",$D28="",NOT(ISNUMBER($D28)),$D28=0),"",$I28/$D28)</f>
        <v/>
      </c>
      <c r="O28" s="38">
        <f>IF(OR($A28="",$F28="",NOT(ISNUMBER($F28)),$F28=0),"",$K28/$F28)</f>
        <v/>
      </c>
      <c r="P28" s="37">
        <f>IF(OR($A28="",NOT(ISNUMBER($B28))),"",$G28-$B28)</f>
        <v/>
      </c>
      <c r="Q28" s="37">
        <f>IF(OR($A28="",NOT(ISNUMBER($C28))),"",$H28-$C28)</f>
        <v/>
      </c>
      <c r="R28" s="39">
        <f>IF(OR($A28="",NOT(ISNUMBER($D28))),"",$I28-$D28)</f>
        <v/>
      </c>
      <c r="S28" s="37">
        <f>IF(OR($A28="",NOT(ISNUMBER($B28)),NOT(ISNUMBER(PAR_DIAS_MES)),PAR_DIAS_MES&lt;=0),"",$B28/PAR_DIAS_MES)</f>
        <v/>
      </c>
      <c r="T28" s="39">
        <f>IF($A28="","",IF(TODAY()&gt;=DATE(YEAR($A28),MONTH($A28)+1,1),DAY(DATE(YEAR($A28),MONTH($A28)+1,0)),IF(TODAY()&lt;$A28,0,DAY(TODAY()))))</f>
        <v/>
      </c>
      <c r="U28" s="39">
        <f>IF($A28="","",DAY(DATE(YEAR($A28),MONTH($A28)+1,0))-$T28)</f>
        <v/>
      </c>
      <c r="V28" s="37">
        <f>IF(OR($A28="",NOT(ISNUMBER($B28)),$U28&lt;=0),"",MAX(0,($B28-$G28)/$U28))</f>
        <v/>
      </c>
      <c r="W28" s="52">
        <f>IF($A28="","",IF(NOT(ISNUMBER($B28)),"SIN META",IF($G28&gt;=$B28,"META CUMPLIDA",IF($U28&lt;=0,"NO ALCANZADA",IF($L28&gt;=($T28/MAX(1,DAY(DATE(YEAR($A28),MONTH($A28)+1,0)))),"EN RITMO","ATRASADA")))))</f>
        <v/>
      </c>
    </row>
    <row r="29">
      <c r="A29" s="55">
        <f>IF(NOT(ISNUMBER(PAR_FECHA_INICIO)),"",DATE(YEAR(PAR_FECHA_INICIO),MONTH(PAR_FECHA_INICIO)+22,1))</f>
        <v/>
      </c>
      <c r="B29" s="36" t="n"/>
      <c r="C29" s="36" t="n"/>
      <c r="D29" s="34" t="n"/>
      <c r="E29" s="50" t="n"/>
      <c r="F29" s="36" t="n"/>
      <c r="G29" s="37">
        <f>IF($A29="","",RENTABILIDAD!$D$30)</f>
        <v/>
      </c>
      <c r="H29" s="37">
        <f>IF($A29="","",RENTABILIDAD!$O$30)</f>
        <v/>
      </c>
      <c r="I29" s="39">
        <f>IF($A29="","",RENTABILIDAD!$E$30)</f>
        <v/>
      </c>
      <c r="J29" s="38">
        <f>IF(OR($A29="",$G29=0),"",$H29/$G29)</f>
        <v/>
      </c>
      <c r="K29" s="37">
        <f>IF($A29="","",CAJA!$N$29)</f>
        <v/>
      </c>
      <c r="L29" s="38">
        <f>IF(OR($A29="",$B29="",NOT(ISNUMBER($B29)),$B29=0),"",$G29/$B29)</f>
        <v/>
      </c>
      <c r="M29" s="38">
        <f>IF(OR($A29="",$C29="",NOT(ISNUMBER($C29)),$C29=0),"",$H29/$C29)</f>
        <v/>
      </c>
      <c r="N29" s="38">
        <f>IF(OR($A29="",$D29="",NOT(ISNUMBER($D29)),$D29=0),"",$I29/$D29)</f>
        <v/>
      </c>
      <c r="O29" s="38">
        <f>IF(OR($A29="",$F29="",NOT(ISNUMBER($F29)),$F29=0),"",$K29/$F29)</f>
        <v/>
      </c>
      <c r="P29" s="37">
        <f>IF(OR($A29="",NOT(ISNUMBER($B29))),"",$G29-$B29)</f>
        <v/>
      </c>
      <c r="Q29" s="37">
        <f>IF(OR($A29="",NOT(ISNUMBER($C29))),"",$H29-$C29)</f>
        <v/>
      </c>
      <c r="R29" s="39">
        <f>IF(OR($A29="",NOT(ISNUMBER($D29))),"",$I29-$D29)</f>
        <v/>
      </c>
      <c r="S29" s="37">
        <f>IF(OR($A29="",NOT(ISNUMBER($B29)),NOT(ISNUMBER(PAR_DIAS_MES)),PAR_DIAS_MES&lt;=0),"",$B29/PAR_DIAS_MES)</f>
        <v/>
      </c>
      <c r="T29" s="39">
        <f>IF($A29="","",IF(TODAY()&gt;=DATE(YEAR($A29),MONTH($A29)+1,1),DAY(DATE(YEAR($A29),MONTH($A29)+1,0)),IF(TODAY()&lt;$A29,0,DAY(TODAY()))))</f>
        <v/>
      </c>
      <c r="U29" s="39">
        <f>IF($A29="","",DAY(DATE(YEAR($A29),MONTH($A29)+1,0))-$T29)</f>
        <v/>
      </c>
      <c r="V29" s="37">
        <f>IF(OR($A29="",NOT(ISNUMBER($B29)),$U29&lt;=0),"",MAX(0,($B29-$G29)/$U29))</f>
        <v/>
      </c>
      <c r="W29" s="52">
        <f>IF($A29="","",IF(NOT(ISNUMBER($B29)),"SIN META",IF($G29&gt;=$B29,"META CUMPLIDA",IF($U29&lt;=0,"NO ALCANZADA",IF($L29&gt;=($T29/MAX(1,DAY(DATE(YEAR($A29),MONTH($A29)+1,0)))),"EN RITMO","ATRASADA")))))</f>
        <v/>
      </c>
    </row>
    <row r="30">
      <c r="A30" s="55">
        <f>IF(NOT(ISNUMBER(PAR_FECHA_INICIO)),"",DATE(YEAR(PAR_FECHA_INICIO),MONTH(PAR_FECHA_INICIO)+23,1))</f>
        <v/>
      </c>
      <c r="B30" s="36" t="n"/>
      <c r="C30" s="36" t="n"/>
      <c r="D30" s="34" t="n"/>
      <c r="E30" s="50" t="n"/>
      <c r="F30" s="36" t="n"/>
      <c r="G30" s="37">
        <f>IF($A30="","",RENTABILIDAD!$D$31)</f>
        <v/>
      </c>
      <c r="H30" s="37">
        <f>IF($A30="","",RENTABILIDAD!$O$31)</f>
        <v/>
      </c>
      <c r="I30" s="39">
        <f>IF($A30="","",RENTABILIDAD!$E$31)</f>
        <v/>
      </c>
      <c r="J30" s="38">
        <f>IF(OR($A30="",$G30=0),"",$H30/$G30)</f>
        <v/>
      </c>
      <c r="K30" s="37">
        <f>IF($A30="","",CAJA!$N$30)</f>
        <v/>
      </c>
      <c r="L30" s="38">
        <f>IF(OR($A30="",$B30="",NOT(ISNUMBER($B30)),$B30=0),"",$G30/$B30)</f>
        <v/>
      </c>
      <c r="M30" s="38">
        <f>IF(OR($A30="",$C30="",NOT(ISNUMBER($C30)),$C30=0),"",$H30/$C30)</f>
        <v/>
      </c>
      <c r="N30" s="38">
        <f>IF(OR($A30="",$D30="",NOT(ISNUMBER($D30)),$D30=0),"",$I30/$D30)</f>
        <v/>
      </c>
      <c r="O30" s="38">
        <f>IF(OR($A30="",$F30="",NOT(ISNUMBER($F30)),$F30=0),"",$K30/$F30)</f>
        <v/>
      </c>
      <c r="P30" s="37">
        <f>IF(OR($A30="",NOT(ISNUMBER($B30))),"",$G30-$B30)</f>
        <v/>
      </c>
      <c r="Q30" s="37">
        <f>IF(OR($A30="",NOT(ISNUMBER($C30))),"",$H30-$C30)</f>
        <v/>
      </c>
      <c r="R30" s="39">
        <f>IF(OR($A30="",NOT(ISNUMBER($D30))),"",$I30-$D30)</f>
        <v/>
      </c>
      <c r="S30" s="37">
        <f>IF(OR($A30="",NOT(ISNUMBER($B30)),NOT(ISNUMBER(PAR_DIAS_MES)),PAR_DIAS_MES&lt;=0),"",$B30/PAR_DIAS_MES)</f>
        <v/>
      </c>
      <c r="T30" s="39">
        <f>IF($A30="","",IF(TODAY()&gt;=DATE(YEAR($A30),MONTH($A30)+1,1),DAY(DATE(YEAR($A30),MONTH($A30)+1,0)),IF(TODAY()&lt;$A30,0,DAY(TODAY()))))</f>
        <v/>
      </c>
      <c r="U30" s="39">
        <f>IF($A30="","",DAY(DATE(YEAR($A30),MONTH($A30)+1,0))-$T30)</f>
        <v/>
      </c>
      <c r="V30" s="37">
        <f>IF(OR($A30="",NOT(ISNUMBER($B30)),$U30&lt;=0),"",MAX(0,($B30-$G30)/$U30))</f>
        <v/>
      </c>
      <c r="W30" s="52">
        <f>IF($A30="","",IF(NOT(ISNUMBER($B30)),"SIN META",IF($G30&gt;=$B30,"META CUMPLIDA",IF($U30&lt;=0,"NO ALCANZADA",IF($L30&gt;=($T30/MAX(1,DAY(DATE(YEAR($A30),MONTH($A30)+1,0)))),"EN RITMO","ATRASADA")))))</f>
        <v/>
      </c>
    </row>
    <row r="31">
      <c r="A31" s="55">
        <f>IF(NOT(ISNUMBER(PAR_FECHA_INICIO)),"",DATE(YEAR(PAR_FECHA_INICIO),MONTH(PAR_FECHA_INICIO)+24,1))</f>
        <v/>
      </c>
      <c r="B31" s="36" t="n"/>
      <c r="C31" s="36" t="n"/>
      <c r="D31" s="34" t="n"/>
      <c r="E31" s="50" t="n"/>
      <c r="F31" s="36" t="n"/>
      <c r="G31" s="37">
        <f>IF($A31="","",RENTABILIDAD!$D$32)</f>
        <v/>
      </c>
      <c r="H31" s="37">
        <f>IF($A31="","",RENTABILIDAD!$O$32)</f>
        <v/>
      </c>
      <c r="I31" s="39">
        <f>IF($A31="","",RENTABILIDAD!$E$32)</f>
        <v/>
      </c>
      <c r="J31" s="38">
        <f>IF(OR($A31="",$G31=0),"",$H31/$G31)</f>
        <v/>
      </c>
      <c r="K31" s="37">
        <f>IF($A31="","",CAJA!$N$31)</f>
        <v/>
      </c>
      <c r="L31" s="38">
        <f>IF(OR($A31="",$B31="",NOT(ISNUMBER($B31)),$B31=0),"",$G31/$B31)</f>
        <v/>
      </c>
      <c r="M31" s="38">
        <f>IF(OR($A31="",$C31="",NOT(ISNUMBER($C31)),$C31=0),"",$H31/$C31)</f>
        <v/>
      </c>
      <c r="N31" s="38">
        <f>IF(OR($A31="",$D31="",NOT(ISNUMBER($D31)),$D31=0),"",$I31/$D31)</f>
        <v/>
      </c>
      <c r="O31" s="38">
        <f>IF(OR($A31="",$F31="",NOT(ISNUMBER($F31)),$F31=0),"",$K31/$F31)</f>
        <v/>
      </c>
      <c r="P31" s="37">
        <f>IF(OR($A31="",NOT(ISNUMBER($B31))),"",$G31-$B31)</f>
        <v/>
      </c>
      <c r="Q31" s="37">
        <f>IF(OR($A31="",NOT(ISNUMBER($C31))),"",$H31-$C31)</f>
        <v/>
      </c>
      <c r="R31" s="39">
        <f>IF(OR($A31="",NOT(ISNUMBER($D31))),"",$I31-$D31)</f>
        <v/>
      </c>
      <c r="S31" s="37">
        <f>IF(OR($A31="",NOT(ISNUMBER($B31)),NOT(ISNUMBER(PAR_DIAS_MES)),PAR_DIAS_MES&lt;=0),"",$B31/PAR_DIAS_MES)</f>
        <v/>
      </c>
      <c r="T31" s="39">
        <f>IF($A31="","",IF(TODAY()&gt;=DATE(YEAR($A31),MONTH($A31)+1,1),DAY(DATE(YEAR($A31),MONTH($A31)+1,0)),IF(TODAY()&lt;$A31,0,DAY(TODAY()))))</f>
        <v/>
      </c>
      <c r="U31" s="39">
        <f>IF($A31="","",DAY(DATE(YEAR($A31),MONTH($A31)+1,0))-$T31)</f>
        <v/>
      </c>
      <c r="V31" s="37">
        <f>IF(OR($A31="",NOT(ISNUMBER($B31)),$U31&lt;=0),"",MAX(0,($B31-$G31)/$U31))</f>
        <v/>
      </c>
      <c r="W31" s="52">
        <f>IF($A31="","",IF(NOT(ISNUMBER($B31)),"SIN META",IF($G31&gt;=$B31,"META CUMPLIDA",IF($U31&lt;=0,"NO ALCANZADA",IF($L31&gt;=($T31/MAX(1,DAY(DATE(YEAR($A31),MONTH($A31)+1,0)))),"EN RITMO","ATRASADA")))))</f>
        <v/>
      </c>
    </row>
    <row r="32">
      <c r="A32" s="55">
        <f>IF(NOT(ISNUMBER(PAR_FECHA_INICIO)),"",DATE(YEAR(PAR_FECHA_INICIO),MONTH(PAR_FECHA_INICIO)+25,1))</f>
        <v/>
      </c>
      <c r="B32" s="36" t="n"/>
      <c r="C32" s="36" t="n"/>
      <c r="D32" s="34" t="n"/>
      <c r="E32" s="50" t="n"/>
      <c r="F32" s="36" t="n"/>
      <c r="G32" s="37">
        <f>IF($A32="","",RENTABILIDAD!$D$33)</f>
        <v/>
      </c>
      <c r="H32" s="37">
        <f>IF($A32="","",RENTABILIDAD!$O$33)</f>
        <v/>
      </c>
      <c r="I32" s="39">
        <f>IF($A32="","",RENTABILIDAD!$E$33)</f>
        <v/>
      </c>
      <c r="J32" s="38">
        <f>IF(OR($A32="",$G32=0),"",$H32/$G32)</f>
        <v/>
      </c>
      <c r="K32" s="37">
        <f>IF($A32="","",CAJA!$N$32)</f>
        <v/>
      </c>
      <c r="L32" s="38">
        <f>IF(OR($A32="",$B32="",NOT(ISNUMBER($B32)),$B32=0),"",$G32/$B32)</f>
        <v/>
      </c>
      <c r="M32" s="38">
        <f>IF(OR($A32="",$C32="",NOT(ISNUMBER($C32)),$C32=0),"",$H32/$C32)</f>
        <v/>
      </c>
      <c r="N32" s="38">
        <f>IF(OR($A32="",$D32="",NOT(ISNUMBER($D32)),$D32=0),"",$I32/$D32)</f>
        <v/>
      </c>
      <c r="O32" s="38">
        <f>IF(OR($A32="",$F32="",NOT(ISNUMBER($F32)),$F32=0),"",$K32/$F32)</f>
        <v/>
      </c>
      <c r="P32" s="37">
        <f>IF(OR($A32="",NOT(ISNUMBER($B32))),"",$G32-$B32)</f>
        <v/>
      </c>
      <c r="Q32" s="37">
        <f>IF(OR($A32="",NOT(ISNUMBER($C32))),"",$H32-$C32)</f>
        <v/>
      </c>
      <c r="R32" s="39">
        <f>IF(OR($A32="",NOT(ISNUMBER($D32))),"",$I32-$D32)</f>
        <v/>
      </c>
      <c r="S32" s="37">
        <f>IF(OR($A32="",NOT(ISNUMBER($B32)),NOT(ISNUMBER(PAR_DIAS_MES)),PAR_DIAS_MES&lt;=0),"",$B32/PAR_DIAS_MES)</f>
        <v/>
      </c>
      <c r="T32" s="39">
        <f>IF($A32="","",IF(TODAY()&gt;=DATE(YEAR($A32),MONTH($A32)+1,1),DAY(DATE(YEAR($A32),MONTH($A32)+1,0)),IF(TODAY()&lt;$A32,0,DAY(TODAY()))))</f>
        <v/>
      </c>
      <c r="U32" s="39">
        <f>IF($A32="","",DAY(DATE(YEAR($A32),MONTH($A32)+1,0))-$T32)</f>
        <v/>
      </c>
      <c r="V32" s="37">
        <f>IF(OR($A32="",NOT(ISNUMBER($B32)),$U32&lt;=0),"",MAX(0,($B32-$G32)/$U32))</f>
        <v/>
      </c>
      <c r="W32" s="52">
        <f>IF($A32="","",IF(NOT(ISNUMBER($B32)),"SIN META",IF($G32&gt;=$B32,"META CUMPLIDA",IF($U32&lt;=0,"NO ALCANZADA",IF($L32&gt;=($T32/MAX(1,DAY(DATE(YEAR($A32),MONTH($A32)+1,0)))),"EN RITMO","ATRASADA")))))</f>
        <v/>
      </c>
    </row>
    <row r="33">
      <c r="A33" s="55">
        <f>IF(NOT(ISNUMBER(PAR_FECHA_INICIO)),"",DATE(YEAR(PAR_FECHA_INICIO),MONTH(PAR_FECHA_INICIO)+26,1))</f>
        <v/>
      </c>
      <c r="B33" s="36" t="n"/>
      <c r="C33" s="36" t="n"/>
      <c r="D33" s="34" t="n"/>
      <c r="E33" s="50" t="n"/>
      <c r="F33" s="36" t="n"/>
      <c r="G33" s="37">
        <f>IF($A33="","",RENTABILIDAD!$D$34)</f>
        <v/>
      </c>
      <c r="H33" s="37">
        <f>IF($A33="","",RENTABILIDAD!$O$34)</f>
        <v/>
      </c>
      <c r="I33" s="39">
        <f>IF($A33="","",RENTABILIDAD!$E$34)</f>
        <v/>
      </c>
      <c r="J33" s="38">
        <f>IF(OR($A33="",$G33=0),"",$H33/$G33)</f>
        <v/>
      </c>
      <c r="K33" s="37">
        <f>IF($A33="","",CAJA!$N$33)</f>
        <v/>
      </c>
      <c r="L33" s="38">
        <f>IF(OR($A33="",$B33="",NOT(ISNUMBER($B33)),$B33=0),"",$G33/$B33)</f>
        <v/>
      </c>
      <c r="M33" s="38">
        <f>IF(OR($A33="",$C33="",NOT(ISNUMBER($C33)),$C33=0),"",$H33/$C33)</f>
        <v/>
      </c>
      <c r="N33" s="38">
        <f>IF(OR($A33="",$D33="",NOT(ISNUMBER($D33)),$D33=0),"",$I33/$D33)</f>
        <v/>
      </c>
      <c r="O33" s="38">
        <f>IF(OR($A33="",$F33="",NOT(ISNUMBER($F33)),$F33=0),"",$K33/$F33)</f>
        <v/>
      </c>
      <c r="P33" s="37">
        <f>IF(OR($A33="",NOT(ISNUMBER($B33))),"",$G33-$B33)</f>
        <v/>
      </c>
      <c r="Q33" s="37">
        <f>IF(OR($A33="",NOT(ISNUMBER($C33))),"",$H33-$C33)</f>
        <v/>
      </c>
      <c r="R33" s="39">
        <f>IF(OR($A33="",NOT(ISNUMBER($D33))),"",$I33-$D33)</f>
        <v/>
      </c>
      <c r="S33" s="37">
        <f>IF(OR($A33="",NOT(ISNUMBER($B33)),NOT(ISNUMBER(PAR_DIAS_MES)),PAR_DIAS_MES&lt;=0),"",$B33/PAR_DIAS_MES)</f>
        <v/>
      </c>
      <c r="T33" s="39">
        <f>IF($A33="","",IF(TODAY()&gt;=DATE(YEAR($A33),MONTH($A33)+1,1),DAY(DATE(YEAR($A33),MONTH($A33)+1,0)),IF(TODAY()&lt;$A33,0,DAY(TODAY()))))</f>
        <v/>
      </c>
      <c r="U33" s="39">
        <f>IF($A33="","",DAY(DATE(YEAR($A33),MONTH($A33)+1,0))-$T33)</f>
        <v/>
      </c>
      <c r="V33" s="37">
        <f>IF(OR($A33="",NOT(ISNUMBER($B33)),$U33&lt;=0),"",MAX(0,($B33-$G33)/$U33))</f>
        <v/>
      </c>
      <c r="W33" s="52">
        <f>IF($A33="","",IF(NOT(ISNUMBER($B33)),"SIN META",IF($G33&gt;=$B33,"META CUMPLIDA",IF($U33&lt;=0,"NO ALCANZADA",IF($L33&gt;=($T33/MAX(1,DAY(DATE(YEAR($A33),MONTH($A33)+1,0)))),"EN RITMO","ATRASADA")))))</f>
        <v/>
      </c>
    </row>
    <row r="34">
      <c r="A34" s="55">
        <f>IF(NOT(ISNUMBER(PAR_FECHA_INICIO)),"",DATE(YEAR(PAR_FECHA_INICIO),MONTH(PAR_FECHA_INICIO)+27,1))</f>
        <v/>
      </c>
      <c r="B34" s="36" t="n"/>
      <c r="C34" s="36" t="n"/>
      <c r="D34" s="34" t="n"/>
      <c r="E34" s="50" t="n"/>
      <c r="F34" s="36" t="n"/>
      <c r="G34" s="37">
        <f>IF($A34="","",RENTABILIDAD!$D$35)</f>
        <v/>
      </c>
      <c r="H34" s="37">
        <f>IF($A34="","",RENTABILIDAD!$O$35)</f>
        <v/>
      </c>
      <c r="I34" s="39">
        <f>IF($A34="","",RENTABILIDAD!$E$35)</f>
        <v/>
      </c>
      <c r="J34" s="38">
        <f>IF(OR($A34="",$G34=0),"",$H34/$G34)</f>
        <v/>
      </c>
      <c r="K34" s="37">
        <f>IF($A34="","",CAJA!$N$34)</f>
        <v/>
      </c>
      <c r="L34" s="38">
        <f>IF(OR($A34="",$B34="",NOT(ISNUMBER($B34)),$B34=0),"",$G34/$B34)</f>
        <v/>
      </c>
      <c r="M34" s="38">
        <f>IF(OR($A34="",$C34="",NOT(ISNUMBER($C34)),$C34=0),"",$H34/$C34)</f>
        <v/>
      </c>
      <c r="N34" s="38">
        <f>IF(OR($A34="",$D34="",NOT(ISNUMBER($D34)),$D34=0),"",$I34/$D34)</f>
        <v/>
      </c>
      <c r="O34" s="38">
        <f>IF(OR($A34="",$F34="",NOT(ISNUMBER($F34)),$F34=0),"",$K34/$F34)</f>
        <v/>
      </c>
      <c r="P34" s="37">
        <f>IF(OR($A34="",NOT(ISNUMBER($B34))),"",$G34-$B34)</f>
        <v/>
      </c>
      <c r="Q34" s="37">
        <f>IF(OR($A34="",NOT(ISNUMBER($C34))),"",$H34-$C34)</f>
        <v/>
      </c>
      <c r="R34" s="39">
        <f>IF(OR($A34="",NOT(ISNUMBER($D34))),"",$I34-$D34)</f>
        <v/>
      </c>
      <c r="S34" s="37">
        <f>IF(OR($A34="",NOT(ISNUMBER($B34)),NOT(ISNUMBER(PAR_DIAS_MES)),PAR_DIAS_MES&lt;=0),"",$B34/PAR_DIAS_MES)</f>
        <v/>
      </c>
      <c r="T34" s="39">
        <f>IF($A34="","",IF(TODAY()&gt;=DATE(YEAR($A34),MONTH($A34)+1,1),DAY(DATE(YEAR($A34),MONTH($A34)+1,0)),IF(TODAY()&lt;$A34,0,DAY(TODAY()))))</f>
        <v/>
      </c>
      <c r="U34" s="39">
        <f>IF($A34="","",DAY(DATE(YEAR($A34),MONTH($A34)+1,0))-$T34)</f>
        <v/>
      </c>
      <c r="V34" s="37">
        <f>IF(OR($A34="",NOT(ISNUMBER($B34)),$U34&lt;=0),"",MAX(0,($B34-$G34)/$U34))</f>
        <v/>
      </c>
      <c r="W34" s="52">
        <f>IF($A34="","",IF(NOT(ISNUMBER($B34)),"SIN META",IF($G34&gt;=$B34,"META CUMPLIDA",IF($U34&lt;=0,"NO ALCANZADA",IF($L34&gt;=($T34/MAX(1,DAY(DATE(YEAR($A34),MONTH($A34)+1,0)))),"EN RITMO","ATRASADA")))))</f>
        <v/>
      </c>
    </row>
    <row r="35">
      <c r="A35" s="55">
        <f>IF(NOT(ISNUMBER(PAR_FECHA_INICIO)),"",DATE(YEAR(PAR_FECHA_INICIO),MONTH(PAR_FECHA_INICIO)+28,1))</f>
        <v/>
      </c>
      <c r="B35" s="36" t="n"/>
      <c r="C35" s="36" t="n"/>
      <c r="D35" s="34" t="n"/>
      <c r="E35" s="50" t="n"/>
      <c r="F35" s="36" t="n"/>
      <c r="G35" s="37">
        <f>IF($A35="","",RENTABILIDAD!$D$36)</f>
        <v/>
      </c>
      <c r="H35" s="37">
        <f>IF($A35="","",RENTABILIDAD!$O$36)</f>
        <v/>
      </c>
      <c r="I35" s="39">
        <f>IF($A35="","",RENTABILIDAD!$E$36)</f>
        <v/>
      </c>
      <c r="J35" s="38">
        <f>IF(OR($A35="",$G35=0),"",$H35/$G35)</f>
        <v/>
      </c>
      <c r="K35" s="37">
        <f>IF($A35="","",CAJA!$N$35)</f>
        <v/>
      </c>
      <c r="L35" s="38">
        <f>IF(OR($A35="",$B35="",NOT(ISNUMBER($B35)),$B35=0),"",$G35/$B35)</f>
        <v/>
      </c>
      <c r="M35" s="38">
        <f>IF(OR($A35="",$C35="",NOT(ISNUMBER($C35)),$C35=0),"",$H35/$C35)</f>
        <v/>
      </c>
      <c r="N35" s="38">
        <f>IF(OR($A35="",$D35="",NOT(ISNUMBER($D35)),$D35=0),"",$I35/$D35)</f>
        <v/>
      </c>
      <c r="O35" s="38">
        <f>IF(OR($A35="",$F35="",NOT(ISNUMBER($F35)),$F35=0),"",$K35/$F35)</f>
        <v/>
      </c>
      <c r="P35" s="37">
        <f>IF(OR($A35="",NOT(ISNUMBER($B35))),"",$G35-$B35)</f>
        <v/>
      </c>
      <c r="Q35" s="37">
        <f>IF(OR($A35="",NOT(ISNUMBER($C35))),"",$H35-$C35)</f>
        <v/>
      </c>
      <c r="R35" s="39">
        <f>IF(OR($A35="",NOT(ISNUMBER($D35))),"",$I35-$D35)</f>
        <v/>
      </c>
      <c r="S35" s="37">
        <f>IF(OR($A35="",NOT(ISNUMBER($B35)),NOT(ISNUMBER(PAR_DIAS_MES)),PAR_DIAS_MES&lt;=0),"",$B35/PAR_DIAS_MES)</f>
        <v/>
      </c>
      <c r="T35" s="39">
        <f>IF($A35="","",IF(TODAY()&gt;=DATE(YEAR($A35),MONTH($A35)+1,1),DAY(DATE(YEAR($A35),MONTH($A35)+1,0)),IF(TODAY()&lt;$A35,0,DAY(TODAY()))))</f>
        <v/>
      </c>
      <c r="U35" s="39">
        <f>IF($A35="","",DAY(DATE(YEAR($A35),MONTH($A35)+1,0))-$T35)</f>
        <v/>
      </c>
      <c r="V35" s="37">
        <f>IF(OR($A35="",NOT(ISNUMBER($B35)),$U35&lt;=0),"",MAX(0,($B35-$G35)/$U35))</f>
        <v/>
      </c>
      <c r="W35" s="52">
        <f>IF($A35="","",IF(NOT(ISNUMBER($B35)),"SIN META",IF($G35&gt;=$B35,"META CUMPLIDA",IF($U35&lt;=0,"NO ALCANZADA",IF($L35&gt;=($T35/MAX(1,DAY(DATE(YEAR($A35),MONTH($A35)+1,0)))),"EN RITMO","ATRASADA")))))</f>
        <v/>
      </c>
    </row>
    <row r="36">
      <c r="A36" s="55">
        <f>IF(NOT(ISNUMBER(PAR_FECHA_INICIO)),"",DATE(YEAR(PAR_FECHA_INICIO),MONTH(PAR_FECHA_INICIO)+29,1))</f>
        <v/>
      </c>
      <c r="B36" s="36" t="n"/>
      <c r="C36" s="36" t="n"/>
      <c r="D36" s="34" t="n"/>
      <c r="E36" s="50" t="n"/>
      <c r="F36" s="36" t="n"/>
      <c r="G36" s="37">
        <f>IF($A36="","",RENTABILIDAD!$D$37)</f>
        <v/>
      </c>
      <c r="H36" s="37">
        <f>IF($A36="","",RENTABILIDAD!$O$37)</f>
        <v/>
      </c>
      <c r="I36" s="39">
        <f>IF($A36="","",RENTABILIDAD!$E$37)</f>
        <v/>
      </c>
      <c r="J36" s="38">
        <f>IF(OR($A36="",$G36=0),"",$H36/$G36)</f>
        <v/>
      </c>
      <c r="K36" s="37">
        <f>IF($A36="","",CAJA!$N$36)</f>
        <v/>
      </c>
      <c r="L36" s="38">
        <f>IF(OR($A36="",$B36="",NOT(ISNUMBER($B36)),$B36=0),"",$G36/$B36)</f>
        <v/>
      </c>
      <c r="M36" s="38">
        <f>IF(OR($A36="",$C36="",NOT(ISNUMBER($C36)),$C36=0),"",$H36/$C36)</f>
        <v/>
      </c>
      <c r="N36" s="38">
        <f>IF(OR($A36="",$D36="",NOT(ISNUMBER($D36)),$D36=0),"",$I36/$D36)</f>
        <v/>
      </c>
      <c r="O36" s="38">
        <f>IF(OR($A36="",$F36="",NOT(ISNUMBER($F36)),$F36=0),"",$K36/$F36)</f>
        <v/>
      </c>
      <c r="P36" s="37">
        <f>IF(OR($A36="",NOT(ISNUMBER($B36))),"",$G36-$B36)</f>
        <v/>
      </c>
      <c r="Q36" s="37">
        <f>IF(OR($A36="",NOT(ISNUMBER($C36))),"",$H36-$C36)</f>
        <v/>
      </c>
      <c r="R36" s="39">
        <f>IF(OR($A36="",NOT(ISNUMBER($D36))),"",$I36-$D36)</f>
        <v/>
      </c>
      <c r="S36" s="37">
        <f>IF(OR($A36="",NOT(ISNUMBER($B36)),NOT(ISNUMBER(PAR_DIAS_MES)),PAR_DIAS_MES&lt;=0),"",$B36/PAR_DIAS_MES)</f>
        <v/>
      </c>
      <c r="T36" s="39">
        <f>IF($A36="","",IF(TODAY()&gt;=DATE(YEAR($A36),MONTH($A36)+1,1),DAY(DATE(YEAR($A36),MONTH($A36)+1,0)),IF(TODAY()&lt;$A36,0,DAY(TODAY()))))</f>
        <v/>
      </c>
      <c r="U36" s="39">
        <f>IF($A36="","",DAY(DATE(YEAR($A36),MONTH($A36)+1,0))-$T36)</f>
        <v/>
      </c>
      <c r="V36" s="37">
        <f>IF(OR($A36="",NOT(ISNUMBER($B36)),$U36&lt;=0),"",MAX(0,($B36-$G36)/$U36))</f>
        <v/>
      </c>
      <c r="W36" s="52">
        <f>IF($A36="","",IF(NOT(ISNUMBER($B36)),"SIN META",IF($G36&gt;=$B36,"META CUMPLIDA",IF($U36&lt;=0,"NO ALCANZADA",IF($L36&gt;=($T36/MAX(1,DAY(DATE(YEAR($A36),MONTH($A36)+1,0)))),"EN RITMO","ATRASADA")))))</f>
        <v/>
      </c>
    </row>
    <row r="37">
      <c r="A37" s="55">
        <f>IF(NOT(ISNUMBER(PAR_FECHA_INICIO)),"",DATE(YEAR(PAR_FECHA_INICIO),MONTH(PAR_FECHA_INICIO)+30,1))</f>
        <v/>
      </c>
      <c r="B37" s="36" t="n"/>
      <c r="C37" s="36" t="n"/>
      <c r="D37" s="34" t="n"/>
      <c r="E37" s="50" t="n"/>
      <c r="F37" s="36" t="n"/>
      <c r="G37" s="37">
        <f>IF($A37="","",RENTABILIDAD!$D$38)</f>
        <v/>
      </c>
      <c r="H37" s="37">
        <f>IF($A37="","",RENTABILIDAD!$O$38)</f>
        <v/>
      </c>
      <c r="I37" s="39">
        <f>IF($A37="","",RENTABILIDAD!$E$38)</f>
        <v/>
      </c>
      <c r="J37" s="38">
        <f>IF(OR($A37="",$G37=0),"",$H37/$G37)</f>
        <v/>
      </c>
      <c r="K37" s="37">
        <f>IF($A37="","",CAJA!$N$37)</f>
        <v/>
      </c>
      <c r="L37" s="38">
        <f>IF(OR($A37="",$B37="",NOT(ISNUMBER($B37)),$B37=0),"",$G37/$B37)</f>
        <v/>
      </c>
      <c r="M37" s="38">
        <f>IF(OR($A37="",$C37="",NOT(ISNUMBER($C37)),$C37=0),"",$H37/$C37)</f>
        <v/>
      </c>
      <c r="N37" s="38">
        <f>IF(OR($A37="",$D37="",NOT(ISNUMBER($D37)),$D37=0),"",$I37/$D37)</f>
        <v/>
      </c>
      <c r="O37" s="38">
        <f>IF(OR($A37="",$F37="",NOT(ISNUMBER($F37)),$F37=0),"",$K37/$F37)</f>
        <v/>
      </c>
      <c r="P37" s="37">
        <f>IF(OR($A37="",NOT(ISNUMBER($B37))),"",$G37-$B37)</f>
        <v/>
      </c>
      <c r="Q37" s="37">
        <f>IF(OR($A37="",NOT(ISNUMBER($C37))),"",$H37-$C37)</f>
        <v/>
      </c>
      <c r="R37" s="39">
        <f>IF(OR($A37="",NOT(ISNUMBER($D37))),"",$I37-$D37)</f>
        <v/>
      </c>
      <c r="S37" s="37">
        <f>IF(OR($A37="",NOT(ISNUMBER($B37)),NOT(ISNUMBER(PAR_DIAS_MES)),PAR_DIAS_MES&lt;=0),"",$B37/PAR_DIAS_MES)</f>
        <v/>
      </c>
      <c r="T37" s="39">
        <f>IF($A37="","",IF(TODAY()&gt;=DATE(YEAR($A37),MONTH($A37)+1,1),DAY(DATE(YEAR($A37),MONTH($A37)+1,0)),IF(TODAY()&lt;$A37,0,DAY(TODAY()))))</f>
        <v/>
      </c>
      <c r="U37" s="39">
        <f>IF($A37="","",DAY(DATE(YEAR($A37),MONTH($A37)+1,0))-$T37)</f>
        <v/>
      </c>
      <c r="V37" s="37">
        <f>IF(OR($A37="",NOT(ISNUMBER($B37)),$U37&lt;=0),"",MAX(0,($B37-$G37)/$U37))</f>
        <v/>
      </c>
      <c r="W37" s="52">
        <f>IF($A37="","",IF(NOT(ISNUMBER($B37)),"SIN META",IF($G37&gt;=$B37,"META CUMPLIDA",IF($U37&lt;=0,"NO ALCANZADA",IF($L37&gt;=($T37/MAX(1,DAY(DATE(YEAR($A37),MONTH($A37)+1,0)))),"EN RITMO","ATRASADA")))))</f>
        <v/>
      </c>
    </row>
    <row r="38">
      <c r="A38" s="55">
        <f>IF(NOT(ISNUMBER(PAR_FECHA_INICIO)),"",DATE(YEAR(PAR_FECHA_INICIO),MONTH(PAR_FECHA_INICIO)+31,1))</f>
        <v/>
      </c>
      <c r="B38" s="36" t="n"/>
      <c r="C38" s="36" t="n"/>
      <c r="D38" s="34" t="n"/>
      <c r="E38" s="50" t="n"/>
      <c r="F38" s="36" t="n"/>
      <c r="G38" s="37">
        <f>IF($A38="","",RENTABILIDAD!$D$39)</f>
        <v/>
      </c>
      <c r="H38" s="37">
        <f>IF($A38="","",RENTABILIDAD!$O$39)</f>
        <v/>
      </c>
      <c r="I38" s="39">
        <f>IF($A38="","",RENTABILIDAD!$E$39)</f>
        <v/>
      </c>
      <c r="J38" s="38">
        <f>IF(OR($A38="",$G38=0),"",$H38/$G38)</f>
        <v/>
      </c>
      <c r="K38" s="37">
        <f>IF($A38="","",CAJA!$N$38)</f>
        <v/>
      </c>
      <c r="L38" s="38">
        <f>IF(OR($A38="",$B38="",NOT(ISNUMBER($B38)),$B38=0),"",$G38/$B38)</f>
        <v/>
      </c>
      <c r="M38" s="38">
        <f>IF(OR($A38="",$C38="",NOT(ISNUMBER($C38)),$C38=0),"",$H38/$C38)</f>
        <v/>
      </c>
      <c r="N38" s="38">
        <f>IF(OR($A38="",$D38="",NOT(ISNUMBER($D38)),$D38=0),"",$I38/$D38)</f>
        <v/>
      </c>
      <c r="O38" s="38">
        <f>IF(OR($A38="",$F38="",NOT(ISNUMBER($F38)),$F38=0),"",$K38/$F38)</f>
        <v/>
      </c>
      <c r="P38" s="37">
        <f>IF(OR($A38="",NOT(ISNUMBER($B38))),"",$G38-$B38)</f>
        <v/>
      </c>
      <c r="Q38" s="37">
        <f>IF(OR($A38="",NOT(ISNUMBER($C38))),"",$H38-$C38)</f>
        <v/>
      </c>
      <c r="R38" s="39">
        <f>IF(OR($A38="",NOT(ISNUMBER($D38))),"",$I38-$D38)</f>
        <v/>
      </c>
      <c r="S38" s="37">
        <f>IF(OR($A38="",NOT(ISNUMBER($B38)),NOT(ISNUMBER(PAR_DIAS_MES)),PAR_DIAS_MES&lt;=0),"",$B38/PAR_DIAS_MES)</f>
        <v/>
      </c>
      <c r="T38" s="39">
        <f>IF($A38="","",IF(TODAY()&gt;=DATE(YEAR($A38),MONTH($A38)+1,1),DAY(DATE(YEAR($A38),MONTH($A38)+1,0)),IF(TODAY()&lt;$A38,0,DAY(TODAY()))))</f>
        <v/>
      </c>
      <c r="U38" s="39">
        <f>IF($A38="","",DAY(DATE(YEAR($A38),MONTH($A38)+1,0))-$T38)</f>
        <v/>
      </c>
      <c r="V38" s="37">
        <f>IF(OR($A38="",NOT(ISNUMBER($B38)),$U38&lt;=0),"",MAX(0,($B38-$G38)/$U38))</f>
        <v/>
      </c>
      <c r="W38" s="52">
        <f>IF($A38="","",IF(NOT(ISNUMBER($B38)),"SIN META",IF($G38&gt;=$B38,"META CUMPLIDA",IF($U38&lt;=0,"NO ALCANZADA",IF($L38&gt;=($T38/MAX(1,DAY(DATE(YEAR($A38),MONTH($A38)+1,0)))),"EN RITMO","ATRASADA")))))</f>
        <v/>
      </c>
    </row>
    <row r="39">
      <c r="A39" s="55">
        <f>IF(NOT(ISNUMBER(PAR_FECHA_INICIO)),"",DATE(YEAR(PAR_FECHA_INICIO),MONTH(PAR_FECHA_INICIO)+32,1))</f>
        <v/>
      </c>
      <c r="B39" s="36" t="n"/>
      <c r="C39" s="36" t="n"/>
      <c r="D39" s="34" t="n"/>
      <c r="E39" s="50" t="n"/>
      <c r="F39" s="36" t="n"/>
      <c r="G39" s="37">
        <f>IF($A39="","",RENTABILIDAD!$D$40)</f>
        <v/>
      </c>
      <c r="H39" s="37">
        <f>IF($A39="","",RENTABILIDAD!$O$40)</f>
        <v/>
      </c>
      <c r="I39" s="39">
        <f>IF($A39="","",RENTABILIDAD!$E$40)</f>
        <v/>
      </c>
      <c r="J39" s="38">
        <f>IF(OR($A39="",$G39=0),"",$H39/$G39)</f>
        <v/>
      </c>
      <c r="K39" s="37">
        <f>IF($A39="","",CAJA!$N$39)</f>
        <v/>
      </c>
      <c r="L39" s="38">
        <f>IF(OR($A39="",$B39="",NOT(ISNUMBER($B39)),$B39=0),"",$G39/$B39)</f>
        <v/>
      </c>
      <c r="M39" s="38">
        <f>IF(OR($A39="",$C39="",NOT(ISNUMBER($C39)),$C39=0),"",$H39/$C39)</f>
        <v/>
      </c>
      <c r="N39" s="38">
        <f>IF(OR($A39="",$D39="",NOT(ISNUMBER($D39)),$D39=0),"",$I39/$D39)</f>
        <v/>
      </c>
      <c r="O39" s="38">
        <f>IF(OR($A39="",$F39="",NOT(ISNUMBER($F39)),$F39=0),"",$K39/$F39)</f>
        <v/>
      </c>
      <c r="P39" s="37">
        <f>IF(OR($A39="",NOT(ISNUMBER($B39))),"",$G39-$B39)</f>
        <v/>
      </c>
      <c r="Q39" s="37">
        <f>IF(OR($A39="",NOT(ISNUMBER($C39))),"",$H39-$C39)</f>
        <v/>
      </c>
      <c r="R39" s="39">
        <f>IF(OR($A39="",NOT(ISNUMBER($D39))),"",$I39-$D39)</f>
        <v/>
      </c>
      <c r="S39" s="37">
        <f>IF(OR($A39="",NOT(ISNUMBER($B39)),NOT(ISNUMBER(PAR_DIAS_MES)),PAR_DIAS_MES&lt;=0),"",$B39/PAR_DIAS_MES)</f>
        <v/>
      </c>
      <c r="T39" s="39">
        <f>IF($A39="","",IF(TODAY()&gt;=DATE(YEAR($A39),MONTH($A39)+1,1),DAY(DATE(YEAR($A39),MONTH($A39)+1,0)),IF(TODAY()&lt;$A39,0,DAY(TODAY()))))</f>
        <v/>
      </c>
      <c r="U39" s="39">
        <f>IF($A39="","",DAY(DATE(YEAR($A39),MONTH($A39)+1,0))-$T39)</f>
        <v/>
      </c>
      <c r="V39" s="37">
        <f>IF(OR($A39="",NOT(ISNUMBER($B39)),$U39&lt;=0),"",MAX(0,($B39-$G39)/$U39))</f>
        <v/>
      </c>
      <c r="W39" s="52">
        <f>IF($A39="","",IF(NOT(ISNUMBER($B39)),"SIN META",IF($G39&gt;=$B39,"META CUMPLIDA",IF($U39&lt;=0,"NO ALCANZADA",IF($L39&gt;=($T39/MAX(1,DAY(DATE(YEAR($A39),MONTH($A39)+1,0)))),"EN RITMO","ATRASADA")))))</f>
        <v/>
      </c>
    </row>
    <row r="40">
      <c r="A40" s="55">
        <f>IF(NOT(ISNUMBER(PAR_FECHA_INICIO)),"",DATE(YEAR(PAR_FECHA_INICIO),MONTH(PAR_FECHA_INICIO)+33,1))</f>
        <v/>
      </c>
      <c r="B40" s="36" t="n"/>
      <c r="C40" s="36" t="n"/>
      <c r="D40" s="34" t="n"/>
      <c r="E40" s="50" t="n"/>
      <c r="F40" s="36" t="n"/>
      <c r="G40" s="37">
        <f>IF($A40="","",RENTABILIDAD!$D$41)</f>
        <v/>
      </c>
      <c r="H40" s="37">
        <f>IF($A40="","",RENTABILIDAD!$O$41)</f>
        <v/>
      </c>
      <c r="I40" s="39">
        <f>IF($A40="","",RENTABILIDAD!$E$41)</f>
        <v/>
      </c>
      <c r="J40" s="38">
        <f>IF(OR($A40="",$G40=0),"",$H40/$G40)</f>
        <v/>
      </c>
      <c r="K40" s="37">
        <f>IF($A40="","",CAJA!$N$40)</f>
        <v/>
      </c>
      <c r="L40" s="38">
        <f>IF(OR($A40="",$B40="",NOT(ISNUMBER($B40)),$B40=0),"",$G40/$B40)</f>
        <v/>
      </c>
      <c r="M40" s="38">
        <f>IF(OR($A40="",$C40="",NOT(ISNUMBER($C40)),$C40=0),"",$H40/$C40)</f>
        <v/>
      </c>
      <c r="N40" s="38">
        <f>IF(OR($A40="",$D40="",NOT(ISNUMBER($D40)),$D40=0),"",$I40/$D40)</f>
        <v/>
      </c>
      <c r="O40" s="38">
        <f>IF(OR($A40="",$F40="",NOT(ISNUMBER($F40)),$F40=0),"",$K40/$F40)</f>
        <v/>
      </c>
      <c r="P40" s="37">
        <f>IF(OR($A40="",NOT(ISNUMBER($B40))),"",$G40-$B40)</f>
        <v/>
      </c>
      <c r="Q40" s="37">
        <f>IF(OR($A40="",NOT(ISNUMBER($C40))),"",$H40-$C40)</f>
        <v/>
      </c>
      <c r="R40" s="39">
        <f>IF(OR($A40="",NOT(ISNUMBER($D40))),"",$I40-$D40)</f>
        <v/>
      </c>
      <c r="S40" s="37">
        <f>IF(OR($A40="",NOT(ISNUMBER($B40)),NOT(ISNUMBER(PAR_DIAS_MES)),PAR_DIAS_MES&lt;=0),"",$B40/PAR_DIAS_MES)</f>
        <v/>
      </c>
      <c r="T40" s="39">
        <f>IF($A40="","",IF(TODAY()&gt;=DATE(YEAR($A40),MONTH($A40)+1,1),DAY(DATE(YEAR($A40),MONTH($A40)+1,0)),IF(TODAY()&lt;$A40,0,DAY(TODAY()))))</f>
        <v/>
      </c>
      <c r="U40" s="39">
        <f>IF($A40="","",DAY(DATE(YEAR($A40),MONTH($A40)+1,0))-$T40)</f>
        <v/>
      </c>
      <c r="V40" s="37">
        <f>IF(OR($A40="",NOT(ISNUMBER($B40)),$U40&lt;=0),"",MAX(0,($B40-$G40)/$U40))</f>
        <v/>
      </c>
      <c r="W40" s="52">
        <f>IF($A40="","",IF(NOT(ISNUMBER($B40)),"SIN META",IF($G40&gt;=$B40,"META CUMPLIDA",IF($U40&lt;=0,"NO ALCANZADA",IF($L40&gt;=($T40/MAX(1,DAY(DATE(YEAR($A40),MONTH($A40)+1,0)))),"EN RITMO","ATRASADA")))))</f>
        <v/>
      </c>
    </row>
    <row r="41">
      <c r="A41" s="55">
        <f>IF(NOT(ISNUMBER(PAR_FECHA_INICIO)),"",DATE(YEAR(PAR_FECHA_INICIO),MONTH(PAR_FECHA_INICIO)+34,1))</f>
        <v/>
      </c>
      <c r="B41" s="36" t="n"/>
      <c r="C41" s="36" t="n"/>
      <c r="D41" s="34" t="n"/>
      <c r="E41" s="50" t="n"/>
      <c r="F41" s="36" t="n"/>
      <c r="G41" s="37">
        <f>IF($A41="","",RENTABILIDAD!$D$42)</f>
        <v/>
      </c>
      <c r="H41" s="37">
        <f>IF($A41="","",RENTABILIDAD!$O$42)</f>
        <v/>
      </c>
      <c r="I41" s="39">
        <f>IF($A41="","",RENTABILIDAD!$E$42)</f>
        <v/>
      </c>
      <c r="J41" s="38">
        <f>IF(OR($A41="",$G41=0),"",$H41/$G41)</f>
        <v/>
      </c>
      <c r="K41" s="37">
        <f>IF($A41="","",CAJA!$N$41)</f>
        <v/>
      </c>
      <c r="L41" s="38">
        <f>IF(OR($A41="",$B41="",NOT(ISNUMBER($B41)),$B41=0),"",$G41/$B41)</f>
        <v/>
      </c>
      <c r="M41" s="38">
        <f>IF(OR($A41="",$C41="",NOT(ISNUMBER($C41)),$C41=0),"",$H41/$C41)</f>
        <v/>
      </c>
      <c r="N41" s="38">
        <f>IF(OR($A41="",$D41="",NOT(ISNUMBER($D41)),$D41=0),"",$I41/$D41)</f>
        <v/>
      </c>
      <c r="O41" s="38">
        <f>IF(OR($A41="",$F41="",NOT(ISNUMBER($F41)),$F41=0),"",$K41/$F41)</f>
        <v/>
      </c>
      <c r="P41" s="37">
        <f>IF(OR($A41="",NOT(ISNUMBER($B41))),"",$G41-$B41)</f>
        <v/>
      </c>
      <c r="Q41" s="37">
        <f>IF(OR($A41="",NOT(ISNUMBER($C41))),"",$H41-$C41)</f>
        <v/>
      </c>
      <c r="R41" s="39">
        <f>IF(OR($A41="",NOT(ISNUMBER($D41))),"",$I41-$D41)</f>
        <v/>
      </c>
      <c r="S41" s="37">
        <f>IF(OR($A41="",NOT(ISNUMBER($B41)),NOT(ISNUMBER(PAR_DIAS_MES)),PAR_DIAS_MES&lt;=0),"",$B41/PAR_DIAS_MES)</f>
        <v/>
      </c>
      <c r="T41" s="39">
        <f>IF($A41="","",IF(TODAY()&gt;=DATE(YEAR($A41),MONTH($A41)+1,1),DAY(DATE(YEAR($A41),MONTH($A41)+1,0)),IF(TODAY()&lt;$A41,0,DAY(TODAY()))))</f>
        <v/>
      </c>
      <c r="U41" s="39">
        <f>IF($A41="","",DAY(DATE(YEAR($A41),MONTH($A41)+1,0))-$T41)</f>
        <v/>
      </c>
      <c r="V41" s="37">
        <f>IF(OR($A41="",NOT(ISNUMBER($B41)),$U41&lt;=0),"",MAX(0,($B41-$G41)/$U41))</f>
        <v/>
      </c>
      <c r="W41" s="52">
        <f>IF($A41="","",IF(NOT(ISNUMBER($B41)),"SIN META",IF($G41&gt;=$B41,"META CUMPLIDA",IF($U41&lt;=0,"NO ALCANZADA",IF($L41&gt;=($T41/MAX(1,DAY(DATE(YEAR($A41),MONTH($A41)+1,0)))),"EN RITMO","ATRASADA")))))</f>
        <v/>
      </c>
    </row>
    <row r="42">
      <c r="A42" s="55">
        <f>IF(NOT(ISNUMBER(PAR_FECHA_INICIO)),"",DATE(YEAR(PAR_FECHA_INICIO),MONTH(PAR_FECHA_INICIO)+35,1))</f>
        <v/>
      </c>
      <c r="B42" s="36" t="n"/>
      <c r="C42" s="36" t="n"/>
      <c r="D42" s="34" t="n"/>
      <c r="E42" s="50" t="n"/>
      <c r="F42" s="36" t="n"/>
      <c r="G42" s="37">
        <f>IF($A42="","",RENTABILIDAD!$D$43)</f>
        <v/>
      </c>
      <c r="H42" s="37">
        <f>IF($A42="","",RENTABILIDAD!$O$43)</f>
        <v/>
      </c>
      <c r="I42" s="39">
        <f>IF($A42="","",RENTABILIDAD!$E$43)</f>
        <v/>
      </c>
      <c r="J42" s="38">
        <f>IF(OR($A42="",$G42=0),"",$H42/$G42)</f>
        <v/>
      </c>
      <c r="K42" s="37">
        <f>IF($A42="","",CAJA!$N$42)</f>
        <v/>
      </c>
      <c r="L42" s="38">
        <f>IF(OR($A42="",$B42="",NOT(ISNUMBER($B42)),$B42=0),"",$G42/$B42)</f>
        <v/>
      </c>
      <c r="M42" s="38">
        <f>IF(OR($A42="",$C42="",NOT(ISNUMBER($C42)),$C42=0),"",$H42/$C42)</f>
        <v/>
      </c>
      <c r="N42" s="38">
        <f>IF(OR($A42="",$D42="",NOT(ISNUMBER($D42)),$D42=0),"",$I42/$D42)</f>
        <v/>
      </c>
      <c r="O42" s="38">
        <f>IF(OR($A42="",$F42="",NOT(ISNUMBER($F42)),$F42=0),"",$K42/$F42)</f>
        <v/>
      </c>
      <c r="P42" s="37">
        <f>IF(OR($A42="",NOT(ISNUMBER($B42))),"",$G42-$B42)</f>
        <v/>
      </c>
      <c r="Q42" s="37">
        <f>IF(OR($A42="",NOT(ISNUMBER($C42))),"",$H42-$C42)</f>
        <v/>
      </c>
      <c r="R42" s="39">
        <f>IF(OR($A42="",NOT(ISNUMBER($D42))),"",$I42-$D42)</f>
        <v/>
      </c>
      <c r="S42" s="37">
        <f>IF(OR($A42="",NOT(ISNUMBER($B42)),NOT(ISNUMBER(PAR_DIAS_MES)),PAR_DIAS_MES&lt;=0),"",$B42/PAR_DIAS_MES)</f>
        <v/>
      </c>
      <c r="T42" s="39">
        <f>IF($A42="","",IF(TODAY()&gt;=DATE(YEAR($A42),MONTH($A42)+1,1),DAY(DATE(YEAR($A42),MONTH($A42)+1,0)),IF(TODAY()&lt;$A42,0,DAY(TODAY()))))</f>
        <v/>
      </c>
      <c r="U42" s="39">
        <f>IF($A42="","",DAY(DATE(YEAR($A42),MONTH($A42)+1,0))-$T42)</f>
        <v/>
      </c>
      <c r="V42" s="37">
        <f>IF(OR($A42="",NOT(ISNUMBER($B42)),$U42&lt;=0),"",MAX(0,($B42-$G42)/$U42))</f>
        <v/>
      </c>
      <c r="W42" s="52">
        <f>IF($A42="","",IF(NOT(ISNUMBER($B42)),"SIN META",IF($G42&gt;=$B42,"META CUMPLIDA",IF($U42&lt;=0,"NO ALCANZADA",IF($L42&gt;=($T42/MAX(1,DAY(DATE(YEAR($A42),MONTH($A42)+1,0)))),"EN RITMO","ATRASADA")))))</f>
        <v/>
      </c>
    </row>
    <row r="43">
      <c r="A43" s="56" t="inlineStr">
        <is>
          <t>TOTAL</t>
        </is>
      </c>
      <c r="B43" s="57">
        <f>SUM($B$7:$B$42)</f>
        <v/>
      </c>
      <c r="C43" s="57">
        <f>SUM($C$7:$C$42)</f>
        <v/>
      </c>
      <c r="D43" s="69">
        <f>SUM($D$7:$D$42)</f>
        <v/>
      </c>
      <c r="E43" s="70" t="n"/>
      <c r="F43" s="57">
        <f>SUM($F$7:$F$42)</f>
        <v/>
      </c>
      <c r="G43" s="57">
        <f>SUM($G$7:$G$42)</f>
        <v/>
      </c>
      <c r="H43" s="57">
        <f>SUM($H$7:$H$42)</f>
        <v/>
      </c>
      <c r="I43" s="69">
        <f>SUM($I$7:$I$42)</f>
        <v/>
      </c>
      <c r="J43" s="70">
        <f>IF(SUM($G$7:$G$42)=0,"",SUM($H$7:$H$42)/SUM($G$7:$G$42))</f>
        <v/>
      </c>
      <c r="K43" s="57">
        <f>SUM($K$7:$K$42)</f>
        <v/>
      </c>
      <c r="L43" s="70">
        <f>IF(SUM($B$7:$B$42)=0,"",SUM($G$7:$G$42)/SUM($B$7:$B$42))</f>
        <v/>
      </c>
      <c r="M43" s="70">
        <f>IF(SUM($C$7:$C$42)=0,"",SUM($H$7:$H$42)/SUM($C$7:$C$42))</f>
        <v/>
      </c>
      <c r="N43" s="70">
        <f>IF(SUM($D$7:$D$42)=0,"",SUM($I$7:$I$42)/SUM($D$7:$D$42))</f>
        <v/>
      </c>
      <c r="O43" s="70" t="n"/>
      <c r="P43" s="57">
        <f>SUM($P$7:$P$42)</f>
        <v/>
      </c>
      <c r="Q43" s="57">
        <f>SUM($Q$7:$Q$42)</f>
        <v/>
      </c>
      <c r="R43" s="69">
        <f>SUM($R$7:$R$42)</f>
        <v/>
      </c>
      <c r="S43" s="57" t="n"/>
      <c r="T43" s="69" t="n"/>
      <c r="U43" s="69" t="n"/>
      <c r="V43" s="57" t="n"/>
      <c r="W43" s="72" t="n"/>
    </row>
  </sheetData>
  <mergeCells count="1">
    <mergeCell ref="A3:M3"/>
  </mergeCells>
  <conditionalFormatting sqref="L7:O42">
    <cfRule type="cellIs" priority="1" operator="greaterThanOrEqual" dxfId="4">
      <formula>1</formula>
    </cfRule>
    <cfRule type="cellIs" priority="2" operator="lessThan" dxfId="5">
      <formula>0.7</formula>
    </cfRule>
  </conditionalFormatting>
  <conditionalFormatting sqref="W7:W42">
    <cfRule type="expression" priority="3" dxfId="1">
      <formula>$W7="META CUMPLIDA"</formula>
    </cfRule>
    <cfRule type="expression" priority="4" dxfId="0">
      <formula>OR($W7="ATRASADA",$W7="NO ALCANZADA")</formula>
    </cfRule>
  </conditionalFormatting>
  <dataValidations count="2">
    <dataValidation sqref="B7:D42" showDropDown="0" showInputMessage="0" showErrorMessage="0" allowBlank="1" errorTitle="Número inválido" error="Escriba un número mayor o igual a 0." type="decimal" errorStyle="stop" operator="greaterThanOrEqual">
      <formula1>0</formula1>
    </dataValidation>
    <dataValidation sqref="F7:F42" showDropDown="0" showInputMessage="0" showErrorMessage="0" allowBlank="1" errorTitle="Número inválido" error="Escriba un número mayor o igual a 0." type="decimal" errorStyle="stop" operator="greaterThanOrEqual">
      <formula1>0</formula1>
    </dataValidation>
  </dataValidations>
  <printOptions horizontalCentered="1"/>
  <pageMargins left="0.4" right="0.4" top="0.5" bottom="0.5" header="0.5" footer="0.5"/>
  <pageSetup orientation="landscape" fitToHeight="0" fitToWidth="1"/>
</worksheet>
</file>

<file path=xl/worksheets/sheet15.xml><?xml version="1.0" encoding="utf-8"?>
<worksheet xmlns="http://schemas.openxmlformats.org/spreadsheetml/2006/main">
  <sheetPr>
    <tabColor rgb="001E7B4F"/>
    <outlinePr summaryBelow="1" summaryRight="1"/>
    <pageSetUpPr fitToPage="1"/>
  </sheetPr>
  <dimension ref="A1:E30"/>
  <sheetViews>
    <sheetView showGridLines="0" workbookViewId="0">
      <selection activeCell="A1" sqref="A1"/>
    </sheetView>
  </sheetViews>
  <sheetFormatPr baseColWidth="8" defaultRowHeight="15"/>
  <cols>
    <col width="46" customWidth="1" min="1" max="1"/>
    <col width="18" customWidth="1" min="2" max="2"/>
    <col width="18" customWidth="1" min="3" max="3"/>
    <col width="18" customWidth="1" min="4" max="4"/>
    <col width="64" customWidth="1" min="5" max="5"/>
  </cols>
  <sheetData>
    <row r="1">
      <c r="A1" s="1" t="inlineStr">
        <is>
          <t>ESCENARIOS — Simulación de decisiones</t>
        </is>
      </c>
    </row>
    <row r="2">
      <c r="A2" s="2" t="inlineStr">
        <is>
          <t>Cambie los supuestos y vea al instante qué pasa con las ventas, la utilidad, el margen, el punto de equilibrio, el ROI y el efectivo. Nada de lo que escriba aquí afecta sus datos reales.</t>
        </is>
      </c>
    </row>
    <row r="3">
      <c r="A3" s="16" t="inlineStr">
        <is>
          <t>La columna BASE se llena sola con el promedio de sus datos reales (si aún no hay datos, dirá PENDIENTE y usted puede escribir sus propios supuestos en la columna manual). CONSERVADOR y CRECIMIENTO son 100% suyos: no hay supuestos inventados.</t>
        </is>
      </c>
    </row>
    <row r="4"/>
    <row r="6" ht="32" customHeight="1">
      <c r="A6" s="11" t="inlineStr">
        <is>
          <t>Supuesto</t>
        </is>
      </c>
      <c r="B6" s="11" t="inlineStr">
        <is>
          <t>BASE (automático o manual)</t>
        </is>
      </c>
      <c r="C6" s="11" t="inlineStr">
        <is>
          <t>CONSERVADOR</t>
        </is>
      </c>
      <c r="D6" s="11" t="inlineStr">
        <is>
          <t>CRECIMIENTO</t>
        </is>
      </c>
      <c r="E6" s="11" t="inlineStr">
        <is>
          <t>Notas</t>
        </is>
      </c>
    </row>
    <row r="7">
      <c r="A7" s="67" t="inlineStr">
        <is>
          <t>Unidades vendidas por mes</t>
        </is>
      </c>
      <c r="B7" s="77">
        <f>IF(RENTABILIDAD!$E$44=0,"PENDIENTE",RENTABILIDAD!$E$44/MAX(1,COUNTIF(RENTABILIDAD!$D$8:$D$43,"&gt;0")))</f>
        <v/>
      </c>
      <c r="C7" s="34" t="n"/>
      <c r="D7" s="34" t="n"/>
      <c r="E7" s="16" t="inlineStr">
        <is>
          <t>Promedio mensual real de unidades vendidas.</t>
        </is>
      </c>
    </row>
    <row r="8">
      <c r="A8" s="67" t="inlineStr">
        <is>
          <t>Precio de venta promedio</t>
        </is>
      </c>
      <c r="B8" s="78">
        <f>IF(RENTABILIDAD!$E$44=0,"PENDIENTE",RENTABILIDAD!$D$44/RENTABILIDAD!$E$44)</f>
        <v/>
      </c>
      <c r="C8" s="36" t="n"/>
      <c r="D8" s="36" t="n"/>
      <c r="E8" s="16" t="inlineStr">
        <is>
          <t>Ventas netas ÷ unidades.</t>
        </is>
      </c>
    </row>
    <row r="9">
      <c r="A9" s="67" t="inlineStr">
        <is>
          <t>Costo variable unitario</t>
        </is>
      </c>
      <c r="B9" s="78">
        <f>IF(RENTABILIDAD!$E$44=0,"PENDIENTE",RENTABILIDAD!$F$44/RENTABILIDAD!$E$44)</f>
        <v/>
      </c>
      <c r="C9" s="36" t="n"/>
      <c r="D9" s="36" t="n"/>
      <c r="E9" s="16" t="inlineStr">
        <is>
          <t>Costo de ventas ÷ unidades (costo del producto).</t>
        </is>
      </c>
    </row>
    <row r="10">
      <c r="A10" s="67" t="inlineStr">
        <is>
          <t>Comisión sobre ventas %</t>
        </is>
      </c>
      <c r="B10" s="79">
        <f>0</f>
        <v/>
      </c>
      <c r="C10" s="50" t="n"/>
      <c r="D10" s="50" t="n"/>
      <c r="E10" s="16" t="inlineStr">
        <is>
          <t>Comisiones de venta, bancarias o de plataforma.</t>
        </is>
      </c>
    </row>
    <row r="11">
      <c r="A11" s="67" t="inlineStr">
        <is>
          <t>Gastos fijos mensuales</t>
        </is>
      </c>
      <c r="B11" s="78">
        <f>IF(COUNTIF(RENTABILIDAD!$I$8:$I$43,"&gt;0")=0,"PENDIENTE",SUMIF(RENTABILIDAD!$I$8:$I$43,"&gt;0")/COUNTIF(RENTABILIDAD!$I$8:$I$43,"&gt;0"))</f>
        <v/>
      </c>
      <c r="C11" s="36" t="n"/>
      <c r="D11" s="36" t="n"/>
      <c r="E11" s="16" t="inlineStr">
        <is>
          <t>Promedio mensual de gastos fijos.</t>
        </is>
      </c>
    </row>
    <row r="12">
      <c r="A12" s="67" t="inlineStr">
        <is>
          <t>Publicidad mensual</t>
        </is>
      </c>
      <c r="B12" s="78">
        <f>IF(RENTABILIDAD!$T$44=0,0,RENTABILIDAD!$T$44/MAX(1,COUNTIF(RENTABILIDAD!$D$8:$D$43,"&gt;0")))</f>
        <v/>
      </c>
      <c r="C12" s="36" t="n"/>
      <c r="D12" s="36" t="n"/>
      <c r="E12" s="16" t="inlineStr">
        <is>
          <t>Inversión mensual en publicidad.</t>
        </is>
      </c>
    </row>
    <row r="13">
      <c r="A13" s="67" t="inlineStr">
        <is>
          <t>Otros gastos variables mensuales</t>
        </is>
      </c>
      <c r="B13" s="78">
        <f>IF(RENTABILIDAD!$J$44=0,0,MAX(0,(RENTABILIDAD!$J$44-RENTABILIDAD!$T$44)/MAX(1,COUNTIF(RENTABILIDAD!$D$8:$D$43,"&gt;0"))))</f>
        <v/>
      </c>
      <c r="C13" s="36" t="n"/>
      <c r="D13" s="36" t="n"/>
      <c r="E13" s="16" t="inlineStr">
        <is>
          <t>Gastos variables distintos de publicidad.</t>
        </is>
      </c>
    </row>
    <row r="14">
      <c r="A14" s="67" t="inlineStr">
        <is>
          <t>% de las ventas cobrado dentro del mes</t>
        </is>
      </c>
      <c r="B14" s="79">
        <f>1</f>
        <v/>
      </c>
      <c r="C14" s="50" t="n"/>
      <c r="D14" s="50" t="n"/>
      <c r="E14" s="16" t="inlineStr">
        <is>
          <t>Para estimar el efectivo. 100% = todo de contado.</t>
        </is>
      </c>
    </row>
    <row r="15">
      <c r="A15" s="67" t="inlineStr">
        <is>
          <t>% de las compras y gastos pagado dentro del mes</t>
        </is>
      </c>
      <c r="B15" s="79">
        <f>1</f>
        <v/>
      </c>
      <c r="C15" s="50" t="n"/>
      <c r="D15" s="50" t="n"/>
      <c r="E15" s="16" t="inlineStr">
        <is>
          <t>100% = paga todo en el mes.</t>
        </is>
      </c>
    </row>
    <row r="17">
      <c r="A17" s="3" t="inlineStr">
        <is>
          <t>RESULTADOS DE CADA ESCENARIO</t>
        </is>
      </c>
      <c r="B17" s="4" t="n"/>
      <c r="C17" s="4" t="n"/>
      <c r="D17" s="4" t="n"/>
      <c r="E17" s="4" t="n"/>
    </row>
    <row r="18">
      <c r="A18" s="63" t="inlineStr">
        <is>
          <t>Ventas del mes</t>
        </is>
      </c>
      <c r="B18" s="37">
        <f>IF(OR(NOT(ISNUMBER($B$7)),NOT(ISNUMBER($B$8))),"PENDIENTE",$B$7*$B$8)</f>
        <v/>
      </c>
      <c r="C18" s="37">
        <f>IF(OR(NOT(ISNUMBER($C$7)),NOT(ISNUMBER($C$8))),"PENDIENTE",$C$7*$C$8)</f>
        <v/>
      </c>
      <c r="D18" s="37">
        <f>IF(OR(NOT(ISNUMBER($D$7)),NOT(ISNUMBER($D$8))),"PENDIENTE",$D$7*$D$8)</f>
        <v/>
      </c>
      <c r="E18" s="16" t="inlineStr">
        <is>
          <t>Unidades × precio.</t>
        </is>
      </c>
    </row>
    <row r="19">
      <c r="A19" s="63" t="inlineStr">
        <is>
          <t>Costo variable total</t>
        </is>
      </c>
      <c r="B19" s="37">
        <f>IF(OR(NOT(ISNUMBER($B$7)),NOT(ISNUMBER($B$9))),"PENDIENTE",$B$7*$B$9+IF(ISNUMBER($B$18),$B$18,0)*IF(ISNUMBER($B$10),$B$10,0))</f>
        <v/>
      </c>
      <c r="C19" s="37">
        <f>IF(OR(NOT(ISNUMBER($C$7)),NOT(ISNUMBER($C$9))),"PENDIENTE",$C$7*$C$9+IF(ISNUMBER($C$18),$C$18,0)*IF(ISNUMBER($C$10),$C$10,0))</f>
        <v/>
      </c>
      <c r="D19" s="37">
        <f>IF(OR(NOT(ISNUMBER($D$7)),NOT(ISNUMBER($D$9))),"PENDIENTE",$D$7*$D$9+IF(ISNUMBER($D$18),$D$18,0)*IF(ISNUMBER($D$10),$D$10,0))</f>
        <v/>
      </c>
      <c r="E19" s="16" t="inlineStr">
        <is>
          <t>Unidades × costo variable unitario + comisiones.</t>
        </is>
      </c>
    </row>
    <row r="20">
      <c r="A20" s="67" t="inlineStr">
        <is>
          <t>MARGEN DE CONTRIBUCIÓN</t>
        </is>
      </c>
      <c r="B20" s="49">
        <f>IF(OR(NOT(ISNUMBER($B$18)),NOT(ISNUMBER($B$19))),"PENDIENTE",$B$18-$B$19)</f>
        <v/>
      </c>
      <c r="C20" s="49">
        <f>IF(OR(NOT(ISNUMBER($C$18)),NOT(ISNUMBER($C$19))),"PENDIENTE",$C$18-$C$19)</f>
        <v/>
      </c>
      <c r="D20" s="49">
        <f>IF(OR(NOT(ISNUMBER($D$18)),NOT(ISNUMBER($D$19))),"PENDIENTE",$D$18-$D$19)</f>
        <v/>
      </c>
      <c r="E20" s="16" t="inlineStr">
        <is>
          <t>Ventas − costos variables.</t>
        </is>
      </c>
    </row>
    <row r="21">
      <c r="A21" s="63" t="inlineStr">
        <is>
          <t>Margen de contribución %</t>
        </is>
      </c>
      <c r="B21" s="38">
        <f>IF(OR(NOT(ISNUMBER($B$20)),NOT(ISNUMBER($B$18)),$B$18&lt;=0),"PENDIENTE",$B$20/$B$18)</f>
        <v/>
      </c>
      <c r="C21" s="38">
        <f>IF(OR(NOT(ISNUMBER($C$20)),NOT(ISNUMBER($C$18)),$C$18&lt;=0),"PENDIENTE",$C$20/$C$18)</f>
        <v/>
      </c>
      <c r="D21" s="38">
        <f>IF(OR(NOT(ISNUMBER($D$20)),NOT(ISNUMBER($D$18)),$D$18&lt;=0),"PENDIENTE",$D$20/$D$18)</f>
        <v/>
      </c>
      <c r="E21" s="16" t="inlineStr">
        <is>
          <t>Margen de contribución ÷ ventas.</t>
        </is>
      </c>
    </row>
    <row r="22">
      <c r="A22" s="63" t="inlineStr">
        <is>
          <t>Gastos fijos + publicidad + otros</t>
        </is>
      </c>
      <c r="B22" s="37">
        <f>IF(NOT(ISNUMBER($B$11)),"PENDIENTE",$B$11+IF(ISNUMBER($B$12),$B$12,0)+IF(ISNUMBER($B$13),$B$13,0))</f>
        <v/>
      </c>
      <c r="C22" s="37">
        <f>IF(NOT(ISNUMBER($C$11)),"PENDIENTE",$C$11+IF(ISNUMBER($C$12),$C$12,0)+IF(ISNUMBER($C$13),$C$13,0))</f>
        <v/>
      </c>
      <c r="D22" s="37">
        <f>IF(NOT(ISNUMBER($D$11)),"PENDIENTE",$D$11+IF(ISNUMBER($D$12),$D$12,0)+IF(ISNUMBER($D$13),$D$13,0))</f>
        <v/>
      </c>
      <c r="E22" s="16" t="inlineStr">
        <is>
          <t>Estructura de gastos del mes.</t>
        </is>
      </c>
    </row>
    <row r="23">
      <c r="A23" s="67" t="inlineStr">
        <is>
          <t>UTILIDAD OPERATIVA</t>
        </is>
      </c>
      <c r="B23" s="49">
        <f>IF(OR(NOT(ISNUMBER($B$20)),NOT(ISNUMBER($B$22))),"PENDIENTE",$B$20-$B$22)</f>
        <v/>
      </c>
      <c r="C23" s="49">
        <f>IF(OR(NOT(ISNUMBER($C$20)),NOT(ISNUMBER($C$22))),"PENDIENTE",$C$20-$C$22)</f>
        <v/>
      </c>
      <c r="D23" s="49">
        <f>IF(OR(NOT(ISNUMBER($D$20)),NOT(ISNUMBER($D$22))),"PENDIENTE",$D$20-$D$22)</f>
        <v/>
      </c>
      <c r="E23" s="16" t="inlineStr">
        <is>
          <t>Margen de contribución − gastos.</t>
        </is>
      </c>
    </row>
    <row r="24">
      <c r="A24" s="63" t="inlineStr">
        <is>
          <t>Margen operativo %</t>
        </is>
      </c>
      <c r="B24" s="38">
        <f>IF(OR(NOT(ISNUMBER($B$23)),NOT(ISNUMBER($B$18)),$B$18&lt;=0),"PENDIENTE",$B$23/$B$18)</f>
        <v/>
      </c>
      <c r="C24" s="38">
        <f>IF(OR(NOT(ISNUMBER($C$23)),NOT(ISNUMBER($C$18)),$C$18&lt;=0),"PENDIENTE",$C$23/$C$18)</f>
        <v/>
      </c>
      <c r="D24" s="38">
        <f>IF(OR(NOT(ISNUMBER($D$23)),NOT(ISNUMBER($D$18)),$D$18&lt;=0),"PENDIENTE",$D$23/$D$18)</f>
        <v/>
      </c>
      <c r="E24" s="16" t="inlineStr">
        <is>
          <t>Utilidad operativa ÷ ventas.</t>
        </is>
      </c>
    </row>
    <row r="25">
      <c r="A25" s="63" t="inlineStr">
        <is>
          <t>Punto de equilibrio (unidades)</t>
        </is>
      </c>
      <c r="B25" s="39">
        <f>IF(OR(NOT(ISNUMBER($B$22)),NOT(ISNUMBER($B$20)),NOT(ISNUMBER($B$7)),$B$7&lt;=0,$B$20&lt;=0),"PENDIENTE",ROUNDUP($B$22/($B$20/$B$7),0))</f>
        <v/>
      </c>
      <c r="C25" s="39">
        <f>IF(OR(NOT(ISNUMBER($C$22)),NOT(ISNUMBER($C$20)),NOT(ISNUMBER($C$7)),$C$7&lt;=0,$C$20&lt;=0),"PENDIENTE",ROUNDUP($C$22/($C$20/$C$7),0))</f>
        <v/>
      </c>
      <c r="D25" s="39">
        <f>IF(OR(NOT(ISNUMBER($D$22)),NOT(ISNUMBER($D$20)),NOT(ISNUMBER($D$7)),$D$7&lt;=0,$D$20&lt;=0),"PENDIENTE",ROUNDUP($D$22/($D$20/$D$7),0))</f>
        <v/>
      </c>
      <c r="E25" s="16" t="inlineStr">
        <is>
          <t>Gastos ÷ margen de contribución unitario.</t>
        </is>
      </c>
    </row>
    <row r="26">
      <c r="A26" s="63" t="inlineStr">
        <is>
          <t>Punto de equilibrio (Lempiras)</t>
        </is>
      </c>
      <c r="B26" s="37">
        <f>IF(OR(NOT(ISNUMBER($B$25)),NOT(ISNUMBER($B$8))),"PENDIENTE",$B$25*$B$8)</f>
        <v/>
      </c>
      <c r="C26" s="37">
        <f>IF(OR(NOT(ISNUMBER($C$25)),NOT(ISNUMBER($C$8))),"PENDIENTE",$C$25*$C$8)</f>
        <v/>
      </c>
      <c r="D26" s="37">
        <f>IF(OR(NOT(ISNUMBER($D$25)),NOT(ISNUMBER($D$8))),"PENDIENTE",$D$25*$D$8)</f>
        <v/>
      </c>
      <c r="E26" s="16" t="inlineStr">
        <is>
          <t>Punto de equilibrio en unidades × precio.</t>
        </is>
      </c>
    </row>
    <row r="27">
      <c r="A27" s="63" t="inlineStr">
        <is>
          <t>Margen de seguridad %</t>
        </is>
      </c>
      <c r="B27" s="38">
        <f>IF(OR(NOT(ISNUMBER($B$25)),NOT(ISNUMBER($B$7)),$B$7&lt;=0),"PENDIENTE",($B$7-$B$25)/$B$7)</f>
        <v/>
      </c>
      <c r="C27" s="38">
        <f>IF(OR(NOT(ISNUMBER($C$25)),NOT(ISNUMBER($C$7)),$C$7&lt;=0),"PENDIENTE",($C$7-$C$25)/$C$7)</f>
        <v/>
      </c>
      <c r="D27" s="38">
        <f>IF(OR(NOT(ISNUMBER($D$25)),NOT(ISNUMBER($D$7)),$D$7&lt;=0),"PENDIENTE",($D$7-$D$25)/$D$7)</f>
        <v/>
      </c>
      <c r="E27" s="16" t="inlineStr">
        <is>
          <t>Cuánto puede caer la venta antes de perder.</t>
        </is>
      </c>
    </row>
    <row r="28">
      <c r="A28" s="63" t="inlineStr">
        <is>
          <t>Inversión mensual en inventario</t>
        </is>
      </c>
      <c r="B28" s="37">
        <f>IF(OR(NOT(ISNUMBER($B$7)),NOT(ISNUMBER($B$9))),"PENDIENTE",$B$7*$B$9)</f>
        <v/>
      </c>
      <c r="C28" s="37">
        <f>IF(OR(NOT(ISNUMBER($C$7)),NOT(ISNUMBER($C$9))),"PENDIENTE",$C$7*$C$9)</f>
        <v/>
      </c>
      <c r="D28" s="37">
        <f>IF(OR(NOT(ISNUMBER($D$7)),NOT(ISNUMBER($D$9))),"PENDIENTE",$D$7*$D$9)</f>
        <v/>
      </c>
      <c r="E28" s="16" t="inlineStr">
        <is>
          <t>Unidades × costo variable unitario del producto.</t>
        </is>
      </c>
    </row>
    <row r="29">
      <c r="A29" s="63" t="inlineStr">
        <is>
          <t>ROI mensual estimado</t>
        </is>
      </c>
      <c r="B29" s="38">
        <f>IF(OR(NOT(ISNUMBER($B$23)),NOT(ISNUMBER($B$28)),NOT(ISNUMBER($B$22)),(N($B$28)+N($B$22))&lt;=0),"PENDIENTE",$B$23/($B$28+$B$22))</f>
        <v/>
      </c>
      <c r="C29" s="38">
        <f>IF(OR(NOT(ISNUMBER($C$23)),NOT(ISNUMBER($C$28)),NOT(ISNUMBER($C$22)),(N($C$28)+N($C$22))&lt;=0),"PENDIENTE",$C$23/($C$28+$C$22))</f>
        <v/>
      </c>
      <c r="D29" s="38">
        <f>IF(OR(NOT(ISNUMBER($D$23)),NOT(ISNUMBER($D$28)),NOT(ISNUMBER($D$22)),(N($D$28)+N($D$22))&lt;=0),"PENDIENTE",$D$23/($D$28+$D$22))</f>
        <v/>
      </c>
      <c r="E29" s="16" t="inlineStr">
        <is>
          <t>Utilidad operativa ÷ (inventario + gastos del mes).</t>
        </is>
      </c>
    </row>
    <row r="30">
      <c r="A30" s="63" t="inlineStr">
        <is>
          <t>Flujo de efectivo estimado del mes</t>
        </is>
      </c>
      <c r="B30" s="37">
        <f>IF(OR(NOT(ISNUMBER($B$18)),NOT(ISNUMBER($B$28)),NOT(ISNUMBER($B$22))),"PENDIENTE",$B$18*IF(ISNUMBER($B$14),$B$14,1)-($B$28+$B$22)*IF(ISNUMBER($B$15),$B$15,1))</f>
        <v/>
      </c>
      <c r="C30" s="37">
        <f>IF(OR(NOT(ISNUMBER($C$18)),NOT(ISNUMBER($C$28)),NOT(ISNUMBER($C$22))),"PENDIENTE",$C$18*IF(ISNUMBER($C$14),$C$14,1)-($C$28+$C$22)*IF(ISNUMBER($C$15),$C$15,1))</f>
        <v/>
      </c>
      <c r="D30" s="37">
        <f>IF(OR(NOT(ISNUMBER($D$18)),NOT(ISNUMBER($D$28)),NOT(ISNUMBER($D$22))),"PENDIENTE",$D$18*IF(ISNUMBER($D$14),$D$14,1)-($D$28+$D$22)*IF(ISNUMBER($D$15),$D$15,1))</f>
        <v/>
      </c>
      <c r="E30" s="16" t="inlineStr">
        <is>
          <t>Ventas cobradas − compras y gastos pagados dentro del mes. Puede ser negativo aunque haya utilidad.</t>
        </is>
      </c>
    </row>
  </sheetData>
  <mergeCells count="1">
    <mergeCell ref="A3:E4"/>
  </mergeCells>
  <conditionalFormatting sqref="B23:D23">
    <cfRule type="cellIs" priority="1" operator="lessThan" dxfId="0">
      <formula>0</formula>
    </cfRule>
  </conditionalFormatting>
  <conditionalFormatting sqref="B30:D30">
    <cfRule type="cellIs" priority="2" operator="lessThan" dxfId="0">
      <formula>0</formula>
    </cfRule>
  </conditionalFormatting>
  <printOptions horizontalCentered="1"/>
  <pageMargins left="0.4" right="0.4" top="0.5" bottom="0.5" header="0.5" footer="0.5"/>
  <pageSetup orientation="landscape" fitToHeight="0" fitToWidth="1"/>
</worksheet>
</file>

<file path=xl/worksheets/sheet16.xml><?xml version="1.0" encoding="utf-8"?>
<worksheet xmlns="http://schemas.openxmlformats.org/spreadsheetml/2006/main">
  <sheetPr>
    <tabColor rgb="00B00020"/>
    <outlinePr summaryBelow="1" summaryRight="1"/>
    <pageSetUpPr fitToPage="1"/>
  </sheetPr>
  <dimension ref="A1:Q67"/>
  <sheetViews>
    <sheetView showGridLines="0" workbookViewId="0">
      <pane ySplit="7" topLeftCell="A8" activePane="bottomLeft" state="frozen"/>
      <selection pane="bottomLeft" activeCell="A1" sqref="A1"/>
    </sheetView>
  </sheetViews>
  <sheetFormatPr baseColWidth="8" defaultRowHeight="15"/>
  <cols>
    <col width="6" customWidth="1" min="1" max="1"/>
    <col width="58" customWidth="1" min="2" max="2"/>
    <col width="12" customWidth="1" min="3" max="3"/>
    <col width="12" customWidth="1" min="4" max="4"/>
    <col width="16" customWidth="1" min="5" max="5"/>
    <col width="46" customWidth="1" min="6" max="6"/>
    <col width="3" customWidth="1" min="7" max="7"/>
    <col width="14" customWidth="1" min="8" max="8"/>
    <col width="32" customWidth="1" min="9" max="9"/>
    <col width="18" customWidth="1" min="10" max="10"/>
    <col width="14" customWidth="1" min="11" max="11"/>
    <col width="14" customWidth="1" min="12" max="12"/>
    <col width="12" customWidth="1" min="13" max="13"/>
    <col width="12" customWidth="1" min="14" max="14"/>
    <col width="14" customWidth="1" min="15" max="15"/>
    <col width="14" customWidth="1" min="16" max="16"/>
    <col width="56" customWidth="1" min="17" max="17"/>
  </cols>
  <sheetData>
    <row r="1">
      <c r="A1" s="1" t="inlineStr">
        <is>
          <t>CONTROL DE CALIDAD</t>
        </is>
      </c>
    </row>
    <row r="2">
      <c r="A2" s="2" t="inlineStr">
        <is>
          <t>Revisión automática de todo el libro. Mientras existan problemas ALTOS, las cifras del DASHBOARD estarán incompletas.</t>
        </is>
      </c>
    </row>
    <row r="3">
      <c r="B3" s="80" t="inlineStr">
        <is>
          <t>PROBLEMAS PENDIENTES</t>
        </is>
      </c>
      <c r="C3" s="80" t="inlineStr">
        <is>
          <t>PROBLEMAS CRÍTICOS</t>
        </is>
      </c>
    </row>
    <row r="4">
      <c r="B4" s="81">
        <f>SUMIF($E$8:$E$40,"CORREGIR",$D$8:$D$40)+SUMIF($E$8:$E$40,"REVISAR",$D$8:$D$40)</f>
        <v/>
      </c>
      <c r="C4" s="82">
        <f>SUMIF($E$8:$E$40,"CORREGIR",$D$8:$D$40)</f>
        <v/>
      </c>
    </row>
    <row r="6">
      <c r="H6" s="3" t="inlineStr">
        <is>
          <t>DIAGNÓSTICO PRODUCTO POR PRODUCTO  ·  use el filtro para ver solo los que tienen problemas</t>
        </is>
      </c>
      <c r="I6" s="4" t="n"/>
      <c r="J6" s="4" t="n"/>
      <c r="K6" s="4" t="n"/>
      <c r="L6" s="4" t="n"/>
      <c r="M6" s="4" t="n"/>
      <c r="N6" s="4" t="n"/>
      <c r="O6" s="4" t="n"/>
      <c r="P6" s="4" t="n"/>
      <c r="Q6" s="4" t="n"/>
    </row>
    <row r="7" ht="34" customHeight="1">
      <c r="A7" s="11" t="inlineStr">
        <is>
          <t>#</t>
        </is>
      </c>
      <c r="B7" s="11" t="inlineStr">
        <is>
          <t>Chequeo automático</t>
        </is>
      </c>
      <c r="C7" s="11" t="inlineStr">
        <is>
          <t>Severidad</t>
        </is>
      </c>
      <c r="D7" s="11" t="inlineStr">
        <is>
          <t>Cantidad</t>
        </is>
      </c>
      <c r="E7" s="11" t="inlineStr">
        <is>
          <t>Estado</t>
        </is>
      </c>
      <c r="F7" s="11" t="inlineStr">
        <is>
          <t>Dónde se corrige</t>
        </is>
      </c>
      <c r="H7" s="11" t="inlineStr">
        <is>
          <t>SKU</t>
        </is>
      </c>
      <c r="I7" s="11" t="inlineStr">
        <is>
          <t>Producto</t>
        </is>
      </c>
      <c r="J7" s="11" t="inlineStr">
        <is>
          <t>Estado de datos</t>
        </is>
      </c>
      <c r="K7" s="11" t="inlineStr">
        <is>
          <t>Precio de venta actual</t>
        </is>
      </c>
      <c r="L7" s="11" t="inlineStr">
        <is>
          <t>Costo real unitario</t>
        </is>
      </c>
      <c r="M7" s="11" t="inlineStr">
        <is>
          <t>Margen bruto</t>
        </is>
      </c>
      <c r="N7" s="11" t="inlineStr">
        <is>
          <t>Stock actual</t>
        </is>
      </c>
      <c r="O7" s="11" t="inlineStr">
        <is>
          <t>Estado de inventario</t>
        </is>
      </c>
      <c r="P7" s="11" t="inlineStr">
        <is>
          <t>Valor del inventario</t>
        </is>
      </c>
      <c r="Q7" s="11" t="inlineStr">
        <is>
          <t>PROBLEMAS DETECTADOS</t>
        </is>
      </c>
    </row>
    <row r="8">
      <c r="A8" s="83" t="n">
        <v>1</v>
      </c>
      <c r="B8" s="18" t="inlineStr">
        <is>
          <t>Productos sin «Precio de venta actual»</t>
        </is>
      </c>
      <c r="C8" s="83" t="inlineStr">
        <is>
          <t>Alta</t>
        </is>
      </c>
      <c r="D8" s="39">
        <f>SUMPRODUCT((tblProductos[SKU]&lt;&gt;"")*(tblProductos[Precio de venta actual]=""))</f>
        <v/>
      </c>
      <c r="E8" s="84">
        <f>IF($D8=0,"OK",IF($C8="Alta","CORREGIR","REVISAR"))</f>
        <v/>
      </c>
      <c r="F8" s="85" t="inlineStr">
        <is>
          <t>PRODUCTOS · columna «Precio de venta actual»</t>
        </is>
      </c>
      <c r="H8" s="51">
        <f>IFERROR(IF(INDEX(tblProductos[SKU],ROW()-7)="","",INDEX(tblProductos[SKU],ROW()-7)),"")</f>
        <v/>
      </c>
      <c r="I8" s="51">
        <f>IF($H8="","",IFERROR(IF(INDEX(tblProductos[Nombre del producto],MATCH($H8,tblProductos[SKU],0))="","",INDEX(tblProductos[Nombre del producto],MATCH($H8,tblProductos[SKU],0))),""))</f>
        <v/>
      </c>
      <c r="J8" s="51">
        <f>IF($H8="","",IFERROR(IF(INDEX(tblProductos[Estado de datos],MATCH($H8,tblProductos[SKU],0))="","",INDEX(tblProductos[Estado de datos],MATCH($H8,tblProductos[SKU],0))),""))</f>
        <v/>
      </c>
      <c r="K8" s="37">
        <f>IF($H8="","",IFERROR(IF(INDEX(tblProductos[Precio de venta actual],MATCH($H8,tblProductos[SKU],0))="","PENDIENTE",INDEX(tblProductos[Precio de venta actual],MATCH($H8,tblProductos[SKU],0))),"PENDIENTE"))</f>
        <v/>
      </c>
      <c r="L8" s="37">
        <f>IF($H8="","",IFERROR(IF(INDEX(tblProductos[COSTO REAL UNITARIO],MATCH($H8,tblProductos[SKU],0))="","PENDIENTE",INDEX(tblProductos[COSTO REAL UNITARIO],MATCH($H8,tblProductos[SKU],0))),"PENDIENTE"))</f>
        <v/>
      </c>
      <c r="M8" s="38">
        <f>IF($H8="","",IFERROR(IF(INDEX(tblProductos[Margen bruto %],MATCH($H8,tblProductos[SKU],0))="","PENDIENTE",INDEX(tblProductos[Margen bruto %],MATCH($H8,tblProductos[SKU],0))),"PENDIENTE"))</f>
        <v/>
      </c>
      <c r="N8" s="39">
        <f>IF($H8="","",IFERROR(IF(INDEX(tblInventario[Stock actual],MATCH($H8,tblInventario[SKU],0))="","",INDEX(tblInventario[Stock actual],MATCH($H8,tblInventario[SKU],0))),""))</f>
        <v/>
      </c>
      <c r="O8" s="51">
        <f>IF($H8="","",IFERROR(IF(INDEX(tblInventario[ESTADO],MATCH($H8,tblInventario[SKU],0))="","",INDEX(tblInventario[ESTADO],MATCH($H8,tblInventario[SKU],0))),""))</f>
        <v/>
      </c>
      <c r="P8" s="37">
        <f>IF($H8="","",IFERROR(IF(INDEX(tblInventario[VALOR DEL INVENTARIO],MATCH($H8,tblInventario[SKU],0))="","PENDIENTE",INDEX(tblInventario[VALOR DEL INVENTARIO],MATCH($H8,tblInventario[SKU],0))),"PENDIENTE"))</f>
        <v/>
      </c>
      <c r="Q8" s="51">
        <f>IF($H8="","",IF(IF($K8="PENDIENTE"," · Sin precio de venta","")&amp;IF($L8="PENDIENTE"," · Sin costo","")&amp;IF(AND(ISNUMBER($M8),$M8&lt;0)," · MARGEN NEGATIVO","")&amp;IF(AND(ISNUMBER($M8),$M8=0)," · Utilidad cero","")&amp;IF($O8="ERROR"," · STOCK NEGATIVO","")&amp;IF($O8="AGOTADO"," · Agotado","")&amp;IF($O8="REABASTECER"," · Stock bajo","")&amp;IF(AND($H8&lt;&gt;"",COUNTIF(tblProductos[SKU],$H8)&gt;1)," · SKU DUPLICADO","")&amp;IF(AND($H8&lt;&gt;"",COUNTIF(tblCostos[SKU],$H8)=0)," · Sin fila en COSTOS","")&amp;IF($P8="PENDIENTE"," · Inventario sin valorizar","")="","OK",MID(IF($K8="PENDIENTE"," · Sin precio de venta","")&amp;IF($L8="PENDIENTE"," · Sin costo","")&amp;IF(AND(ISNUMBER($M8),$M8&lt;0)," · MARGEN NEGATIVO","")&amp;IF(AND(ISNUMBER($M8),$M8=0)," · Utilidad cero","")&amp;IF($O8="ERROR"," · STOCK NEGATIVO","")&amp;IF($O8="AGOTADO"," · Agotado","")&amp;IF($O8="REABASTECER"," · Stock bajo","")&amp;IF(AND($H8&lt;&gt;"",COUNTIF(tblProductos[SKU],$H8)&gt;1)," · SKU DUPLICADO","")&amp;IF(AND($H8&lt;&gt;"",COUNTIF(tblCostos[SKU],$H8)=0)," · Sin fila en COSTOS","")&amp;IF($P8="PENDIENTE"," · Inventario sin valorizar",""),4,900)))</f>
        <v/>
      </c>
    </row>
    <row r="9">
      <c r="A9" s="83" t="n">
        <v>2</v>
      </c>
      <c r="B9" s="18" t="inlineStr">
        <is>
          <t>Productos sin costo capturado</t>
        </is>
      </c>
      <c r="C9" s="83" t="inlineStr">
        <is>
          <t>Alta</t>
        </is>
      </c>
      <c r="D9" s="39">
        <f>SUMPRODUCT((tblProductos[SKU]&lt;&gt;"")*(NOT(ISNUMBER(tblProductos[COSTO REAL UNITARIO])))*1)</f>
        <v/>
      </c>
      <c r="E9" s="84">
        <f>IF($D9=0,"OK",IF($C9="Alta","CORREGIR","REVISAR"))</f>
        <v/>
      </c>
      <c r="F9" s="85" t="inlineStr">
        <is>
          <t>COSTOS · columna «Costo de compra unitario»</t>
        </is>
      </c>
      <c r="H9" s="51">
        <f>IFERROR(IF(INDEX(tblProductos[SKU],ROW()-7)="","",INDEX(tblProductos[SKU],ROW()-7)),"")</f>
        <v/>
      </c>
      <c r="I9" s="51">
        <f>IF($H9="","",IFERROR(IF(INDEX(tblProductos[Nombre del producto],MATCH($H9,tblProductos[SKU],0))="","",INDEX(tblProductos[Nombre del producto],MATCH($H9,tblProductos[SKU],0))),""))</f>
        <v/>
      </c>
      <c r="J9" s="51">
        <f>IF($H9="","",IFERROR(IF(INDEX(tblProductos[Estado de datos],MATCH($H9,tblProductos[SKU],0))="","",INDEX(tblProductos[Estado de datos],MATCH($H9,tblProductos[SKU],0))),""))</f>
        <v/>
      </c>
      <c r="K9" s="37">
        <f>IF($H9="","",IFERROR(IF(INDEX(tblProductos[Precio de venta actual],MATCH($H9,tblProductos[SKU],0))="","PENDIENTE",INDEX(tblProductos[Precio de venta actual],MATCH($H9,tblProductos[SKU],0))),"PENDIENTE"))</f>
        <v/>
      </c>
      <c r="L9" s="37">
        <f>IF($H9="","",IFERROR(IF(INDEX(tblProductos[COSTO REAL UNITARIO],MATCH($H9,tblProductos[SKU],0))="","PENDIENTE",INDEX(tblProductos[COSTO REAL UNITARIO],MATCH($H9,tblProductos[SKU],0))),"PENDIENTE"))</f>
        <v/>
      </c>
      <c r="M9" s="38">
        <f>IF($H9="","",IFERROR(IF(INDEX(tblProductos[Margen bruto %],MATCH($H9,tblProductos[SKU],0))="","PENDIENTE",INDEX(tblProductos[Margen bruto %],MATCH($H9,tblProductos[SKU],0))),"PENDIENTE"))</f>
        <v/>
      </c>
      <c r="N9" s="39">
        <f>IF($H9="","",IFERROR(IF(INDEX(tblInventario[Stock actual],MATCH($H9,tblInventario[SKU],0))="","",INDEX(tblInventario[Stock actual],MATCH($H9,tblInventario[SKU],0))),""))</f>
        <v/>
      </c>
      <c r="O9" s="51">
        <f>IF($H9="","",IFERROR(IF(INDEX(tblInventario[ESTADO],MATCH($H9,tblInventario[SKU],0))="","",INDEX(tblInventario[ESTADO],MATCH($H9,tblInventario[SKU],0))),""))</f>
        <v/>
      </c>
      <c r="P9" s="37">
        <f>IF($H9="","",IFERROR(IF(INDEX(tblInventario[VALOR DEL INVENTARIO],MATCH($H9,tblInventario[SKU],0))="","PENDIENTE",INDEX(tblInventario[VALOR DEL INVENTARIO],MATCH($H9,tblInventario[SKU],0))),"PENDIENTE"))</f>
        <v/>
      </c>
      <c r="Q9" s="51">
        <f>IF($H9="","",IF(IF($K9="PENDIENTE"," · Sin precio de venta","")&amp;IF($L9="PENDIENTE"," · Sin costo","")&amp;IF(AND(ISNUMBER($M9),$M9&lt;0)," · MARGEN NEGATIVO","")&amp;IF(AND(ISNUMBER($M9),$M9=0)," · Utilidad cero","")&amp;IF($O9="ERROR"," · STOCK NEGATIVO","")&amp;IF($O9="AGOTADO"," · Agotado","")&amp;IF($O9="REABASTECER"," · Stock bajo","")&amp;IF(AND($H9&lt;&gt;"",COUNTIF(tblProductos[SKU],$H9)&gt;1)," · SKU DUPLICADO","")&amp;IF(AND($H9&lt;&gt;"",COUNTIF(tblCostos[SKU],$H9)=0)," · Sin fila en COSTOS","")&amp;IF($P9="PENDIENTE"," · Inventario sin valorizar","")="","OK",MID(IF($K9="PENDIENTE"," · Sin precio de venta","")&amp;IF($L9="PENDIENTE"," · Sin costo","")&amp;IF(AND(ISNUMBER($M9),$M9&lt;0)," · MARGEN NEGATIVO","")&amp;IF(AND(ISNUMBER($M9),$M9=0)," · Utilidad cero","")&amp;IF($O9="ERROR"," · STOCK NEGATIVO","")&amp;IF($O9="AGOTADO"," · Agotado","")&amp;IF($O9="REABASTECER"," · Stock bajo","")&amp;IF(AND($H9&lt;&gt;"",COUNTIF(tblProductos[SKU],$H9)&gt;1)," · SKU DUPLICADO","")&amp;IF(AND($H9&lt;&gt;"",COUNTIF(tblCostos[SKU],$H9)=0)," · Sin fila en COSTOS","")&amp;IF($P9="PENDIENTE"," · Inventario sin valorizar",""),4,900)))</f>
        <v/>
      </c>
    </row>
    <row r="10">
      <c r="A10" s="83" t="n">
        <v>3</v>
      </c>
      <c r="B10" s="18" t="inlineStr">
        <is>
          <t>SKU de PRODUCTOS que no tienen fila en COSTOS</t>
        </is>
      </c>
      <c r="C10" s="83" t="inlineStr">
        <is>
          <t>Alta</t>
        </is>
      </c>
      <c r="D10" s="39">
        <f>SUMPRODUCT((tblProductos[SKU]&lt;&gt;"")*(COUNTIF(tblCostos[SKU],tblProductos[SKU]&amp;"")=0)*1)</f>
        <v/>
      </c>
      <c r="E10" s="84">
        <f>IF($D10=0,"OK",IF($C10="Alta","CORREGIR","REVISAR"))</f>
        <v/>
      </c>
      <c r="F10" s="85" t="inlineStr">
        <is>
          <t>COSTOS · agregue una fila con ese SKU</t>
        </is>
      </c>
      <c r="H10" s="51">
        <f>IFERROR(IF(INDEX(tblProductos[SKU],ROW()-7)="","",INDEX(tblProductos[SKU],ROW()-7)),"")</f>
        <v/>
      </c>
      <c r="I10" s="51">
        <f>IF($H10="","",IFERROR(IF(INDEX(tblProductos[Nombre del producto],MATCH($H10,tblProductos[SKU],0))="","",INDEX(tblProductos[Nombre del producto],MATCH($H10,tblProductos[SKU],0))),""))</f>
        <v/>
      </c>
      <c r="J10" s="51">
        <f>IF($H10="","",IFERROR(IF(INDEX(tblProductos[Estado de datos],MATCH($H10,tblProductos[SKU],0))="","",INDEX(tblProductos[Estado de datos],MATCH($H10,tblProductos[SKU],0))),""))</f>
        <v/>
      </c>
      <c r="K10" s="37">
        <f>IF($H10="","",IFERROR(IF(INDEX(tblProductos[Precio de venta actual],MATCH($H10,tblProductos[SKU],0))="","PENDIENTE",INDEX(tblProductos[Precio de venta actual],MATCH($H10,tblProductos[SKU],0))),"PENDIENTE"))</f>
        <v/>
      </c>
      <c r="L10" s="37">
        <f>IF($H10="","",IFERROR(IF(INDEX(tblProductos[COSTO REAL UNITARIO],MATCH($H10,tblProductos[SKU],0))="","PENDIENTE",INDEX(tblProductos[COSTO REAL UNITARIO],MATCH($H10,tblProductos[SKU],0))),"PENDIENTE"))</f>
        <v/>
      </c>
      <c r="M10" s="38">
        <f>IF($H10="","",IFERROR(IF(INDEX(tblProductos[Margen bruto %],MATCH($H10,tblProductos[SKU],0))="","PENDIENTE",INDEX(tblProductos[Margen bruto %],MATCH($H10,tblProductos[SKU],0))),"PENDIENTE"))</f>
        <v/>
      </c>
      <c r="N10" s="39">
        <f>IF($H10="","",IFERROR(IF(INDEX(tblInventario[Stock actual],MATCH($H10,tblInventario[SKU],0))="","",INDEX(tblInventario[Stock actual],MATCH($H10,tblInventario[SKU],0))),""))</f>
        <v/>
      </c>
      <c r="O10" s="51">
        <f>IF($H10="","",IFERROR(IF(INDEX(tblInventario[ESTADO],MATCH($H10,tblInventario[SKU],0))="","",INDEX(tblInventario[ESTADO],MATCH($H10,tblInventario[SKU],0))),""))</f>
        <v/>
      </c>
      <c r="P10" s="37">
        <f>IF($H10="","",IFERROR(IF(INDEX(tblInventario[VALOR DEL INVENTARIO],MATCH($H10,tblInventario[SKU],0))="","PENDIENTE",INDEX(tblInventario[VALOR DEL INVENTARIO],MATCH($H10,tblInventario[SKU],0))),"PENDIENTE"))</f>
        <v/>
      </c>
      <c r="Q10" s="51">
        <f>IF($H10="","",IF(IF($K10="PENDIENTE"," · Sin precio de venta","")&amp;IF($L10="PENDIENTE"," · Sin costo","")&amp;IF(AND(ISNUMBER($M10),$M10&lt;0)," · MARGEN NEGATIVO","")&amp;IF(AND(ISNUMBER($M10),$M10=0)," · Utilidad cero","")&amp;IF($O10="ERROR"," · STOCK NEGATIVO","")&amp;IF($O10="AGOTADO"," · Agotado","")&amp;IF($O10="REABASTECER"," · Stock bajo","")&amp;IF(AND($H10&lt;&gt;"",COUNTIF(tblProductos[SKU],$H10)&gt;1)," · SKU DUPLICADO","")&amp;IF(AND($H10&lt;&gt;"",COUNTIF(tblCostos[SKU],$H10)=0)," · Sin fila en COSTOS","")&amp;IF($P10="PENDIENTE"," · Inventario sin valorizar","")="","OK",MID(IF($K10="PENDIENTE"," · Sin precio de venta","")&amp;IF($L10="PENDIENTE"," · Sin costo","")&amp;IF(AND(ISNUMBER($M10),$M10&lt;0)," · MARGEN NEGATIVO","")&amp;IF(AND(ISNUMBER($M10),$M10=0)," · Utilidad cero","")&amp;IF($O10="ERROR"," · STOCK NEGATIVO","")&amp;IF($O10="AGOTADO"," · Agotado","")&amp;IF($O10="REABASTECER"," · Stock bajo","")&amp;IF(AND($H10&lt;&gt;"",COUNTIF(tblProductos[SKU],$H10)&gt;1)," · SKU DUPLICADO","")&amp;IF(AND($H10&lt;&gt;"",COUNTIF(tblCostos[SKU],$H10)=0)," · Sin fila en COSTOS","")&amp;IF($P10="PENDIENTE"," · Inventario sin valorizar",""),4,900)))</f>
        <v/>
      </c>
    </row>
    <row r="11">
      <c r="A11" s="83" t="n">
        <v>4</v>
      </c>
      <c r="B11" s="18" t="inlineStr">
        <is>
          <t>Productos con MARGEN NEGATIVO (vende por debajo del costo)</t>
        </is>
      </c>
      <c r="C11" s="83" t="inlineStr">
        <is>
          <t>Alta</t>
        </is>
      </c>
      <c r="D11" s="39">
        <f>COUNTIF(tblProductos[Estado de datos],"MARGEN NEGATIVO")</f>
        <v/>
      </c>
      <c r="E11" s="84">
        <f>IF($D11=0,"OK",IF($C11="Alta","CORREGIR","REVISAR"))</f>
        <v/>
      </c>
      <c r="F11" s="85" t="inlineStr">
        <is>
          <t>PRODUCTOS · revise precio o COSTOS · revise costo</t>
        </is>
      </c>
      <c r="H11" s="51">
        <f>IFERROR(IF(INDEX(tblProductos[SKU],ROW()-7)="","",INDEX(tblProductos[SKU],ROW()-7)),"")</f>
        <v/>
      </c>
      <c r="I11" s="51">
        <f>IF($H11="","",IFERROR(IF(INDEX(tblProductos[Nombre del producto],MATCH($H11,tblProductos[SKU],0))="","",INDEX(tblProductos[Nombre del producto],MATCH($H11,tblProductos[SKU],0))),""))</f>
        <v/>
      </c>
      <c r="J11" s="51">
        <f>IF($H11="","",IFERROR(IF(INDEX(tblProductos[Estado de datos],MATCH($H11,tblProductos[SKU],0))="","",INDEX(tblProductos[Estado de datos],MATCH($H11,tblProductos[SKU],0))),""))</f>
        <v/>
      </c>
      <c r="K11" s="37">
        <f>IF($H11="","",IFERROR(IF(INDEX(tblProductos[Precio de venta actual],MATCH($H11,tblProductos[SKU],0))="","PENDIENTE",INDEX(tblProductos[Precio de venta actual],MATCH($H11,tblProductos[SKU],0))),"PENDIENTE"))</f>
        <v/>
      </c>
      <c r="L11" s="37">
        <f>IF($H11="","",IFERROR(IF(INDEX(tblProductos[COSTO REAL UNITARIO],MATCH($H11,tblProductos[SKU],0))="","PENDIENTE",INDEX(tblProductos[COSTO REAL UNITARIO],MATCH($H11,tblProductos[SKU],0))),"PENDIENTE"))</f>
        <v/>
      </c>
      <c r="M11" s="38">
        <f>IF($H11="","",IFERROR(IF(INDEX(tblProductos[Margen bruto %],MATCH($H11,tblProductos[SKU],0))="","PENDIENTE",INDEX(tblProductos[Margen bruto %],MATCH($H11,tblProductos[SKU],0))),"PENDIENTE"))</f>
        <v/>
      </c>
      <c r="N11" s="39">
        <f>IF($H11="","",IFERROR(IF(INDEX(tblInventario[Stock actual],MATCH($H11,tblInventario[SKU],0))="","",INDEX(tblInventario[Stock actual],MATCH($H11,tblInventario[SKU],0))),""))</f>
        <v/>
      </c>
      <c r="O11" s="51">
        <f>IF($H11="","",IFERROR(IF(INDEX(tblInventario[ESTADO],MATCH($H11,tblInventario[SKU],0))="","",INDEX(tblInventario[ESTADO],MATCH($H11,tblInventario[SKU],0))),""))</f>
        <v/>
      </c>
      <c r="P11" s="37">
        <f>IF($H11="","",IFERROR(IF(INDEX(tblInventario[VALOR DEL INVENTARIO],MATCH($H11,tblInventario[SKU],0))="","PENDIENTE",INDEX(tblInventario[VALOR DEL INVENTARIO],MATCH($H11,tblInventario[SKU],0))),"PENDIENTE"))</f>
        <v/>
      </c>
      <c r="Q11" s="51">
        <f>IF($H11="","",IF(IF($K11="PENDIENTE"," · Sin precio de venta","")&amp;IF($L11="PENDIENTE"," · Sin costo","")&amp;IF(AND(ISNUMBER($M11),$M11&lt;0)," · MARGEN NEGATIVO","")&amp;IF(AND(ISNUMBER($M11),$M11=0)," · Utilidad cero","")&amp;IF($O11="ERROR"," · STOCK NEGATIVO","")&amp;IF($O11="AGOTADO"," · Agotado","")&amp;IF($O11="REABASTECER"," · Stock bajo","")&amp;IF(AND($H11&lt;&gt;"",COUNTIF(tblProductos[SKU],$H11)&gt;1)," · SKU DUPLICADO","")&amp;IF(AND($H11&lt;&gt;"",COUNTIF(tblCostos[SKU],$H11)=0)," · Sin fila en COSTOS","")&amp;IF($P11="PENDIENTE"," · Inventario sin valorizar","")="","OK",MID(IF($K11="PENDIENTE"," · Sin precio de venta","")&amp;IF($L11="PENDIENTE"," · Sin costo","")&amp;IF(AND(ISNUMBER($M11),$M11&lt;0)," · MARGEN NEGATIVO","")&amp;IF(AND(ISNUMBER($M11),$M11=0)," · Utilidad cero","")&amp;IF($O11="ERROR"," · STOCK NEGATIVO","")&amp;IF($O11="AGOTADO"," · Agotado","")&amp;IF($O11="REABASTECER"," · Stock bajo","")&amp;IF(AND($H11&lt;&gt;"",COUNTIF(tblProductos[SKU],$H11)&gt;1)," · SKU DUPLICADO","")&amp;IF(AND($H11&lt;&gt;"",COUNTIF(tblCostos[SKU],$H11)=0)," · Sin fila en COSTOS","")&amp;IF($P11="PENDIENTE"," · Inventario sin valorizar",""),4,900)))</f>
        <v/>
      </c>
    </row>
    <row r="12">
      <c r="A12" s="83" t="n">
        <v>5</v>
      </c>
      <c r="B12" s="18" t="inlineStr">
        <is>
          <t>Productos con precio igual al costo (utilidad cero)</t>
        </is>
      </c>
      <c r="C12" s="83" t="inlineStr">
        <is>
          <t>Media</t>
        </is>
      </c>
      <c r="D12" s="39">
        <f>COUNTIF(tblProductos[Estado de datos],"PRECIO = COSTO")</f>
        <v/>
      </c>
      <c r="E12" s="84">
        <f>IF($D12=0,"OK",IF($C12="Alta","CORREGIR","REVISAR"))</f>
        <v/>
      </c>
      <c r="F12" s="85" t="inlineStr">
        <is>
          <t>PRODUCTOS · columna «Precio de venta actual»</t>
        </is>
      </c>
      <c r="H12" s="51">
        <f>IFERROR(IF(INDEX(tblProductos[SKU],ROW()-7)="","",INDEX(tblProductos[SKU],ROW()-7)),"")</f>
        <v/>
      </c>
      <c r="I12" s="51">
        <f>IF($H12="","",IFERROR(IF(INDEX(tblProductos[Nombre del producto],MATCH($H12,tblProductos[SKU],0))="","",INDEX(tblProductos[Nombre del producto],MATCH($H12,tblProductos[SKU],0))),""))</f>
        <v/>
      </c>
      <c r="J12" s="51">
        <f>IF($H12="","",IFERROR(IF(INDEX(tblProductos[Estado de datos],MATCH($H12,tblProductos[SKU],0))="","",INDEX(tblProductos[Estado de datos],MATCH($H12,tblProductos[SKU],0))),""))</f>
        <v/>
      </c>
      <c r="K12" s="37">
        <f>IF($H12="","",IFERROR(IF(INDEX(tblProductos[Precio de venta actual],MATCH($H12,tblProductos[SKU],0))="","PENDIENTE",INDEX(tblProductos[Precio de venta actual],MATCH($H12,tblProductos[SKU],0))),"PENDIENTE"))</f>
        <v/>
      </c>
      <c r="L12" s="37">
        <f>IF($H12="","",IFERROR(IF(INDEX(tblProductos[COSTO REAL UNITARIO],MATCH($H12,tblProductos[SKU],0))="","PENDIENTE",INDEX(tblProductos[COSTO REAL UNITARIO],MATCH($H12,tblProductos[SKU],0))),"PENDIENTE"))</f>
        <v/>
      </c>
      <c r="M12" s="38">
        <f>IF($H12="","",IFERROR(IF(INDEX(tblProductos[Margen bruto %],MATCH($H12,tblProductos[SKU],0))="","PENDIENTE",INDEX(tblProductos[Margen bruto %],MATCH($H12,tblProductos[SKU],0))),"PENDIENTE"))</f>
        <v/>
      </c>
      <c r="N12" s="39">
        <f>IF($H12="","",IFERROR(IF(INDEX(tblInventario[Stock actual],MATCH($H12,tblInventario[SKU],0))="","",INDEX(tblInventario[Stock actual],MATCH($H12,tblInventario[SKU],0))),""))</f>
        <v/>
      </c>
      <c r="O12" s="51">
        <f>IF($H12="","",IFERROR(IF(INDEX(tblInventario[ESTADO],MATCH($H12,tblInventario[SKU],0))="","",INDEX(tblInventario[ESTADO],MATCH($H12,tblInventario[SKU],0))),""))</f>
        <v/>
      </c>
      <c r="P12" s="37">
        <f>IF($H12="","",IFERROR(IF(INDEX(tblInventario[VALOR DEL INVENTARIO],MATCH($H12,tblInventario[SKU],0))="","PENDIENTE",INDEX(tblInventario[VALOR DEL INVENTARIO],MATCH($H12,tblInventario[SKU],0))),"PENDIENTE"))</f>
        <v/>
      </c>
      <c r="Q12" s="51">
        <f>IF($H12="","",IF(IF($K12="PENDIENTE"," · Sin precio de venta","")&amp;IF($L12="PENDIENTE"," · Sin costo","")&amp;IF(AND(ISNUMBER($M12),$M12&lt;0)," · MARGEN NEGATIVO","")&amp;IF(AND(ISNUMBER($M12),$M12=0)," · Utilidad cero","")&amp;IF($O12="ERROR"," · STOCK NEGATIVO","")&amp;IF($O12="AGOTADO"," · Agotado","")&amp;IF($O12="REABASTECER"," · Stock bajo","")&amp;IF(AND($H12&lt;&gt;"",COUNTIF(tblProductos[SKU],$H12)&gt;1)," · SKU DUPLICADO","")&amp;IF(AND($H12&lt;&gt;"",COUNTIF(tblCostos[SKU],$H12)=0)," · Sin fila en COSTOS","")&amp;IF($P12="PENDIENTE"," · Inventario sin valorizar","")="","OK",MID(IF($K12="PENDIENTE"," · Sin precio de venta","")&amp;IF($L12="PENDIENTE"," · Sin costo","")&amp;IF(AND(ISNUMBER($M12),$M12&lt;0)," · MARGEN NEGATIVO","")&amp;IF(AND(ISNUMBER($M12),$M12=0)," · Utilidad cero","")&amp;IF($O12="ERROR"," · STOCK NEGATIVO","")&amp;IF($O12="AGOTADO"," · Agotado","")&amp;IF($O12="REABASTECER"," · Stock bajo","")&amp;IF(AND($H12&lt;&gt;"",COUNTIF(tblProductos[SKU],$H12)&gt;1)," · SKU DUPLICADO","")&amp;IF(AND($H12&lt;&gt;"",COUNTIF(tblCostos[SKU],$H12)=0)," · Sin fila en COSTOS","")&amp;IF($P12="PENDIENTE"," · Inventario sin valorizar",""),4,900)))</f>
        <v/>
      </c>
    </row>
    <row r="13">
      <c r="A13" s="83" t="n">
        <v>6</v>
      </c>
      <c r="B13" s="18" t="inlineStr">
        <is>
          <t>SKU duplicados en PRODUCTOS</t>
        </is>
      </c>
      <c r="C13" s="83" t="inlineStr">
        <is>
          <t>Alta</t>
        </is>
      </c>
      <c r="D13" s="39">
        <f>SUMPRODUCT((tblProductos[SKU]&lt;&gt;"")*(COUNTIF(tblProductos[SKU],tblProductos[SKU]&amp;"")&gt;1))</f>
        <v/>
      </c>
      <c r="E13" s="84">
        <f>IF($D13=0,"OK",IF($C13="Alta","CORREGIR","REVISAR"))</f>
        <v/>
      </c>
      <c r="F13" s="85" t="inlineStr">
        <is>
          <t>PRODUCTOS · cada SKU debe ser único</t>
        </is>
      </c>
      <c r="H13" s="51">
        <f>IFERROR(IF(INDEX(tblProductos[SKU],ROW()-7)="","",INDEX(tblProductos[SKU],ROW()-7)),"")</f>
        <v/>
      </c>
      <c r="I13" s="51">
        <f>IF($H13="","",IFERROR(IF(INDEX(tblProductos[Nombre del producto],MATCH($H13,tblProductos[SKU],0))="","",INDEX(tblProductos[Nombre del producto],MATCH($H13,tblProductos[SKU],0))),""))</f>
        <v/>
      </c>
      <c r="J13" s="51">
        <f>IF($H13="","",IFERROR(IF(INDEX(tblProductos[Estado de datos],MATCH($H13,tblProductos[SKU],0))="","",INDEX(tblProductos[Estado de datos],MATCH($H13,tblProductos[SKU],0))),""))</f>
        <v/>
      </c>
      <c r="K13" s="37">
        <f>IF($H13="","",IFERROR(IF(INDEX(tblProductos[Precio de venta actual],MATCH($H13,tblProductos[SKU],0))="","PENDIENTE",INDEX(tblProductos[Precio de venta actual],MATCH($H13,tblProductos[SKU],0))),"PENDIENTE"))</f>
        <v/>
      </c>
      <c r="L13" s="37">
        <f>IF($H13="","",IFERROR(IF(INDEX(tblProductos[COSTO REAL UNITARIO],MATCH($H13,tblProductos[SKU],0))="","PENDIENTE",INDEX(tblProductos[COSTO REAL UNITARIO],MATCH($H13,tblProductos[SKU],0))),"PENDIENTE"))</f>
        <v/>
      </c>
      <c r="M13" s="38">
        <f>IF($H13="","",IFERROR(IF(INDEX(tblProductos[Margen bruto %],MATCH($H13,tblProductos[SKU],0))="","PENDIENTE",INDEX(tblProductos[Margen bruto %],MATCH($H13,tblProductos[SKU],0))),"PENDIENTE"))</f>
        <v/>
      </c>
      <c r="N13" s="39">
        <f>IF($H13="","",IFERROR(IF(INDEX(tblInventario[Stock actual],MATCH($H13,tblInventario[SKU],0))="","",INDEX(tblInventario[Stock actual],MATCH($H13,tblInventario[SKU],0))),""))</f>
        <v/>
      </c>
      <c r="O13" s="51">
        <f>IF($H13="","",IFERROR(IF(INDEX(tblInventario[ESTADO],MATCH($H13,tblInventario[SKU],0))="","",INDEX(tblInventario[ESTADO],MATCH($H13,tblInventario[SKU],0))),""))</f>
        <v/>
      </c>
      <c r="P13" s="37">
        <f>IF($H13="","",IFERROR(IF(INDEX(tblInventario[VALOR DEL INVENTARIO],MATCH($H13,tblInventario[SKU],0))="","PENDIENTE",INDEX(tblInventario[VALOR DEL INVENTARIO],MATCH($H13,tblInventario[SKU],0))),"PENDIENTE"))</f>
        <v/>
      </c>
      <c r="Q13" s="51">
        <f>IF($H13="","",IF(IF($K13="PENDIENTE"," · Sin precio de venta","")&amp;IF($L13="PENDIENTE"," · Sin costo","")&amp;IF(AND(ISNUMBER($M13),$M13&lt;0)," · MARGEN NEGATIVO","")&amp;IF(AND(ISNUMBER($M13),$M13=0)," · Utilidad cero","")&amp;IF($O13="ERROR"," · STOCK NEGATIVO","")&amp;IF($O13="AGOTADO"," · Agotado","")&amp;IF($O13="REABASTECER"," · Stock bajo","")&amp;IF(AND($H13&lt;&gt;"",COUNTIF(tblProductos[SKU],$H13)&gt;1)," · SKU DUPLICADO","")&amp;IF(AND($H13&lt;&gt;"",COUNTIF(tblCostos[SKU],$H13)=0)," · Sin fila en COSTOS","")&amp;IF($P13="PENDIENTE"," · Inventario sin valorizar","")="","OK",MID(IF($K13="PENDIENTE"," · Sin precio de venta","")&amp;IF($L13="PENDIENTE"," · Sin costo","")&amp;IF(AND(ISNUMBER($M13),$M13&lt;0)," · MARGEN NEGATIVO","")&amp;IF(AND(ISNUMBER($M13),$M13=0)," · Utilidad cero","")&amp;IF($O13="ERROR"," · STOCK NEGATIVO","")&amp;IF($O13="AGOTADO"," · Agotado","")&amp;IF($O13="REABASTECER"," · Stock bajo","")&amp;IF(AND($H13&lt;&gt;"",COUNTIF(tblProductos[SKU],$H13)&gt;1)," · SKU DUPLICADO","")&amp;IF(AND($H13&lt;&gt;"",COUNTIF(tblCostos[SKU],$H13)=0)," · Sin fila en COSTOS","")&amp;IF($P13="PENDIENTE"," · Inventario sin valorizar",""),4,900)))</f>
        <v/>
      </c>
    </row>
    <row r="14">
      <c r="A14" s="83" t="n">
        <v>7</v>
      </c>
      <c r="B14" s="18" t="inlineStr">
        <is>
          <t>Productos duplicados (mismo nombre y presentación)</t>
        </is>
      </c>
      <c r="C14" s="83" t="inlineStr">
        <is>
          <t>Media</t>
        </is>
      </c>
      <c r="D14" s="39">
        <f>SUMPRODUCT((tblProductos[Nombre del producto]&lt;&gt;"")*(COUNTIFS(tblProductos[Nombre del producto],tblProductos[Nombre del producto]&amp;"",tblProductos[Presentación],tblProductos[Presentación]&amp;"")&gt;1))</f>
        <v/>
      </c>
      <c r="E14" s="84">
        <f>IF($D14=0,"OK",IF($C14="Alta","CORREGIR","REVISAR"))</f>
        <v/>
      </c>
      <c r="F14" s="85" t="inlineStr">
        <is>
          <t>PRODUCTOS · unifique el producto repetido</t>
        </is>
      </c>
      <c r="H14" s="51">
        <f>IFERROR(IF(INDEX(tblProductos[SKU],ROW()-7)="","",INDEX(tblProductos[SKU],ROW()-7)),"")</f>
        <v/>
      </c>
      <c r="I14" s="51">
        <f>IF($H14="","",IFERROR(IF(INDEX(tblProductos[Nombre del producto],MATCH($H14,tblProductos[SKU],0))="","",INDEX(tblProductos[Nombre del producto],MATCH($H14,tblProductos[SKU],0))),""))</f>
        <v/>
      </c>
      <c r="J14" s="51">
        <f>IF($H14="","",IFERROR(IF(INDEX(tblProductos[Estado de datos],MATCH($H14,tblProductos[SKU],0))="","",INDEX(tblProductos[Estado de datos],MATCH($H14,tblProductos[SKU],0))),""))</f>
        <v/>
      </c>
      <c r="K14" s="37">
        <f>IF($H14="","",IFERROR(IF(INDEX(tblProductos[Precio de venta actual],MATCH($H14,tblProductos[SKU],0))="","PENDIENTE",INDEX(tblProductos[Precio de venta actual],MATCH($H14,tblProductos[SKU],0))),"PENDIENTE"))</f>
        <v/>
      </c>
      <c r="L14" s="37">
        <f>IF($H14="","",IFERROR(IF(INDEX(tblProductos[COSTO REAL UNITARIO],MATCH($H14,tblProductos[SKU],0))="","PENDIENTE",INDEX(tblProductos[COSTO REAL UNITARIO],MATCH($H14,tblProductos[SKU],0))),"PENDIENTE"))</f>
        <v/>
      </c>
      <c r="M14" s="38">
        <f>IF($H14="","",IFERROR(IF(INDEX(tblProductos[Margen bruto %],MATCH($H14,tblProductos[SKU],0))="","PENDIENTE",INDEX(tblProductos[Margen bruto %],MATCH($H14,tblProductos[SKU],0))),"PENDIENTE"))</f>
        <v/>
      </c>
      <c r="N14" s="39">
        <f>IF($H14="","",IFERROR(IF(INDEX(tblInventario[Stock actual],MATCH($H14,tblInventario[SKU],0))="","",INDEX(tblInventario[Stock actual],MATCH($H14,tblInventario[SKU],0))),""))</f>
        <v/>
      </c>
      <c r="O14" s="51">
        <f>IF($H14="","",IFERROR(IF(INDEX(tblInventario[ESTADO],MATCH($H14,tblInventario[SKU],0))="","",INDEX(tblInventario[ESTADO],MATCH($H14,tblInventario[SKU],0))),""))</f>
        <v/>
      </c>
      <c r="P14" s="37">
        <f>IF($H14="","",IFERROR(IF(INDEX(tblInventario[VALOR DEL INVENTARIO],MATCH($H14,tblInventario[SKU],0))="","PENDIENTE",INDEX(tblInventario[VALOR DEL INVENTARIO],MATCH($H14,tblInventario[SKU],0))),"PENDIENTE"))</f>
        <v/>
      </c>
      <c r="Q14" s="51">
        <f>IF($H14="","",IF(IF($K14="PENDIENTE"," · Sin precio de venta","")&amp;IF($L14="PENDIENTE"," · Sin costo","")&amp;IF(AND(ISNUMBER($M14),$M14&lt;0)," · MARGEN NEGATIVO","")&amp;IF(AND(ISNUMBER($M14),$M14=0)," · Utilidad cero","")&amp;IF($O14="ERROR"," · STOCK NEGATIVO","")&amp;IF($O14="AGOTADO"," · Agotado","")&amp;IF($O14="REABASTECER"," · Stock bajo","")&amp;IF(AND($H14&lt;&gt;"",COUNTIF(tblProductos[SKU],$H14)&gt;1)," · SKU DUPLICADO","")&amp;IF(AND($H14&lt;&gt;"",COUNTIF(tblCostos[SKU],$H14)=0)," · Sin fila en COSTOS","")&amp;IF($P14="PENDIENTE"," · Inventario sin valorizar","")="","OK",MID(IF($K14="PENDIENTE"," · Sin precio de venta","")&amp;IF($L14="PENDIENTE"," · Sin costo","")&amp;IF(AND(ISNUMBER($M14),$M14&lt;0)," · MARGEN NEGATIVO","")&amp;IF(AND(ISNUMBER($M14),$M14=0)," · Utilidad cero","")&amp;IF($O14="ERROR"," · STOCK NEGATIVO","")&amp;IF($O14="AGOTADO"," · Agotado","")&amp;IF($O14="REABASTECER"," · Stock bajo","")&amp;IF(AND($H14&lt;&gt;"",COUNTIF(tblProductos[SKU],$H14)&gt;1)," · SKU DUPLICADO","")&amp;IF(AND($H14&lt;&gt;"",COUNTIF(tblCostos[SKU],$H14)=0)," · Sin fila en COSTOS","")&amp;IF($P14="PENDIENTE"," · Inventario sin valorizar",""),4,900)))</f>
        <v/>
      </c>
    </row>
    <row r="15">
      <c r="A15" s="83" t="n">
        <v>8</v>
      </c>
      <c r="B15" s="18" t="inlineStr">
        <is>
          <t>SKU duplicados en COSTOS</t>
        </is>
      </c>
      <c r="C15" s="83" t="inlineStr">
        <is>
          <t>Alta</t>
        </is>
      </c>
      <c r="D15" s="39">
        <f>SUMPRODUCT((tblCostos[SKU]&lt;&gt;"")*(COUNTIF(tblCostos[SKU],tblCostos[SKU]&amp;"")&gt;1))</f>
        <v/>
      </c>
      <c r="E15" s="84">
        <f>IF($D15=0,"OK",IF($C15="Alta","CORREGIR","REVISAR"))</f>
        <v/>
      </c>
      <c r="F15" s="85" t="inlineStr">
        <is>
          <t>COSTOS · un solo renglón por SKU</t>
        </is>
      </c>
      <c r="H15" s="51">
        <f>IFERROR(IF(INDEX(tblProductos[SKU],ROW()-7)="","",INDEX(tblProductos[SKU],ROW()-7)),"")</f>
        <v/>
      </c>
      <c r="I15" s="51">
        <f>IF($H15="","",IFERROR(IF(INDEX(tblProductos[Nombre del producto],MATCH($H15,tblProductos[SKU],0))="","",INDEX(tblProductos[Nombre del producto],MATCH($H15,tblProductos[SKU],0))),""))</f>
        <v/>
      </c>
      <c r="J15" s="51">
        <f>IF($H15="","",IFERROR(IF(INDEX(tblProductos[Estado de datos],MATCH($H15,tblProductos[SKU],0))="","",INDEX(tblProductos[Estado de datos],MATCH($H15,tblProductos[SKU],0))),""))</f>
        <v/>
      </c>
      <c r="K15" s="37">
        <f>IF($H15="","",IFERROR(IF(INDEX(tblProductos[Precio de venta actual],MATCH($H15,tblProductos[SKU],0))="","PENDIENTE",INDEX(tblProductos[Precio de venta actual],MATCH($H15,tblProductos[SKU],0))),"PENDIENTE"))</f>
        <v/>
      </c>
      <c r="L15" s="37">
        <f>IF($H15="","",IFERROR(IF(INDEX(tblProductos[COSTO REAL UNITARIO],MATCH($H15,tblProductos[SKU],0))="","PENDIENTE",INDEX(tblProductos[COSTO REAL UNITARIO],MATCH($H15,tblProductos[SKU],0))),"PENDIENTE"))</f>
        <v/>
      </c>
      <c r="M15" s="38">
        <f>IF($H15="","",IFERROR(IF(INDEX(tblProductos[Margen bruto %],MATCH($H15,tblProductos[SKU],0))="","PENDIENTE",INDEX(tblProductos[Margen bruto %],MATCH($H15,tblProductos[SKU],0))),"PENDIENTE"))</f>
        <v/>
      </c>
      <c r="N15" s="39">
        <f>IF($H15="","",IFERROR(IF(INDEX(tblInventario[Stock actual],MATCH($H15,tblInventario[SKU],0))="","",INDEX(tblInventario[Stock actual],MATCH($H15,tblInventario[SKU],0))),""))</f>
        <v/>
      </c>
      <c r="O15" s="51">
        <f>IF($H15="","",IFERROR(IF(INDEX(tblInventario[ESTADO],MATCH($H15,tblInventario[SKU],0))="","",INDEX(tblInventario[ESTADO],MATCH($H15,tblInventario[SKU],0))),""))</f>
        <v/>
      </c>
      <c r="P15" s="37">
        <f>IF($H15="","",IFERROR(IF(INDEX(tblInventario[VALOR DEL INVENTARIO],MATCH($H15,tblInventario[SKU],0))="","PENDIENTE",INDEX(tblInventario[VALOR DEL INVENTARIO],MATCH($H15,tblInventario[SKU],0))),"PENDIENTE"))</f>
        <v/>
      </c>
      <c r="Q15" s="51">
        <f>IF($H15="","",IF(IF($K15="PENDIENTE"," · Sin precio de venta","")&amp;IF($L15="PENDIENTE"," · Sin costo","")&amp;IF(AND(ISNUMBER($M15),$M15&lt;0)," · MARGEN NEGATIVO","")&amp;IF(AND(ISNUMBER($M15),$M15=0)," · Utilidad cero","")&amp;IF($O15="ERROR"," · STOCK NEGATIVO","")&amp;IF($O15="AGOTADO"," · Agotado","")&amp;IF($O15="REABASTECER"," · Stock bajo","")&amp;IF(AND($H15&lt;&gt;"",COUNTIF(tblProductos[SKU],$H15)&gt;1)," · SKU DUPLICADO","")&amp;IF(AND($H15&lt;&gt;"",COUNTIF(tblCostos[SKU],$H15)=0)," · Sin fila en COSTOS","")&amp;IF($P15="PENDIENTE"," · Inventario sin valorizar","")="","OK",MID(IF($K15="PENDIENTE"," · Sin precio de venta","")&amp;IF($L15="PENDIENTE"," · Sin costo","")&amp;IF(AND(ISNUMBER($M15),$M15&lt;0)," · MARGEN NEGATIVO","")&amp;IF(AND(ISNUMBER($M15),$M15=0)," · Utilidad cero","")&amp;IF($O15="ERROR"," · STOCK NEGATIVO","")&amp;IF($O15="AGOTADO"," · Agotado","")&amp;IF($O15="REABASTECER"," · Stock bajo","")&amp;IF(AND($H15&lt;&gt;"",COUNTIF(tblProductos[SKU],$H15)&gt;1)," · SKU DUPLICADO","")&amp;IF(AND($H15&lt;&gt;"",COUNTIF(tblCostos[SKU],$H15)=0)," · Sin fila en COSTOS","")&amp;IF($P15="PENDIENTE"," · Inventario sin valorizar",""),4,900)))</f>
        <v/>
      </c>
    </row>
    <row r="16">
      <c r="A16" s="83" t="n">
        <v>9</v>
      </c>
      <c r="B16" s="18" t="inlineStr">
        <is>
          <t>Productos con STOCK NEGATIVO (vendió más de lo que tenía)</t>
        </is>
      </c>
      <c r="C16" s="83" t="inlineStr">
        <is>
          <t>Alta</t>
        </is>
      </c>
      <c r="D16" s="39">
        <f>COUNTIF(tblInventario[ESTADO],"ERROR")</f>
        <v/>
      </c>
      <c r="E16" s="84">
        <f>IF($D16=0,"OK",IF($C16="Alta","CORREGIR","REVISAR"))</f>
        <v/>
      </c>
      <c r="F16" s="85" t="inlineStr">
        <is>
          <t>INVENTARIO · registre la compra faltante o corrija la venta</t>
        </is>
      </c>
      <c r="H16" s="51">
        <f>IFERROR(IF(INDEX(tblProductos[SKU],ROW()-7)="","",INDEX(tblProductos[SKU],ROW()-7)),"")</f>
        <v/>
      </c>
      <c r="I16" s="51">
        <f>IF($H16="","",IFERROR(IF(INDEX(tblProductos[Nombre del producto],MATCH($H16,tblProductos[SKU],0))="","",INDEX(tblProductos[Nombre del producto],MATCH($H16,tblProductos[SKU],0))),""))</f>
        <v/>
      </c>
      <c r="J16" s="51">
        <f>IF($H16="","",IFERROR(IF(INDEX(tblProductos[Estado de datos],MATCH($H16,tblProductos[SKU],0))="","",INDEX(tblProductos[Estado de datos],MATCH($H16,tblProductos[SKU],0))),""))</f>
        <v/>
      </c>
      <c r="K16" s="37">
        <f>IF($H16="","",IFERROR(IF(INDEX(tblProductos[Precio de venta actual],MATCH($H16,tblProductos[SKU],0))="","PENDIENTE",INDEX(tblProductos[Precio de venta actual],MATCH($H16,tblProductos[SKU],0))),"PENDIENTE"))</f>
        <v/>
      </c>
      <c r="L16" s="37">
        <f>IF($H16="","",IFERROR(IF(INDEX(tblProductos[COSTO REAL UNITARIO],MATCH($H16,tblProductos[SKU],0))="","PENDIENTE",INDEX(tblProductos[COSTO REAL UNITARIO],MATCH($H16,tblProductos[SKU],0))),"PENDIENTE"))</f>
        <v/>
      </c>
      <c r="M16" s="38">
        <f>IF($H16="","",IFERROR(IF(INDEX(tblProductos[Margen bruto %],MATCH($H16,tblProductos[SKU],0))="","PENDIENTE",INDEX(tblProductos[Margen bruto %],MATCH($H16,tblProductos[SKU],0))),"PENDIENTE"))</f>
        <v/>
      </c>
      <c r="N16" s="39">
        <f>IF($H16="","",IFERROR(IF(INDEX(tblInventario[Stock actual],MATCH($H16,tblInventario[SKU],0))="","",INDEX(tblInventario[Stock actual],MATCH($H16,tblInventario[SKU],0))),""))</f>
        <v/>
      </c>
      <c r="O16" s="51">
        <f>IF($H16="","",IFERROR(IF(INDEX(tblInventario[ESTADO],MATCH($H16,tblInventario[SKU],0))="","",INDEX(tblInventario[ESTADO],MATCH($H16,tblInventario[SKU],0))),""))</f>
        <v/>
      </c>
      <c r="P16" s="37">
        <f>IF($H16="","",IFERROR(IF(INDEX(tblInventario[VALOR DEL INVENTARIO],MATCH($H16,tblInventario[SKU],0))="","PENDIENTE",INDEX(tblInventario[VALOR DEL INVENTARIO],MATCH($H16,tblInventario[SKU],0))),"PENDIENTE"))</f>
        <v/>
      </c>
      <c r="Q16" s="51">
        <f>IF($H16="","",IF(IF($K16="PENDIENTE"," · Sin precio de venta","")&amp;IF($L16="PENDIENTE"," · Sin costo","")&amp;IF(AND(ISNUMBER($M16),$M16&lt;0)," · MARGEN NEGATIVO","")&amp;IF(AND(ISNUMBER($M16),$M16=0)," · Utilidad cero","")&amp;IF($O16="ERROR"," · STOCK NEGATIVO","")&amp;IF($O16="AGOTADO"," · Agotado","")&amp;IF($O16="REABASTECER"," · Stock bajo","")&amp;IF(AND($H16&lt;&gt;"",COUNTIF(tblProductos[SKU],$H16)&gt;1)," · SKU DUPLICADO","")&amp;IF(AND($H16&lt;&gt;"",COUNTIF(tblCostos[SKU],$H16)=0)," · Sin fila en COSTOS","")&amp;IF($P16="PENDIENTE"," · Inventario sin valorizar","")="","OK",MID(IF($K16="PENDIENTE"," · Sin precio de venta","")&amp;IF($L16="PENDIENTE"," · Sin costo","")&amp;IF(AND(ISNUMBER($M16),$M16&lt;0)," · MARGEN NEGATIVO","")&amp;IF(AND(ISNUMBER($M16),$M16=0)," · Utilidad cero","")&amp;IF($O16="ERROR"," · STOCK NEGATIVO","")&amp;IF($O16="AGOTADO"," · Agotado","")&amp;IF($O16="REABASTECER"," · Stock bajo","")&amp;IF(AND($H16&lt;&gt;"",COUNTIF(tblProductos[SKU],$H16)&gt;1)," · SKU DUPLICADO","")&amp;IF(AND($H16&lt;&gt;"",COUNTIF(tblCostos[SKU],$H16)=0)," · Sin fila en COSTOS","")&amp;IF($P16="PENDIENTE"," · Inventario sin valorizar",""),4,900)))</f>
        <v/>
      </c>
    </row>
    <row r="17">
      <c r="A17" s="83" t="n">
        <v>10</v>
      </c>
      <c r="B17" s="18" t="inlineStr">
        <is>
          <t>Productos AGOTADOS</t>
        </is>
      </c>
      <c r="C17" s="83" t="inlineStr">
        <is>
          <t>Media</t>
        </is>
      </c>
      <c r="D17" s="39">
        <f>COUNTIF(tblInventario[ESTADO],"AGOTADO")</f>
        <v/>
      </c>
      <c r="E17" s="84">
        <f>IF($D17=0,"OK",IF($C17="Alta","CORREGIR","REVISAR"))</f>
        <v/>
      </c>
      <c r="F17" s="85" t="inlineStr">
        <is>
          <t>INVENTARIO · reabastezca</t>
        </is>
      </c>
      <c r="H17" s="51">
        <f>IFERROR(IF(INDEX(tblProductos[SKU],ROW()-7)="","",INDEX(tblProductos[SKU],ROW()-7)),"")</f>
        <v/>
      </c>
      <c r="I17" s="51">
        <f>IF($H17="","",IFERROR(IF(INDEX(tblProductos[Nombre del producto],MATCH($H17,tblProductos[SKU],0))="","",INDEX(tblProductos[Nombre del producto],MATCH($H17,tblProductos[SKU],0))),""))</f>
        <v/>
      </c>
      <c r="J17" s="51">
        <f>IF($H17="","",IFERROR(IF(INDEX(tblProductos[Estado de datos],MATCH($H17,tblProductos[SKU],0))="","",INDEX(tblProductos[Estado de datos],MATCH($H17,tblProductos[SKU],0))),""))</f>
        <v/>
      </c>
      <c r="K17" s="37">
        <f>IF($H17="","",IFERROR(IF(INDEX(tblProductos[Precio de venta actual],MATCH($H17,tblProductos[SKU],0))="","PENDIENTE",INDEX(tblProductos[Precio de venta actual],MATCH($H17,tblProductos[SKU],0))),"PENDIENTE"))</f>
        <v/>
      </c>
      <c r="L17" s="37">
        <f>IF($H17="","",IFERROR(IF(INDEX(tblProductos[COSTO REAL UNITARIO],MATCH($H17,tblProductos[SKU],0))="","PENDIENTE",INDEX(tblProductos[COSTO REAL UNITARIO],MATCH($H17,tblProductos[SKU],0))),"PENDIENTE"))</f>
        <v/>
      </c>
      <c r="M17" s="38">
        <f>IF($H17="","",IFERROR(IF(INDEX(tblProductos[Margen bruto %],MATCH($H17,tblProductos[SKU],0))="","PENDIENTE",INDEX(tblProductos[Margen bruto %],MATCH($H17,tblProductos[SKU],0))),"PENDIENTE"))</f>
        <v/>
      </c>
      <c r="N17" s="39">
        <f>IF($H17="","",IFERROR(IF(INDEX(tblInventario[Stock actual],MATCH($H17,tblInventario[SKU],0))="","",INDEX(tblInventario[Stock actual],MATCH($H17,tblInventario[SKU],0))),""))</f>
        <v/>
      </c>
      <c r="O17" s="51">
        <f>IF($H17="","",IFERROR(IF(INDEX(tblInventario[ESTADO],MATCH($H17,tblInventario[SKU],0))="","",INDEX(tblInventario[ESTADO],MATCH($H17,tblInventario[SKU],0))),""))</f>
        <v/>
      </c>
      <c r="P17" s="37">
        <f>IF($H17="","",IFERROR(IF(INDEX(tblInventario[VALOR DEL INVENTARIO],MATCH($H17,tblInventario[SKU],0))="","PENDIENTE",INDEX(tblInventario[VALOR DEL INVENTARIO],MATCH($H17,tblInventario[SKU],0))),"PENDIENTE"))</f>
        <v/>
      </c>
      <c r="Q17" s="51">
        <f>IF($H17="","",IF(IF($K17="PENDIENTE"," · Sin precio de venta","")&amp;IF($L17="PENDIENTE"," · Sin costo","")&amp;IF(AND(ISNUMBER($M17),$M17&lt;0)," · MARGEN NEGATIVO","")&amp;IF(AND(ISNUMBER($M17),$M17=0)," · Utilidad cero","")&amp;IF($O17="ERROR"," · STOCK NEGATIVO","")&amp;IF($O17="AGOTADO"," · Agotado","")&amp;IF($O17="REABASTECER"," · Stock bajo","")&amp;IF(AND($H17&lt;&gt;"",COUNTIF(tblProductos[SKU],$H17)&gt;1)," · SKU DUPLICADO","")&amp;IF(AND($H17&lt;&gt;"",COUNTIF(tblCostos[SKU],$H17)=0)," · Sin fila en COSTOS","")&amp;IF($P17="PENDIENTE"," · Inventario sin valorizar","")="","OK",MID(IF($K17="PENDIENTE"," · Sin precio de venta","")&amp;IF($L17="PENDIENTE"," · Sin costo","")&amp;IF(AND(ISNUMBER($M17),$M17&lt;0)," · MARGEN NEGATIVO","")&amp;IF(AND(ISNUMBER($M17),$M17=0)," · Utilidad cero","")&amp;IF($O17="ERROR"," · STOCK NEGATIVO","")&amp;IF($O17="AGOTADO"," · Agotado","")&amp;IF($O17="REABASTECER"," · Stock bajo","")&amp;IF(AND($H17&lt;&gt;"",COUNTIF(tblProductos[SKU],$H17)&gt;1)," · SKU DUPLICADO","")&amp;IF(AND($H17&lt;&gt;"",COUNTIF(tblCostos[SKU],$H17)=0)," · Sin fila en COSTOS","")&amp;IF($P17="PENDIENTE"," · Inventario sin valorizar",""),4,900)))</f>
        <v/>
      </c>
    </row>
    <row r="18">
      <c r="A18" s="83" t="n">
        <v>11</v>
      </c>
      <c r="B18" s="18" t="inlineStr">
        <is>
          <t>Productos que necesitan REABASTECERSE</t>
        </is>
      </c>
      <c r="C18" s="83" t="inlineStr">
        <is>
          <t>Media</t>
        </is>
      </c>
      <c r="D18" s="39">
        <f>COUNTIF(tblInventario[ESTADO],"REABASTECER")</f>
        <v/>
      </c>
      <c r="E18" s="84">
        <f>IF($D18=0,"OK",IF($C18="Alta","CORREGIR","REVISAR"))</f>
        <v/>
      </c>
      <c r="F18" s="85" t="inlineStr">
        <is>
          <t>INVENTARIO · columna «Unidades sugeridas a comprar»</t>
        </is>
      </c>
      <c r="H18" s="51">
        <f>IFERROR(IF(INDEX(tblProductos[SKU],ROW()-7)="","",INDEX(tblProductos[SKU],ROW()-7)),"")</f>
        <v/>
      </c>
      <c r="I18" s="51">
        <f>IF($H18="","",IFERROR(IF(INDEX(tblProductos[Nombre del producto],MATCH($H18,tblProductos[SKU],0))="","",INDEX(tblProductos[Nombre del producto],MATCH($H18,tblProductos[SKU],0))),""))</f>
        <v/>
      </c>
      <c r="J18" s="51">
        <f>IF($H18="","",IFERROR(IF(INDEX(tblProductos[Estado de datos],MATCH($H18,tblProductos[SKU],0))="","",INDEX(tblProductos[Estado de datos],MATCH($H18,tblProductos[SKU],0))),""))</f>
        <v/>
      </c>
      <c r="K18" s="37">
        <f>IF($H18="","",IFERROR(IF(INDEX(tblProductos[Precio de venta actual],MATCH($H18,tblProductos[SKU],0))="","PENDIENTE",INDEX(tblProductos[Precio de venta actual],MATCH($H18,tblProductos[SKU],0))),"PENDIENTE"))</f>
        <v/>
      </c>
      <c r="L18" s="37">
        <f>IF($H18="","",IFERROR(IF(INDEX(tblProductos[COSTO REAL UNITARIO],MATCH($H18,tblProductos[SKU],0))="","PENDIENTE",INDEX(tblProductos[COSTO REAL UNITARIO],MATCH($H18,tblProductos[SKU],0))),"PENDIENTE"))</f>
        <v/>
      </c>
      <c r="M18" s="38">
        <f>IF($H18="","",IFERROR(IF(INDEX(tblProductos[Margen bruto %],MATCH($H18,tblProductos[SKU],0))="","PENDIENTE",INDEX(tblProductos[Margen bruto %],MATCH($H18,tblProductos[SKU],0))),"PENDIENTE"))</f>
        <v/>
      </c>
      <c r="N18" s="39">
        <f>IF($H18="","",IFERROR(IF(INDEX(tblInventario[Stock actual],MATCH($H18,tblInventario[SKU],0))="","",INDEX(tblInventario[Stock actual],MATCH($H18,tblInventario[SKU],0))),""))</f>
        <v/>
      </c>
      <c r="O18" s="51">
        <f>IF($H18="","",IFERROR(IF(INDEX(tblInventario[ESTADO],MATCH($H18,tblInventario[SKU],0))="","",INDEX(tblInventario[ESTADO],MATCH($H18,tblInventario[SKU],0))),""))</f>
        <v/>
      </c>
      <c r="P18" s="37">
        <f>IF($H18="","",IFERROR(IF(INDEX(tblInventario[VALOR DEL INVENTARIO],MATCH($H18,tblInventario[SKU],0))="","PENDIENTE",INDEX(tblInventario[VALOR DEL INVENTARIO],MATCH($H18,tblInventario[SKU],0))),"PENDIENTE"))</f>
        <v/>
      </c>
      <c r="Q18" s="51">
        <f>IF($H18="","",IF(IF($K18="PENDIENTE"," · Sin precio de venta","")&amp;IF($L18="PENDIENTE"," · Sin costo","")&amp;IF(AND(ISNUMBER($M18),$M18&lt;0)," · MARGEN NEGATIVO","")&amp;IF(AND(ISNUMBER($M18),$M18=0)," · Utilidad cero","")&amp;IF($O18="ERROR"," · STOCK NEGATIVO","")&amp;IF($O18="AGOTADO"," · Agotado","")&amp;IF($O18="REABASTECER"," · Stock bajo","")&amp;IF(AND($H18&lt;&gt;"",COUNTIF(tblProductos[SKU],$H18)&gt;1)," · SKU DUPLICADO","")&amp;IF(AND($H18&lt;&gt;"",COUNTIF(tblCostos[SKU],$H18)=0)," · Sin fila en COSTOS","")&amp;IF($P18="PENDIENTE"," · Inventario sin valorizar","")="","OK",MID(IF($K18="PENDIENTE"," · Sin precio de venta","")&amp;IF($L18="PENDIENTE"," · Sin costo","")&amp;IF(AND(ISNUMBER($M18),$M18&lt;0)," · MARGEN NEGATIVO","")&amp;IF(AND(ISNUMBER($M18),$M18=0)," · Utilidad cero","")&amp;IF($O18="ERROR"," · STOCK NEGATIVO","")&amp;IF($O18="AGOTADO"," · Agotado","")&amp;IF($O18="REABASTECER"," · Stock bajo","")&amp;IF(AND($H18&lt;&gt;"",COUNTIF(tblProductos[SKU],$H18)&gt;1)," · SKU DUPLICADO","")&amp;IF(AND($H18&lt;&gt;"",COUNTIF(tblCostos[SKU],$H18)=0)," · Sin fila en COSTOS","")&amp;IF($P18="PENDIENTE"," · Inventario sin valorizar",""),4,900)))</f>
        <v/>
      </c>
    </row>
    <row r="19">
      <c r="A19" s="83" t="n">
        <v>12</v>
      </c>
      <c r="B19" s="18" t="inlineStr">
        <is>
          <t>Productos en inventario sin costo para valorizar</t>
        </is>
      </c>
      <c r="C19" s="83" t="inlineStr">
        <is>
          <t>Alta</t>
        </is>
      </c>
      <c r="D19" s="39">
        <f>COUNTIF(tblInventario[Método de costo],"PENDIENTE")</f>
        <v/>
      </c>
      <c r="E19" s="84">
        <f>IF($D19=0,"OK",IF($C19="Alta","CORREGIR","REVISAR"))</f>
        <v/>
      </c>
      <c r="F19" s="85" t="inlineStr">
        <is>
          <t>COSTOS · capture el costo, o COMPRAS · registre una compra</t>
        </is>
      </c>
      <c r="H19" s="51">
        <f>IFERROR(IF(INDEX(tblProductos[SKU],ROW()-7)="","",INDEX(tblProductos[SKU],ROW()-7)),"")</f>
        <v/>
      </c>
      <c r="I19" s="51">
        <f>IF($H19="","",IFERROR(IF(INDEX(tblProductos[Nombre del producto],MATCH($H19,tblProductos[SKU],0))="","",INDEX(tblProductos[Nombre del producto],MATCH($H19,tblProductos[SKU],0))),""))</f>
        <v/>
      </c>
      <c r="J19" s="51">
        <f>IF($H19="","",IFERROR(IF(INDEX(tblProductos[Estado de datos],MATCH($H19,tblProductos[SKU],0))="","",INDEX(tblProductos[Estado de datos],MATCH($H19,tblProductos[SKU],0))),""))</f>
        <v/>
      </c>
      <c r="K19" s="37">
        <f>IF($H19="","",IFERROR(IF(INDEX(tblProductos[Precio de venta actual],MATCH($H19,tblProductos[SKU],0))="","PENDIENTE",INDEX(tblProductos[Precio de venta actual],MATCH($H19,tblProductos[SKU],0))),"PENDIENTE"))</f>
        <v/>
      </c>
      <c r="L19" s="37">
        <f>IF($H19="","",IFERROR(IF(INDEX(tblProductos[COSTO REAL UNITARIO],MATCH($H19,tblProductos[SKU],0))="","PENDIENTE",INDEX(tblProductos[COSTO REAL UNITARIO],MATCH($H19,tblProductos[SKU],0))),"PENDIENTE"))</f>
        <v/>
      </c>
      <c r="M19" s="38">
        <f>IF($H19="","",IFERROR(IF(INDEX(tblProductos[Margen bruto %],MATCH($H19,tblProductos[SKU],0))="","PENDIENTE",INDEX(tblProductos[Margen bruto %],MATCH($H19,tblProductos[SKU],0))),"PENDIENTE"))</f>
        <v/>
      </c>
      <c r="N19" s="39">
        <f>IF($H19="","",IFERROR(IF(INDEX(tblInventario[Stock actual],MATCH($H19,tblInventario[SKU],0))="","",INDEX(tblInventario[Stock actual],MATCH($H19,tblInventario[SKU],0))),""))</f>
        <v/>
      </c>
      <c r="O19" s="51">
        <f>IF($H19="","",IFERROR(IF(INDEX(tblInventario[ESTADO],MATCH($H19,tblInventario[SKU],0))="","",INDEX(tblInventario[ESTADO],MATCH($H19,tblInventario[SKU],0))),""))</f>
        <v/>
      </c>
      <c r="P19" s="37">
        <f>IF($H19="","",IFERROR(IF(INDEX(tblInventario[VALOR DEL INVENTARIO],MATCH($H19,tblInventario[SKU],0))="","PENDIENTE",INDEX(tblInventario[VALOR DEL INVENTARIO],MATCH($H19,tblInventario[SKU],0))),"PENDIENTE"))</f>
        <v/>
      </c>
      <c r="Q19" s="51">
        <f>IF($H19="","",IF(IF($K19="PENDIENTE"," · Sin precio de venta","")&amp;IF($L19="PENDIENTE"," · Sin costo","")&amp;IF(AND(ISNUMBER($M19),$M19&lt;0)," · MARGEN NEGATIVO","")&amp;IF(AND(ISNUMBER($M19),$M19=0)," · Utilidad cero","")&amp;IF($O19="ERROR"," · STOCK NEGATIVO","")&amp;IF($O19="AGOTADO"," · Agotado","")&amp;IF($O19="REABASTECER"," · Stock bajo","")&amp;IF(AND($H19&lt;&gt;"",COUNTIF(tblProductos[SKU],$H19)&gt;1)," · SKU DUPLICADO","")&amp;IF(AND($H19&lt;&gt;"",COUNTIF(tblCostos[SKU],$H19)=0)," · Sin fila en COSTOS","")&amp;IF($P19="PENDIENTE"," · Inventario sin valorizar","")="","OK",MID(IF($K19="PENDIENTE"," · Sin precio de venta","")&amp;IF($L19="PENDIENTE"," · Sin costo","")&amp;IF(AND(ISNUMBER($M19),$M19&lt;0)," · MARGEN NEGATIVO","")&amp;IF(AND(ISNUMBER($M19),$M19=0)," · Utilidad cero","")&amp;IF($O19="ERROR"," · STOCK NEGATIVO","")&amp;IF($O19="AGOTADO"," · Agotado","")&amp;IF($O19="REABASTECER"," · Stock bajo","")&amp;IF(AND($H19&lt;&gt;"",COUNTIF(tblProductos[SKU],$H19)&gt;1)," · SKU DUPLICADO","")&amp;IF(AND($H19&lt;&gt;"",COUNTIF(tblCostos[SKU],$H19)=0)," · Sin fila en COSTOS","")&amp;IF($P19="PENDIENTE"," · Inventario sin valorizar",""),4,900)))</f>
        <v/>
      </c>
    </row>
    <row r="20">
      <c r="A20" s="83" t="n">
        <v>13</v>
      </c>
      <c r="B20" s="18" t="inlineStr">
        <is>
          <t>Ventas con algún problema detectado</t>
        </is>
      </c>
      <c r="C20" s="83" t="inlineStr">
        <is>
          <t>Alta</t>
        </is>
      </c>
      <c r="D20" s="39">
        <f>SUMPRODUCT((tblVentas[ALERTA]&lt;&gt;"")*(tblVentas[ALERTA]&lt;&gt;"OK"))</f>
        <v/>
      </c>
      <c r="E20" s="84">
        <f>IF($D20=0,"OK",IF($C20="Alta","CORREGIR","REVISAR"))</f>
        <v/>
      </c>
      <c r="F20" s="85" t="inlineStr">
        <is>
          <t>VENTAS · columna ALERTA (última columna)</t>
        </is>
      </c>
      <c r="H20" s="51">
        <f>IFERROR(IF(INDEX(tblProductos[SKU],ROW()-7)="","",INDEX(tblProductos[SKU],ROW()-7)),"")</f>
        <v/>
      </c>
      <c r="I20" s="51">
        <f>IF($H20="","",IFERROR(IF(INDEX(tblProductos[Nombre del producto],MATCH($H20,tblProductos[SKU],0))="","",INDEX(tblProductos[Nombre del producto],MATCH($H20,tblProductos[SKU],0))),""))</f>
        <v/>
      </c>
      <c r="J20" s="51">
        <f>IF($H20="","",IFERROR(IF(INDEX(tblProductos[Estado de datos],MATCH($H20,tblProductos[SKU],0))="","",INDEX(tblProductos[Estado de datos],MATCH($H20,tblProductos[SKU],0))),""))</f>
        <v/>
      </c>
      <c r="K20" s="37">
        <f>IF($H20="","",IFERROR(IF(INDEX(tblProductos[Precio de venta actual],MATCH($H20,tblProductos[SKU],0))="","PENDIENTE",INDEX(tblProductos[Precio de venta actual],MATCH($H20,tblProductos[SKU],0))),"PENDIENTE"))</f>
        <v/>
      </c>
      <c r="L20" s="37">
        <f>IF($H20="","",IFERROR(IF(INDEX(tblProductos[COSTO REAL UNITARIO],MATCH($H20,tblProductos[SKU],0))="","PENDIENTE",INDEX(tblProductos[COSTO REAL UNITARIO],MATCH($H20,tblProductos[SKU],0))),"PENDIENTE"))</f>
        <v/>
      </c>
      <c r="M20" s="38">
        <f>IF($H20="","",IFERROR(IF(INDEX(tblProductos[Margen bruto %],MATCH($H20,tblProductos[SKU],0))="","PENDIENTE",INDEX(tblProductos[Margen bruto %],MATCH($H20,tblProductos[SKU],0))),"PENDIENTE"))</f>
        <v/>
      </c>
      <c r="N20" s="39">
        <f>IF($H20="","",IFERROR(IF(INDEX(tblInventario[Stock actual],MATCH($H20,tblInventario[SKU],0))="","",INDEX(tblInventario[Stock actual],MATCH($H20,tblInventario[SKU],0))),""))</f>
        <v/>
      </c>
      <c r="O20" s="51">
        <f>IF($H20="","",IFERROR(IF(INDEX(tblInventario[ESTADO],MATCH($H20,tblInventario[SKU],0))="","",INDEX(tblInventario[ESTADO],MATCH($H20,tblInventario[SKU],0))),""))</f>
        <v/>
      </c>
      <c r="P20" s="37">
        <f>IF($H20="","",IFERROR(IF(INDEX(tblInventario[VALOR DEL INVENTARIO],MATCH($H20,tblInventario[SKU],0))="","PENDIENTE",INDEX(tblInventario[VALOR DEL INVENTARIO],MATCH($H20,tblInventario[SKU],0))),"PENDIENTE"))</f>
        <v/>
      </c>
      <c r="Q20" s="51">
        <f>IF($H20="","",IF(IF($K20="PENDIENTE"," · Sin precio de venta","")&amp;IF($L20="PENDIENTE"," · Sin costo","")&amp;IF(AND(ISNUMBER($M20),$M20&lt;0)," · MARGEN NEGATIVO","")&amp;IF(AND(ISNUMBER($M20),$M20=0)," · Utilidad cero","")&amp;IF($O20="ERROR"," · STOCK NEGATIVO","")&amp;IF($O20="AGOTADO"," · Agotado","")&amp;IF($O20="REABASTECER"," · Stock bajo","")&amp;IF(AND($H20&lt;&gt;"",COUNTIF(tblProductos[SKU],$H20)&gt;1)," · SKU DUPLICADO","")&amp;IF(AND($H20&lt;&gt;"",COUNTIF(tblCostos[SKU],$H20)=0)," · Sin fila en COSTOS","")&amp;IF($P20="PENDIENTE"," · Inventario sin valorizar","")="","OK",MID(IF($K20="PENDIENTE"," · Sin precio de venta","")&amp;IF($L20="PENDIENTE"," · Sin costo","")&amp;IF(AND(ISNUMBER($M20),$M20&lt;0)," · MARGEN NEGATIVO","")&amp;IF(AND(ISNUMBER($M20),$M20=0)," · Utilidad cero","")&amp;IF($O20="ERROR"," · STOCK NEGATIVO","")&amp;IF($O20="AGOTADO"," · Agotado","")&amp;IF($O20="REABASTECER"," · Stock bajo","")&amp;IF(AND($H20&lt;&gt;"",COUNTIF(tblProductos[SKU],$H20)&gt;1)," · SKU DUPLICADO","")&amp;IF(AND($H20&lt;&gt;"",COUNTIF(tblCostos[SKU],$H20)=0)," · Sin fila en COSTOS","")&amp;IF($P20="PENDIENTE"," · Inventario sin valorizar",""),4,900)))</f>
        <v/>
      </c>
    </row>
    <row r="21">
      <c r="A21" s="83" t="n">
        <v>14</v>
      </c>
      <c r="B21" s="18" t="inlineStr">
        <is>
          <t>Ventas sin precio definido</t>
        </is>
      </c>
      <c r="C21" s="83" t="inlineStr">
        <is>
          <t>Alta</t>
        </is>
      </c>
      <c r="D21" s="39">
        <f>SUMPRODUCT(ISNUMBER(SEARCH("Falta precio",tblVentas[ALERTA]))*1)</f>
        <v/>
      </c>
      <c r="E21" s="84">
        <f>IF($D21=0,"OK",IF($C21="Alta","CORREGIR","REVISAR"))</f>
        <v/>
      </c>
      <c r="F21" s="85" t="inlineStr">
        <is>
          <t>PRODUCTOS · defina el precio de venta actual</t>
        </is>
      </c>
      <c r="H21" s="51">
        <f>IFERROR(IF(INDEX(tblProductos[SKU],ROW()-7)="","",INDEX(tblProductos[SKU],ROW()-7)),"")</f>
        <v/>
      </c>
      <c r="I21" s="51">
        <f>IF($H21="","",IFERROR(IF(INDEX(tblProductos[Nombre del producto],MATCH($H21,tblProductos[SKU],0))="","",INDEX(tblProductos[Nombre del producto],MATCH($H21,tblProductos[SKU],0))),""))</f>
        <v/>
      </c>
      <c r="J21" s="51">
        <f>IF($H21="","",IFERROR(IF(INDEX(tblProductos[Estado de datos],MATCH($H21,tblProductos[SKU],0))="","",INDEX(tblProductos[Estado de datos],MATCH($H21,tblProductos[SKU],0))),""))</f>
        <v/>
      </c>
      <c r="K21" s="37">
        <f>IF($H21="","",IFERROR(IF(INDEX(tblProductos[Precio de venta actual],MATCH($H21,tblProductos[SKU],0))="","PENDIENTE",INDEX(tblProductos[Precio de venta actual],MATCH($H21,tblProductos[SKU],0))),"PENDIENTE"))</f>
        <v/>
      </c>
      <c r="L21" s="37">
        <f>IF($H21="","",IFERROR(IF(INDEX(tblProductos[COSTO REAL UNITARIO],MATCH($H21,tblProductos[SKU],0))="","PENDIENTE",INDEX(tblProductos[COSTO REAL UNITARIO],MATCH($H21,tblProductos[SKU],0))),"PENDIENTE"))</f>
        <v/>
      </c>
      <c r="M21" s="38">
        <f>IF($H21="","",IFERROR(IF(INDEX(tblProductos[Margen bruto %],MATCH($H21,tblProductos[SKU],0))="","PENDIENTE",INDEX(tblProductos[Margen bruto %],MATCH($H21,tblProductos[SKU],0))),"PENDIENTE"))</f>
        <v/>
      </c>
      <c r="N21" s="39">
        <f>IF($H21="","",IFERROR(IF(INDEX(tblInventario[Stock actual],MATCH($H21,tblInventario[SKU],0))="","",INDEX(tblInventario[Stock actual],MATCH($H21,tblInventario[SKU],0))),""))</f>
        <v/>
      </c>
      <c r="O21" s="51">
        <f>IF($H21="","",IFERROR(IF(INDEX(tblInventario[ESTADO],MATCH($H21,tblInventario[SKU],0))="","",INDEX(tblInventario[ESTADO],MATCH($H21,tblInventario[SKU],0))),""))</f>
        <v/>
      </c>
      <c r="P21" s="37">
        <f>IF($H21="","",IFERROR(IF(INDEX(tblInventario[VALOR DEL INVENTARIO],MATCH($H21,tblInventario[SKU],0))="","PENDIENTE",INDEX(tblInventario[VALOR DEL INVENTARIO],MATCH($H21,tblInventario[SKU],0))),"PENDIENTE"))</f>
        <v/>
      </c>
      <c r="Q21" s="51">
        <f>IF($H21="","",IF(IF($K21="PENDIENTE"," · Sin precio de venta","")&amp;IF($L21="PENDIENTE"," · Sin costo","")&amp;IF(AND(ISNUMBER($M21),$M21&lt;0)," · MARGEN NEGATIVO","")&amp;IF(AND(ISNUMBER($M21),$M21=0)," · Utilidad cero","")&amp;IF($O21="ERROR"," · STOCK NEGATIVO","")&amp;IF($O21="AGOTADO"," · Agotado","")&amp;IF($O21="REABASTECER"," · Stock bajo","")&amp;IF(AND($H21&lt;&gt;"",COUNTIF(tblProductos[SKU],$H21)&gt;1)," · SKU DUPLICADO","")&amp;IF(AND($H21&lt;&gt;"",COUNTIF(tblCostos[SKU],$H21)=0)," · Sin fila en COSTOS","")&amp;IF($P21="PENDIENTE"," · Inventario sin valorizar","")="","OK",MID(IF($K21="PENDIENTE"," · Sin precio de venta","")&amp;IF($L21="PENDIENTE"," · Sin costo","")&amp;IF(AND(ISNUMBER($M21),$M21&lt;0)," · MARGEN NEGATIVO","")&amp;IF(AND(ISNUMBER($M21),$M21=0)," · Utilidad cero","")&amp;IF($O21="ERROR"," · STOCK NEGATIVO","")&amp;IF($O21="AGOTADO"," · Agotado","")&amp;IF($O21="REABASTECER"," · Stock bajo","")&amp;IF(AND($H21&lt;&gt;"",COUNTIF(tblProductos[SKU],$H21)&gt;1)," · SKU DUPLICADO","")&amp;IF(AND($H21&lt;&gt;"",COUNTIF(tblCostos[SKU],$H21)=0)," · Sin fila en COSTOS","")&amp;IF($P21="PENDIENTE"," · Inventario sin valorizar",""),4,900)))</f>
        <v/>
      </c>
    </row>
    <row r="22">
      <c r="A22" s="83" t="n">
        <v>15</v>
      </c>
      <c r="B22" s="18" t="inlineStr">
        <is>
          <t>Ventas sin costo del producto</t>
        </is>
      </c>
      <c r="C22" s="83" t="inlineStr">
        <is>
          <t>Alta</t>
        </is>
      </c>
      <c r="D22" s="39">
        <f>SUMPRODUCT(ISNUMBER(SEARCH("Falta costo",tblVentas[ALERTA]))*1)</f>
        <v/>
      </c>
      <c r="E22" s="84">
        <f>IF($D22=0,"OK",IF($C22="Alta","CORREGIR","REVISAR"))</f>
        <v/>
      </c>
      <c r="F22" s="85" t="inlineStr">
        <is>
          <t>COSTOS · capture el costo del SKU vendido</t>
        </is>
      </c>
      <c r="H22" s="51">
        <f>IFERROR(IF(INDEX(tblProductos[SKU],ROW()-7)="","",INDEX(tblProductos[SKU],ROW()-7)),"")</f>
        <v/>
      </c>
      <c r="I22" s="51">
        <f>IF($H22="","",IFERROR(IF(INDEX(tblProductos[Nombre del producto],MATCH($H22,tblProductos[SKU],0))="","",INDEX(tblProductos[Nombre del producto],MATCH($H22,tblProductos[SKU],0))),""))</f>
        <v/>
      </c>
      <c r="J22" s="51">
        <f>IF($H22="","",IFERROR(IF(INDEX(tblProductos[Estado de datos],MATCH($H22,tblProductos[SKU],0))="","",INDEX(tblProductos[Estado de datos],MATCH($H22,tblProductos[SKU],0))),""))</f>
        <v/>
      </c>
      <c r="K22" s="37">
        <f>IF($H22="","",IFERROR(IF(INDEX(tblProductos[Precio de venta actual],MATCH($H22,tblProductos[SKU],0))="","PENDIENTE",INDEX(tblProductos[Precio de venta actual],MATCH($H22,tblProductos[SKU],0))),"PENDIENTE"))</f>
        <v/>
      </c>
      <c r="L22" s="37">
        <f>IF($H22="","",IFERROR(IF(INDEX(tblProductos[COSTO REAL UNITARIO],MATCH($H22,tblProductos[SKU],0))="","PENDIENTE",INDEX(tblProductos[COSTO REAL UNITARIO],MATCH($H22,tblProductos[SKU],0))),"PENDIENTE"))</f>
        <v/>
      </c>
      <c r="M22" s="38">
        <f>IF($H22="","",IFERROR(IF(INDEX(tblProductos[Margen bruto %],MATCH($H22,tblProductos[SKU],0))="","PENDIENTE",INDEX(tblProductos[Margen bruto %],MATCH($H22,tblProductos[SKU],0))),"PENDIENTE"))</f>
        <v/>
      </c>
      <c r="N22" s="39">
        <f>IF($H22="","",IFERROR(IF(INDEX(tblInventario[Stock actual],MATCH($H22,tblInventario[SKU],0))="","",INDEX(tblInventario[Stock actual],MATCH($H22,tblInventario[SKU],0))),""))</f>
        <v/>
      </c>
      <c r="O22" s="51">
        <f>IF($H22="","",IFERROR(IF(INDEX(tblInventario[ESTADO],MATCH($H22,tblInventario[SKU],0))="","",INDEX(tblInventario[ESTADO],MATCH($H22,tblInventario[SKU],0))),""))</f>
        <v/>
      </c>
      <c r="P22" s="37">
        <f>IF($H22="","",IFERROR(IF(INDEX(tblInventario[VALOR DEL INVENTARIO],MATCH($H22,tblInventario[SKU],0))="","PENDIENTE",INDEX(tblInventario[VALOR DEL INVENTARIO],MATCH($H22,tblInventario[SKU],0))),"PENDIENTE"))</f>
        <v/>
      </c>
      <c r="Q22" s="51">
        <f>IF($H22="","",IF(IF($K22="PENDIENTE"," · Sin precio de venta","")&amp;IF($L22="PENDIENTE"," · Sin costo","")&amp;IF(AND(ISNUMBER($M22),$M22&lt;0)," · MARGEN NEGATIVO","")&amp;IF(AND(ISNUMBER($M22),$M22=0)," · Utilidad cero","")&amp;IF($O22="ERROR"," · STOCK NEGATIVO","")&amp;IF($O22="AGOTADO"," · Agotado","")&amp;IF($O22="REABASTECER"," · Stock bajo","")&amp;IF(AND($H22&lt;&gt;"",COUNTIF(tblProductos[SKU],$H22)&gt;1)," · SKU DUPLICADO","")&amp;IF(AND($H22&lt;&gt;"",COUNTIF(tblCostos[SKU],$H22)=0)," · Sin fila en COSTOS","")&amp;IF($P22="PENDIENTE"," · Inventario sin valorizar","")="","OK",MID(IF($K22="PENDIENTE"," · Sin precio de venta","")&amp;IF($L22="PENDIENTE"," · Sin costo","")&amp;IF(AND(ISNUMBER($M22),$M22&lt;0)," · MARGEN NEGATIVO","")&amp;IF(AND(ISNUMBER($M22),$M22=0)," · Utilidad cero","")&amp;IF($O22="ERROR"," · STOCK NEGATIVO","")&amp;IF($O22="AGOTADO"," · Agotado","")&amp;IF($O22="REABASTECER"," · Stock bajo","")&amp;IF(AND($H22&lt;&gt;"",COUNTIF(tblProductos[SKU],$H22)&gt;1)," · SKU DUPLICADO","")&amp;IF(AND($H22&lt;&gt;"",COUNTIF(tblCostos[SKU],$H22)=0)," · Sin fila en COSTOS","")&amp;IF($P22="PENDIENTE"," · Inventario sin valorizar",""),4,900)))</f>
        <v/>
      </c>
    </row>
    <row r="23">
      <c r="A23" s="83" t="n">
        <v>16</v>
      </c>
      <c r="B23" s="18" t="inlineStr">
        <is>
          <t>Ventas con UTILIDAD NEGATIVA</t>
        </is>
      </c>
      <c r="C23" s="83" t="inlineStr">
        <is>
          <t>Alta</t>
        </is>
      </c>
      <c r="D23" s="39">
        <f>SUMPRODUCT(ISNUMBER(SEARCH("UTILIDAD NEGATIVA",tblVentas[ALERTA]))*1)</f>
        <v/>
      </c>
      <c r="E23" s="84">
        <f>IF($D23=0,"OK",IF($C23="Alta","CORREGIR","REVISAR"))</f>
        <v/>
      </c>
      <c r="F23" s="85" t="inlineStr">
        <is>
          <t>VENTAS · revise precio, descuento y costo</t>
        </is>
      </c>
      <c r="H23" s="51">
        <f>IFERROR(IF(INDEX(tblProductos[SKU],ROW()-7)="","",INDEX(tblProductos[SKU],ROW()-7)),"")</f>
        <v/>
      </c>
      <c r="I23" s="51">
        <f>IF($H23="","",IFERROR(IF(INDEX(tblProductos[Nombre del producto],MATCH($H23,tblProductos[SKU],0))="","",INDEX(tblProductos[Nombre del producto],MATCH($H23,tblProductos[SKU],0))),""))</f>
        <v/>
      </c>
      <c r="J23" s="51">
        <f>IF($H23="","",IFERROR(IF(INDEX(tblProductos[Estado de datos],MATCH($H23,tblProductos[SKU],0))="","",INDEX(tblProductos[Estado de datos],MATCH($H23,tblProductos[SKU],0))),""))</f>
        <v/>
      </c>
      <c r="K23" s="37">
        <f>IF($H23="","",IFERROR(IF(INDEX(tblProductos[Precio de venta actual],MATCH($H23,tblProductos[SKU],0))="","PENDIENTE",INDEX(tblProductos[Precio de venta actual],MATCH($H23,tblProductos[SKU],0))),"PENDIENTE"))</f>
        <v/>
      </c>
      <c r="L23" s="37">
        <f>IF($H23="","",IFERROR(IF(INDEX(tblProductos[COSTO REAL UNITARIO],MATCH($H23,tblProductos[SKU],0))="","PENDIENTE",INDEX(tblProductos[COSTO REAL UNITARIO],MATCH($H23,tblProductos[SKU],0))),"PENDIENTE"))</f>
        <v/>
      </c>
      <c r="M23" s="38">
        <f>IF($H23="","",IFERROR(IF(INDEX(tblProductos[Margen bruto %],MATCH($H23,tblProductos[SKU],0))="","PENDIENTE",INDEX(tblProductos[Margen bruto %],MATCH($H23,tblProductos[SKU],0))),"PENDIENTE"))</f>
        <v/>
      </c>
      <c r="N23" s="39">
        <f>IF($H23="","",IFERROR(IF(INDEX(tblInventario[Stock actual],MATCH($H23,tblInventario[SKU],0))="","",INDEX(tblInventario[Stock actual],MATCH($H23,tblInventario[SKU],0))),""))</f>
        <v/>
      </c>
      <c r="O23" s="51">
        <f>IF($H23="","",IFERROR(IF(INDEX(tblInventario[ESTADO],MATCH($H23,tblInventario[SKU],0))="","",INDEX(tblInventario[ESTADO],MATCH($H23,tblInventario[SKU],0))),""))</f>
        <v/>
      </c>
      <c r="P23" s="37">
        <f>IF($H23="","",IFERROR(IF(INDEX(tblInventario[VALOR DEL INVENTARIO],MATCH($H23,tblInventario[SKU],0))="","PENDIENTE",INDEX(tblInventario[VALOR DEL INVENTARIO],MATCH($H23,tblInventario[SKU],0))),"PENDIENTE"))</f>
        <v/>
      </c>
      <c r="Q23" s="51">
        <f>IF($H23="","",IF(IF($K23="PENDIENTE"," · Sin precio de venta","")&amp;IF($L23="PENDIENTE"," · Sin costo","")&amp;IF(AND(ISNUMBER($M23),$M23&lt;0)," · MARGEN NEGATIVO","")&amp;IF(AND(ISNUMBER($M23),$M23=0)," · Utilidad cero","")&amp;IF($O23="ERROR"," · STOCK NEGATIVO","")&amp;IF($O23="AGOTADO"," · Agotado","")&amp;IF($O23="REABASTECER"," · Stock bajo","")&amp;IF(AND($H23&lt;&gt;"",COUNTIF(tblProductos[SKU],$H23)&gt;1)," · SKU DUPLICADO","")&amp;IF(AND($H23&lt;&gt;"",COUNTIF(tblCostos[SKU],$H23)=0)," · Sin fila en COSTOS","")&amp;IF($P23="PENDIENTE"," · Inventario sin valorizar","")="","OK",MID(IF($K23="PENDIENTE"," · Sin precio de venta","")&amp;IF($L23="PENDIENTE"," · Sin costo","")&amp;IF(AND(ISNUMBER($M23),$M23&lt;0)," · MARGEN NEGATIVO","")&amp;IF(AND(ISNUMBER($M23),$M23=0)," · Utilidad cero","")&amp;IF($O23="ERROR"," · STOCK NEGATIVO","")&amp;IF($O23="AGOTADO"," · Agotado","")&amp;IF($O23="REABASTECER"," · Stock bajo","")&amp;IF(AND($H23&lt;&gt;"",COUNTIF(tblProductos[SKU],$H23)&gt;1)," · SKU DUPLICADO","")&amp;IF(AND($H23&lt;&gt;"",COUNTIF(tblCostos[SKU],$H23)=0)," · Sin fila en COSTOS","")&amp;IF($P23="PENDIENTE"," · Inventario sin valorizar",""),4,900)))</f>
        <v/>
      </c>
    </row>
    <row r="24">
      <c r="A24" s="83" t="n">
        <v>17</v>
      </c>
      <c r="B24" s="18" t="inlineStr">
        <is>
          <t>Ventas sin cliente</t>
        </is>
      </c>
      <c r="C24" s="83" t="inlineStr">
        <is>
          <t>Media</t>
        </is>
      </c>
      <c r="D24" s="39">
        <f>SUMPRODUCT(ISNUMBER(SEARCH("Falta cliente",tblVentas[ALERTA]))*1)</f>
        <v/>
      </c>
      <c r="E24" s="84">
        <f>IF($D24=0,"OK",IF($C24="Alta","CORREGIR","REVISAR"))</f>
        <v/>
      </c>
      <c r="F24" s="85" t="inlineStr">
        <is>
          <t>VENTAS · columna «Cliente»</t>
        </is>
      </c>
      <c r="H24" s="51">
        <f>IFERROR(IF(INDEX(tblProductos[SKU],ROW()-7)="","",INDEX(tblProductos[SKU],ROW()-7)),"")</f>
        <v/>
      </c>
      <c r="I24" s="51">
        <f>IF($H24="","",IFERROR(IF(INDEX(tblProductos[Nombre del producto],MATCH($H24,tblProductos[SKU],0))="","",INDEX(tblProductos[Nombre del producto],MATCH($H24,tblProductos[SKU],0))),""))</f>
        <v/>
      </c>
      <c r="J24" s="51">
        <f>IF($H24="","",IFERROR(IF(INDEX(tblProductos[Estado de datos],MATCH($H24,tblProductos[SKU],0))="","",INDEX(tblProductos[Estado de datos],MATCH($H24,tblProductos[SKU],0))),""))</f>
        <v/>
      </c>
      <c r="K24" s="37">
        <f>IF($H24="","",IFERROR(IF(INDEX(tblProductos[Precio de venta actual],MATCH($H24,tblProductos[SKU],0))="","PENDIENTE",INDEX(tblProductos[Precio de venta actual],MATCH($H24,tblProductos[SKU],0))),"PENDIENTE"))</f>
        <v/>
      </c>
      <c r="L24" s="37">
        <f>IF($H24="","",IFERROR(IF(INDEX(tblProductos[COSTO REAL UNITARIO],MATCH($H24,tblProductos[SKU],0))="","PENDIENTE",INDEX(tblProductos[COSTO REAL UNITARIO],MATCH($H24,tblProductos[SKU],0))),"PENDIENTE"))</f>
        <v/>
      </c>
      <c r="M24" s="38">
        <f>IF($H24="","",IFERROR(IF(INDEX(tblProductos[Margen bruto %],MATCH($H24,tblProductos[SKU],0))="","PENDIENTE",INDEX(tblProductos[Margen bruto %],MATCH($H24,tblProductos[SKU],0))),"PENDIENTE"))</f>
        <v/>
      </c>
      <c r="N24" s="39">
        <f>IF($H24="","",IFERROR(IF(INDEX(tblInventario[Stock actual],MATCH($H24,tblInventario[SKU],0))="","",INDEX(tblInventario[Stock actual],MATCH($H24,tblInventario[SKU],0))),""))</f>
        <v/>
      </c>
      <c r="O24" s="51">
        <f>IF($H24="","",IFERROR(IF(INDEX(tblInventario[ESTADO],MATCH($H24,tblInventario[SKU],0))="","",INDEX(tblInventario[ESTADO],MATCH($H24,tblInventario[SKU],0))),""))</f>
        <v/>
      </c>
      <c r="P24" s="37">
        <f>IF($H24="","",IFERROR(IF(INDEX(tblInventario[VALOR DEL INVENTARIO],MATCH($H24,tblInventario[SKU],0))="","PENDIENTE",INDEX(tblInventario[VALOR DEL INVENTARIO],MATCH($H24,tblInventario[SKU],0))),"PENDIENTE"))</f>
        <v/>
      </c>
      <c r="Q24" s="51">
        <f>IF($H24="","",IF(IF($K24="PENDIENTE"," · Sin precio de venta","")&amp;IF($L24="PENDIENTE"," · Sin costo","")&amp;IF(AND(ISNUMBER($M24),$M24&lt;0)," · MARGEN NEGATIVO","")&amp;IF(AND(ISNUMBER($M24),$M24=0)," · Utilidad cero","")&amp;IF($O24="ERROR"," · STOCK NEGATIVO","")&amp;IF($O24="AGOTADO"," · Agotado","")&amp;IF($O24="REABASTECER"," · Stock bajo","")&amp;IF(AND($H24&lt;&gt;"",COUNTIF(tblProductos[SKU],$H24)&gt;1)," · SKU DUPLICADO","")&amp;IF(AND($H24&lt;&gt;"",COUNTIF(tblCostos[SKU],$H24)=0)," · Sin fila en COSTOS","")&amp;IF($P24="PENDIENTE"," · Inventario sin valorizar","")="","OK",MID(IF($K24="PENDIENTE"," · Sin precio de venta","")&amp;IF($L24="PENDIENTE"," · Sin costo","")&amp;IF(AND(ISNUMBER($M24),$M24&lt;0)," · MARGEN NEGATIVO","")&amp;IF(AND(ISNUMBER($M24),$M24=0)," · Utilidad cero","")&amp;IF($O24="ERROR"," · STOCK NEGATIVO","")&amp;IF($O24="AGOTADO"," · Agotado","")&amp;IF($O24="REABASTECER"," · Stock bajo","")&amp;IF(AND($H24&lt;&gt;"",COUNTIF(tblProductos[SKU],$H24)&gt;1)," · SKU DUPLICADO","")&amp;IF(AND($H24&lt;&gt;"",COUNTIF(tblCostos[SKU],$H24)=0)," · Sin fila en COSTOS","")&amp;IF($P24="PENDIENTE"," · Inventario sin valorizar",""),4,900)))</f>
        <v/>
      </c>
    </row>
    <row r="25">
      <c r="A25" s="83" t="n">
        <v>18</v>
      </c>
      <c r="B25" s="18" t="inlineStr">
        <is>
          <t>Ventas sin canal</t>
        </is>
      </c>
      <c r="C25" s="83" t="inlineStr">
        <is>
          <t>Baja</t>
        </is>
      </c>
      <c r="D25" s="39">
        <f>SUMPRODUCT(ISNUMBER(SEARCH("Falta canal",tblVentas[ALERTA]))*1)</f>
        <v/>
      </c>
      <c r="E25" s="84">
        <f>IF($D25=0,"OK",IF($C25="Alta","CORREGIR","REVISAR"))</f>
        <v/>
      </c>
      <c r="F25" s="85" t="inlineStr">
        <is>
          <t>VENTAS · columna «Canal»</t>
        </is>
      </c>
      <c r="H25" s="51">
        <f>IFERROR(IF(INDEX(tblProductos[SKU],ROW()-7)="","",INDEX(tblProductos[SKU],ROW()-7)),"")</f>
        <v/>
      </c>
      <c r="I25" s="51">
        <f>IF($H25="","",IFERROR(IF(INDEX(tblProductos[Nombre del producto],MATCH($H25,tblProductos[SKU],0))="","",INDEX(tblProductos[Nombre del producto],MATCH($H25,tblProductos[SKU],0))),""))</f>
        <v/>
      </c>
      <c r="J25" s="51">
        <f>IF($H25="","",IFERROR(IF(INDEX(tblProductos[Estado de datos],MATCH($H25,tblProductos[SKU],0))="","",INDEX(tblProductos[Estado de datos],MATCH($H25,tblProductos[SKU],0))),""))</f>
        <v/>
      </c>
      <c r="K25" s="37">
        <f>IF($H25="","",IFERROR(IF(INDEX(tblProductos[Precio de venta actual],MATCH($H25,tblProductos[SKU],0))="","PENDIENTE",INDEX(tblProductos[Precio de venta actual],MATCH($H25,tblProductos[SKU],0))),"PENDIENTE"))</f>
        <v/>
      </c>
      <c r="L25" s="37">
        <f>IF($H25="","",IFERROR(IF(INDEX(tblProductos[COSTO REAL UNITARIO],MATCH($H25,tblProductos[SKU],0))="","PENDIENTE",INDEX(tblProductos[COSTO REAL UNITARIO],MATCH($H25,tblProductos[SKU],0))),"PENDIENTE"))</f>
        <v/>
      </c>
      <c r="M25" s="38">
        <f>IF($H25="","",IFERROR(IF(INDEX(tblProductos[Margen bruto %],MATCH($H25,tblProductos[SKU],0))="","PENDIENTE",INDEX(tblProductos[Margen bruto %],MATCH($H25,tblProductos[SKU],0))),"PENDIENTE"))</f>
        <v/>
      </c>
      <c r="N25" s="39">
        <f>IF($H25="","",IFERROR(IF(INDEX(tblInventario[Stock actual],MATCH($H25,tblInventario[SKU],0))="","",INDEX(tblInventario[Stock actual],MATCH($H25,tblInventario[SKU],0))),""))</f>
        <v/>
      </c>
      <c r="O25" s="51">
        <f>IF($H25="","",IFERROR(IF(INDEX(tblInventario[ESTADO],MATCH($H25,tblInventario[SKU],0))="","",INDEX(tblInventario[ESTADO],MATCH($H25,tblInventario[SKU],0))),""))</f>
        <v/>
      </c>
      <c r="P25" s="37">
        <f>IF($H25="","",IFERROR(IF(INDEX(tblInventario[VALOR DEL INVENTARIO],MATCH($H25,tblInventario[SKU],0))="","PENDIENTE",INDEX(tblInventario[VALOR DEL INVENTARIO],MATCH($H25,tblInventario[SKU],0))),"PENDIENTE"))</f>
        <v/>
      </c>
      <c r="Q25" s="51">
        <f>IF($H25="","",IF(IF($K25="PENDIENTE"," · Sin precio de venta","")&amp;IF($L25="PENDIENTE"," · Sin costo","")&amp;IF(AND(ISNUMBER($M25),$M25&lt;0)," · MARGEN NEGATIVO","")&amp;IF(AND(ISNUMBER($M25),$M25=0)," · Utilidad cero","")&amp;IF($O25="ERROR"," · STOCK NEGATIVO","")&amp;IF($O25="AGOTADO"," · Agotado","")&amp;IF($O25="REABASTECER"," · Stock bajo","")&amp;IF(AND($H25&lt;&gt;"",COUNTIF(tblProductos[SKU],$H25)&gt;1)," · SKU DUPLICADO","")&amp;IF(AND($H25&lt;&gt;"",COUNTIF(tblCostos[SKU],$H25)=0)," · Sin fila en COSTOS","")&amp;IF($P25="PENDIENTE"," · Inventario sin valorizar","")="","OK",MID(IF($K25="PENDIENTE"," · Sin precio de venta","")&amp;IF($L25="PENDIENTE"," · Sin costo","")&amp;IF(AND(ISNUMBER($M25),$M25&lt;0)," · MARGEN NEGATIVO","")&amp;IF(AND(ISNUMBER($M25),$M25=0)," · Utilidad cero","")&amp;IF($O25="ERROR"," · STOCK NEGATIVO","")&amp;IF($O25="AGOTADO"," · Agotado","")&amp;IF($O25="REABASTECER"," · Stock bajo","")&amp;IF(AND($H25&lt;&gt;"",COUNTIF(tblProductos[SKU],$H25)&gt;1)," · SKU DUPLICADO","")&amp;IF(AND($H25&lt;&gt;"",COUNTIF(tblCostos[SKU],$H25)=0)," · Sin fila en COSTOS","")&amp;IF($P25="PENDIENTE"," · Inventario sin valorizar",""),4,900)))</f>
        <v/>
      </c>
    </row>
    <row r="26">
      <c r="A26" s="83" t="n">
        <v>19</v>
      </c>
      <c r="B26" s="18" t="inlineStr">
        <is>
          <t>Ventas de un SKU que no existe en PRODUCTOS</t>
        </is>
      </c>
      <c r="C26" s="83" t="inlineStr">
        <is>
          <t>Alta</t>
        </is>
      </c>
      <c r="D26" s="39">
        <f>SUMPRODUCT(ISNUMBER(SEARCH("SKU no existe",tblVentas[ALERTA]))*1)</f>
        <v/>
      </c>
      <c r="E26" s="84">
        <f>IF($D26=0,"OK",IF($C26="Alta","CORREGIR","REVISAR"))</f>
        <v/>
      </c>
      <c r="F26" s="85" t="inlineStr">
        <is>
          <t>VENTAS · seleccione un SKU válido</t>
        </is>
      </c>
      <c r="H26" s="51">
        <f>IFERROR(IF(INDEX(tblProductos[SKU],ROW()-7)="","",INDEX(tblProductos[SKU],ROW()-7)),"")</f>
        <v/>
      </c>
      <c r="I26" s="51">
        <f>IF($H26="","",IFERROR(IF(INDEX(tblProductos[Nombre del producto],MATCH($H26,tblProductos[SKU],0))="","",INDEX(tblProductos[Nombre del producto],MATCH($H26,tblProductos[SKU],0))),""))</f>
        <v/>
      </c>
      <c r="J26" s="51">
        <f>IF($H26="","",IFERROR(IF(INDEX(tblProductos[Estado de datos],MATCH($H26,tblProductos[SKU],0))="","",INDEX(tblProductos[Estado de datos],MATCH($H26,tblProductos[SKU],0))),""))</f>
        <v/>
      </c>
      <c r="K26" s="37">
        <f>IF($H26="","",IFERROR(IF(INDEX(tblProductos[Precio de venta actual],MATCH($H26,tblProductos[SKU],0))="","PENDIENTE",INDEX(tblProductos[Precio de venta actual],MATCH($H26,tblProductos[SKU],0))),"PENDIENTE"))</f>
        <v/>
      </c>
      <c r="L26" s="37">
        <f>IF($H26="","",IFERROR(IF(INDEX(tblProductos[COSTO REAL UNITARIO],MATCH($H26,tblProductos[SKU],0))="","PENDIENTE",INDEX(tblProductos[COSTO REAL UNITARIO],MATCH($H26,tblProductos[SKU],0))),"PENDIENTE"))</f>
        <v/>
      </c>
      <c r="M26" s="38">
        <f>IF($H26="","",IFERROR(IF(INDEX(tblProductos[Margen bruto %],MATCH($H26,tblProductos[SKU],0))="","PENDIENTE",INDEX(tblProductos[Margen bruto %],MATCH($H26,tblProductos[SKU],0))),"PENDIENTE"))</f>
        <v/>
      </c>
      <c r="N26" s="39">
        <f>IF($H26="","",IFERROR(IF(INDEX(tblInventario[Stock actual],MATCH($H26,tblInventario[SKU],0))="","",INDEX(tblInventario[Stock actual],MATCH($H26,tblInventario[SKU],0))),""))</f>
        <v/>
      </c>
      <c r="O26" s="51">
        <f>IF($H26="","",IFERROR(IF(INDEX(tblInventario[ESTADO],MATCH($H26,tblInventario[SKU],0))="","",INDEX(tblInventario[ESTADO],MATCH($H26,tblInventario[SKU],0))),""))</f>
        <v/>
      </c>
      <c r="P26" s="37">
        <f>IF($H26="","",IFERROR(IF(INDEX(tblInventario[VALOR DEL INVENTARIO],MATCH($H26,tblInventario[SKU],0))="","PENDIENTE",INDEX(tblInventario[VALOR DEL INVENTARIO],MATCH($H26,tblInventario[SKU],0))),"PENDIENTE"))</f>
        <v/>
      </c>
      <c r="Q26" s="51">
        <f>IF($H26="","",IF(IF($K26="PENDIENTE"," · Sin precio de venta","")&amp;IF($L26="PENDIENTE"," · Sin costo","")&amp;IF(AND(ISNUMBER($M26),$M26&lt;0)," · MARGEN NEGATIVO","")&amp;IF(AND(ISNUMBER($M26),$M26=0)," · Utilidad cero","")&amp;IF($O26="ERROR"," · STOCK NEGATIVO","")&amp;IF($O26="AGOTADO"," · Agotado","")&amp;IF($O26="REABASTECER"," · Stock bajo","")&amp;IF(AND($H26&lt;&gt;"",COUNTIF(tblProductos[SKU],$H26)&gt;1)," · SKU DUPLICADO","")&amp;IF(AND($H26&lt;&gt;"",COUNTIF(tblCostos[SKU],$H26)=0)," · Sin fila en COSTOS","")&amp;IF($P26="PENDIENTE"," · Inventario sin valorizar","")="","OK",MID(IF($K26="PENDIENTE"," · Sin precio de venta","")&amp;IF($L26="PENDIENTE"," · Sin costo","")&amp;IF(AND(ISNUMBER($M26),$M26&lt;0)," · MARGEN NEGATIVO","")&amp;IF(AND(ISNUMBER($M26),$M26=0)," · Utilidad cero","")&amp;IF($O26="ERROR"," · STOCK NEGATIVO","")&amp;IF($O26="AGOTADO"," · Agotado","")&amp;IF($O26="REABASTECER"," · Stock bajo","")&amp;IF(AND($H26&lt;&gt;"",COUNTIF(tblProductos[SKU],$H26)&gt;1)," · SKU DUPLICADO","")&amp;IF(AND($H26&lt;&gt;"",COUNTIF(tblCostos[SKU],$H26)=0)," · Sin fila en COSTOS","")&amp;IF($P26="PENDIENTE"," · Inventario sin valorizar",""),4,900)))</f>
        <v/>
      </c>
    </row>
    <row r="27">
      <c r="A27" s="83" t="n">
        <v>20</v>
      </c>
      <c r="B27" s="18" t="inlineStr">
        <is>
          <t>Compras con algún problema detectado</t>
        </is>
      </c>
      <c r="C27" s="83" t="inlineStr">
        <is>
          <t>Alta</t>
        </is>
      </c>
      <c r="D27" s="39">
        <f>SUMPRODUCT((tblCompras[ALERTA]&lt;&gt;"")*(tblCompras[ALERTA]&lt;&gt;"OK"))</f>
        <v/>
      </c>
      <c r="E27" s="84">
        <f>IF($D27=0,"OK",IF($C27="Alta","CORREGIR","REVISAR"))</f>
        <v/>
      </c>
      <c r="F27" s="85" t="inlineStr">
        <is>
          <t>COMPRAS · columna ALERTA</t>
        </is>
      </c>
      <c r="H27" s="51">
        <f>IFERROR(IF(INDEX(tblProductos[SKU],ROW()-7)="","",INDEX(tblProductos[SKU],ROW()-7)),"")</f>
        <v/>
      </c>
      <c r="I27" s="51">
        <f>IF($H27="","",IFERROR(IF(INDEX(tblProductos[Nombre del producto],MATCH($H27,tblProductos[SKU],0))="","",INDEX(tblProductos[Nombre del producto],MATCH($H27,tblProductos[SKU],0))),""))</f>
        <v/>
      </c>
      <c r="J27" s="51">
        <f>IF($H27="","",IFERROR(IF(INDEX(tblProductos[Estado de datos],MATCH($H27,tblProductos[SKU],0))="","",INDEX(tblProductos[Estado de datos],MATCH($H27,tblProductos[SKU],0))),""))</f>
        <v/>
      </c>
      <c r="K27" s="37">
        <f>IF($H27="","",IFERROR(IF(INDEX(tblProductos[Precio de venta actual],MATCH($H27,tblProductos[SKU],0))="","PENDIENTE",INDEX(tblProductos[Precio de venta actual],MATCH($H27,tblProductos[SKU],0))),"PENDIENTE"))</f>
        <v/>
      </c>
      <c r="L27" s="37">
        <f>IF($H27="","",IFERROR(IF(INDEX(tblProductos[COSTO REAL UNITARIO],MATCH($H27,tblProductos[SKU],0))="","PENDIENTE",INDEX(tblProductos[COSTO REAL UNITARIO],MATCH($H27,tblProductos[SKU],0))),"PENDIENTE"))</f>
        <v/>
      </c>
      <c r="M27" s="38">
        <f>IF($H27="","",IFERROR(IF(INDEX(tblProductos[Margen bruto %],MATCH($H27,tblProductos[SKU],0))="","PENDIENTE",INDEX(tblProductos[Margen bruto %],MATCH($H27,tblProductos[SKU],0))),"PENDIENTE"))</f>
        <v/>
      </c>
      <c r="N27" s="39">
        <f>IF($H27="","",IFERROR(IF(INDEX(tblInventario[Stock actual],MATCH($H27,tblInventario[SKU],0))="","",INDEX(tblInventario[Stock actual],MATCH($H27,tblInventario[SKU],0))),""))</f>
        <v/>
      </c>
      <c r="O27" s="51">
        <f>IF($H27="","",IFERROR(IF(INDEX(tblInventario[ESTADO],MATCH($H27,tblInventario[SKU],0))="","",INDEX(tblInventario[ESTADO],MATCH($H27,tblInventario[SKU],0))),""))</f>
        <v/>
      </c>
      <c r="P27" s="37">
        <f>IF($H27="","",IFERROR(IF(INDEX(tblInventario[VALOR DEL INVENTARIO],MATCH($H27,tblInventario[SKU],0))="","PENDIENTE",INDEX(tblInventario[VALOR DEL INVENTARIO],MATCH($H27,tblInventario[SKU],0))),"PENDIENTE"))</f>
        <v/>
      </c>
      <c r="Q27" s="51">
        <f>IF($H27="","",IF(IF($K27="PENDIENTE"," · Sin precio de venta","")&amp;IF($L27="PENDIENTE"," · Sin costo","")&amp;IF(AND(ISNUMBER($M27),$M27&lt;0)," · MARGEN NEGATIVO","")&amp;IF(AND(ISNUMBER($M27),$M27=0)," · Utilidad cero","")&amp;IF($O27="ERROR"," · STOCK NEGATIVO","")&amp;IF($O27="AGOTADO"," · Agotado","")&amp;IF($O27="REABASTECER"," · Stock bajo","")&amp;IF(AND($H27&lt;&gt;"",COUNTIF(tblProductos[SKU],$H27)&gt;1)," · SKU DUPLICADO","")&amp;IF(AND($H27&lt;&gt;"",COUNTIF(tblCostos[SKU],$H27)=0)," · Sin fila en COSTOS","")&amp;IF($P27="PENDIENTE"," · Inventario sin valorizar","")="","OK",MID(IF($K27="PENDIENTE"," · Sin precio de venta","")&amp;IF($L27="PENDIENTE"," · Sin costo","")&amp;IF(AND(ISNUMBER($M27),$M27&lt;0)," · MARGEN NEGATIVO","")&amp;IF(AND(ISNUMBER($M27),$M27=0)," · Utilidad cero","")&amp;IF($O27="ERROR"," · STOCK NEGATIVO","")&amp;IF($O27="AGOTADO"," · Agotado","")&amp;IF($O27="REABASTECER"," · Stock bajo","")&amp;IF(AND($H27&lt;&gt;"",COUNTIF(tblProductos[SKU],$H27)&gt;1)," · SKU DUPLICADO","")&amp;IF(AND($H27&lt;&gt;"",COUNTIF(tblCostos[SKU],$H27)=0)," · Sin fila en COSTOS","")&amp;IF($P27="PENDIENTE"," · Inventario sin valorizar",""),4,900)))</f>
        <v/>
      </c>
    </row>
    <row r="28">
      <c r="A28" s="83" t="n">
        <v>21</v>
      </c>
      <c r="B28" s="18" t="inlineStr">
        <is>
          <t>Compras sin proveedor</t>
        </is>
      </c>
      <c r="C28" s="83" t="inlineStr">
        <is>
          <t>Media</t>
        </is>
      </c>
      <c r="D28" s="39">
        <f>SUMPRODUCT(ISNUMBER(SEARCH("Falta proveedor",tblCompras[ALERTA]))*1)</f>
        <v/>
      </c>
      <c r="E28" s="84">
        <f>IF($D28=0,"OK",IF($C28="Alta","CORREGIR","REVISAR"))</f>
        <v/>
      </c>
      <c r="F28" s="85" t="inlineStr">
        <is>
          <t>COMPRAS · columna «Proveedor»</t>
        </is>
      </c>
      <c r="H28" s="51">
        <f>IFERROR(IF(INDEX(tblProductos[SKU],ROW()-7)="","",INDEX(tblProductos[SKU],ROW()-7)),"")</f>
        <v/>
      </c>
      <c r="I28" s="51">
        <f>IF($H28="","",IFERROR(IF(INDEX(tblProductos[Nombre del producto],MATCH($H28,tblProductos[SKU],0))="","",INDEX(tblProductos[Nombre del producto],MATCH($H28,tblProductos[SKU],0))),""))</f>
        <v/>
      </c>
      <c r="J28" s="51">
        <f>IF($H28="","",IFERROR(IF(INDEX(tblProductos[Estado de datos],MATCH($H28,tblProductos[SKU],0))="","",INDEX(tblProductos[Estado de datos],MATCH($H28,tblProductos[SKU],0))),""))</f>
        <v/>
      </c>
      <c r="K28" s="37">
        <f>IF($H28="","",IFERROR(IF(INDEX(tblProductos[Precio de venta actual],MATCH($H28,tblProductos[SKU],0))="","PENDIENTE",INDEX(tblProductos[Precio de venta actual],MATCH($H28,tblProductos[SKU],0))),"PENDIENTE"))</f>
        <v/>
      </c>
      <c r="L28" s="37">
        <f>IF($H28="","",IFERROR(IF(INDEX(tblProductos[COSTO REAL UNITARIO],MATCH($H28,tblProductos[SKU],0))="","PENDIENTE",INDEX(tblProductos[COSTO REAL UNITARIO],MATCH($H28,tblProductos[SKU],0))),"PENDIENTE"))</f>
        <v/>
      </c>
      <c r="M28" s="38">
        <f>IF($H28="","",IFERROR(IF(INDEX(tblProductos[Margen bruto %],MATCH($H28,tblProductos[SKU],0))="","PENDIENTE",INDEX(tblProductos[Margen bruto %],MATCH($H28,tblProductos[SKU],0))),"PENDIENTE"))</f>
        <v/>
      </c>
      <c r="N28" s="39">
        <f>IF($H28="","",IFERROR(IF(INDEX(tblInventario[Stock actual],MATCH($H28,tblInventario[SKU],0))="","",INDEX(tblInventario[Stock actual],MATCH($H28,tblInventario[SKU],0))),""))</f>
        <v/>
      </c>
      <c r="O28" s="51">
        <f>IF($H28="","",IFERROR(IF(INDEX(tblInventario[ESTADO],MATCH($H28,tblInventario[SKU],0))="","",INDEX(tblInventario[ESTADO],MATCH($H28,tblInventario[SKU],0))),""))</f>
        <v/>
      </c>
      <c r="P28" s="37">
        <f>IF($H28="","",IFERROR(IF(INDEX(tblInventario[VALOR DEL INVENTARIO],MATCH($H28,tblInventario[SKU],0))="","PENDIENTE",INDEX(tblInventario[VALOR DEL INVENTARIO],MATCH($H28,tblInventario[SKU],0))),"PENDIENTE"))</f>
        <v/>
      </c>
      <c r="Q28" s="51">
        <f>IF($H28="","",IF(IF($K28="PENDIENTE"," · Sin precio de venta","")&amp;IF($L28="PENDIENTE"," · Sin costo","")&amp;IF(AND(ISNUMBER($M28),$M28&lt;0)," · MARGEN NEGATIVO","")&amp;IF(AND(ISNUMBER($M28),$M28=0)," · Utilidad cero","")&amp;IF($O28="ERROR"," · STOCK NEGATIVO","")&amp;IF($O28="AGOTADO"," · Agotado","")&amp;IF($O28="REABASTECER"," · Stock bajo","")&amp;IF(AND($H28&lt;&gt;"",COUNTIF(tblProductos[SKU],$H28)&gt;1)," · SKU DUPLICADO","")&amp;IF(AND($H28&lt;&gt;"",COUNTIF(tblCostos[SKU],$H28)=0)," · Sin fila en COSTOS","")&amp;IF($P28="PENDIENTE"," · Inventario sin valorizar","")="","OK",MID(IF($K28="PENDIENTE"," · Sin precio de venta","")&amp;IF($L28="PENDIENTE"," · Sin costo","")&amp;IF(AND(ISNUMBER($M28),$M28&lt;0)," · MARGEN NEGATIVO","")&amp;IF(AND(ISNUMBER($M28),$M28=0)," · Utilidad cero","")&amp;IF($O28="ERROR"," · STOCK NEGATIVO","")&amp;IF($O28="AGOTADO"," · Agotado","")&amp;IF($O28="REABASTECER"," · Stock bajo","")&amp;IF(AND($H28&lt;&gt;"",COUNTIF(tblProductos[SKU],$H28)&gt;1)," · SKU DUPLICADO","")&amp;IF(AND($H28&lt;&gt;"",COUNTIF(tblCostos[SKU],$H28)=0)," · Sin fila en COSTOS","")&amp;IF($P28="PENDIENTE"," · Inventario sin valorizar",""),4,900)))</f>
        <v/>
      </c>
    </row>
    <row r="29">
      <c r="A29" s="83" t="n">
        <v>22</v>
      </c>
      <c r="B29" s="18" t="inlineStr">
        <is>
          <t>Gastos SIN CATEGORÍA</t>
        </is>
      </c>
      <c r="C29" s="83" t="inlineStr">
        <is>
          <t>Media</t>
        </is>
      </c>
      <c r="D29" s="39">
        <f>SUMPRODUCT(ISNUMBER(SEARCH("SIN CATEGORÍA",tblGastos[ALERTA]))*1)</f>
        <v/>
      </c>
      <c r="E29" s="84">
        <f>IF($D29=0,"OK",IF($C29="Alta","CORREGIR","REVISAR"))</f>
        <v/>
      </c>
      <c r="F29" s="85" t="inlineStr">
        <is>
          <t>GASTOS · columna «Categoría»</t>
        </is>
      </c>
      <c r="H29" s="51">
        <f>IFERROR(IF(INDEX(tblProductos[SKU],ROW()-7)="","",INDEX(tblProductos[SKU],ROW()-7)),"")</f>
        <v/>
      </c>
      <c r="I29" s="51">
        <f>IF($H29="","",IFERROR(IF(INDEX(tblProductos[Nombre del producto],MATCH($H29,tblProductos[SKU],0))="","",INDEX(tblProductos[Nombre del producto],MATCH($H29,tblProductos[SKU],0))),""))</f>
        <v/>
      </c>
      <c r="J29" s="51">
        <f>IF($H29="","",IFERROR(IF(INDEX(tblProductos[Estado de datos],MATCH($H29,tblProductos[SKU],0))="","",INDEX(tblProductos[Estado de datos],MATCH($H29,tblProductos[SKU],0))),""))</f>
        <v/>
      </c>
      <c r="K29" s="37">
        <f>IF($H29="","",IFERROR(IF(INDEX(tblProductos[Precio de venta actual],MATCH($H29,tblProductos[SKU],0))="","PENDIENTE",INDEX(tblProductos[Precio de venta actual],MATCH($H29,tblProductos[SKU],0))),"PENDIENTE"))</f>
        <v/>
      </c>
      <c r="L29" s="37">
        <f>IF($H29="","",IFERROR(IF(INDEX(tblProductos[COSTO REAL UNITARIO],MATCH($H29,tblProductos[SKU],0))="","PENDIENTE",INDEX(tblProductos[COSTO REAL UNITARIO],MATCH($H29,tblProductos[SKU],0))),"PENDIENTE"))</f>
        <v/>
      </c>
      <c r="M29" s="38">
        <f>IF($H29="","",IFERROR(IF(INDEX(tblProductos[Margen bruto %],MATCH($H29,tblProductos[SKU],0))="","PENDIENTE",INDEX(tblProductos[Margen bruto %],MATCH($H29,tblProductos[SKU],0))),"PENDIENTE"))</f>
        <v/>
      </c>
      <c r="N29" s="39">
        <f>IF($H29="","",IFERROR(IF(INDEX(tblInventario[Stock actual],MATCH($H29,tblInventario[SKU],0))="","",INDEX(tblInventario[Stock actual],MATCH($H29,tblInventario[SKU],0))),""))</f>
        <v/>
      </c>
      <c r="O29" s="51">
        <f>IF($H29="","",IFERROR(IF(INDEX(tblInventario[ESTADO],MATCH($H29,tblInventario[SKU],0))="","",INDEX(tblInventario[ESTADO],MATCH($H29,tblInventario[SKU],0))),""))</f>
        <v/>
      </c>
      <c r="P29" s="37">
        <f>IF($H29="","",IFERROR(IF(INDEX(tblInventario[VALOR DEL INVENTARIO],MATCH($H29,tblInventario[SKU],0))="","PENDIENTE",INDEX(tblInventario[VALOR DEL INVENTARIO],MATCH($H29,tblInventario[SKU],0))),"PENDIENTE"))</f>
        <v/>
      </c>
      <c r="Q29" s="51">
        <f>IF($H29="","",IF(IF($K29="PENDIENTE"," · Sin precio de venta","")&amp;IF($L29="PENDIENTE"," · Sin costo","")&amp;IF(AND(ISNUMBER($M29),$M29&lt;0)," · MARGEN NEGATIVO","")&amp;IF(AND(ISNUMBER($M29),$M29=0)," · Utilidad cero","")&amp;IF($O29="ERROR"," · STOCK NEGATIVO","")&amp;IF($O29="AGOTADO"," · Agotado","")&amp;IF($O29="REABASTECER"," · Stock bajo","")&amp;IF(AND($H29&lt;&gt;"",COUNTIF(tblProductos[SKU],$H29)&gt;1)," · SKU DUPLICADO","")&amp;IF(AND($H29&lt;&gt;"",COUNTIF(tblCostos[SKU],$H29)=0)," · Sin fila en COSTOS","")&amp;IF($P29="PENDIENTE"," · Inventario sin valorizar","")="","OK",MID(IF($K29="PENDIENTE"," · Sin precio de venta","")&amp;IF($L29="PENDIENTE"," · Sin costo","")&amp;IF(AND(ISNUMBER($M29),$M29&lt;0)," · MARGEN NEGATIVO","")&amp;IF(AND(ISNUMBER($M29),$M29=0)," · Utilidad cero","")&amp;IF($O29="ERROR"," · STOCK NEGATIVO","")&amp;IF($O29="AGOTADO"," · Agotado","")&amp;IF($O29="REABASTECER"," · Stock bajo","")&amp;IF(AND($H29&lt;&gt;"",COUNTIF(tblProductos[SKU],$H29)&gt;1)," · SKU DUPLICADO","")&amp;IF(AND($H29&lt;&gt;"",COUNTIF(tblCostos[SKU],$H29)=0)," · Sin fila en COSTOS","")&amp;IF($P29="PENDIENTE"," · Inventario sin valorizar",""),4,900)))</f>
        <v/>
      </c>
    </row>
    <row r="30">
      <c r="A30" s="83" t="n">
        <v>23</v>
      </c>
      <c r="B30" s="18" t="inlineStr">
        <is>
          <t>Gastos sin clasificar como Fijo o Variable</t>
        </is>
      </c>
      <c r="C30" s="83" t="inlineStr">
        <is>
          <t>Alta</t>
        </is>
      </c>
      <c r="D30" s="39">
        <f>SUMPRODUCT(ISNUMBER(SEARCH("Falta tipo",tblGastos[ALERTA]))*1)</f>
        <v/>
      </c>
      <c r="E30" s="84">
        <f>IF($D30=0,"OK",IF($C30="Alta","CORREGIR","REVISAR"))</f>
        <v/>
      </c>
      <c r="F30" s="85" t="inlineStr">
        <is>
          <t>GASTOS · columna «Tipo de gasto»</t>
        </is>
      </c>
      <c r="H30" s="51">
        <f>IFERROR(IF(INDEX(tblProductos[SKU],ROW()-7)="","",INDEX(tblProductos[SKU],ROW()-7)),"")</f>
        <v/>
      </c>
      <c r="I30" s="51">
        <f>IF($H30="","",IFERROR(IF(INDEX(tblProductos[Nombre del producto],MATCH($H30,tblProductos[SKU],0))="","",INDEX(tblProductos[Nombre del producto],MATCH($H30,tblProductos[SKU],0))),""))</f>
        <v/>
      </c>
      <c r="J30" s="51">
        <f>IF($H30="","",IFERROR(IF(INDEX(tblProductos[Estado de datos],MATCH($H30,tblProductos[SKU],0))="","",INDEX(tblProductos[Estado de datos],MATCH($H30,tblProductos[SKU],0))),""))</f>
        <v/>
      </c>
      <c r="K30" s="37">
        <f>IF($H30="","",IFERROR(IF(INDEX(tblProductos[Precio de venta actual],MATCH($H30,tblProductos[SKU],0))="","PENDIENTE",INDEX(tblProductos[Precio de venta actual],MATCH($H30,tblProductos[SKU],0))),"PENDIENTE"))</f>
        <v/>
      </c>
      <c r="L30" s="37">
        <f>IF($H30="","",IFERROR(IF(INDEX(tblProductos[COSTO REAL UNITARIO],MATCH($H30,tblProductos[SKU],0))="","PENDIENTE",INDEX(tblProductos[COSTO REAL UNITARIO],MATCH($H30,tblProductos[SKU],0))),"PENDIENTE"))</f>
        <v/>
      </c>
      <c r="M30" s="38">
        <f>IF($H30="","",IFERROR(IF(INDEX(tblProductos[Margen bruto %],MATCH($H30,tblProductos[SKU],0))="","PENDIENTE",INDEX(tblProductos[Margen bruto %],MATCH($H30,tblProductos[SKU],0))),"PENDIENTE"))</f>
        <v/>
      </c>
      <c r="N30" s="39">
        <f>IF($H30="","",IFERROR(IF(INDEX(tblInventario[Stock actual],MATCH($H30,tblInventario[SKU],0))="","",INDEX(tblInventario[Stock actual],MATCH($H30,tblInventario[SKU],0))),""))</f>
        <v/>
      </c>
      <c r="O30" s="51">
        <f>IF($H30="","",IFERROR(IF(INDEX(tblInventario[ESTADO],MATCH($H30,tblInventario[SKU],0))="","",INDEX(tblInventario[ESTADO],MATCH($H30,tblInventario[SKU],0))),""))</f>
        <v/>
      </c>
      <c r="P30" s="37">
        <f>IF($H30="","",IFERROR(IF(INDEX(tblInventario[VALOR DEL INVENTARIO],MATCH($H30,tblInventario[SKU],0))="","PENDIENTE",INDEX(tblInventario[VALOR DEL INVENTARIO],MATCH($H30,tblInventario[SKU],0))),"PENDIENTE"))</f>
        <v/>
      </c>
      <c r="Q30" s="51">
        <f>IF($H30="","",IF(IF($K30="PENDIENTE"," · Sin precio de venta","")&amp;IF($L30="PENDIENTE"," · Sin costo","")&amp;IF(AND(ISNUMBER($M30),$M30&lt;0)," · MARGEN NEGATIVO","")&amp;IF(AND(ISNUMBER($M30),$M30=0)," · Utilidad cero","")&amp;IF($O30="ERROR"," · STOCK NEGATIVO","")&amp;IF($O30="AGOTADO"," · Agotado","")&amp;IF($O30="REABASTECER"," · Stock bajo","")&amp;IF(AND($H30&lt;&gt;"",COUNTIF(tblProductos[SKU],$H30)&gt;1)," · SKU DUPLICADO","")&amp;IF(AND($H30&lt;&gt;"",COUNTIF(tblCostos[SKU],$H30)=0)," · Sin fila en COSTOS","")&amp;IF($P30="PENDIENTE"," · Inventario sin valorizar","")="","OK",MID(IF($K30="PENDIENTE"," · Sin precio de venta","")&amp;IF($L30="PENDIENTE"," · Sin costo","")&amp;IF(AND(ISNUMBER($M30),$M30&lt;0)," · MARGEN NEGATIVO","")&amp;IF(AND(ISNUMBER($M30),$M30=0)," · Utilidad cero","")&amp;IF($O30="ERROR"," · STOCK NEGATIVO","")&amp;IF($O30="AGOTADO"," · Agotado","")&amp;IF($O30="REABASTECER"," · Stock bajo","")&amp;IF(AND($H30&lt;&gt;"",COUNTIF(tblProductos[SKU],$H30)&gt;1)," · SKU DUPLICADO","")&amp;IF(AND($H30&lt;&gt;"",COUNTIF(tblCostos[SKU],$H30)=0)," · Sin fila en COSTOS","")&amp;IF($P30="PENDIENTE"," · Inventario sin valorizar",""),4,900)))</f>
        <v/>
      </c>
    </row>
    <row r="31">
      <c r="A31" s="83" t="n">
        <v>24</v>
      </c>
      <c r="B31" s="18" t="inlineStr">
        <is>
          <t>Gastos con algún problema detectado</t>
        </is>
      </c>
      <c r="C31" s="83" t="inlineStr">
        <is>
          <t>Media</t>
        </is>
      </c>
      <c r="D31" s="39">
        <f>SUMPRODUCT((tblGastos[ALERTA]&lt;&gt;"")*(tblGastos[ALERTA]&lt;&gt;"OK"))</f>
        <v/>
      </c>
      <c r="E31" s="84">
        <f>IF($D31=0,"OK",IF($C31="Alta","CORREGIR","REVISAR"))</f>
        <v/>
      </c>
      <c r="F31" s="85" t="inlineStr">
        <is>
          <t>GASTOS · columna ALERTA</t>
        </is>
      </c>
      <c r="H31" s="51">
        <f>IFERROR(IF(INDEX(tblProductos[SKU],ROW()-7)="","",INDEX(tblProductos[SKU],ROW()-7)),"")</f>
        <v/>
      </c>
      <c r="I31" s="51">
        <f>IF($H31="","",IFERROR(IF(INDEX(tblProductos[Nombre del producto],MATCH($H31,tblProductos[SKU],0))="","",INDEX(tblProductos[Nombre del producto],MATCH($H31,tblProductos[SKU],0))),""))</f>
        <v/>
      </c>
      <c r="J31" s="51">
        <f>IF($H31="","",IFERROR(IF(INDEX(tblProductos[Estado de datos],MATCH($H31,tblProductos[SKU],0))="","",INDEX(tblProductos[Estado de datos],MATCH($H31,tblProductos[SKU],0))),""))</f>
        <v/>
      </c>
      <c r="K31" s="37">
        <f>IF($H31="","",IFERROR(IF(INDEX(tblProductos[Precio de venta actual],MATCH($H31,tblProductos[SKU],0))="","PENDIENTE",INDEX(tblProductos[Precio de venta actual],MATCH($H31,tblProductos[SKU],0))),"PENDIENTE"))</f>
        <v/>
      </c>
      <c r="L31" s="37">
        <f>IF($H31="","",IFERROR(IF(INDEX(tblProductos[COSTO REAL UNITARIO],MATCH($H31,tblProductos[SKU],0))="","PENDIENTE",INDEX(tblProductos[COSTO REAL UNITARIO],MATCH($H31,tblProductos[SKU],0))),"PENDIENTE"))</f>
        <v/>
      </c>
      <c r="M31" s="38">
        <f>IF($H31="","",IFERROR(IF(INDEX(tblProductos[Margen bruto %],MATCH($H31,tblProductos[SKU],0))="","PENDIENTE",INDEX(tblProductos[Margen bruto %],MATCH($H31,tblProductos[SKU],0))),"PENDIENTE"))</f>
        <v/>
      </c>
      <c r="N31" s="39">
        <f>IF($H31="","",IFERROR(IF(INDEX(tblInventario[Stock actual],MATCH($H31,tblInventario[SKU],0))="","",INDEX(tblInventario[Stock actual],MATCH($H31,tblInventario[SKU],0))),""))</f>
        <v/>
      </c>
      <c r="O31" s="51">
        <f>IF($H31="","",IFERROR(IF(INDEX(tblInventario[ESTADO],MATCH($H31,tblInventario[SKU],0))="","",INDEX(tblInventario[ESTADO],MATCH($H31,tblInventario[SKU],0))),""))</f>
        <v/>
      </c>
      <c r="P31" s="37">
        <f>IF($H31="","",IFERROR(IF(INDEX(tblInventario[VALOR DEL INVENTARIO],MATCH($H31,tblInventario[SKU],0))="","PENDIENTE",INDEX(tblInventario[VALOR DEL INVENTARIO],MATCH($H31,tblInventario[SKU],0))),"PENDIENTE"))</f>
        <v/>
      </c>
      <c r="Q31" s="51">
        <f>IF($H31="","",IF(IF($K31="PENDIENTE"," · Sin precio de venta","")&amp;IF($L31="PENDIENTE"," · Sin costo","")&amp;IF(AND(ISNUMBER($M31),$M31&lt;0)," · MARGEN NEGATIVO","")&amp;IF(AND(ISNUMBER($M31),$M31=0)," · Utilidad cero","")&amp;IF($O31="ERROR"," · STOCK NEGATIVO","")&amp;IF($O31="AGOTADO"," · Agotado","")&amp;IF($O31="REABASTECER"," · Stock bajo","")&amp;IF(AND($H31&lt;&gt;"",COUNTIF(tblProductos[SKU],$H31)&gt;1)," · SKU DUPLICADO","")&amp;IF(AND($H31&lt;&gt;"",COUNTIF(tblCostos[SKU],$H31)=0)," · Sin fila en COSTOS","")&amp;IF($P31="PENDIENTE"," · Inventario sin valorizar","")="","OK",MID(IF($K31="PENDIENTE"," · Sin precio de venta","")&amp;IF($L31="PENDIENTE"," · Sin costo","")&amp;IF(AND(ISNUMBER($M31),$M31&lt;0)," · MARGEN NEGATIVO","")&amp;IF(AND(ISNUMBER($M31),$M31=0)," · Utilidad cero","")&amp;IF($O31="ERROR"," · STOCK NEGATIVO","")&amp;IF($O31="AGOTADO"," · Agotado","")&amp;IF($O31="REABASTECER"," · Stock bajo","")&amp;IF(AND($H31&lt;&gt;"",COUNTIF(tblProductos[SKU],$H31)&gt;1)," · SKU DUPLICADO","")&amp;IF(AND($H31&lt;&gt;"",COUNTIF(tblCostos[SKU],$H31)=0)," · Sin fila en COSTOS","")&amp;IF($P31="PENDIENTE"," · Inventario sin valorizar",""),4,900)))</f>
        <v/>
      </c>
    </row>
    <row r="32">
      <c r="A32" s="83" t="n">
        <v>25</v>
      </c>
      <c r="B32" s="18" t="inlineStr">
        <is>
          <t>Movimientos de caja con algún problema</t>
        </is>
      </c>
      <c r="C32" s="83" t="inlineStr">
        <is>
          <t>Media</t>
        </is>
      </c>
      <c r="D32" s="39">
        <f>SUMPRODUCT((tblCajaMov[ALERTA]&lt;&gt;"")*(tblCajaMov[ALERTA]&lt;&gt;"OK"))</f>
        <v/>
      </c>
      <c r="E32" s="84">
        <f>IF($D32=0,"OK",IF($C32="Alta","CORREGIR","REVISAR"))</f>
        <v/>
      </c>
      <c r="F32" s="85" t="inlineStr">
        <is>
          <t>CAJA · columna ALERTA</t>
        </is>
      </c>
      <c r="H32" s="51">
        <f>IFERROR(IF(INDEX(tblProductos[SKU],ROW()-7)="","",INDEX(tblProductos[SKU],ROW()-7)),"")</f>
        <v/>
      </c>
      <c r="I32" s="51">
        <f>IF($H32="","",IFERROR(IF(INDEX(tblProductos[Nombre del producto],MATCH($H32,tblProductos[SKU],0))="","",INDEX(tblProductos[Nombre del producto],MATCH($H32,tblProductos[SKU],0))),""))</f>
        <v/>
      </c>
      <c r="J32" s="51">
        <f>IF($H32="","",IFERROR(IF(INDEX(tblProductos[Estado de datos],MATCH($H32,tblProductos[SKU],0))="","",INDEX(tblProductos[Estado de datos],MATCH($H32,tblProductos[SKU],0))),""))</f>
        <v/>
      </c>
      <c r="K32" s="37">
        <f>IF($H32="","",IFERROR(IF(INDEX(tblProductos[Precio de venta actual],MATCH($H32,tblProductos[SKU],0))="","PENDIENTE",INDEX(tblProductos[Precio de venta actual],MATCH($H32,tblProductos[SKU],0))),"PENDIENTE"))</f>
        <v/>
      </c>
      <c r="L32" s="37">
        <f>IF($H32="","",IFERROR(IF(INDEX(tblProductos[COSTO REAL UNITARIO],MATCH($H32,tblProductos[SKU],0))="","PENDIENTE",INDEX(tblProductos[COSTO REAL UNITARIO],MATCH($H32,tblProductos[SKU],0))),"PENDIENTE"))</f>
        <v/>
      </c>
      <c r="M32" s="38">
        <f>IF($H32="","",IFERROR(IF(INDEX(tblProductos[Margen bruto %],MATCH($H32,tblProductos[SKU],0))="","PENDIENTE",INDEX(tblProductos[Margen bruto %],MATCH($H32,tblProductos[SKU],0))),"PENDIENTE"))</f>
        <v/>
      </c>
      <c r="N32" s="39">
        <f>IF($H32="","",IFERROR(IF(INDEX(tblInventario[Stock actual],MATCH($H32,tblInventario[SKU],0))="","",INDEX(tblInventario[Stock actual],MATCH($H32,tblInventario[SKU],0))),""))</f>
        <v/>
      </c>
      <c r="O32" s="51">
        <f>IF($H32="","",IFERROR(IF(INDEX(tblInventario[ESTADO],MATCH($H32,tblInventario[SKU],0))="","",INDEX(tblInventario[ESTADO],MATCH($H32,tblInventario[SKU],0))),""))</f>
        <v/>
      </c>
      <c r="P32" s="37">
        <f>IF($H32="","",IFERROR(IF(INDEX(tblInventario[VALOR DEL INVENTARIO],MATCH($H32,tblInventario[SKU],0))="","PENDIENTE",INDEX(tblInventario[VALOR DEL INVENTARIO],MATCH($H32,tblInventario[SKU],0))),"PENDIENTE"))</f>
        <v/>
      </c>
      <c r="Q32" s="51">
        <f>IF($H32="","",IF(IF($K32="PENDIENTE"," · Sin precio de venta","")&amp;IF($L32="PENDIENTE"," · Sin costo","")&amp;IF(AND(ISNUMBER($M32),$M32&lt;0)," · MARGEN NEGATIVO","")&amp;IF(AND(ISNUMBER($M32),$M32=0)," · Utilidad cero","")&amp;IF($O32="ERROR"," · STOCK NEGATIVO","")&amp;IF($O32="AGOTADO"," · Agotado","")&amp;IF($O32="REABASTECER"," · Stock bajo","")&amp;IF(AND($H32&lt;&gt;"",COUNTIF(tblProductos[SKU],$H32)&gt;1)," · SKU DUPLICADO","")&amp;IF(AND($H32&lt;&gt;"",COUNTIF(tblCostos[SKU],$H32)=0)," · Sin fila en COSTOS","")&amp;IF($P32="PENDIENTE"," · Inventario sin valorizar","")="","OK",MID(IF($K32="PENDIENTE"," · Sin precio de venta","")&amp;IF($L32="PENDIENTE"," · Sin costo","")&amp;IF(AND(ISNUMBER($M32),$M32&lt;0)," · MARGEN NEGATIVO","")&amp;IF(AND(ISNUMBER($M32),$M32=0)," · Utilidad cero","")&amp;IF($O32="ERROR"," · STOCK NEGATIVO","")&amp;IF($O32="AGOTADO"," · Agotado","")&amp;IF($O32="REABASTECER"," · Stock bajo","")&amp;IF(AND($H32&lt;&gt;"",COUNTIF(tblProductos[SKU],$H32)&gt;1)," · SKU DUPLICADO","")&amp;IF(AND($H32&lt;&gt;"",COUNTIF(tblCostos[SKU],$H32)=0)," · Sin fila en COSTOS","")&amp;IF($P32="PENDIENTE"," · Inventario sin valorizar",""),4,900)))</f>
        <v/>
      </c>
    </row>
    <row r="33">
      <c r="A33" s="83" t="n">
        <v>26</v>
      </c>
      <c r="B33" s="18" t="inlineStr">
        <is>
          <t>Clientes duplicados</t>
        </is>
      </c>
      <c r="C33" s="83" t="inlineStr">
        <is>
          <t>Media</t>
        </is>
      </c>
      <c r="D33" s="39">
        <f>SUMPRODUCT((tblClientes[Nombre]&lt;&gt;"")*(COUNTIF(tblClientes[Nombre],tblClientes[Nombre]&amp;"")&gt;1))</f>
        <v/>
      </c>
      <c r="E33" s="84">
        <f>IF($D33=0,"OK",IF($C33="Alta","CORREGIR","REVISAR"))</f>
        <v/>
      </c>
      <c r="F33" s="85" t="inlineStr">
        <is>
          <t>CLIENTES · unifique el nombre repetido</t>
        </is>
      </c>
      <c r="H33" s="51">
        <f>IFERROR(IF(INDEX(tblProductos[SKU],ROW()-7)="","",INDEX(tblProductos[SKU],ROW()-7)),"")</f>
        <v/>
      </c>
      <c r="I33" s="51">
        <f>IF($H33="","",IFERROR(IF(INDEX(tblProductos[Nombre del producto],MATCH($H33,tblProductos[SKU],0))="","",INDEX(tblProductos[Nombre del producto],MATCH($H33,tblProductos[SKU],0))),""))</f>
        <v/>
      </c>
      <c r="J33" s="51">
        <f>IF($H33="","",IFERROR(IF(INDEX(tblProductos[Estado de datos],MATCH($H33,tblProductos[SKU],0))="","",INDEX(tblProductos[Estado de datos],MATCH($H33,tblProductos[SKU],0))),""))</f>
        <v/>
      </c>
      <c r="K33" s="37">
        <f>IF($H33="","",IFERROR(IF(INDEX(tblProductos[Precio de venta actual],MATCH($H33,tblProductos[SKU],0))="","PENDIENTE",INDEX(tblProductos[Precio de venta actual],MATCH($H33,tblProductos[SKU],0))),"PENDIENTE"))</f>
        <v/>
      </c>
      <c r="L33" s="37">
        <f>IF($H33="","",IFERROR(IF(INDEX(tblProductos[COSTO REAL UNITARIO],MATCH($H33,tblProductos[SKU],0))="","PENDIENTE",INDEX(tblProductos[COSTO REAL UNITARIO],MATCH($H33,tblProductos[SKU],0))),"PENDIENTE"))</f>
        <v/>
      </c>
      <c r="M33" s="38">
        <f>IF($H33="","",IFERROR(IF(INDEX(tblProductos[Margen bruto %],MATCH($H33,tblProductos[SKU],0))="","PENDIENTE",INDEX(tblProductos[Margen bruto %],MATCH($H33,tblProductos[SKU],0))),"PENDIENTE"))</f>
        <v/>
      </c>
      <c r="N33" s="39">
        <f>IF($H33="","",IFERROR(IF(INDEX(tblInventario[Stock actual],MATCH($H33,tblInventario[SKU],0))="","",INDEX(tblInventario[Stock actual],MATCH($H33,tblInventario[SKU],0))),""))</f>
        <v/>
      </c>
      <c r="O33" s="51">
        <f>IF($H33="","",IFERROR(IF(INDEX(tblInventario[ESTADO],MATCH($H33,tblInventario[SKU],0))="","",INDEX(tblInventario[ESTADO],MATCH($H33,tblInventario[SKU],0))),""))</f>
        <v/>
      </c>
      <c r="P33" s="37">
        <f>IF($H33="","",IFERROR(IF(INDEX(tblInventario[VALOR DEL INVENTARIO],MATCH($H33,tblInventario[SKU],0))="","PENDIENTE",INDEX(tblInventario[VALOR DEL INVENTARIO],MATCH($H33,tblInventario[SKU],0))),"PENDIENTE"))</f>
        <v/>
      </c>
      <c r="Q33" s="51">
        <f>IF($H33="","",IF(IF($K33="PENDIENTE"," · Sin precio de venta","")&amp;IF($L33="PENDIENTE"," · Sin costo","")&amp;IF(AND(ISNUMBER($M33),$M33&lt;0)," · MARGEN NEGATIVO","")&amp;IF(AND(ISNUMBER($M33),$M33=0)," · Utilidad cero","")&amp;IF($O33="ERROR"," · STOCK NEGATIVO","")&amp;IF($O33="AGOTADO"," · Agotado","")&amp;IF($O33="REABASTECER"," · Stock bajo","")&amp;IF(AND($H33&lt;&gt;"",COUNTIF(tblProductos[SKU],$H33)&gt;1)," · SKU DUPLICADO","")&amp;IF(AND($H33&lt;&gt;"",COUNTIF(tblCostos[SKU],$H33)=0)," · Sin fila en COSTOS","")&amp;IF($P33="PENDIENTE"," · Inventario sin valorizar","")="","OK",MID(IF($K33="PENDIENTE"," · Sin precio de venta","")&amp;IF($L33="PENDIENTE"," · Sin costo","")&amp;IF(AND(ISNUMBER($M33),$M33&lt;0)," · MARGEN NEGATIVO","")&amp;IF(AND(ISNUMBER($M33),$M33=0)," · Utilidad cero","")&amp;IF($O33="ERROR"," · STOCK NEGATIVO","")&amp;IF($O33="AGOTADO"," · Agotado","")&amp;IF($O33="REABASTECER"," · Stock bajo","")&amp;IF(AND($H33&lt;&gt;"",COUNTIF(tblProductos[SKU],$H33)&gt;1)," · SKU DUPLICADO","")&amp;IF(AND($H33&lt;&gt;"",COUNTIF(tblCostos[SKU],$H33)=0)," · Sin fila en COSTOS","")&amp;IF($P33="PENDIENTE"," · Inventario sin valorizar",""),4,900)))</f>
        <v/>
      </c>
    </row>
    <row r="34">
      <c r="A34" s="83" t="n">
        <v>27</v>
      </c>
      <c r="B34" s="18" t="inlineStr">
        <is>
          <t>Proveedores duplicados</t>
        </is>
      </c>
      <c r="C34" s="83" t="inlineStr">
        <is>
          <t>Media</t>
        </is>
      </c>
      <c r="D34" s="39">
        <f>SUMPRODUCT((tblProveedores[Proveedor]&lt;&gt;"")*(COUNTIF(tblProveedores[Proveedor],tblProveedores[Proveedor]&amp;"")&gt;1))</f>
        <v/>
      </c>
      <c r="E34" s="84">
        <f>IF($D34=0,"OK",IF($C34="Alta","CORREGIR","REVISAR"))</f>
        <v/>
      </c>
      <c r="F34" s="85" t="inlineStr">
        <is>
          <t>PROVEEDORES · unifique el nombre repetido</t>
        </is>
      </c>
      <c r="H34" s="51">
        <f>IFERROR(IF(INDEX(tblProductos[SKU],ROW()-7)="","",INDEX(tblProductos[SKU],ROW()-7)),"")</f>
        <v/>
      </c>
      <c r="I34" s="51">
        <f>IF($H34="","",IFERROR(IF(INDEX(tblProductos[Nombre del producto],MATCH($H34,tblProductos[SKU],0))="","",INDEX(tblProductos[Nombre del producto],MATCH($H34,tblProductos[SKU],0))),""))</f>
        <v/>
      </c>
      <c r="J34" s="51">
        <f>IF($H34="","",IFERROR(IF(INDEX(tblProductos[Estado de datos],MATCH($H34,tblProductos[SKU],0))="","",INDEX(tblProductos[Estado de datos],MATCH($H34,tblProductos[SKU],0))),""))</f>
        <v/>
      </c>
      <c r="K34" s="37">
        <f>IF($H34="","",IFERROR(IF(INDEX(tblProductos[Precio de venta actual],MATCH($H34,tblProductos[SKU],0))="","PENDIENTE",INDEX(tblProductos[Precio de venta actual],MATCH($H34,tblProductos[SKU],0))),"PENDIENTE"))</f>
        <v/>
      </c>
      <c r="L34" s="37">
        <f>IF($H34="","",IFERROR(IF(INDEX(tblProductos[COSTO REAL UNITARIO],MATCH($H34,tblProductos[SKU],0))="","PENDIENTE",INDEX(tblProductos[COSTO REAL UNITARIO],MATCH($H34,tblProductos[SKU],0))),"PENDIENTE"))</f>
        <v/>
      </c>
      <c r="M34" s="38">
        <f>IF($H34="","",IFERROR(IF(INDEX(tblProductos[Margen bruto %],MATCH($H34,tblProductos[SKU],0))="","PENDIENTE",INDEX(tblProductos[Margen bruto %],MATCH($H34,tblProductos[SKU],0))),"PENDIENTE"))</f>
        <v/>
      </c>
      <c r="N34" s="39">
        <f>IF($H34="","",IFERROR(IF(INDEX(tblInventario[Stock actual],MATCH($H34,tblInventario[SKU],0))="","",INDEX(tblInventario[Stock actual],MATCH($H34,tblInventario[SKU],0))),""))</f>
        <v/>
      </c>
      <c r="O34" s="51">
        <f>IF($H34="","",IFERROR(IF(INDEX(tblInventario[ESTADO],MATCH($H34,tblInventario[SKU],0))="","",INDEX(tblInventario[ESTADO],MATCH($H34,tblInventario[SKU],0))),""))</f>
        <v/>
      </c>
      <c r="P34" s="37">
        <f>IF($H34="","",IFERROR(IF(INDEX(tblInventario[VALOR DEL INVENTARIO],MATCH($H34,tblInventario[SKU],0))="","PENDIENTE",INDEX(tblInventario[VALOR DEL INVENTARIO],MATCH($H34,tblInventario[SKU],0))),"PENDIENTE"))</f>
        <v/>
      </c>
      <c r="Q34" s="51">
        <f>IF($H34="","",IF(IF($K34="PENDIENTE"," · Sin precio de venta","")&amp;IF($L34="PENDIENTE"," · Sin costo","")&amp;IF(AND(ISNUMBER($M34),$M34&lt;0)," · MARGEN NEGATIVO","")&amp;IF(AND(ISNUMBER($M34),$M34=0)," · Utilidad cero","")&amp;IF($O34="ERROR"," · STOCK NEGATIVO","")&amp;IF($O34="AGOTADO"," · Agotado","")&amp;IF($O34="REABASTECER"," · Stock bajo","")&amp;IF(AND($H34&lt;&gt;"",COUNTIF(tblProductos[SKU],$H34)&gt;1)," · SKU DUPLICADO","")&amp;IF(AND($H34&lt;&gt;"",COUNTIF(tblCostos[SKU],$H34)=0)," · Sin fila en COSTOS","")&amp;IF($P34="PENDIENTE"," · Inventario sin valorizar","")="","OK",MID(IF($K34="PENDIENTE"," · Sin precio de venta","")&amp;IF($L34="PENDIENTE"," · Sin costo","")&amp;IF(AND(ISNUMBER($M34),$M34&lt;0)," · MARGEN NEGATIVO","")&amp;IF(AND(ISNUMBER($M34),$M34=0)," · Utilidad cero","")&amp;IF($O34="ERROR"," · STOCK NEGATIVO","")&amp;IF($O34="AGOTADO"," · Agotado","")&amp;IF($O34="REABASTECER"," · Stock bajo","")&amp;IF(AND($H34&lt;&gt;"",COUNTIF(tblProductos[SKU],$H34)&gt;1)," · SKU DUPLICADO","")&amp;IF(AND($H34&lt;&gt;"",COUNTIF(tblCostos[SKU],$H34)=0)," · Sin fila en COSTOS","")&amp;IF($P34="PENDIENTE"," · Inventario sin valorizar",""),4,900)))</f>
        <v/>
      </c>
    </row>
    <row r="35">
      <c r="A35" s="83" t="n">
        <v>28</v>
      </c>
      <c r="B35" s="18" t="inlineStr">
        <is>
          <t>Pagos registrados sin fecha de pago</t>
        </is>
      </c>
      <c r="C35" s="83" t="inlineStr">
        <is>
          <t>Media</t>
        </is>
      </c>
      <c r="D35" s="39">
        <f>SUMPRODUCT(ISNUMBER(SEARCH("sin fecha",tblCompras[ALERTA]))*1)+SUMPRODUCT(ISNUMBER(SEARCH("sin fecha",tblGastos[ALERTA]))*1)+SUMPRODUCT(ISNUMBER(SEARCH("sin fecha",tblVentas[ALERTA]))*1)</f>
        <v/>
      </c>
      <c r="E35" s="84">
        <f>IF($D35=0,"OK",IF($C35="Alta","CORREGIR","REVISAR"))</f>
        <v/>
      </c>
      <c r="F35" s="85" t="inlineStr">
        <is>
          <t>COMPRAS / GASTOS / VENTAS · columna «Fecha de pago» o «Fecha de cobro»</t>
        </is>
      </c>
      <c r="H35" s="51">
        <f>IFERROR(IF(INDEX(tblProductos[SKU],ROW()-7)="","",INDEX(tblProductos[SKU],ROW()-7)),"")</f>
        <v/>
      </c>
      <c r="I35" s="51">
        <f>IF($H35="","",IFERROR(IF(INDEX(tblProductos[Nombre del producto],MATCH($H35,tblProductos[SKU],0))="","",INDEX(tblProductos[Nombre del producto],MATCH($H35,tblProductos[SKU],0))),""))</f>
        <v/>
      </c>
      <c r="J35" s="51">
        <f>IF($H35="","",IFERROR(IF(INDEX(tblProductos[Estado de datos],MATCH($H35,tblProductos[SKU],0))="","",INDEX(tblProductos[Estado de datos],MATCH($H35,tblProductos[SKU],0))),""))</f>
        <v/>
      </c>
      <c r="K35" s="37">
        <f>IF($H35="","",IFERROR(IF(INDEX(tblProductos[Precio de venta actual],MATCH($H35,tblProductos[SKU],0))="","PENDIENTE",INDEX(tblProductos[Precio de venta actual],MATCH($H35,tblProductos[SKU],0))),"PENDIENTE"))</f>
        <v/>
      </c>
      <c r="L35" s="37">
        <f>IF($H35="","",IFERROR(IF(INDEX(tblProductos[COSTO REAL UNITARIO],MATCH($H35,tblProductos[SKU],0))="","PENDIENTE",INDEX(tblProductos[COSTO REAL UNITARIO],MATCH($H35,tblProductos[SKU],0))),"PENDIENTE"))</f>
        <v/>
      </c>
      <c r="M35" s="38">
        <f>IF($H35="","",IFERROR(IF(INDEX(tblProductos[Margen bruto %],MATCH($H35,tblProductos[SKU],0))="","PENDIENTE",INDEX(tblProductos[Margen bruto %],MATCH($H35,tblProductos[SKU],0))),"PENDIENTE"))</f>
        <v/>
      </c>
      <c r="N35" s="39">
        <f>IF($H35="","",IFERROR(IF(INDEX(tblInventario[Stock actual],MATCH($H35,tblInventario[SKU],0))="","",INDEX(tblInventario[Stock actual],MATCH($H35,tblInventario[SKU],0))),""))</f>
        <v/>
      </c>
      <c r="O35" s="51">
        <f>IF($H35="","",IFERROR(IF(INDEX(tblInventario[ESTADO],MATCH($H35,tblInventario[SKU],0))="","",INDEX(tblInventario[ESTADO],MATCH($H35,tblInventario[SKU],0))),""))</f>
        <v/>
      </c>
      <c r="P35" s="37">
        <f>IF($H35="","",IFERROR(IF(INDEX(tblInventario[VALOR DEL INVENTARIO],MATCH($H35,tblInventario[SKU],0))="","PENDIENTE",INDEX(tblInventario[VALOR DEL INVENTARIO],MATCH($H35,tblInventario[SKU],0))),"PENDIENTE"))</f>
        <v/>
      </c>
      <c r="Q35" s="51">
        <f>IF($H35="","",IF(IF($K35="PENDIENTE"," · Sin precio de venta","")&amp;IF($L35="PENDIENTE"," · Sin costo","")&amp;IF(AND(ISNUMBER($M35),$M35&lt;0)," · MARGEN NEGATIVO","")&amp;IF(AND(ISNUMBER($M35),$M35=0)," · Utilidad cero","")&amp;IF($O35="ERROR"," · STOCK NEGATIVO","")&amp;IF($O35="AGOTADO"," · Agotado","")&amp;IF($O35="REABASTECER"," · Stock bajo","")&amp;IF(AND($H35&lt;&gt;"",COUNTIF(tblProductos[SKU],$H35)&gt;1)," · SKU DUPLICADO","")&amp;IF(AND($H35&lt;&gt;"",COUNTIF(tblCostos[SKU],$H35)=0)," · Sin fila en COSTOS","")&amp;IF($P35="PENDIENTE"," · Inventario sin valorizar","")="","OK",MID(IF($K35="PENDIENTE"," · Sin precio de venta","")&amp;IF($L35="PENDIENTE"," · Sin costo","")&amp;IF(AND(ISNUMBER($M35),$M35&lt;0)," · MARGEN NEGATIVO","")&amp;IF(AND(ISNUMBER($M35),$M35=0)," · Utilidad cero","")&amp;IF($O35="ERROR"," · STOCK NEGATIVO","")&amp;IF($O35="AGOTADO"," · Agotado","")&amp;IF($O35="REABASTECER"," · Stock bajo","")&amp;IF(AND($H35&lt;&gt;"",COUNTIF(tblProductos[SKU],$H35)&gt;1)," · SKU DUPLICADO","")&amp;IF(AND($H35&lt;&gt;"",COUNTIF(tblCostos[SKU],$H35)=0)," · Sin fila en COSTOS","")&amp;IF($P35="PENDIENTE"," · Inventario sin valorizar",""),4,900)))</f>
        <v/>
      </c>
    </row>
    <row r="36">
      <c r="A36" s="83" t="n">
        <v>29</v>
      </c>
      <c r="B36" s="18" t="inlineStr">
        <is>
          <t>Saldo inicial de caja sin definir</t>
        </is>
      </c>
      <c r="C36" s="83" t="inlineStr">
        <is>
          <t>Media</t>
        </is>
      </c>
      <c r="D36" s="39">
        <f>IF(ISNUMBER(PAR_SALDO_CAJA),0,1)</f>
        <v/>
      </c>
      <c r="E36" s="84">
        <f>IF($D36=0,"OK",IF($C36="Alta","CORREGIR","REVISAR"))</f>
        <v/>
      </c>
      <c r="F36" s="85" t="inlineStr">
        <is>
          <t>CONFIG · «Saldo inicial de caja»</t>
        </is>
      </c>
      <c r="H36" s="51">
        <f>IFERROR(IF(INDEX(tblProductos[SKU],ROW()-7)="","",INDEX(tblProductos[SKU],ROW()-7)),"")</f>
        <v/>
      </c>
      <c r="I36" s="51">
        <f>IF($H36="","",IFERROR(IF(INDEX(tblProductos[Nombre del producto],MATCH($H36,tblProductos[SKU],0))="","",INDEX(tblProductos[Nombre del producto],MATCH($H36,tblProductos[SKU],0))),""))</f>
        <v/>
      </c>
      <c r="J36" s="51">
        <f>IF($H36="","",IFERROR(IF(INDEX(tblProductos[Estado de datos],MATCH($H36,tblProductos[SKU],0))="","",INDEX(tblProductos[Estado de datos],MATCH($H36,tblProductos[SKU],0))),""))</f>
        <v/>
      </c>
      <c r="K36" s="37">
        <f>IF($H36="","",IFERROR(IF(INDEX(tblProductos[Precio de venta actual],MATCH($H36,tblProductos[SKU],0))="","PENDIENTE",INDEX(tblProductos[Precio de venta actual],MATCH($H36,tblProductos[SKU],0))),"PENDIENTE"))</f>
        <v/>
      </c>
      <c r="L36" s="37">
        <f>IF($H36="","",IFERROR(IF(INDEX(tblProductos[COSTO REAL UNITARIO],MATCH($H36,tblProductos[SKU],0))="","PENDIENTE",INDEX(tblProductos[COSTO REAL UNITARIO],MATCH($H36,tblProductos[SKU],0))),"PENDIENTE"))</f>
        <v/>
      </c>
      <c r="M36" s="38">
        <f>IF($H36="","",IFERROR(IF(INDEX(tblProductos[Margen bruto %],MATCH($H36,tblProductos[SKU],0))="","PENDIENTE",INDEX(tblProductos[Margen bruto %],MATCH($H36,tblProductos[SKU],0))),"PENDIENTE"))</f>
        <v/>
      </c>
      <c r="N36" s="39">
        <f>IF($H36="","",IFERROR(IF(INDEX(tblInventario[Stock actual],MATCH($H36,tblInventario[SKU],0))="","",INDEX(tblInventario[Stock actual],MATCH($H36,tblInventario[SKU],0))),""))</f>
        <v/>
      </c>
      <c r="O36" s="51">
        <f>IF($H36="","",IFERROR(IF(INDEX(tblInventario[ESTADO],MATCH($H36,tblInventario[SKU],0))="","",INDEX(tblInventario[ESTADO],MATCH($H36,tblInventario[SKU],0))),""))</f>
        <v/>
      </c>
      <c r="P36" s="37">
        <f>IF($H36="","",IFERROR(IF(INDEX(tblInventario[VALOR DEL INVENTARIO],MATCH($H36,tblInventario[SKU],0))="","PENDIENTE",INDEX(tblInventario[VALOR DEL INVENTARIO],MATCH($H36,tblInventario[SKU],0))),"PENDIENTE"))</f>
        <v/>
      </c>
      <c r="Q36" s="51">
        <f>IF($H36="","",IF(IF($K36="PENDIENTE"," · Sin precio de venta","")&amp;IF($L36="PENDIENTE"," · Sin costo","")&amp;IF(AND(ISNUMBER($M36),$M36&lt;0)," · MARGEN NEGATIVO","")&amp;IF(AND(ISNUMBER($M36),$M36=0)," · Utilidad cero","")&amp;IF($O36="ERROR"," · STOCK NEGATIVO","")&amp;IF($O36="AGOTADO"," · Agotado","")&amp;IF($O36="REABASTECER"," · Stock bajo","")&amp;IF(AND($H36&lt;&gt;"",COUNTIF(tblProductos[SKU],$H36)&gt;1)," · SKU DUPLICADO","")&amp;IF(AND($H36&lt;&gt;"",COUNTIF(tblCostos[SKU],$H36)=0)," · Sin fila en COSTOS","")&amp;IF($P36="PENDIENTE"," · Inventario sin valorizar","")="","OK",MID(IF($K36="PENDIENTE"," · Sin precio de venta","")&amp;IF($L36="PENDIENTE"," · Sin costo","")&amp;IF(AND(ISNUMBER($M36),$M36&lt;0)," · MARGEN NEGATIVO","")&amp;IF(AND(ISNUMBER($M36),$M36=0)," · Utilidad cero","")&amp;IF($O36="ERROR"," · STOCK NEGATIVO","")&amp;IF($O36="AGOTADO"," · Agotado","")&amp;IF($O36="REABASTECER"," · Stock bajo","")&amp;IF(AND($H36&lt;&gt;"",COUNTIF(tblProductos[SKU],$H36)&gt;1)," · SKU DUPLICADO","")&amp;IF(AND($H36&lt;&gt;"",COUNTIF(tblCostos[SKU],$H36)=0)," · Sin fila en COSTOS","")&amp;IF($P36="PENDIENTE"," · Inventario sin valorizar",""),4,900)))</f>
        <v/>
      </c>
    </row>
    <row r="37">
      <c r="A37" s="83" t="n">
        <v>30</v>
      </c>
      <c r="B37" s="18" t="inlineStr">
        <is>
          <t>Capital aportado sin definir</t>
        </is>
      </c>
      <c r="C37" s="83" t="inlineStr">
        <is>
          <t>Baja</t>
        </is>
      </c>
      <c r="D37" s="39">
        <f>IF(ISNUMBER(PAR_CAPITAL_INICIAL),0,1)</f>
        <v/>
      </c>
      <c r="E37" s="84">
        <f>IF($D37=0,"OK",IF($C37="Alta","CORREGIR","REVISAR"))</f>
        <v/>
      </c>
      <c r="F37" s="85" t="inlineStr">
        <is>
          <t>CONFIG · «Capital aportado inicial»</t>
        </is>
      </c>
      <c r="H37" s="51">
        <f>IFERROR(IF(INDEX(tblProductos[SKU],ROW()-7)="","",INDEX(tblProductos[SKU],ROW()-7)),"")</f>
        <v/>
      </c>
      <c r="I37" s="51">
        <f>IF($H37="","",IFERROR(IF(INDEX(tblProductos[Nombre del producto],MATCH($H37,tblProductos[SKU],0))="","",INDEX(tblProductos[Nombre del producto],MATCH($H37,tblProductos[SKU],0))),""))</f>
        <v/>
      </c>
      <c r="J37" s="51">
        <f>IF($H37="","",IFERROR(IF(INDEX(tblProductos[Estado de datos],MATCH($H37,tblProductos[SKU],0))="","",INDEX(tblProductos[Estado de datos],MATCH($H37,tblProductos[SKU],0))),""))</f>
        <v/>
      </c>
      <c r="K37" s="37">
        <f>IF($H37="","",IFERROR(IF(INDEX(tblProductos[Precio de venta actual],MATCH($H37,tblProductos[SKU],0))="","PENDIENTE",INDEX(tblProductos[Precio de venta actual],MATCH($H37,tblProductos[SKU],0))),"PENDIENTE"))</f>
        <v/>
      </c>
      <c r="L37" s="37">
        <f>IF($H37="","",IFERROR(IF(INDEX(tblProductos[COSTO REAL UNITARIO],MATCH($H37,tblProductos[SKU],0))="","PENDIENTE",INDEX(tblProductos[COSTO REAL UNITARIO],MATCH($H37,tblProductos[SKU],0))),"PENDIENTE"))</f>
        <v/>
      </c>
      <c r="M37" s="38">
        <f>IF($H37="","",IFERROR(IF(INDEX(tblProductos[Margen bruto %],MATCH($H37,tblProductos[SKU],0))="","PENDIENTE",INDEX(tblProductos[Margen bruto %],MATCH($H37,tblProductos[SKU],0))),"PENDIENTE"))</f>
        <v/>
      </c>
      <c r="N37" s="39">
        <f>IF($H37="","",IFERROR(IF(INDEX(tblInventario[Stock actual],MATCH($H37,tblInventario[SKU],0))="","",INDEX(tblInventario[Stock actual],MATCH($H37,tblInventario[SKU],0))),""))</f>
        <v/>
      </c>
      <c r="O37" s="51">
        <f>IF($H37="","",IFERROR(IF(INDEX(tblInventario[ESTADO],MATCH($H37,tblInventario[SKU],0))="","",INDEX(tblInventario[ESTADO],MATCH($H37,tblInventario[SKU],0))),""))</f>
        <v/>
      </c>
      <c r="P37" s="37">
        <f>IF($H37="","",IFERROR(IF(INDEX(tblInventario[VALOR DEL INVENTARIO],MATCH($H37,tblInventario[SKU],0))="","PENDIENTE",INDEX(tblInventario[VALOR DEL INVENTARIO],MATCH($H37,tblInventario[SKU],0))),"PENDIENTE"))</f>
        <v/>
      </c>
      <c r="Q37" s="51">
        <f>IF($H37="","",IF(IF($K37="PENDIENTE"," · Sin precio de venta","")&amp;IF($L37="PENDIENTE"," · Sin costo","")&amp;IF(AND(ISNUMBER($M37),$M37&lt;0)," · MARGEN NEGATIVO","")&amp;IF(AND(ISNUMBER($M37),$M37=0)," · Utilidad cero","")&amp;IF($O37="ERROR"," · STOCK NEGATIVO","")&amp;IF($O37="AGOTADO"," · Agotado","")&amp;IF($O37="REABASTECER"," · Stock bajo","")&amp;IF(AND($H37&lt;&gt;"",COUNTIF(tblProductos[SKU],$H37)&gt;1)," · SKU DUPLICADO","")&amp;IF(AND($H37&lt;&gt;"",COUNTIF(tblCostos[SKU],$H37)=0)," · Sin fila en COSTOS","")&amp;IF($P37="PENDIENTE"," · Inventario sin valorizar","")="","OK",MID(IF($K37="PENDIENTE"," · Sin precio de venta","")&amp;IF($L37="PENDIENTE"," · Sin costo","")&amp;IF(AND(ISNUMBER($M37),$M37&lt;0)," · MARGEN NEGATIVO","")&amp;IF(AND(ISNUMBER($M37),$M37=0)," · Utilidad cero","")&amp;IF($O37="ERROR"," · STOCK NEGATIVO","")&amp;IF($O37="AGOTADO"," · Agotado","")&amp;IF($O37="REABASTECER"," · Stock bajo","")&amp;IF(AND($H37&lt;&gt;"",COUNTIF(tblProductos[SKU],$H37)&gt;1)," · SKU DUPLICADO","")&amp;IF(AND($H37&lt;&gt;"",COUNTIF(tblCostos[SKU],$H37)=0)," · Sin fila en COSTOS","")&amp;IF($P37="PENDIENTE"," · Inventario sin valorizar",""),4,900)))</f>
        <v/>
      </c>
    </row>
    <row r="38">
      <c r="A38" s="83" t="n">
        <v>31</v>
      </c>
      <c r="B38" s="18" t="inlineStr">
        <is>
          <t>Ventas pendientes de cobro (informativo)</t>
        </is>
      </c>
      <c r="C38" s="83" t="inlineStr">
        <is>
          <t>Baja</t>
        </is>
      </c>
      <c r="D38" s="39">
        <f>SUMPRODUCT((tblVentas[Saldo por cobrar]&lt;&gt;"")*(tblVentas[Saldo por cobrar]&gt;0.01))</f>
        <v/>
      </c>
      <c r="E38" s="84">
        <f>IF($D38=0,"OK",IF($C38="Alta","CORREGIR","REVISAR"))</f>
        <v/>
      </c>
      <c r="F38" s="85" t="inlineStr">
        <is>
          <t>VENTAS · columna «Saldo por cobrar»</t>
        </is>
      </c>
      <c r="H38" s="51">
        <f>IFERROR(IF(INDEX(tblProductos[SKU],ROW()-7)="","",INDEX(tblProductos[SKU],ROW()-7)),"")</f>
        <v/>
      </c>
      <c r="I38" s="51">
        <f>IF($H38="","",IFERROR(IF(INDEX(tblProductos[Nombre del producto],MATCH($H38,tblProductos[SKU],0))="","",INDEX(tblProductos[Nombre del producto],MATCH($H38,tblProductos[SKU],0))),""))</f>
        <v/>
      </c>
      <c r="J38" s="51">
        <f>IF($H38="","",IFERROR(IF(INDEX(tblProductos[Estado de datos],MATCH($H38,tblProductos[SKU],0))="","",INDEX(tblProductos[Estado de datos],MATCH($H38,tblProductos[SKU],0))),""))</f>
        <v/>
      </c>
      <c r="K38" s="37">
        <f>IF($H38="","",IFERROR(IF(INDEX(tblProductos[Precio de venta actual],MATCH($H38,tblProductos[SKU],0))="","PENDIENTE",INDEX(tblProductos[Precio de venta actual],MATCH($H38,tblProductos[SKU],0))),"PENDIENTE"))</f>
        <v/>
      </c>
      <c r="L38" s="37">
        <f>IF($H38="","",IFERROR(IF(INDEX(tblProductos[COSTO REAL UNITARIO],MATCH($H38,tblProductos[SKU],0))="","PENDIENTE",INDEX(tblProductos[COSTO REAL UNITARIO],MATCH($H38,tblProductos[SKU],0))),"PENDIENTE"))</f>
        <v/>
      </c>
      <c r="M38" s="38">
        <f>IF($H38="","",IFERROR(IF(INDEX(tblProductos[Margen bruto %],MATCH($H38,tblProductos[SKU],0))="","PENDIENTE",INDEX(tblProductos[Margen bruto %],MATCH($H38,tblProductos[SKU],0))),"PENDIENTE"))</f>
        <v/>
      </c>
      <c r="N38" s="39">
        <f>IF($H38="","",IFERROR(IF(INDEX(tblInventario[Stock actual],MATCH($H38,tblInventario[SKU],0))="","",INDEX(tblInventario[Stock actual],MATCH($H38,tblInventario[SKU],0))),""))</f>
        <v/>
      </c>
      <c r="O38" s="51">
        <f>IF($H38="","",IFERROR(IF(INDEX(tblInventario[ESTADO],MATCH($H38,tblInventario[SKU],0))="","",INDEX(tblInventario[ESTADO],MATCH($H38,tblInventario[SKU],0))),""))</f>
        <v/>
      </c>
      <c r="P38" s="37">
        <f>IF($H38="","",IFERROR(IF(INDEX(tblInventario[VALOR DEL INVENTARIO],MATCH($H38,tblInventario[SKU],0))="","PENDIENTE",INDEX(tblInventario[VALOR DEL INVENTARIO],MATCH($H38,tblInventario[SKU],0))),"PENDIENTE"))</f>
        <v/>
      </c>
      <c r="Q38" s="51">
        <f>IF($H38="","",IF(IF($K38="PENDIENTE"," · Sin precio de venta","")&amp;IF($L38="PENDIENTE"," · Sin costo","")&amp;IF(AND(ISNUMBER($M38),$M38&lt;0)," · MARGEN NEGATIVO","")&amp;IF(AND(ISNUMBER($M38),$M38=0)," · Utilidad cero","")&amp;IF($O38="ERROR"," · STOCK NEGATIVO","")&amp;IF($O38="AGOTADO"," · Agotado","")&amp;IF($O38="REABASTECER"," · Stock bajo","")&amp;IF(AND($H38&lt;&gt;"",COUNTIF(tblProductos[SKU],$H38)&gt;1)," · SKU DUPLICADO","")&amp;IF(AND($H38&lt;&gt;"",COUNTIF(tblCostos[SKU],$H38)=0)," · Sin fila en COSTOS","")&amp;IF($P38="PENDIENTE"," · Inventario sin valorizar","")="","OK",MID(IF($K38="PENDIENTE"," · Sin precio de venta","")&amp;IF($L38="PENDIENTE"," · Sin costo","")&amp;IF(AND(ISNUMBER($M38),$M38&lt;0)," · MARGEN NEGATIVO","")&amp;IF(AND(ISNUMBER($M38),$M38=0)," · Utilidad cero","")&amp;IF($O38="ERROR"," · STOCK NEGATIVO","")&amp;IF($O38="AGOTADO"," · Agotado","")&amp;IF($O38="REABASTECER"," · Stock bajo","")&amp;IF(AND($H38&lt;&gt;"",COUNTIF(tblProductos[SKU],$H38)&gt;1)," · SKU DUPLICADO","")&amp;IF(AND($H38&lt;&gt;"",COUNTIF(tblCostos[SKU],$H38)=0)," · Sin fila en COSTOS","")&amp;IF($P38="PENDIENTE"," · Inventario sin valorizar",""),4,900)))</f>
        <v/>
      </c>
    </row>
    <row r="39">
      <c r="A39" s="83" t="n">
        <v>32</v>
      </c>
      <c r="B39" s="18" t="inlineStr">
        <is>
          <t>Compras pendientes de pago (informativo)</t>
        </is>
      </c>
      <c r="C39" s="83" t="inlineStr">
        <is>
          <t>Baja</t>
        </is>
      </c>
      <c r="D39" s="39">
        <f>SUMPRODUCT((tblCompras[Saldo por pagar]&lt;&gt;"")*(tblCompras[Saldo por pagar]&gt;0.01))</f>
        <v/>
      </c>
      <c r="E39" s="84">
        <f>IF($D39=0,"OK",IF($C39="Alta","CORREGIR","REVISAR"))</f>
        <v/>
      </c>
      <c r="F39" s="85" t="inlineStr">
        <is>
          <t>COMPRAS · columna «Saldo por pagar»</t>
        </is>
      </c>
      <c r="H39" s="51">
        <f>IFERROR(IF(INDEX(tblProductos[SKU],ROW()-7)="","",INDEX(tblProductos[SKU],ROW()-7)),"")</f>
        <v/>
      </c>
      <c r="I39" s="51">
        <f>IF($H39="","",IFERROR(IF(INDEX(tblProductos[Nombre del producto],MATCH($H39,tblProductos[SKU],0))="","",INDEX(tblProductos[Nombre del producto],MATCH($H39,tblProductos[SKU],0))),""))</f>
        <v/>
      </c>
      <c r="J39" s="51">
        <f>IF($H39="","",IFERROR(IF(INDEX(tblProductos[Estado de datos],MATCH($H39,tblProductos[SKU],0))="","",INDEX(tblProductos[Estado de datos],MATCH($H39,tblProductos[SKU],0))),""))</f>
        <v/>
      </c>
      <c r="K39" s="37">
        <f>IF($H39="","",IFERROR(IF(INDEX(tblProductos[Precio de venta actual],MATCH($H39,tblProductos[SKU],0))="","PENDIENTE",INDEX(tblProductos[Precio de venta actual],MATCH($H39,tblProductos[SKU],0))),"PENDIENTE"))</f>
        <v/>
      </c>
      <c r="L39" s="37">
        <f>IF($H39="","",IFERROR(IF(INDEX(tblProductos[COSTO REAL UNITARIO],MATCH($H39,tblProductos[SKU],0))="","PENDIENTE",INDEX(tblProductos[COSTO REAL UNITARIO],MATCH($H39,tblProductos[SKU],0))),"PENDIENTE"))</f>
        <v/>
      </c>
      <c r="M39" s="38">
        <f>IF($H39="","",IFERROR(IF(INDEX(tblProductos[Margen bruto %],MATCH($H39,tblProductos[SKU],0))="","PENDIENTE",INDEX(tblProductos[Margen bruto %],MATCH($H39,tblProductos[SKU],0))),"PENDIENTE"))</f>
        <v/>
      </c>
      <c r="N39" s="39">
        <f>IF($H39="","",IFERROR(IF(INDEX(tblInventario[Stock actual],MATCH($H39,tblInventario[SKU],0))="","",INDEX(tblInventario[Stock actual],MATCH($H39,tblInventario[SKU],0))),""))</f>
        <v/>
      </c>
      <c r="O39" s="51">
        <f>IF($H39="","",IFERROR(IF(INDEX(tblInventario[ESTADO],MATCH($H39,tblInventario[SKU],0))="","",INDEX(tblInventario[ESTADO],MATCH($H39,tblInventario[SKU],0))),""))</f>
        <v/>
      </c>
      <c r="P39" s="37">
        <f>IF($H39="","",IFERROR(IF(INDEX(tblInventario[VALOR DEL INVENTARIO],MATCH($H39,tblInventario[SKU],0))="","PENDIENTE",INDEX(tblInventario[VALOR DEL INVENTARIO],MATCH($H39,tblInventario[SKU],0))),"PENDIENTE"))</f>
        <v/>
      </c>
      <c r="Q39" s="51">
        <f>IF($H39="","",IF(IF($K39="PENDIENTE"," · Sin precio de venta","")&amp;IF($L39="PENDIENTE"," · Sin costo","")&amp;IF(AND(ISNUMBER($M39),$M39&lt;0)," · MARGEN NEGATIVO","")&amp;IF(AND(ISNUMBER($M39),$M39=0)," · Utilidad cero","")&amp;IF($O39="ERROR"," · STOCK NEGATIVO","")&amp;IF($O39="AGOTADO"," · Agotado","")&amp;IF($O39="REABASTECER"," · Stock bajo","")&amp;IF(AND($H39&lt;&gt;"",COUNTIF(tblProductos[SKU],$H39)&gt;1)," · SKU DUPLICADO","")&amp;IF(AND($H39&lt;&gt;"",COUNTIF(tblCostos[SKU],$H39)=0)," · Sin fila en COSTOS","")&amp;IF($P39="PENDIENTE"," · Inventario sin valorizar","")="","OK",MID(IF($K39="PENDIENTE"," · Sin precio de venta","")&amp;IF($L39="PENDIENTE"," · Sin costo","")&amp;IF(AND(ISNUMBER($M39),$M39&lt;0)," · MARGEN NEGATIVO","")&amp;IF(AND(ISNUMBER($M39),$M39=0)," · Utilidad cero","")&amp;IF($O39="ERROR"," · STOCK NEGATIVO","")&amp;IF($O39="AGOTADO"," · Agotado","")&amp;IF($O39="REABASTECER"," · Stock bajo","")&amp;IF(AND($H39&lt;&gt;"",COUNTIF(tblProductos[SKU],$H39)&gt;1)," · SKU DUPLICADO","")&amp;IF(AND($H39&lt;&gt;"",COUNTIF(tblCostos[SKU],$H39)=0)," · Sin fila en COSTOS","")&amp;IF($P39="PENDIENTE"," · Inventario sin valorizar",""),4,900)))</f>
        <v/>
      </c>
    </row>
    <row r="40">
      <c r="H40" s="51">
        <f>IFERROR(IF(INDEX(tblProductos[SKU],ROW()-7)="","",INDEX(tblProductos[SKU],ROW()-7)),"")</f>
        <v/>
      </c>
      <c r="I40" s="51">
        <f>IF($H40="","",IFERROR(IF(INDEX(tblProductos[Nombre del producto],MATCH($H40,tblProductos[SKU],0))="","",INDEX(tblProductos[Nombre del producto],MATCH($H40,tblProductos[SKU],0))),""))</f>
        <v/>
      </c>
      <c r="J40" s="51">
        <f>IF($H40="","",IFERROR(IF(INDEX(tblProductos[Estado de datos],MATCH($H40,tblProductos[SKU],0))="","",INDEX(tblProductos[Estado de datos],MATCH($H40,tblProductos[SKU],0))),""))</f>
        <v/>
      </c>
      <c r="K40" s="37">
        <f>IF($H40="","",IFERROR(IF(INDEX(tblProductos[Precio de venta actual],MATCH($H40,tblProductos[SKU],0))="","PENDIENTE",INDEX(tblProductos[Precio de venta actual],MATCH($H40,tblProductos[SKU],0))),"PENDIENTE"))</f>
        <v/>
      </c>
      <c r="L40" s="37">
        <f>IF($H40="","",IFERROR(IF(INDEX(tblProductos[COSTO REAL UNITARIO],MATCH($H40,tblProductos[SKU],0))="","PENDIENTE",INDEX(tblProductos[COSTO REAL UNITARIO],MATCH($H40,tblProductos[SKU],0))),"PENDIENTE"))</f>
        <v/>
      </c>
      <c r="M40" s="38">
        <f>IF($H40="","",IFERROR(IF(INDEX(tblProductos[Margen bruto %],MATCH($H40,tblProductos[SKU],0))="","PENDIENTE",INDEX(tblProductos[Margen bruto %],MATCH($H40,tblProductos[SKU],0))),"PENDIENTE"))</f>
        <v/>
      </c>
      <c r="N40" s="39">
        <f>IF($H40="","",IFERROR(IF(INDEX(tblInventario[Stock actual],MATCH($H40,tblInventario[SKU],0))="","",INDEX(tblInventario[Stock actual],MATCH($H40,tblInventario[SKU],0))),""))</f>
        <v/>
      </c>
      <c r="O40" s="51">
        <f>IF($H40="","",IFERROR(IF(INDEX(tblInventario[ESTADO],MATCH($H40,tblInventario[SKU],0))="","",INDEX(tblInventario[ESTADO],MATCH($H40,tblInventario[SKU],0))),""))</f>
        <v/>
      </c>
      <c r="P40" s="37">
        <f>IF($H40="","",IFERROR(IF(INDEX(tblInventario[VALOR DEL INVENTARIO],MATCH($H40,tblInventario[SKU],0))="","PENDIENTE",INDEX(tblInventario[VALOR DEL INVENTARIO],MATCH($H40,tblInventario[SKU],0))),"PENDIENTE"))</f>
        <v/>
      </c>
      <c r="Q40" s="51">
        <f>IF($H40="","",IF(IF($K40="PENDIENTE"," · Sin precio de venta","")&amp;IF($L40="PENDIENTE"," · Sin costo","")&amp;IF(AND(ISNUMBER($M40),$M40&lt;0)," · MARGEN NEGATIVO","")&amp;IF(AND(ISNUMBER($M40),$M40=0)," · Utilidad cero","")&amp;IF($O40="ERROR"," · STOCK NEGATIVO","")&amp;IF($O40="AGOTADO"," · Agotado","")&amp;IF($O40="REABASTECER"," · Stock bajo","")&amp;IF(AND($H40&lt;&gt;"",COUNTIF(tblProductos[SKU],$H40)&gt;1)," · SKU DUPLICADO","")&amp;IF(AND($H40&lt;&gt;"",COUNTIF(tblCostos[SKU],$H40)=0)," · Sin fila en COSTOS","")&amp;IF($P40="PENDIENTE"," · Inventario sin valorizar","")="","OK",MID(IF($K40="PENDIENTE"," · Sin precio de venta","")&amp;IF($L40="PENDIENTE"," · Sin costo","")&amp;IF(AND(ISNUMBER($M40),$M40&lt;0)," · MARGEN NEGATIVO","")&amp;IF(AND(ISNUMBER($M40),$M40=0)," · Utilidad cero","")&amp;IF($O40="ERROR"," · STOCK NEGATIVO","")&amp;IF($O40="AGOTADO"," · Agotado","")&amp;IF($O40="REABASTECER"," · Stock bajo","")&amp;IF(AND($H40&lt;&gt;"",COUNTIF(tblProductos[SKU],$H40)&gt;1)," · SKU DUPLICADO","")&amp;IF(AND($H40&lt;&gt;"",COUNTIF(tblCostos[SKU],$H40)=0)," · Sin fila en COSTOS","")&amp;IF($P40="PENDIENTE"," · Inventario sin valorizar",""),4,900)))</f>
        <v/>
      </c>
    </row>
    <row r="41">
      <c r="H41" s="51">
        <f>IFERROR(IF(INDEX(tblProductos[SKU],ROW()-7)="","",INDEX(tblProductos[SKU],ROW()-7)),"")</f>
        <v/>
      </c>
      <c r="I41" s="51">
        <f>IF($H41="","",IFERROR(IF(INDEX(tblProductos[Nombre del producto],MATCH($H41,tblProductos[SKU],0))="","",INDEX(tblProductos[Nombre del producto],MATCH($H41,tblProductos[SKU],0))),""))</f>
        <v/>
      </c>
      <c r="J41" s="51">
        <f>IF($H41="","",IFERROR(IF(INDEX(tblProductos[Estado de datos],MATCH($H41,tblProductos[SKU],0))="","",INDEX(tblProductos[Estado de datos],MATCH($H41,tblProductos[SKU],0))),""))</f>
        <v/>
      </c>
      <c r="K41" s="37">
        <f>IF($H41="","",IFERROR(IF(INDEX(tblProductos[Precio de venta actual],MATCH($H41,tblProductos[SKU],0))="","PENDIENTE",INDEX(tblProductos[Precio de venta actual],MATCH($H41,tblProductos[SKU],0))),"PENDIENTE"))</f>
        <v/>
      </c>
      <c r="L41" s="37">
        <f>IF($H41="","",IFERROR(IF(INDEX(tblProductos[COSTO REAL UNITARIO],MATCH($H41,tblProductos[SKU],0))="","PENDIENTE",INDEX(tblProductos[COSTO REAL UNITARIO],MATCH($H41,tblProductos[SKU],0))),"PENDIENTE"))</f>
        <v/>
      </c>
      <c r="M41" s="38">
        <f>IF($H41="","",IFERROR(IF(INDEX(tblProductos[Margen bruto %],MATCH($H41,tblProductos[SKU],0))="","PENDIENTE",INDEX(tblProductos[Margen bruto %],MATCH($H41,tblProductos[SKU],0))),"PENDIENTE"))</f>
        <v/>
      </c>
      <c r="N41" s="39">
        <f>IF($H41="","",IFERROR(IF(INDEX(tblInventario[Stock actual],MATCH($H41,tblInventario[SKU],0))="","",INDEX(tblInventario[Stock actual],MATCH($H41,tblInventario[SKU],0))),""))</f>
        <v/>
      </c>
      <c r="O41" s="51">
        <f>IF($H41="","",IFERROR(IF(INDEX(tblInventario[ESTADO],MATCH($H41,tblInventario[SKU],0))="","",INDEX(tblInventario[ESTADO],MATCH($H41,tblInventario[SKU],0))),""))</f>
        <v/>
      </c>
      <c r="P41" s="37">
        <f>IF($H41="","",IFERROR(IF(INDEX(tblInventario[VALOR DEL INVENTARIO],MATCH($H41,tblInventario[SKU],0))="","PENDIENTE",INDEX(tblInventario[VALOR DEL INVENTARIO],MATCH($H41,tblInventario[SKU],0))),"PENDIENTE"))</f>
        <v/>
      </c>
      <c r="Q41" s="51">
        <f>IF($H41="","",IF(IF($K41="PENDIENTE"," · Sin precio de venta","")&amp;IF($L41="PENDIENTE"," · Sin costo","")&amp;IF(AND(ISNUMBER($M41),$M41&lt;0)," · MARGEN NEGATIVO","")&amp;IF(AND(ISNUMBER($M41),$M41=0)," · Utilidad cero","")&amp;IF($O41="ERROR"," · STOCK NEGATIVO","")&amp;IF($O41="AGOTADO"," · Agotado","")&amp;IF($O41="REABASTECER"," · Stock bajo","")&amp;IF(AND($H41&lt;&gt;"",COUNTIF(tblProductos[SKU],$H41)&gt;1)," · SKU DUPLICADO","")&amp;IF(AND($H41&lt;&gt;"",COUNTIF(tblCostos[SKU],$H41)=0)," · Sin fila en COSTOS","")&amp;IF($P41="PENDIENTE"," · Inventario sin valorizar","")="","OK",MID(IF($K41="PENDIENTE"," · Sin precio de venta","")&amp;IF($L41="PENDIENTE"," · Sin costo","")&amp;IF(AND(ISNUMBER($M41),$M41&lt;0)," · MARGEN NEGATIVO","")&amp;IF(AND(ISNUMBER($M41),$M41=0)," · Utilidad cero","")&amp;IF($O41="ERROR"," · STOCK NEGATIVO","")&amp;IF($O41="AGOTADO"," · Agotado","")&amp;IF($O41="REABASTECER"," · Stock bajo","")&amp;IF(AND($H41&lt;&gt;"",COUNTIF(tblProductos[SKU],$H41)&gt;1)," · SKU DUPLICADO","")&amp;IF(AND($H41&lt;&gt;"",COUNTIF(tblCostos[SKU],$H41)=0)," · Sin fila en COSTOS","")&amp;IF($P41="PENDIENTE"," · Inventario sin valorizar",""),4,900)))</f>
        <v/>
      </c>
    </row>
    <row r="42">
      <c r="H42" s="51">
        <f>IFERROR(IF(INDEX(tblProductos[SKU],ROW()-7)="","",INDEX(tblProductos[SKU],ROW()-7)),"")</f>
        <v/>
      </c>
      <c r="I42" s="51">
        <f>IF($H42="","",IFERROR(IF(INDEX(tblProductos[Nombre del producto],MATCH($H42,tblProductos[SKU],0))="","",INDEX(tblProductos[Nombre del producto],MATCH($H42,tblProductos[SKU],0))),""))</f>
        <v/>
      </c>
      <c r="J42" s="51">
        <f>IF($H42="","",IFERROR(IF(INDEX(tblProductos[Estado de datos],MATCH($H42,tblProductos[SKU],0))="","",INDEX(tblProductos[Estado de datos],MATCH($H42,tblProductos[SKU],0))),""))</f>
        <v/>
      </c>
      <c r="K42" s="37">
        <f>IF($H42="","",IFERROR(IF(INDEX(tblProductos[Precio de venta actual],MATCH($H42,tblProductos[SKU],0))="","PENDIENTE",INDEX(tblProductos[Precio de venta actual],MATCH($H42,tblProductos[SKU],0))),"PENDIENTE"))</f>
        <v/>
      </c>
      <c r="L42" s="37">
        <f>IF($H42="","",IFERROR(IF(INDEX(tblProductos[COSTO REAL UNITARIO],MATCH($H42,tblProductos[SKU],0))="","PENDIENTE",INDEX(tblProductos[COSTO REAL UNITARIO],MATCH($H42,tblProductos[SKU],0))),"PENDIENTE"))</f>
        <v/>
      </c>
      <c r="M42" s="38">
        <f>IF($H42="","",IFERROR(IF(INDEX(tblProductos[Margen bruto %],MATCH($H42,tblProductos[SKU],0))="","PENDIENTE",INDEX(tblProductos[Margen bruto %],MATCH($H42,tblProductos[SKU],0))),"PENDIENTE"))</f>
        <v/>
      </c>
      <c r="N42" s="39">
        <f>IF($H42="","",IFERROR(IF(INDEX(tblInventario[Stock actual],MATCH($H42,tblInventario[SKU],0))="","",INDEX(tblInventario[Stock actual],MATCH($H42,tblInventario[SKU],0))),""))</f>
        <v/>
      </c>
      <c r="O42" s="51">
        <f>IF($H42="","",IFERROR(IF(INDEX(tblInventario[ESTADO],MATCH($H42,tblInventario[SKU],0))="","",INDEX(tblInventario[ESTADO],MATCH($H42,tblInventario[SKU],0))),""))</f>
        <v/>
      </c>
      <c r="P42" s="37">
        <f>IF($H42="","",IFERROR(IF(INDEX(tblInventario[VALOR DEL INVENTARIO],MATCH($H42,tblInventario[SKU],0))="","PENDIENTE",INDEX(tblInventario[VALOR DEL INVENTARIO],MATCH($H42,tblInventario[SKU],0))),"PENDIENTE"))</f>
        <v/>
      </c>
      <c r="Q42" s="51">
        <f>IF($H42="","",IF(IF($K42="PENDIENTE"," · Sin precio de venta","")&amp;IF($L42="PENDIENTE"," · Sin costo","")&amp;IF(AND(ISNUMBER($M42),$M42&lt;0)," · MARGEN NEGATIVO","")&amp;IF(AND(ISNUMBER($M42),$M42=0)," · Utilidad cero","")&amp;IF($O42="ERROR"," · STOCK NEGATIVO","")&amp;IF($O42="AGOTADO"," · Agotado","")&amp;IF($O42="REABASTECER"," · Stock bajo","")&amp;IF(AND($H42&lt;&gt;"",COUNTIF(tblProductos[SKU],$H42)&gt;1)," · SKU DUPLICADO","")&amp;IF(AND($H42&lt;&gt;"",COUNTIF(tblCostos[SKU],$H42)=0)," · Sin fila en COSTOS","")&amp;IF($P42="PENDIENTE"," · Inventario sin valorizar","")="","OK",MID(IF($K42="PENDIENTE"," · Sin precio de venta","")&amp;IF($L42="PENDIENTE"," · Sin costo","")&amp;IF(AND(ISNUMBER($M42),$M42&lt;0)," · MARGEN NEGATIVO","")&amp;IF(AND(ISNUMBER($M42),$M42=0)," · Utilidad cero","")&amp;IF($O42="ERROR"," · STOCK NEGATIVO","")&amp;IF($O42="AGOTADO"," · Agotado","")&amp;IF($O42="REABASTECER"," · Stock bajo","")&amp;IF(AND($H42&lt;&gt;"",COUNTIF(tblProductos[SKU],$H42)&gt;1)," · SKU DUPLICADO","")&amp;IF(AND($H42&lt;&gt;"",COUNTIF(tblCostos[SKU],$H42)=0)," · Sin fila en COSTOS","")&amp;IF($P42="PENDIENTE"," · Inventario sin valorizar",""),4,900)))</f>
        <v/>
      </c>
    </row>
    <row r="43">
      <c r="H43" s="51">
        <f>IFERROR(IF(INDEX(tblProductos[SKU],ROW()-7)="","",INDEX(tblProductos[SKU],ROW()-7)),"")</f>
        <v/>
      </c>
      <c r="I43" s="51">
        <f>IF($H43="","",IFERROR(IF(INDEX(tblProductos[Nombre del producto],MATCH($H43,tblProductos[SKU],0))="","",INDEX(tblProductos[Nombre del producto],MATCH($H43,tblProductos[SKU],0))),""))</f>
        <v/>
      </c>
      <c r="J43" s="51">
        <f>IF($H43="","",IFERROR(IF(INDEX(tblProductos[Estado de datos],MATCH($H43,tblProductos[SKU],0))="","",INDEX(tblProductos[Estado de datos],MATCH($H43,tblProductos[SKU],0))),""))</f>
        <v/>
      </c>
      <c r="K43" s="37">
        <f>IF($H43="","",IFERROR(IF(INDEX(tblProductos[Precio de venta actual],MATCH($H43,tblProductos[SKU],0))="","PENDIENTE",INDEX(tblProductos[Precio de venta actual],MATCH($H43,tblProductos[SKU],0))),"PENDIENTE"))</f>
        <v/>
      </c>
      <c r="L43" s="37">
        <f>IF($H43="","",IFERROR(IF(INDEX(tblProductos[COSTO REAL UNITARIO],MATCH($H43,tblProductos[SKU],0))="","PENDIENTE",INDEX(tblProductos[COSTO REAL UNITARIO],MATCH($H43,tblProductos[SKU],0))),"PENDIENTE"))</f>
        <v/>
      </c>
      <c r="M43" s="38">
        <f>IF($H43="","",IFERROR(IF(INDEX(tblProductos[Margen bruto %],MATCH($H43,tblProductos[SKU],0))="","PENDIENTE",INDEX(tblProductos[Margen bruto %],MATCH($H43,tblProductos[SKU],0))),"PENDIENTE"))</f>
        <v/>
      </c>
      <c r="N43" s="39">
        <f>IF($H43="","",IFERROR(IF(INDEX(tblInventario[Stock actual],MATCH($H43,tblInventario[SKU],0))="","",INDEX(tblInventario[Stock actual],MATCH($H43,tblInventario[SKU],0))),""))</f>
        <v/>
      </c>
      <c r="O43" s="51">
        <f>IF($H43="","",IFERROR(IF(INDEX(tblInventario[ESTADO],MATCH($H43,tblInventario[SKU],0))="","",INDEX(tblInventario[ESTADO],MATCH($H43,tblInventario[SKU],0))),""))</f>
        <v/>
      </c>
      <c r="P43" s="37">
        <f>IF($H43="","",IFERROR(IF(INDEX(tblInventario[VALOR DEL INVENTARIO],MATCH($H43,tblInventario[SKU],0))="","PENDIENTE",INDEX(tblInventario[VALOR DEL INVENTARIO],MATCH($H43,tblInventario[SKU],0))),"PENDIENTE"))</f>
        <v/>
      </c>
      <c r="Q43" s="51">
        <f>IF($H43="","",IF(IF($K43="PENDIENTE"," · Sin precio de venta","")&amp;IF($L43="PENDIENTE"," · Sin costo","")&amp;IF(AND(ISNUMBER($M43),$M43&lt;0)," · MARGEN NEGATIVO","")&amp;IF(AND(ISNUMBER($M43),$M43=0)," · Utilidad cero","")&amp;IF($O43="ERROR"," · STOCK NEGATIVO","")&amp;IF($O43="AGOTADO"," · Agotado","")&amp;IF($O43="REABASTECER"," · Stock bajo","")&amp;IF(AND($H43&lt;&gt;"",COUNTIF(tblProductos[SKU],$H43)&gt;1)," · SKU DUPLICADO","")&amp;IF(AND($H43&lt;&gt;"",COUNTIF(tblCostos[SKU],$H43)=0)," · Sin fila en COSTOS","")&amp;IF($P43="PENDIENTE"," · Inventario sin valorizar","")="","OK",MID(IF($K43="PENDIENTE"," · Sin precio de venta","")&amp;IF($L43="PENDIENTE"," · Sin costo","")&amp;IF(AND(ISNUMBER($M43),$M43&lt;0)," · MARGEN NEGATIVO","")&amp;IF(AND(ISNUMBER($M43),$M43=0)," · Utilidad cero","")&amp;IF($O43="ERROR"," · STOCK NEGATIVO","")&amp;IF($O43="AGOTADO"," · Agotado","")&amp;IF($O43="REABASTECER"," · Stock bajo","")&amp;IF(AND($H43&lt;&gt;"",COUNTIF(tblProductos[SKU],$H43)&gt;1)," · SKU DUPLICADO","")&amp;IF(AND($H43&lt;&gt;"",COUNTIF(tblCostos[SKU],$H43)=0)," · Sin fila en COSTOS","")&amp;IF($P43="PENDIENTE"," · Inventario sin valorizar",""),4,900)))</f>
        <v/>
      </c>
    </row>
    <row r="44">
      <c r="H44" s="51">
        <f>IFERROR(IF(INDEX(tblProductos[SKU],ROW()-7)="","",INDEX(tblProductos[SKU],ROW()-7)),"")</f>
        <v/>
      </c>
      <c r="I44" s="51">
        <f>IF($H44="","",IFERROR(IF(INDEX(tblProductos[Nombre del producto],MATCH($H44,tblProductos[SKU],0))="","",INDEX(tblProductos[Nombre del producto],MATCH($H44,tblProductos[SKU],0))),""))</f>
        <v/>
      </c>
      <c r="J44" s="51">
        <f>IF($H44="","",IFERROR(IF(INDEX(tblProductos[Estado de datos],MATCH($H44,tblProductos[SKU],0))="","",INDEX(tblProductos[Estado de datos],MATCH($H44,tblProductos[SKU],0))),""))</f>
        <v/>
      </c>
      <c r="K44" s="37">
        <f>IF($H44="","",IFERROR(IF(INDEX(tblProductos[Precio de venta actual],MATCH($H44,tblProductos[SKU],0))="","PENDIENTE",INDEX(tblProductos[Precio de venta actual],MATCH($H44,tblProductos[SKU],0))),"PENDIENTE"))</f>
        <v/>
      </c>
      <c r="L44" s="37">
        <f>IF($H44="","",IFERROR(IF(INDEX(tblProductos[COSTO REAL UNITARIO],MATCH($H44,tblProductos[SKU],0))="","PENDIENTE",INDEX(tblProductos[COSTO REAL UNITARIO],MATCH($H44,tblProductos[SKU],0))),"PENDIENTE"))</f>
        <v/>
      </c>
      <c r="M44" s="38">
        <f>IF($H44="","",IFERROR(IF(INDEX(tblProductos[Margen bruto %],MATCH($H44,tblProductos[SKU],0))="","PENDIENTE",INDEX(tblProductos[Margen bruto %],MATCH($H44,tblProductos[SKU],0))),"PENDIENTE"))</f>
        <v/>
      </c>
      <c r="N44" s="39">
        <f>IF($H44="","",IFERROR(IF(INDEX(tblInventario[Stock actual],MATCH($H44,tblInventario[SKU],0))="","",INDEX(tblInventario[Stock actual],MATCH($H44,tblInventario[SKU],0))),""))</f>
        <v/>
      </c>
      <c r="O44" s="51">
        <f>IF($H44="","",IFERROR(IF(INDEX(tblInventario[ESTADO],MATCH($H44,tblInventario[SKU],0))="","",INDEX(tblInventario[ESTADO],MATCH($H44,tblInventario[SKU],0))),""))</f>
        <v/>
      </c>
      <c r="P44" s="37">
        <f>IF($H44="","",IFERROR(IF(INDEX(tblInventario[VALOR DEL INVENTARIO],MATCH($H44,tblInventario[SKU],0))="","PENDIENTE",INDEX(tblInventario[VALOR DEL INVENTARIO],MATCH($H44,tblInventario[SKU],0))),"PENDIENTE"))</f>
        <v/>
      </c>
      <c r="Q44" s="51">
        <f>IF($H44="","",IF(IF($K44="PENDIENTE"," · Sin precio de venta","")&amp;IF($L44="PENDIENTE"," · Sin costo","")&amp;IF(AND(ISNUMBER($M44),$M44&lt;0)," · MARGEN NEGATIVO","")&amp;IF(AND(ISNUMBER($M44),$M44=0)," · Utilidad cero","")&amp;IF($O44="ERROR"," · STOCK NEGATIVO","")&amp;IF($O44="AGOTADO"," · Agotado","")&amp;IF($O44="REABASTECER"," · Stock bajo","")&amp;IF(AND($H44&lt;&gt;"",COUNTIF(tblProductos[SKU],$H44)&gt;1)," · SKU DUPLICADO","")&amp;IF(AND($H44&lt;&gt;"",COUNTIF(tblCostos[SKU],$H44)=0)," · Sin fila en COSTOS","")&amp;IF($P44="PENDIENTE"," · Inventario sin valorizar","")="","OK",MID(IF($K44="PENDIENTE"," · Sin precio de venta","")&amp;IF($L44="PENDIENTE"," · Sin costo","")&amp;IF(AND(ISNUMBER($M44),$M44&lt;0)," · MARGEN NEGATIVO","")&amp;IF(AND(ISNUMBER($M44),$M44=0)," · Utilidad cero","")&amp;IF($O44="ERROR"," · STOCK NEGATIVO","")&amp;IF($O44="AGOTADO"," · Agotado","")&amp;IF($O44="REABASTECER"," · Stock bajo","")&amp;IF(AND($H44&lt;&gt;"",COUNTIF(tblProductos[SKU],$H44)&gt;1)," · SKU DUPLICADO","")&amp;IF(AND($H44&lt;&gt;"",COUNTIF(tblCostos[SKU],$H44)=0)," · Sin fila en COSTOS","")&amp;IF($P44="PENDIENTE"," · Inventario sin valorizar",""),4,900)))</f>
        <v/>
      </c>
    </row>
    <row r="45">
      <c r="H45" s="51">
        <f>IFERROR(IF(INDEX(tblProductos[SKU],ROW()-7)="","",INDEX(tblProductos[SKU],ROW()-7)),"")</f>
        <v/>
      </c>
      <c r="I45" s="51">
        <f>IF($H45="","",IFERROR(IF(INDEX(tblProductos[Nombre del producto],MATCH($H45,tblProductos[SKU],0))="","",INDEX(tblProductos[Nombre del producto],MATCH($H45,tblProductos[SKU],0))),""))</f>
        <v/>
      </c>
      <c r="J45" s="51">
        <f>IF($H45="","",IFERROR(IF(INDEX(tblProductos[Estado de datos],MATCH($H45,tblProductos[SKU],0))="","",INDEX(tblProductos[Estado de datos],MATCH($H45,tblProductos[SKU],0))),""))</f>
        <v/>
      </c>
      <c r="K45" s="37">
        <f>IF($H45="","",IFERROR(IF(INDEX(tblProductos[Precio de venta actual],MATCH($H45,tblProductos[SKU],0))="","PENDIENTE",INDEX(tblProductos[Precio de venta actual],MATCH($H45,tblProductos[SKU],0))),"PENDIENTE"))</f>
        <v/>
      </c>
      <c r="L45" s="37">
        <f>IF($H45="","",IFERROR(IF(INDEX(tblProductos[COSTO REAL UNITARIO],MATCH($H45,tblProductos[SKU],0))="","PENDIENTE",INDEX(tblProductos[COSTO REAL UNITARIO],MATCH($H45,tblProductos[SKU],0))),"PENDIENTE"))</f>
        <v/>
      </c>
      <c r="M45" s="38">
        <f>IF($H45="","",IFERROR(IF(INDEX(tblProductos[Margen bruto %],MATCH($H45,tblProductos[SKU],0))="","PENDIENTE",INDEX(tblProductos[Margen bruto %],MATCH($H45,tblProductos[SKU],0))),"PENDIENTE"))</f>
        <v/>
      </c>
      <c r="N45" s="39">
        <f>IF($H45="","",IFERROR(IF(INDEX(tblInventario[Stock actual],MATCH($H45,tblInventario[SKU],0))="","",INDEX(tblInventario[Stock actual],MATCH($H45,tblInventario[SKU],0))),""))</f>
        <v/>
      </c>
      <c r="O45" s="51">
        <f>IF($H45="","",IFERROR(IF(INDEX(tblInventario[ESTADO],MATCH($H45,tblInventario[SKU],0))="","",INDEX(tblInventario[ESTADO],MATCH($H45,tblInventario[SKU],0))),""))</f>
        <v/>
      </c>
      <c r="P45" s="37">
        <f>IF($H45="","",IFERROR(IF(INDEX(tblInventario[VALOR DEL INVENTARIO],MATCH($H45,tblInventario[SKU],0))="","PENDIENTE",INDEX(tblInventario[VALOR DEL INVENTARIO],MATCH($H45,tblInventario[SKU],0))),"PENDIENTE"))</f>
        <v/>
      </c>
      <c r="Q45" s="51">
        <f>IF($H45="","",IF(IF($K45="PENDIENTE"," · Sin precio de venta","")&amp;IF($L45="PENDIENTE"," · Sin costo","")&amp;IF(AND(ISNUMBER($M45),$M45&lt;0)," · MARGEN NEGATIVO","")&amp;IF(AND(ISNUMBER($M45),$M45=0)," · Utilidad cero","")&amp;IF($O45="ERROR"," · STOCK NEGATIVO","")&amp;IF($O45="AGOTADO"," · Agotado","")&amp;IF($O45="REABASTECER"," · Stock bajo","")&amp;IF(AND($H45&lt;&gt;"",COUNTIF(tblProductos[SKU],$H45)&gt;1)," · SKU DUPLICADO","")&amp;IF(AND($H45&lt;&gt;"",COUNTIF(tblCostos[SKU],$H45)=0)," · Sin fila en COSTOS","")&amp;IF($P45="PENDIENTE"," · Inventario sin valorizar","")="","OK",MID(IF($K45="PENDIENTE"," · Sin precio de venta","")&amp;IF($L45="PENDIENTE"," · Sin costo","")&amp;IF(AND(ISNUMBER($M45),$M45&lt;0)," · MARGEN NEGATIVO","")&amp;IF(AND(ISNUMBER($M45),$M45=0)," · Utilidad cero","")&amp;IF($O45="ERROR"," · STOCK NEGATIVO","")&amp;IF($O45="AGOTADO"," · Agotado","")&amp;IF($O45="REABASTECER"," · Stock bajo","")&amp;IF(AND($H45&lt;&gt;"",COUNTIF(tblProductos[SKU],$H45)&gt;1)," · SKU DUPLICADO","")&amp;IF(AND($H45&lt;&gt;"",COUNTIF(tblCostos[SKU],$H45)=0)," · Sin fila en COSTOS","")&amp;IF($P45="PENDIENTE"," · Inventario sin valorizar",""),4,900)))</f>
        <v/>
      </c>
    </row>
    <row r="46">
      <c r="H46" s="51">
        <f>IFERROR(IF(INDEX(tblProductos[SKU],ROW()-7)="","",INDEX(tblProductos[SKU],ROW()-7)),"")</f>
        <v/>
      </c>
      <c r="I46" s="51">
        <f>IF($H46="","",IFERROR(IF(INDEX(tblProductos[Nombre del producto],MATCH($H46,tblProductos[SKU],0))="","",INDEX(tblProductos[Nombre del producto],MATCH($H46,tblProductos[SKU],0))),""))</f>
        <v/>
      </c>
      <c r="J46" s="51">
        <f>IF($H46="","",IFERROR(IF(INDEX(tblProductos[Estado de datos],MATCH($H46,tblProductos[SKU],0))="","",INDEX(tblProductos[Estado de datos],MATCH($H46,tblProductos[SKU],0))),""))</f>
        <v/>
      </c>
      <c r="K46" s="37">
        <f>IF($H46="","",IFERROR(IF(INDEX(tblProductos[Precio de venta actual],MATCH($H46,tblProductos[SKU],0))="","PENDIENTE",INDEX(tblProductos[Precio de venta actual],MATCH($H46,tblProductos[SKU],0))),"PENDIENTE"))</f>
        <v/>
      </c>
      <c r="L46" s="37">
        <f>IF($H46="","",IFERROR(IF(INDEX(tblProductos[COSTO REAL UNITARIO],MATCH($H46,tblProductos[SKU],0))="","PENDIENTE",INDEX(tblProductos[COSTO REAL UNITARIO],MATCH($H46,tblProductos[SKU],0))),"PENDIENTE"))</f>
        <v/>
      </c>
      <c r="M46" s="38">
        <f>IF($H46="","",IFERROR(IF(INDEX(tblProductos[Margen bruto %],MATCH($H46,tblProductos[SKU],0))="","PENDIENTE",INDEX(tblProductos[Margen bruto %],MATCH($H46,tblProductos[SKU],0))),"PENDIENTE"))</f>
        <v/>
      </c>
      <c r="N46" s="39">
        <f>IF($H46="","",IFERROR(IF(INDEX(tblInventario[Stock actual],MATCH($H46,tblInventario[SKU],0))="","",INDEX(tblInventario[Stock actual],MATCH($H46,tblInventario[SKU],0))),""))</f>
        <v/>
      </c>
      <c r="O46" s="51">
        <f>IF($H46="","",IFERROR(IF(INDEX(tblInventario[ESTADO],MATCH($H46,tblInventario[SKU],0))="","",INDEX(tblInventario[ESTADO],MATCH($H46,tblInventario[SKU],0))),""))</f>
        <v/>
      </c>
      <c r="P46" s="37">
        <f>IF($H46="","",IFERROR(IF(INDEX(tblInventario[VALOR DEL INVENTARIO],MATCH($H46,tblInventario[SKU],0))="","PENDIENTE",INDEX(tblInventario[VALOR DEL INVENTARIO],MATCH($H46,tblInventario[SKU],0))),"PENDIENTE"))</f>
        <v/>
      </c>
      <c r="Q46" s="51">
        <f>IF($H46="","",IF(IF($K46="PENDIENTE"," · Sin precio de venta","")&amp;IF($L46="PENDIENTE"," · Sin costo","")&amp;IF(AND(ISNUMBER($M46),$M46&lt;0)," · MARGEN NEGATIVO","")&amp;IF(AND(ISNUMBER($M46),$M46=0)," · Utilidad cero","")&amp;IF($O46="ERROR"," · STOCK NEGATIVO","")&amp;IF($O46="AGOTADO"," · Agotado","")&amp;IF($O46="REABASTECER"," · Stock bajo","")&amp;IF(AND($H46&lt;&gt;"",COUNTIF(tblProductos[SKU],$H46)&gt;1)," · SKU DUPLICADO","")&amp;IF(AND($H46&lt;&gt;"",COUNTIF(tblCostos[SKU],$H46)=0)," · Sin fila en COSTOS","")&amp;IF($P46="PENDIENTE"," · Inventario sin valorizar","")="","OK",MID(IF($K46="PENDIENTE"," · Sin precio de venta","")&amp;IF($L46="PENDIENTE"," · Sin costo","")&amp;IF(AND(ISNUMBER($M46),$M46&lt;0)," · MARGEN NEGATIVO","")&amp;IF(AND(ISNUMBER($M46),$M46=0)," · Utilidad cero","")&amp;IF($O46="ERROR"," · STOCK NEGATIVO","")&amp;IF($O46="AGOTADO"," · Agotado","")&amp;IF($O46="REABASTECER"," · Stock bajo","")&amp;IF(AND($H46&lt;&gt;"",COUNTIF(tblProductos[SKU],$H46)&gt;1)," · SKU DUPLICADO","")&amp;IF(AND($H46&lt;&gt;"",COUNTIF(tblCostos[SKU],$H46)=0)," · Sin fila en COSTOS","")&amp;IF($P46="PENDIENTE"," · Inventario sin valorizar",""),4,900)))</f>
        <v/>
      </c>
    </row>
    <row r="47">
      <c r="H47" s="51">
        <f>IFERROR(IF(INDEX(tblProductos[SKU],ROW()-7)="","",INDEX(tblProductos[SKU],ROW()-7)),"")</f>
        <v/>
      </c>
      <c r="I47" s="51">
        <f>IF($H47="","",IFERROR(IF(INDEX(tblProductos[Nombre del producto],MATCH($H47,tblProductos[SKU],0))="","",INDEX(tblProductos[Nombre del producto],MATCH($H47,tblProductos[SKU],0))),""))</f>
        <v/>
      </c>
      <c r="J47" s="51">
        <f>IF($H47="","",IFERROR(IF(INDEX(tblProductos[Estado de datos],MATCH($H47,tblProductos[SKU],0))="","",INDEX(tblProductos[Estado de datos],MATCH($H47,tblProductos[SKU],0))),""))</f>
        <v/>
      </c>
      <c r="K47" s="37">
        <f>IF($H47="","",IFERROR(IF(INDEX(tblProductos[Precio de venta actual],MATCH($H47,tblProductos[SKU],0))="","PENDIENTE",INDEX(tblProductos[Precio de venta actual],MATCH($H47,tblProductos[SKU],0))),"PENDIENTE"))</f>
        <v/>
      </c>
      <c r="L47" s="37">
        <f>IF($H47="","",IFERROR(IF(INDEX(tblProductos[COSTO REAL UNITARIO],MATCH($H47,tblProductos[SKU],0))="","PENDIENTE",INDEX(tblProductos[COSTO REAL UNITARIO],MATCH($H47,tblProductos[SKU],0))),"PENDIENTE"))</f>
        <v/>
      </c>
      <c r="M47" s="38">
        <f>IF($H47="","",IFERROR(IF(INDEX(tblProductos[Margen bruto %],MATCH($H47,tblProductos[SKU],0))="","PENDIENTE",INDEX(tblProductos[Margen bruto %],MATCH($H47,tblProductos[SKU],0))),"PENDIENTE"))</f>
        <v/>
      </c>
      <c r="N47" s="39">
        <f>IF($H47="","",IFERROR(IF(INDEX(tblInventario[Stock actual],MATCH($H47,tblInventario[SKU],0))="","",INDEX(tblInventario[Stock actual],MATCH($H47,tblInventario[SKU],0))),""))</f>
        <v/>
      </c>
      <c r="O47" s="51">
        <f>IF($H47="","",IFERROR(IF(INDEX(tblInventario[ESTADO],MATCH($H47,tblInventario[SKU],0))="","",INDEX(tblInventario[ESTADO],MATCH($H47,tblInventario[SKU],0))),""))</f>
        <v/>
      </c>
      <c r="P47" s="37">
        <f>IF($H47="","",IFERROR(IF(INDEX(tblInventario[VALOR DEL INVENTARIO],MATCH($H47,tblInventario[SKU],0))="","PENDIENTE",INDEX(tblInventario[VALOR DEL INVENTARIO],MATCH($H47,tblInventario[SKU],0))),"PENDIENTE"))</f>
        <v/>
      </c>
      <c r="Q47" s="51">
        <f>IF($H47="","",IF(IF($K47="PENDIENTE"," · Sin precio de venta","")&amp;IF($L47="PENDIENTE"," · Sin costo","")&amp;IF(AND(ISNUMBER($M47),$M47&lt;0)," · MARGEN NEGATIVO","")&amp;IF(AND(ISNUMBER($M47),$M47=0)," · Utilidad cero","")&amp;IF($O47="ERROR"," · STOCK NEGATIVO","")&amp;IF($O47="AGOTADO"," · Agotado","")&amp;IF($O47="REABASTECER"," · Stock bajo","")&amp;IF(AND($H47&lt;&gt;"",COUNTIF(tblProductos[SKU],$H47)&gt;1)," · SKU DUPLICADO","")&amp;IF(AND($H47&lt;&gt;"",COUNTIF(tblCostos[SKU],$H47)=0)," · Sin fila en COSTOS","")&amp;IF($P47="PENDIENTE"," · Inventario sin valorizar","")="","OK",MID(IF($K47="PENDIENTE"," · Sin precio de venta","")&amp;IF($L47="PENDIENTE"," · Sin costo","")&amp;IF(AND(ISNUMBER($M47),$M47&lt;0)," · MARGEN NEGATIVO","")&amp;IF(AND(ISNUMBER($M47),$M47=0)," · Utilidad cero","")&amp;IF($O47="ERROR"," · STOCK NEGATIVO","")&amp;IF($O47="AGOTADO"," · Agotado","")&amp;IF($O47="REABASTECER"," · Stock bajo","")&amp;IF(AND($H47&lt;&gt;"",COUNTIF(tblProductos[SKU],$H47)&gt;1)," · SKU DUPLICADO","")&amp;IF(AND($H47&lt;&gt;"",COUNTIF(tblCostos[SKU],$H47)=0)," · Sin fila en COSTOS","")&amp;IF($P47="PENDIENTE"," · Inventario sin valorizar",""),4,900)))</f>
        <v/>
      </c>
    </row>
    <row r="48">
      <c r="H48" s="51">
        <f>IFERROR(IF(INDEX(tblProductos[SKU],ROW()-7)="","",INDEX(tblProductos[SKU],ROW()-7)),"")</f>
        <v/>
      </c>
      <c r="I48" s="51">
        <f>IF($H48="","",IFERROR(IF(INDEX(tblProductos[Nombre del producto],MATCH($H48,tblProductos[SKU],0))="","",INDEX(tblProductos[Nombre del producto],MATCH($H48,tblProductos[SKU],0))),""))</f>
        <v/>
      </c>
      <c r="J48" s="51">
        <f>IF($H48="","",IFERROR(IF(INDEX(tblProductos[Estado de datos],MATCH($H48,tblProductos[SKU],0))="","",INDEX(tblProductos[Estado de datos],MATCH($H48,tblProductos[SKU],0))),""))</f>
        <v/>
      </c>
      <c r="K48" s="37">
        <f>IF($H48="","",IFERROR(IF(INDEX(tblProductos[Precio de venta actual],MATCH($H48,tblProductos[SKU],0))="","PENDIENTE",INDEX(tblProductos[Precio de venta actual],MATCH($H48,tblProductos[SKU],0))),"PENDIENTE"))</f>
        <v/>
      </c>
      <c r="L48" s="37">
        <f>IF($H48="","",IFERROR(IF(INDEX(tblProductos[COSTO REAL UNITARIO],MATCH($H48,tblProductos[SKU],0))="","PENDIENTE",INDEX(tblProductos[COSTO REAL UNITARIO],MATCH($H48,tblProductos[SKU],0))),"PENDIENTE"))</f>
        <v/>
      </c>
      <c r="M48" s="38">
        <f>IF($H48="","",IFERROR(IF(INDEX(tblProductos[Margen bruto %],MATCH($H48,tblProductos[SKU],0))="","PENDIENTE",INDEX(tblProductos[Margen bruto %],MATCH($H48,tblProductos[SKU],0))),"PENDIENTE"))</f>
        <v/>
      </c>
      <c r="N48" s="39">
        <f>IF($H48="","",IFERROR(IF(INDEX(tblInventario[Stock actual],MATCH($H48,tblInventario[SKU],0))="","",INDEX(tblInventario[Stock actual],MATCH($H48,tblInventario[SKU],0))),""))</f>
        <v/>
      </c>
      <c r="O48" s="51">
        <f>IF($H48="","",IFERROR(IF(INDEX(tblInventario[ESTADO],MATCH($H48,tblInventario[SKU],0))="","",INDEX(tblInventario[ESTADO],MATCH($H48,tblInventario[SKU],0))),""))</f>
        <v/>
      </c>
      <c r="P48" s="37">
        <f>IF($H48="","",IFERROR(IF(INDEX(tblInventario[VALOR DEL INVENTARIO],MATCH($H48,tblInventario[SKU],0))="","PENDIENTE",INDEX(tblInventario[VALOR DEL INVENTARIO],MATCH($H48,tblInventario[SKU],0))),"PENDIENTE"))</f>
        <v/>
      </c>
      <c r="Q48" s="51">
        <f>IF($H48="","",IF(IF($K48="PENDIENTE"," · Sin precio de venta","")&amp;IF($L48="PENDIENTE"," · Sin costo","")&amp;IF(AND(ISNUMBER($M48),$M48&lt;0)," · MARGEN NEGATIVO","")&amp;IF(AND(ISNUMBER($M48),$M48=0)," · Utilidad cero","")&amp;IF($O48="ERROR"," · STOCK NEGATIVO","")&amp;IF($O48="AGOTADO"," · Agotado","")&amp;IF($O48="REABASTECER"," · Stock bajo","")&amp;IF(AND($H48&lt;&gt;"",COUNTIF(tblProductos[SKU],$H48)&gt;1)," · SKU DUPLICADO","")&amp;IF(AND($H48&lt;&gt;"",COUNTIF(tblCostos[SKU],$H48)=0)," · Sin fila en COSTOS","")&amp;IF($P48="PENDIENTE"," · Inventario sin valorizar","")="","OK",MID(IF($K48="PENDIENTE"," · Sin precio de venta","")&amp;IF($L48="PENDIENTE"," · Sin costo","")&amp;IF(AND(ISNUMBER($M48),$M48&lt;0)," · MARGEN NEGATIVO","")&amp;IF(AND(ISNUMBER($M48),$M48=0)," · Utilidad cero","")&amp;IF($O48="ERROR"," · STOCK NEGATIVO","")&amp;IF($O48="AGOTADO"," · Agotado","")&amp;IF($O48="REABASTECER"," · Stock bajo","")&amp;IF(AND($H48&lt;&gt;"",COUNTIF(tblProductos[SKU],$H48)&gt;1)," · SKU DUPLICADO","")&amp;IF(AND($H48&lt;&gt;"",COUNTIF(tblCostos[SKU],$H48)=0)," · Sin fila en COSTOS","")&amp;IF($P48="PENDIENTE"," · Inventario sin valorizar",""),4,900)))</f>
        <v/>
      </c>
    </row>
    <row r="49">
      <c r="H49" s="51">
        <f>IFERROR(IF(INDEX(tblProductos[SKU],ROW()-7)="","",INDEX(tblProductos[SKU],ROW()-7)),"")</f>
        <v/>
      </c>
      <c r="I49" s="51">
        <f>IF($H49="","",IFERROR(IF(INDEX(tblProductos[Nombre del producto],MATCH($H49,tblProductos[SKU],0))="","",INDEX(tblProductos[Nombre del producto],MATCH($H49,tblProductos[SKU],0))),""))</f>
        <v/>
      </c>
      <c r="J49" s="51">
        <f>IF($H49="","",IFERROR(IF(INDEX(tblProductos[Estado de datos],MATCH($H49,tblProductos[SKU],0))="","",INDEX(tblProductos[Estado de datos],MATCH($H49,tblProductos[SKU],0))),""))</f>
        <v/>
      </c>
      <c r="K49" s="37">
        <f>IF($H49="","",IFERROR(IF(INDEX(tblProductos[Precio de venta actual],MATCH($H49,tblProductos[SKU],0))="","PENDIENTE",INDEX(tblProductos[Precio de venta actual],MATCH($H49,tblProductos[SKU],0))),"PENDIENTE"))</f>
        <v/>
      </c>
      <c r="L49" s="37">
        <f>IF($H49="","",IFERROR(IF(INDEX(tblProductos[COSTO REAL UNITARIO],MATCH($H49,tblProductos[SKU],0))="","PENDIENTE",INDEX(tblProductos[COSTO REAL UNITARIO],MATCH($H49,tblProductos[SKU],0))),"PENDIENTE"))</f>
        <v/>
      </c>
      <c r="M49" s="38">
        <f>IF($H49="","",IFERROR(IF(INDEX(tblProductos[Margen bruto %],MATCH($H49,tblProductos[SKU],0))="","PENDIENTE",INDEX(tblProductos[Margen bruto %],MATCH($H49,tblProductos[SKU],0))),"PENDIENTE"))</f>
        <v/>
      </c>
      <c r="N49" s="39">
        <f>IF($H49="","",IFERROR(IF(INDEX(tblInventario[Stock actual],MATCH($H49,tblInventario[SKU],0))="","",INDEX(tblInventario[Stock actual],MATCH($H49,tblInventario[SKU],0))),""))</f>
        <v/>
      </c>
      <c r="O49" s="51">
        <f>IF($H49="","",IFERROR(IF(INDEX(tblInventario[ESTADO],MATCH($H49,tblInventario[SKU],0))="","",INDEX(tblInventario[ESTADO],MATCH($H49,tblInventario[SKU],0))),""))</f>
        <v/>
      </c>
      <c r="P49" s="37">
        <f>IF($H49="","",IFERROR(IF(INDEX(tblInventario[VALOR DEL INVENTARIO],MATCH($H49,tblInventario[SKU],0))="","PENDIENTE",INDEX(tblInventario[VALOR DEL INVENTARIO],MATCH($H49,tblInventario[SKU],0))),"PENDIENTE"))</f>
        <v/>
      </c>
      <c r="Q49" s="51">
        <f>IF($H49="","",IF(IF($K49="PENDIENTE"," · Sin precio de venta","")&amp;IF($L49="PENDIENTE"," · Sin costo","")&amp;IF(AND(ISNUMBER($M49),$M49&lt;0)," · MARGEN NEGATIVO","")&amp;IF(AND(ISNUMBER($M49),$M49=0)," · Utilidad cero","")&amp;IF($O49="ERROR"," · STOCK NEGATIVO","")&amp;IF($O49="AGOTADO"," · Agotado","")&amp;IF($O49="REABASTECER"," · Stock bajo","")&amp;IF(AND($H49&lt;&gt;"",COUNTIF(tblProductos[SKU],$H49)&gt;1)," · SKU DUPLICADO","")&amp;IF(AND($H49&lt;&gt;"",COUNTIF(tblCostos[SKU],$H49)=0)," · Sin fila en COSTOS","")&amp;IF($P49="PENDIENTE"," · Inventario sin valorizar","")="","OK",MID(IF($K49="PENDIENTE"," · Sin precio de venta","")&amp;IF($L49="PENDIENTE"," · Sin costo","")&amp;IF(AND(ISNUMBER($M49),$M49&lt;0)," · MARGEN NEGATIVO","")&amp;IF(AND(ISNUMBER($M49),$M49=0)," · Utilidad cero","")&amp;IF($O49="ERROR"," · STOCK NEGATIVO","")&amp;IF($O49="AGOTADO"," · Agotado","")&amp;IF($O49="REABASTECER"," · Stock bajo","")&amp;IF(AND($H49&lt;&gt;"",COUNTIF(tblProductos[SKU],$H49)&gt;1)," · SKU DUPLICADO","")&amp;IF(AND($H49&lt;&gt;"",COUNTIF(tblCostos[SKU],$H49)=0)," · Sin fila en COSTOS","")&amp;IF($P49="PENDIENTE"," · Inventario sin valorizar",""),4,900)))</f>
        <v/>
      </c>
    </row>
    <row r="50">
      <c r="H50" s="51">
        <f>IFERROR(IF(INDEX(tblProductos[SKU],ROW()-7)="","",INDEX(tblProductos[SKU],ROW()-7)),"")</f>
        <v/>
      </c>
      <c r="I50" s="51">
        <f>IF($H50="","",IFERROR(IF(INDEX(tblProductos[Nombre del producto],MATCH($H50,tblProductos[SKU],0))="","",INDEX(tblProductos[Nombre del producto],MATCH($H50,tblProductos[SKU],0))),""))</f>
        <v/>
      </c>
      <c r="J50" s="51">
        <f>IF($H50="","",IFERROR(IF(INDEX(tblProductos[Estado de datos],MATCH($H50,tblProductos[SKU],0))="","",INDEX(tblProductos[Estado de datos],MATCH($H50,tblProductos[SKU],0))),""))</f>
        <v/>
      </c>
      <c r="K50" s="37">
        <f>IF($H50="","",IFERROR(IF(INDEX(tblProductos[Precio de venta actual],MATCH($H50,tblProductos[SKU],0))="","PENDIENTE",INDEX(tblProductos[Precio de venta actual],MATCH($H50,tblProductos[SKU],0))),"PENDIENTE"))</f>
        <v/>
      </c>
      <c r="L50" s="37">
        <f>IF($H50="","",IFERROR(IF(INDEX(tblProductos[COSTO REAL UNITARIO],MATCH($H50,tblProductos[SKU],0))="","PENDIENTE",INDEX(tblProductos[COSTO REAL UNITARIO],MATCH($H50,tblProductos[SKU],0))),"PENDIENTE"))</f>
        <v/>
      </c>
      <c r="M50" s="38">
        <f>IF($H50="","",IFERROR(IF(INDEX(tblProductos[Margen bruto %],MATCH($H50,tblProductos[SKU],0))="","PENDIENTE",INDEX(tblProductos[Margen bruto %],MATCH($H50,tblProductos[SKU],0))),"PENDIENTE"))</f>
        <v/>
      </c>
      <c r="N50" s="39">
        <f>IF($H50="","",IFERROR(IF(INDEX(tblInventario[Stock actual],MATCH($H50,tblInventario[SKU],0))="","",INDEX(tblInventario[Stock actual],MATCH($H50,tblInventario[SKU],0))),""))</f>
        <v/>
      </c>
      <c r="O50" s="51">
        <f>IF($H50="","",IFERROR(IF(INDEX(tblInventario[ESTADO],MATCH($H50,tblInventario[SKU],0))="","",INDEX(tblInventario[ESTADO],MATCH($H50,tblInventario[SKU],0))),""))</f>
        <v/>
      </c>
      <c r="P50" s="37">
        <f>IF($H50="","",IFERROR(IF(INDEX(tblInventario[VALOR DEL INVENTARIO],MATCH($H50,tblInventario[SKU],0))="","PENDIENTE",INDEX(tblInventario[VALOR DEL INVENTARIO],MATCH($H50,tblInventario[SKU],0))),"PENDIENTE"))</f>
        <v/>
      </c>
      <c r="Q50" s="51">
        <f>IF($H50="","",IF(IF($K50="PENDIENTE"," · Sin precio de venta","")&amp;IF($L50="PENDIENTE"," · Sin costo","")&amp;IF(AND(ISNUMBER($M50),$M50&lt;0)," · MARGEN NEGATIVO","")&amp;IF(AND(ISNUMBER($M50),$M50=0)," · Utilidad cero","")&amp;IF($O50="ERROR"," · STOCK NEGATIVO","")&amp;IF($O50="AGOTADO"," · Agotado","")&amp;IF($O50="REABASTECER"," · Stock bajo","")&amp;IF(AND($H50&lt;&gt;"",COUNTIF(tblProductos[SKU],$H50)&gt;1)," · SKU DUPLICADO","")&amp;IF(AND($H50&lt;&gt;"",COUNTIF(tblCostos[SKU],$H50)=0)," · Sin fila en COSTOS","")&amp;IF($P50="PENDIENTE"," · Inventario sin valorizar","")="","OK",MID(IF($K50="PENDIENTE"," · Sin precio de venta","")&amp;IF($L50="PENDIENTE"," · Sin costo","")&amp;IF(AND(ISNUMBER($M50),$M50&lt;0)," · MARGEN NEGATIVO","")&amp;IF(AND(ISNUMBER($M50),$M50=0)," · Utilidad cero","")&amp;IF($O50="ERROR"," · STOCK NEGATIVO","")&amp;IF($O50="AGOTADO"," · Agotado","")&amp;IF($O50="REABASTECER"," · Stock bajo","")&amp;IF(AND($H50&lt;&gt;"",COUNTIF(tblProductos[SKU],$H50)&gt;1)," · SKU DUPLICADO","")&amp;IF(AND($H50&lt;&gt;"",COUNTIF(tblCostos[SKU],$H50)=0)," · Sin fila en COSTOS","")&amp;IF($P50="PENDIENTE"," · Inventario sin valorizar",""),4,900)))</f>
        <v/>
      </c>
    </row>
    <row r="51">
      <c r="H51" s="51">
        <f>IFERROR(IF(INDEX(tblProductos[SKU],ROW()-7)="","",INDEX(tblProductos[SKU],ROW()-7)),"")</f>
        <v/>
      </c>
      <c r="I51" s="51">
        <f>IF($H51="","",IFERROR(IF(INDEX(tblProductos[Nombre del producto],MATCH($H51,tblProductos[SKU],0))="","",INDEX(tblProductos[Nombre del producto],MATCH($H51,tblProductos[SKU],0))),""))</f>
        <v/>
      </c>
      <c r="J51" s="51">
        <f>IF($H51="","",IFERROR(IF(INDEX(tblProductos[Estado de datos],MATCH($H51,tblProductos[SKU],0))="","",INDEX(tblProductos[Estado de datos],MATCH($H51,tblProductos[SKU],0))),""))</f>
        <v/>
      </c>
      <c r="K51" s="37">
        <f>IF($H51="","",IFERROR(IF(INDEX(tblProductos[Precio de venta actual],MATCH($H51,tblProductos[SKU],0))="","PENDIENTE",INDEX(tblProductos[Precio de venta actual],MATCH($H51,tblProductos[SKU],0))),"PENDIENTE"))</f>
        <v/>
      </c>
      <c r="L51" s="37">
        <f>IF($H51="","",IFERROR(IF(INDEX(tblProductos[COSTO REAL UNITARIO],MATCH($H51,tblProductos[SKU],0))="","PENDIENTE",INDEX(tblProductos[COSTO REAL UNITARIO],MATCH($H51,tblProductos[SKU],0))),"PENDIENTE"))</f>
        <v/>
      </c>
      <c r="M51" s="38">
        <f>IF($H51="","",IFERROR(IF(INDEX(tblProductos[Margen bruto %],MATCH($H51,tblProductos[SKU],0))="","PENDIENTE",INDEX(tblProductos[Margen bruto %],MATCH($H51,tblProductos[SKU],0))),"PENDIENTE"))</f>
        <v/>
      </c>
      <c r="N51" s="39">
        <f>IF($H51="","",IFERROR(IF(INDEX(tblInventario[Stock actual],MATCH($H51,tblInventario[SKU],0))="","",INDEX(tblInventario[Stock actual],MATCH($H51,tblInventario[SKU],0))),""))</f>
        <v/>
      </c>
      <c r="O51" s="51">
        <f>IF($H51="","",IFERROR(IF(INDEX(tblInventario[ESTADO],MATCH($H51,tblInventario[SKU],0))="","",INDEX(tblInventario[ESTADO],MATCH($H51,tblInventario[SKU],0))),""))</f>
        <v/>
      </c>
      <c r="P51" s="37">
        <f>IF($H51="","",IFERROR(IF(INDEX(tblInventario[VALOR DEL INVENTARIO],MATCH($H51,tblInventario[SKU],0))="","PENDIENTE",INDEX(tblInventario[VALOR DEL INVENTARIO],MATCH($H51,tblInventario[SKU],0))),"PENDIENTE"))</f>
        <v/>
      </c>
      <c r="Q51" s="51">
        <f>IF($H51="","",IF(IF($K51="PENDIENTE"," · Sin precio de venta","")&amp;IF($L51="PENDIENTE"," · Sin costo","")&amp;IF(AND(ISNUMBER($M51),$M51&lt;0)," · MARGEN NEGATIVO","")&amp;IF(AND(ISNUMBER($M51),$M51=0)," · Utilidad cero","")&amp;IF($O51="ERROR"," · STOCK NEGATIVO","")&amp;IF($O51="AGOTADO"," · Agotado","")&amp;IF($O51="REABASTECER"," · Stock bajo","")&amp;IF(AND($H51&lt;&gt;"",COUNTIF(tblProductos[SKU],$H51)&gt;1)," · SKU DUPLICADO","")&amp;IF(AND($H51&lt;&gt;"",COUNTIF(tblCostos[SKU],$H51)=0)," · Sin fila en COSTOS","")&amp;IF($P51="PENDIENTE"," · Inventario sin valorizar","")="","OK",MID(IF($K51="PENDIENTE"," · Sin precio de venta","")&amp;IF($L51="PENDIENTE"," · Sin costo","")&amp;IF(AND(ISNUMBER($M51),$M51&lt;0)," · MARGEN NEGATIVO","")&amp;IF(AND(ISNUMBER($M51),$M51=0)," · Utilidad cero","")&amp;IF($O51="ERROR"," · STOCK NEGATIVO","")&amp;IF($O51="AGOTADO"," · Agotado","")&amp;IF($O51="REABASTECER"," · Stock bajo","")&amp;IF(AND($H51&lt;&gt;"",COUNTIF(tblProductos[SKU],$H51)&gt;1)," · SKU DUPLICADO","")&amp;IF(AND($H51&lt;&gt;"",COUNTIF(tblCostos[SKU],$H51)=0)," · Sin fila en COSTOS","")&amp;IF($P51="PENDIENTE"," · Inventario sin valorizar",""),4,900)))</f>
        <v/>
      </c>
    </row>
    <row r="52">
      <c r="H52" s="51">
        <f>IFERROR(IF(INDEX(tblProductos[SKU],ROW()-7)="","",INDEX(tblProductos[SKU],ROW()-7)),"")</f>
        <v/>
      </c>
      <c r="I52" s="51">
        <f>IF($H52="","",IFERROR(IF(INDEX(tblProductos[Nombre del producto],MATCH($H52,tblProductos[SKU],0))="","",INDEX(tblProductos[Nombre del producto],MATCH($H52,tblProductos[SKU],0))),""))</f>
        <v/>
      </c>
      <c r="J52" s="51">
        <f>IF($H52="","",IFERROR(IF(INDEX(tblProductos[Estado de datos],MATCH($H52,tblProductos[SKU],0))="","",INDEX(tblProductos[Estado de datos],MATCH($H52,tblProductos[SKU],0))),""))</f>
        <v/>
      </c>
      <c r="K52" s="37">
        <f>IF($H52="","",IFERROR(IF(INDEX(tblProductos[Precio de venta actual],MATCH($H52,tblProductos[SKU],0))="","PENDIENTE",INDEX(tblProductos[Precio de venta actual],MATCH($H52,tblProductos[SKU],0))),"PENDIENTE"))</f>
        <v/>
      </c>
      <c r="L52" s="37">
        <f>IF($H52="","",IFERROR(IF(INDEX(tblProductos[COSTO REAL UNITARIO],MATCH($H52,tblProductos[SKU],0))="","PENDIENTE",INDEX(tblProductos[COSTO REAL UNITARIO],MATCH($H52,tblProductos[SKU],0))),"PENDIENTE"))</f>
        <v/>
      </c>
      <c r="M52" s="38">
        <f>IF($H52="","",IFERROR(IF(INDEX(tblProductos[Margen bruto %],MATCH($H52,tblProductos[SKU],0))="","PENDIENTE",INDEX(tblProductos[Margen bruto %],MATCH($H52,tblProductos[SKU],0))),"PENDIENTE"))</f>
        <v/>
      </c>
      <c r="N52" s="39">
        <f>IF($H52="","",IFERROR(IF(INDEX(tblInventario[Stock actual],MATCH($H52,tblInventario[SKU],0))="","",INDEX(tblInventario[Stock actual],MATCH($H52,tblInventario[SKU],0))),""))</f>
        <v/>
      </c>
      <c r="O52" s="51">
        <f>IF($H52="","",IFERROR(IF(INDEX(tblInventario[ESTADO],MATCH($H52,tblInventario[SKU],0))="","",INDEX(tblInventario[ESTADO],MATCH($H52,tblInventario[SKU],0))),""))</f>
        <v/>
      </c>
      <c r="P52" s="37">
        <f>IF($H52="","",IFERROR(IF(INDEX(tblInventario[VALOR DEL INVENTARIO],MATCH($H52,tblInventario[SKU],0))="","PENDIENTE",INDEX(tblInventario[VALOR DEL INVENTARIO],MATCH($H52,tblInventario[SKU],0))),"PENDIENTE"))</f>
        <v/>
      </c>
      <c r="Q52" s="51">
        <f>IF($H52="","",IF(IF($K52="PENDIENTE"," · Sin precio de venta","")&amp;IF($L52="PENDIENTE"," · Sin costo","")&amp;IF(AND(ISNUMBER($M52),$M52&lt;0)," · MARGEN NEGATIVO","")&amp;IF(AND(ISNUMBER($M52),$M52=0)," · Utilidad cero","")&amp;IF($O52="ERROR"," · STOCK NEGATIVO","")&amp;IF($O52="AGOTADO"," · Agotado","")&amp;IF($O52="REABASTECER"," · Stock bajo","")&amp;IF(AND($H52&lt;&gt;"",COUNTIF(tblProductos[SKU],$H52)&gt;1)," · SKU DUPLICADO","")&amp;IF(AND($H52&lt;&gt;"",COUNTIF(tblCostos[SKU],$H52)=0)," · Sin fila en COSTOS","")&amp;IF($P52="PENDIENTE"," · Inventario sin valorizar","")="","OK",MID(IF($K52="PENDIENTE"," · Sin precio de venta","")&amp;IF($L52="PENDIENTE"," · Sin costo","")&amp;IF(AND(ISNUMBER($M52),$M52&lt;0)," · MARGEN NEGATIVO","")&amp;IF(AND(ISNUMBER($M52),$M52=0)," · Utilidad cero","")&amp;IF($O52="ERROR"," · STOCK NEGATIVO","")&amp;IF($O52="AGOTADO"," · Agotado","")&amp;IF($O52="REABASTECER"," · Stock bajo","")&amp;IF(AND($H52&lt;&gt;"",COUNTIF(tblProductos[SKU],$H52)&gt;1)," · SKU DUPLICADO","")&amp;IF(AND($H52&lt;&gt;"",COUNTIF(tblCostos[SKU],$H52)=0)," · Sin fila en COSTOS","")&amp;IF($P52="PENDIENTE"," · Inventario sin valorizar",""),4,900)))</f>
        <v/>
      </c>
    </row>
    <row r="53">
      <c r="H53" s="51">
        <f>IFERROR(IF(INDEX(tblProductos[SKU],ROW()-7)="","",INDEX(tblProductos[SKU],ROW()-7)),"")</f>
        <v/>
      </c>
      <c r="I53" s="51">
        <f>IF($H53="","",IFERROR(IF(INDEX(tblProductos[Nombre del producto],MATCH($H53,tblProductos[SKU],0))="","",INDEX(tblProductos[Nombre del producto],MATCH($H53,tblProductos[SKU],0))),""))</f>
        <v/>
      </c>
      <c r="J53" s="51">
        <f>IF($H53="","",IFERROR(IF(INDEX(tblProductos[Estado de datos],MATCH($H53,tblProductos[SKU],0))="","",INDEX(tblProductos[Estado de datos],MATCH($H53,tblProductos[SKU],0))),""))</f>
        <v/>
      </c>
      <c r="K53" s="37">
        <f>IF($H53="","",IFERROR(IF(INDEX(tblProductos[Precio de venta actual],MATCH($H53,tblProductos[SKU],0))="","PENDIENTE",INDEX(tblProductos[Precio de venta actual],MATCH($H53,tblProductos[SKU],0))),"PENDIENTE"))</f>
        <v/>
      </c>
      <c r="L53" s="37">
        <f>IF($H53="","",IFERROR(IF(INDEX(tblProductos[COSTO REAL UNITARIO],MATCH($H53,tblProductos[SKU],0))="","PENDIENTE",INDEX(tblProductos[COSTO REAL UNITARIO],MATCH($H53,tblProductos[SKU],0))),"PENDIENTE"))</f>
        <v/>
      </c>
      <c r="M53" s="38">
        <f>IF($H53="","",IFERROR(IF(INDEX(tblProductos[Margen bruto %],MATCH($H53,tblProductos[SKU],0))="","PENDIENTE",INDEX(tblProductos[Margen bruto %],MATCH($H53,tblProductos[SKU],0))),"PENDIENTE"))</f>
        <v/>
      </c>
      <c r="N53" s="39">
        <f>IF($H53="","",IFERROR(IF(INDEX(tblInventario[Stock actual],MATCH($H53,tblInventario[SKU],0))="","",INDEX(tblInventario[Stock actual],MATCH($H53,tblInventario[SKU],0))),""))</f>
        <v/>
      </c>
      <c r="O53" s="51">
        <f>IF($H53="","",IFERROR(IF(INDEX(tblInventario[ESTADO],MATCH($H53,tblInventario[SKU],0))="","",INDEX(tblInventario[ESTADO],MATCH($H53,tblInventario[SKU],0))),""))</f>
        <v/>
      </c>
      <c r="P53" s="37">
        <f>IF($H53="","",IFERROR(IF(INDEX(tblInventario[VALOR DEL INVENTARIO],MATCH($H53,tblInventario[SKU],0))="","PENDIENTE",INDEX(tblInventario[VALOR DEL INVENTARIO],MATCH($H53,tblInventario[SKU],0))),"PENDIENTE"))</f>
        <v/>
      </c>
      <c r="Q53" s="51">
        <f>IF($H53="","",IF(IF($K53="PENDIENTE"," · Sin precio de venta","")&amp;IF($L53="PENDIENTE"," · Sin costo","")&amp;IF(AND(ISNUMBER($M53),$M53&lt;0)," · MARGEN NEGATIVO","")&amp;IF(AND(ISNUMBER($M53),$M53=0)," · Utilidad cero","")&amp;IF($O53="ERROR"," · STOCK NEGATIVO","")&amp;IF($O53="AGOTADO"," · Agotado","")&amp;IF($O53="REABASTECER"," · Stock bajo","")&amp;IF(AND($H53&lt;&gt;"",COUNTIF(tblProductos[SKU],$H53)&gt;1)," · SKU DUPLICADO","")&amp;IF(AND($H53&lt;&gt;"",COUNTIF(tblCostos[SKU],$H53)=0)," · Sin fila en COSTOS","")&amp;IF($P53="PENDIENTE"," · Inventario sin valorizar","")="","OK",MID(IF($K53="PENDIENTE"," · Sin precio de venta","")&amp;IF($L53="PENDIENTE"," · Sin costo","")&amp;IF(AND(ISNUMBER($M53),$M53&lt;0)," · MARGEN NEGATIVO","")&amp;IF(AND(ISNUMBER($M53),$M53=0)," · Utilidad cero","")&amp;IF($O53="ERROR"," · STOCK NEGATIVO","")&amp;IF($O53="AGOTADO"," · Agotado","")&amp;IF($O53="REABASTECER"," · Stock bajo","")&amp;IF(AND($H53&lt;&gt;"",COUNTIF(tblProductos[SKU],$H53)&gt;1)," · SKU DUPLICADO","")&amp;IF(AND($H53&lt;&gt;"",COUNTIF(tblCostos[SKU],$H53)=0)," · Sin fila en COSTOS","")&amp;IF($P53="PENDIENTE"," · Inventario sin valorizar",""),4,900)))</f>
        <v/>
      </c>
    </row>
    <row r="54">
      <c r="H54" s="51">
        <f>IFERROR(IF(INDEX(tblProductos[SKU],ROW()-7)="","",INDEX(tblProductos[SKU],ROW()-7)),"")</f>
        <v/>
      </c>
      <c r="I54" s="51">
        <f>IF($H54="","",IFERROR(IF(INDEX(tblProductos[Nombre del producto],MATCH($H54,tblProductos[SKU],0))="","",INDEX(tblProductos[Nombre del producto],MATCH($H54,tblProductos[SKU],0))),""))</f>
        <v/>
      </c>
      <c r="J54" s="51">
        <f>IF($H54="","",IFERROR(IF(INDEX(tblProductos[Estado de datos],MATCH($H54,tblProductos[SKU],0))="","",INDEX(tblProductos[Estado de datos],MATCH($H54,tblProductos[SKU],0))),""))</f>
        <v/>
      </c>
      <c r="K54" s="37">
        <f>IF($H54="","",IFERROR(IF(INDEX(tblProductos[Precio de venta actual],MATCH($H54,tblProductos[SKU],0))="","PENDIENTE",INDEX(tblProductos[Precio de venta actual],MATCH($H54,tblProductos[SKU],0))),"PENDIENTE"))</f>
        <v/>
      </c>
      <c r="L54" s="37">
        <f>IF($H54="","",IFERROR(IF(INDEX(tblProductos[COSTO REAL UNITARIO],MATCH($H54,tblProductos[SKU],0))="","PENDIENTE",INDEX(tblProductos[COSTO REAL UNITARIO],MATCH($H54,tblProductos[SKU],0))),"PENDIENTE"))</f>
        <v/>
      </c>
      <c r="M54" s="38">
        <f>IF($H54="","",IFERROR(IF(INDEX(tblProductos[Margen bruto %],MATCH($H54,tblProductos[SKU],0))="","PENDIENTE",INDEX(tblProductos[Margen bruto %],MATCH($H54,tblProductos[SKU],0))),"PENDIENTE"))</f>
        <v/>
      </c>
      <c r="N54" s="39">
        <f>IF($H54="","",IFERROR(IF(INDEX(tblInventario[Stock actual],MATCH($H54,tblInventario[SKU],0))="","",INDEX(tblInventario[Stock actual],MATCH($H54,tblInventario[SKU],0))),""))</f>
        <v/>
      </c>
      <c r="O54" s="51">
        <f>IF($H54="","",IFERROR(IF(INDEX(tblInventario[ESTADO],MATCH($H54,tblInventario[SKU],0))="","",INDEX(tblInventario[ESTADO],MATCH($H54,tblInventario[SKU],0))),""))</f>
        <v/>
      </c>
      <c r="P54" s="37">
        <f>IF($H54="","",IFERROR(IF(INDEX(tblInventario[VALOR DEL INVENTARIO],MATCH($H54,tblInventario[SKU],0))="","PENDIENTE",INDEX(tblInventario[VALOR DEL INVENTARIO],MATCH($H54,tblInventario[SKU],0))),"PENDIENTE"))</f>
        <v/>
      </c>
      <c r="Q54" s="51">
        <f>IF($H54="","",IF(IF($K54="PENDIENTE"," · Sin precio de venta","")&amp;IF($L54="PENDIENTE"," · Sin costo","")&amp;IF(AND(ISNUMBER($M54),$M54&lt;0)," · MARGEN NEGATIVO","")&amp;IF(AND(ISNUMBER($M54),$M54=0)," · Utilidad cero","")&amp;IF($O54="ERROR"," · STOCK NEGATIVO","")&amp;IF($O54="AGOTADO"," · Agotado","")&amp;IF($O54="REABASTECER"," · Stock bajo","")&amp;IF(AND($H54&lt;&gt;"",COUNTIF(tblProductos[SKU],$H54)&gt;1)," · SKU DUPLICADO","")&amp;IF(AND($H54&lt;&gt;"",COUNTIF(tblCostos[SKU],$H54)=0)," · Sin fila en COSTOS","")&amp;IF($P54="PENDIENTE"," · Inventario sin valorizar","")="","OK",MID(IF($K54="PENDIENTE"," · Sin precio de venta","")&amp;IF($L54="PENDIENTE"," · Sin costo","")&amp;IF(AND(ISNUMBER($M54),$M54&lt;0)," · MARGEN NEGATIVO","")&amp;IF(AND(ISNUMBER($M54),$M54=0)," · Utilidad cero","")&amp;IF($O54="ERROR"," · STOCK NEGATIVO","")&amp;IF($O54="AGOTADO"," · Agotado","")&amp;IF($O54="REABASTECER"," · Stock bajo","")&amp;IF(AND($H54&lt;&gt;"",COUNTIF(tblProductos[SKU],$H54)&gt;1)," · SKU DUPLICADO","")&amp;IF(AND($H54&lt;&gt;"",COUNTIF(tblCostos[SKU],$H54)=0)," · Sin fila en COSTOS","")&amp;IF($P54="PENDIENTE"," · Inventario sin valorizar",""),4,900)))</f>
        <v/>
      </c>
    </row>
    <row r="55">
      <c r="H55" s="51">
        <f>IFERROR(IF(INDEX(tblProductos[SKU],ROW()-7)="","",INDEX(tblProductos[SKU],ROW()-7)),"")</f>
        <v/>
      </c>
      <c r="I55" s="51">
        <f>IF($H55="","",IFERROR(IF(INDEX(tblProductos[Nombre del producto],MATCH($H55,tblProductos[SKU],0))="","",INDEX(tblProductos[Nombre del producto],MATCH($H55,tblProductos[SKU],0))),""))</f>
        <v/>
      </c>
      <c r="J55" s="51">
        <f>IF($H55="","",IFERROR(IF(INDEX(tblProductos[Estado de datos],MATCH($H55,tblProductos[SKU],0))="","",INDEX(tblProductos[Estado de datos],MATCH($H55,tblProductos[SKU],0))),""))</f>
        <v/>
      </c>
      <c r="K55" s="37">
        <f>IF($H55="","",IFERROR(IF(INDEX(tblProductos[Precio de venta actual],MATCH($H55,tblProductos[SKU],0))="","PENDIENTE",INDEX(tblProductos[Precio de venta actual],MATCH($H55,tblProductos[SKU],0))),"PENDIENTE"))</f>
        <v/>
      </c>
      <c r="L55" s="37">
        <f>IF($H55="","",IFERROR(IF(INDEX(tblProductos[COSTO REAL UNITARIO],MATCH($H55,tblProductos[SKU],0))="","PENDIENTE",INDEX(tblProductos[COSTO REAL UNITARIO],MATCH($H55,tblProductos[SKU],0))),"PENDIENTE"))</f>
        <v/>
      </c>
      <c r="M55" s="38">
        <f>IF($H55="","",IFERROR(IF(INDEX(tblProductos[Margen bruto %],MATCH($H55,tblProductos[SKU],0))="","PENDIENTE",INDEX(tblProductos[Margen bruto %],MATCH($H55,tblProductos[SKU],0))),"PENDIENTE"))</f>
        <v/>
      </c>
      <c r="N55" s="39">
        <f>IF($H55="","",IFERROR(IF(INDEX(tblInventario[Stock actual],MATCH($H55,tblInventario[SKU],0))="","",INDEX(tblInventario[Stock actual],MATCH($H55,tblInventario[SKU],0))),""))</f>
        <v/>
      </c>
      <c r="O55" s="51">
        <f>IF($H55="","",IFERROR(IF(INDEX(tblInventario[ESTADO],MATCH($H55,tblInventario[SKU],0))="","",INDEX(tblInventario[ESTADO],MATCH($H55,tblInventario[SKU],0))),""))</f>
        <v/>
      </c>
      <c r="P55" s="37">
        <f>IF($H55="","",IFERROR(IF(INDEX(tblInventario[VALOR DEL INVENTARIO],MATCH($H55,tblInventario[SKU],0))="","PENDIENTE",INDEX(tblInventario[VALOR DEL INVENTARIO],MATCH($H55,tblInventario[SKU],0))),"PENDIENTE"))</f>
        <v/>
      </c>
      <c r="Q55" s="51">
        <f>IF($H55="","",IF(IF($K55="PENDIENTE"," · Sin precio de venta","")&amp;IF($L55="PENDIENTE"," · Sin costo","")&amp;IF(AND(ISNUMBER($M55),$M55&lt;0)," · MARGEN NEGATIVO","")&amp;IF(AND(ISNUMBER($M55),$M55=0)," · Utilidad cero","")&amp;IF($O55="ERROR"," · STOCK NEGATIVO","")&amp;IF($O55="AGOTADO"," · Agotado","")&amp;IF($O55="REABASTECER"," · Stock bajo","")&amp;IF(AND($H55&lt;&gt;"",COUNTIF(tblProductos[SKU],$H55)&gt;1)," · SKU DUPLICADO","")&amp;IF(AND($H55&lt;&gt;"",COUNTIF(tblCostos[SKU],$H55)=0)," · Sin fila en COSTOS","")&amp;IF($P55="PENDIENTE"," · Inventario sin valorizar","")="","OK",MID(IF($K55="PENDIENTE"," · Sin precio de venta","")&amp;IF($L55="PENDIENTE"," · Sin costo","")&amp;IF(AND(ISNUMBER($M55),$M55&lt;0)," · MARGEN NEGATIVO","")&amp;IF(AND(ISNUMBER($M55),$M55=0)," · Utilidad cero","")&amp;IF($O55="ERROR"," · STOCK NEGATIVO","")&amp;IF($O55="AGOTADO"," · Agotado","")&amp;IF($O55="REABASTECER"," · Stock bajo","")&amp;IF(AND($H55&lt;&gt;"",COUNTIF(tblProductos[SKU],$H55)&gt;1)," · SKU DUPLICADO","")&amp;IF(AND($H55&lt;&gt;"",COUNTIF(tblCostos[SKU],$H55)=0)," · Sin fila en COSTOS","")&amp;IF($P55="PENDIENTE"," · Inventario sin valorizar",""),4,900)))</f>
        <v/>
      </c>
    </row>
    <row r="56">
      <c r="H56" s="51">
        <f>IFERROR(IF(INDEX(tblProductos[SKU],ROW()-7)="","",INDEX(tblProductos[SKU],ROW()-7)),"")</f>
        <v/>
      </c>
      <c r="I56" s="51">
        <f>IF($H56="","",IFERROR(IF(INDEX(tblProductos[Nombre del producto],MATCH($H56,tblProductos[SKU],0))="","",INDEX(tblProductos[Nombre del producto],MATCH($H56,tblProductos[SKU],0))),""))</f>
        <v/>
      </c>
      <c r="J56" s="51">
        <f>IF($H56="","",IFERROR(IF(INDEX(tblProductos[Estado de datos],MATCH($H56,tblProductos[SKU],0))="","",INDEX(tblProductos[Estado de datos],MATCH($H56,tblProductos[SKU],0))),""))</f>
        <v/>
      </c>
      <c r="K56" s="37">
        <f>IF($H56="","",IFERROR(IF(INDEX(tblProductos[Precio de venta actual],MATCH($H56,tblProductos[SKU],0))="","PENDIENTE",INDEX(tblProductos[Precio de venta actual],MATCH($H56,tblProductos[SKU],0))),"PENDIENTE"))</f>
        <v/>
      </c>
      <c r="L56" s="37">
        <f>IF($H56="","",IFERROR(IF(INDEX(tblProductos[COSTO REAL UNITARIO],MATCH($H56,tblProductos[SKU],0))="","PENDIENTE",INDEX(tblProductos[COSTO REAL UNITARIO],MATCH($H56,tblProductos[SKU],0))),"PENDIENTE"))</f>
        <v/>
      </c>
      <c r="M56" s="38">
        <f>IF($H56="","",IFERROR(IF(INDEX(tblProductos[Margen bruto %],MATCH($H56,tblProductos[SKU],0))="","PENDIENTE",INDEX(tblProductos[Margen bruto %],MATCH($H56,tblProductos[SKU],0))),"PENDIENTE"))</f>
        <v/>
      </c>
      <c r="N56" s="39">
        <f>IF($H56="","",IFERROR(IF(INDEX(tblInventario[Stock actual],MATCH($H56,tblInventario[SKU],0))="","",INDEX(tblInventario[Stock actual],MATCH($H56,tblInventario[SKU],0))),""))</f>
        <v/>
      </c>
      <c r="O56" s="51">
        <f>IF($H56="","",IFERROR(IF(INDEX(tblInventario[ESTADO],MATCH($H56,tblInventario[SKU],0))="","",INDEX(tblInventario[ESTADO],MATCH($H56,tblInventario[SKU],0))),""))</f>
        <v/>
      </c>
      <c r="P56" s="37">
        <f>IF($H56="","",IFERROR(IF(INDEX(tblInventario[VALOR DEL INVENTARIO],MATCH($H56,tblInventario[SKU],0))="","PENDIENTE",INDEX(tblInventario[VALOR DEL INVENTARIO],MATCH($H56,tblInventario[SKU],0))),"PENDIENTE"))</f>
        <v/>
      </c>
      <c r="Q56" s="51">
        <f>IF($H56="","",IF(IF($K56="PENDIENTE"," · Sin precio de venta","")&amp;IF($L56="PENDIENTE"," · Sin costo","")&amp;IF(AND(ISNUMBER($M56),$M56&lt;0)," · MARGEN NEGATIVO","")&amp;IF(AND(ISNUMBER($M56),$M56=0)," · Utilidad cero","")&amp;IF($O56="ERROR"," · STOCK NEGATIVO","")&amp;IF($O56="AGOTADO"," · Agotado","")&amp;IF($O56="REABASTECER"," · Stock bajo","")&amp;IF(AND($H56&lt;&gt;"",COUNTIF(tblProductos[SKU],$H56)&gt;1)," · SKU DUPLICADO","")&amp;IF(AND($H56&lt;&gt;"",COUNTIF(tblCostos[SKU],$H56)=0)," · Sin fila en COSTOS","")&amp;IF($P56="PENDIENTE"," · Inventario sin valorizar","")="","OK",MID(IF($K56="PENDIENTE"," · Sin precio de venta","")&amp;IF($L56="PENDIENTE"," · Sin costo","")&amp;IF(AND(ISNUMBER($M56),$M56&lt;0)," · MARGEN NEGATIVO","")&amp;IF(AND(ISNUMBER($M56),$M56=0)," · Utilidad cero","")&amp;IF($O56="ERROR"," · STOCK NEGATIVO","")&amp;IF($O56="AGOTADO"," · Agotado","")&amp;IF($O56="REABASTECER"," · Stock bajo","")&amp;IF(AND($H56&lt;&gt;"",COUNTIF(tblProductos[SKU],$H56)&gt;1)," · SKU DUPLICADO","")&amp;IF(AND($H56&lt;&gt;"",COUNTIF(tblCostos[SKU],$H56)=0)," · Sin fila en COSTOS","")&amp;IF($P56="PENDIENTE"," · Inventario sin valorizar",""),4,900)))</f>
        <v/>
      </c>
    </row>
    <row r="57">
      <c r="H57" s="51">
        <f>IFERROR(IF(INDEX(tblProductos[SKU],ROW()-7)="","",INDEX(tblProductos[SKU],ROW()-7)),"")</f>
        <v/>
      </c>
      <c r="I57" s="51">
        <f>IF($H57="","",IFERROR(IF(INDEX(tblProductos[Nombre del producto],MATCH($H57,tblProductos[SKU],0))="","",INDEX(tblProductos[Nombre del producto],MATCH($H57,tblProductos[SKU],0))),""))</f>
        <v/>
      </c>
      <c r="J57" s="51">
        <f>IF($H57="","",IFERROR(IF(INDEX(tblProductos[Estado de datos],MATCH($H57,tblProductos[SKU],0))="","",INDEX(tblProductos[Estado de datos],MATCH($H57,tblProductos[SKU],0))),""))</f>
        <v/>
      </c>
      <c r="K57" s="37">
        <f>IF($H57="","",IFERROR(IF(INDEX(tblProductos[Precio de venta actual],MATCH($H57,tblProductos[SKU],0))="","PENDIENTE",INDEX(tblProductos[Precio de venta actual],MATCH($H57,tblProductos[SKU],0))),"PENDIENTE"))</f>
        <v/>
      </c>
      <c r="L57" s="37">
        <f>IF($H57="","",IFERROR(IF(INDEX(tblProductos[COSTO REAL UNITARIO],MATCH($H57,tblProductos[SKU],0))="","PENDIENTE",INDEX(tblProductos[COSTO REAL UNITARIO],MATCH($H57,tblProductos[SKU],0))),"PENDIENTE"))</f>
        <v/>
      </c>
      <c r="M57" s="38">
        <f>IF($H57="","",IFERROR(IF(INDEX(tblProductos[Margen bruto %],MATCH($H57,tblProductos[SKU],0))="","PENDIENTE",INDEX(tblProductos[Margen bruto %],MATCH($H57,tblProductos[SKU],0))),"PENDIENTE"))</f>
        <v/>
      </c>
      <c r="N57" s="39">
        <f>IF($H57="","",IFERROR(IF(INDEX(tblInventario[Stock actual],MATCH($H57,tblInventario[SKU],0))="","",INDEX(tblInventario[Stock actual],MATCH($H57,tblInventario[SKU],0))),""))</f>
        <v/>
      </c>
      <c r="O57" s="51">
        <f>IF($H57="","",IFERROR(IF(INDEX(tblInventario[ESTADO],MATCH($H57,tblInventario[SKU],0))="","",INDEX(tblInventario[ESTADO],MATCH($H57,tblInventario[SKU],0))),""))</f>
        <v/>
      </c>
      <c r="P57" s="37">
        <f>IF($H57="","",IFERROR(IF(INDEX(tblInventario[VALOR DEL INVENTARIO],MATCH($H57,tblInventario[SKU],0))="","PENDIENTE",INDEX(tblInventario[VALOR DEL INVENTARIO],MATCH($H57,tblInventario[SKU],0))),"PENDIENTE"))</f>
        <v/>
      </c>
      <c r="Q57" s="51">
        <f>IF($H57="","",IF(IF($K57="PENDIENTE"," · Sin precio de venta","")&amp;IF($L57="PENDIENTE"," · Sin costo","")&amp;IF(AND(ISNUMBER($M57),$M57&lt;0)," · MARGEN NEGATIVO","")&amp;IF(AND(ISNUMBER($M57),$M57=0)," · Utilidad cero","")&amp;IF($O57="ERROR"," · STOCK NEGATIVO","")&amp;IF($O57="AGOTADO"," · Agotado","")&amp;IF($O57="REABASTECER"," · Stock bajo","")&amp;IF(AND($H57&lt;&gt;"",COUNTIF(tblProductos[SKU],$H57)&gt;1)," · SKU DUPLICADO","")&amp;IF(AND($H57&lt;&gt;"",COUNTIF(tblCostos[SKU],$H57)=0)," · Sin fila en COSTOS","")&amp;IF($P57="PENDIENTE"," · Inventario sin valorizar","")="","OK",MID(IF($K57="PENDIENTE"," · Sin precio de venta","")&amp;IF($L57="PENDIENTE"," · Sin costo","")&amp;IF(AND(ISNUMBER($M57),$M57&lt;0)," · MARGEN NEGATIVO","")&amp;IF(AND(ISNUMBER($M57),$M57=0)," · Utilidad cero","")&amp;IF($O57="ERROR"," · STOCK NEGATIVO","")&amp;IF($O57="AGOTADO"," · Agotado","")&amp;IF($O57="REABASTECER"," · Stock bajo","")&amp;IF(AND($H57&lt;&gt;"",COUNTIF(tblProductos[SKU],$H57)&gt;1)," · SKU DUPLICADO","")&amp;IF(AND($H57&lt;&gt;"",COUNTIF(tblCostos[SKU],$H57)=0)," · Sin fila en COSTOS","")&amp;IF($P57="PENDIENTE"," · Inventario sin valorizar",""),4,900)))</f>
        <v/>
      </c>
    </row>
    <row r="58">
      <c r="H58" s="51">
        <f>IFERROR(IF(INDEX(tblProductos[SKU],ROW()-7)="","",INDEX(tblProductos[SKU],ROW()-7)),"")</f>
        <v/>
      </c>
      <c r="I58" s="51">
        <f>IF($H58="","",IFERROR(IF(INDEX(tblProductos[Nombre del producto],MATCH($H58,tblProductos[SKU],0))="","",INDEX(tblProductos[Nombre del producto],MATCH($H58,tblProductos[SKU],0))),""))</f>
        <v/>
      </c>
      <c r="J58" s="51">
        <f>IF($H58="","",IFERROR(IF(INDEX(tblProductos[Estado de datos],MATCH($H58,tblProductos[SKU],0))="","",INDEX(tblProductos[Estado de datos],MATCH($H58,tblProductos[SKU],0))),""))</f>
        <v/>
      </c>
      <c r="K58" s="37">
        <f>IF($H58="","",IFERROR(IF(INDEX(tblProductos[Precio de venta actual],MATCH($H58,tblProductos[SKU],0))="","PENDIENTE",INDEX(tblProductos[Precio de venta actual],MATCH($H58,tblProductos[SKU],0))),"PENDIENTE"))</f>
        <v/>
      </c>
      <c r="L58" s="37">
        <f>IF($H58="","",IFERROR(IF(INDEX(tblProductos[COSTO REAL UNITARIO],MATCH($H58,tblProductos[SKU],0))="","PENDIENTE",INDEX(tblProductos[COSTO REAL UNITARIO],MATCH($H58,tblProductos[SKU],0))),"PENDIENTE"))</f>
        <v/>
      </c>
      <c r="M58" s="38">
        <f>IF($H58="","",IFERROR(IF(INDEX(tblProductos[Margen bruto %],MATCH($H58,tblProductos[SKU],0))="","PENDIENTE",INDEX(tblProductos[Margen bruto %],MATCH($H58,tblProductos[SKU],0))),"PENDIENTE"))</f>
        <v/>
      </c>
      <c r="N58" s="39">
        <f>IF($H58="","",IFERROR(IF(INDEX(tblInventario[Stock actual],MATCH($H58,tblInventario[SKU],0))="","",INDEX(tblInventario[Stock actual],MATCH($H58,tblInventario[SKU],0))),""))</f>
        <v/>
      </c>
      <c r="O58" s="51">
        <f>IF($H58="","",IFERROR(IF(INDEX(tblInventario[ESTADO],MATCH($H58,tblInventario[SKU],0))="","",INDEX(tblInventario[ESTADO],MATCH($H58,tblInventario[SKU],0))),""))</f>
        <v/>
      </c>
      <c r="P58" s="37">
        <f>IF($H58="","",IFERROR(IF(INDEX(tblInventario[VALOR DEL INVENTARIO],MATCH($H58,tblInventario[SKU],0))="","PENDIENTE",INDEX(tblInventario[VALOR DEL INVENTARIO],MATCH($H58,tblInventario[SKU],0))),"PENDIENTE"))</f>
        <v/>
      </c>
      <c r="Q58" s="51">
        <f>IF($H58="","",IF(IF($K58="PENDIENTE"," · Sin precio de venta","")&amp;IF($L58="PENDIENTE"," · Sin costo","")&amp;IF(AND(ISNUMBER($M58),$M58&lt;0)," · MARGEN NEGATIVO","")&amp;IF(AND(ISNUMBER($M58),$M58=0)," · Utilidad cero","")&amp;IF($O58="ERROR"," · STOCK NEGATIVO","")&amp;IF($O58="AGOTADO"," · Agotado","")&amp;IF($O58="REABASTECER"," · Stock bajo","")&amp;IF(AND($H58&lt;&gt;"",COUNTIF(tblProductos[SKU],$H58)&gt;1)," · SKU DUPLICADO","")&amp;IF(AND($H58&lt;&gt;"",COUNTIF(tblCostos[SKU],$H58)=0)," · Sin fila en COSTOS","")&amp;IF($P58="PENDIENTE"," · Inventario sin valorizar","")="","OK",MID(IF($K58="PENDIENTE"," · Sin precio de venta","")&amp;IF($L58="PENDIENTE"," · Sin costo","")&amp;IF(AND(ISNUMBER($M58),$M58&lt;0)," · MARGEN NEGATIVO","")&amp;IF(AND(ISNUMBER($M58),$M58=0)," · Utilidad cero","")&amp;IF($O58="ERROR"," · STOCK NEGATIVO","")&amp;IF($O58="AGOTADO"," · Agotado","")&amp;IF($O58="REABASTECER"," · Stock bajo","")&amp;IF(AND($H58&lt;&gt;"",COUNTIF(tblProductos[SKU],$H58)&gt;1)," · SKU DUPLICADO","")&amp;IF(AND($H58&lt;&gt;"",COUNTIF(tblCostos[SKU],$H58)=0)," · Sin fila en COSTOS","")&amp;IF($P58="PENDIENTE"," · Inventario sin valorizar",""),4,900)))</f>
        <v/>
      </c>
    </row>
    <row r="59">
      <c r="H59" s="51">
        <f>IFERROR(IF(INDEX(tblProductos[SKU],ROW()-7)="","",INDEX(tblProductos[SKU],ROW()-7)),"")</f>
        <v/>
      </c>
      <c r="I59" s="51">
        <f>IF($H59="","",IFERROR(IF(INDEX(tblProductos[Nombre del producto],MATCH($H59,tblProductos[SKU],0))="","",INDEX(tblProductos[Nombre del producto],MATCH($H59,tblProductos[SKU],0))),""))</f>
        <v/>
      </c>
      <c r="J59" s="51">
        <f>IF($H59="","",IFERROR(IF(INDEX(tblProductos[Estado de datos],MATCH($H59,tblProductos[SKU],0))="","",INDEX(tblProductos[Estado de datos],MATCH($H59,tblProductos[SKU],0))),""))</f>
        <v/>
      </c>
      <c r="K59" s="37">
        <f>IF($H59="","",IFERROR(IF(INDEX(tblProductos[Precio de venta actual],MATCH($H59,tblProductos[SKU],0))="","PENDIENTE",INDEX(tblProductos[Precio de venta actual],MATCH($H59,tblProductos[SKU],0))),"PENDIENTE"))</f>
        <v/>
      </c>
      <c r="L59" s="37">
        <f>IF($H59="","",IFERROR(IF(INDEX(tblProductos[COSTO REAL UNITARIO],MATCH($H59,tblProductos[SKU],0))="","PENDIENTE",INDEX(tblProductos[COSTO REAL UNITARIO],MATCH($H59,tblProductos[SKU],0))),"PENDIENTE"))</f>
        <v/>
      </c>
      <c r="M59" s="38">
        <f>IF($H59="","",IFERROR(IF(INDEX(tblProductos[Margen bruto %],MATCH($H59,tblProductos[SKU],0))="","PENDIENTE",INDEX(tblProductos[Margen bruto %],MATCH($H59,tblProductos[SKU],0))),"PENDIENTE"))</f>
        <v/>
      </c>
      <c r="N59" s="39">
        <f>IF($H59="","",IFERROR(IF(INDEX(tblInventario[Stock actual],MATCH($H59,tblInventario[SKU],0))="","",INDEX(tblInventario[Stock actual],MATCH($H59,tblInventario[SKU],0))),""))</f>
        <v/>
      </c>
      <c r="O59" s="51">
        <f>IF($H59="","",IFERROR(IF(INDEX(tblInventario[ESTADO],MATCH($H59,tblInventario[SKU],0))="","",INDEX(tblInventario[ESTADO],MATCH($H59,tblInventario[SKU],0))),""))</f>
        <v/>
      </c>
      <c r="P59" s="37">
        <f>IF($H59="","",IFERROR(IF(INDEX(tblInventario[VALOR DEL INVENTARIO],MATCH($H59,tblInventario[SKU],0))="","PENDIENTE",INDEX(tblInventario[VALOR DEL INVENTARIO],MATCH($H59,tblInventario[SKU],0))),"PENDIENTE"))</f>
        <v/>
      </c>
      <c r="Q59" s="51">
        <f>IF($H59="","",IF(IF($K59="PENDIENTE"," · Sin precio de venta","")&amp;IF($L59="PENDIENTE"," · Sin costo","")&amp;IF(AND(ISNUMBER($M59),$M59&lt;0)," · MARGEN NEGATIVO","")&amp;IF(AND(ISNUMBER($M59),$M59=0)," · Utilidad cero","")&amp;IF($O59="ERROR"," · STOCK NEGATIVO","")&amp;IF($O59="AGOTADO"," · Agotado","")&amp;IF($O59="REABASTECER"," · Stock bajo","")&amp;IF(AND($H59&lt;&gt;"",COUNTIF(tblProductos[SKU],$H59)&gt;1)," · SKU DUPLICADO","")&amp;IF(AND($H59&lt;&gt;"",COUNTIF(tblCostos[SKU],$H59)=0)," · Sin fila en COSTOS","")&amp;IF($P59="PENDIENTE"," · Inventario sin valorizar","")="","OK",MID(IF($K59="PENDIENTE"," · Sin precio de venta","")&amp;IF($L59="PENDIENTE"," · Sin costo","")&amp;IF(AND(ISNUMBER($M59),$M59&lt;0)," · MARGEN NEGATIVO","")&amp;IF(AND(ISNUMBER($M59),$M59=0)," · Utilidad cero","")&amp;IF($O59="ERROR"," · STOCK NEGATIVO","")&amp;IF($O59="AGOTADO"," · Agotado","")&amp;IF($O59="REABASTECER"," · Stock bajo","")&amp;IF(AND($H59&lt;&gt;"",COUNTIF(tblProductos[SKU],$H59)&gt;1)," · SKU DUPLICADO","")&amp;IF(AND($H59&lt;&gt;"",COUNTIF(tblCostos[SKU],$H59)=0)," · Sin fila en COSTOS","")&amp;IF($P59="PENDIENTE"," · Inventario sin valorizar",""),4,900)))</f>
        <v/>
      </c>
    </row>
    <row r="60">
      <c r="H60" s="51">
        <f>IFERROR(IF(INDEX(tblProductos[SKU],ROW()-7)="","",INDEX(tblProductos[SKU],ROW()-7)),"")</f>
        <v/>
      </c>
      <c r="I60" s="51">
        <f>IF($H60="","",IFERROR(IF(INDEX(tblProductos[Nombre del producto],MATCH($H60,tblProductos[SKU],0))="","",INDEX(tblProductos[Nombre del producto],MATCH($H60,tblProductos[SKU],0))),""))</f>
        <v/>
      </c>
      <c r="J60" s="51">
        <f>IF($H60="","",IFERROR(IF(INDEX(tblProductos[Estado de datos],MATCH($H60,tblProductos[SKU],0))="","",INDEX(tblProductos[Estado de datos],MATCH($H60,tblProductos[SKU],0))),""))</f>
        <v/>
      </c>
      <c r="K60" s="37">
        <f>IF($H60="","",IFERROR(IF(INDEX(tblProductos[Precio de venta actual],MATCH($H60,tblProductos[SKU],0))="","PENDIENTE",INDEX(tblProductos[Precio de venta actual],MATCH($H60,tblProductos[SKU],0))),"PENDIENTE"))</f>
        <v/>
      </c>
      <c r="L60" s="37">
        <f>IF($H60="","",IFERROR(IF(INDEX(tblProductos[COSTO REAL UNITARIO],MATCH($H60,tblProductos[SKU],0))="","PENDIENTE",INDEX(tblProductos[COSTO REAL UNITARIO],MATCH($H60,tblProductos[SKU],0))),"PENDIENTE"))</f>
        <v/>
      </c>
      <c r="M60" s="38">
        <f>IF($H60="","",IFERROR(IF(INDEX(tblProductos[Margen bruto %],MATCH($H60,tblProductos[SKU],0))="","PENDIENTE",INDEX(tblProductos[Margen bruto %],MATCH($H60,tblProductos[SKU],0))),"PENDIENTE"))</f>
        <v/>
      </c>
      <c r="N60" s="39">
        <f>IF($H60="","",IFERROR(IF(INDEX(tblInventario[Stock actual],MATCH($H60,tblInventario[SKU],0))="","",INDEX(tblInventario[Stock actual],MATCH($H60,tblInventario[SKU],0))),""))</f>
        <v/>
      </c>
      <c r="O60" s="51">
        <f>IF($H60="","",IFERROR(IF(INDEX(tblInventario[ESTADO],MATCH($H60,tblInventario[SKU],0))="","",INDEX(tblInventario[ESTADO],MATCH($H60,tblInventario[SKU],0))),""))</f>
        <v/>
      </c>
      <c r="P60" s="37">
        <f>IF($H60="","",IFERROR(IF(INDEX(tblInventario[VALOR DEL INVENTARIO],MATCH($H60,tblInventario[SKU],0))="","PENDIENTE",INDEX(tblInventario[VALOR DEL INVENTARIO],MATCH($H60,tblInventario[SKU],0))),"PENDIENTE"))</f>
        <v/>
      </c>
      <c r="Q60" s="51">
        <f>IF($H60="","",IF(IF($K60="PENDIENTE"," · Sin precio de venta","")&amp;IF($L60="PENDIENTE"," · Sin costo","")&amp;IF(AND(ISNUMBER($M60),$M60&lt;0)," · MARGEN NEGATIVO","")&amp;IF(AND(ISNUMBER($M60),$M60=0)," · Utilidad cero","")&amp;IF($O60="ERROR"," · STOCK NEGATIVO","")&amp;IF($O60="AGOTADO"," · Agotado","")&amp;IF($O60="REABASTECER"," · Stock bajo","")&amp;IF(AND($H60&lt;&gt;"",COUNTIF(tblProductos[SKU],$H60)&gt;1)," · SKU DUPLICADO","")&amp;IF(AND($H60&lt;&gt;"",COUNTIF(tblCostos[SKU],$H60)=0)," · Sin fila en COSTOS","")&amp;IF($P60="PENDIENTE"," · Inventario sin valorizar","")="","OK",MID(IF($K60="PENDIENTE"," · Sin precio de venta","")&amp;IF($L60="PENDIENTE"," · Sin costo","")&amp;IF(AND(ISNUMBER($M60),$M60&lt;0)," · MARGEN NEGATIVO","")&amp;IF(AND(ISNUMBER($M60),$M60=0)," · Utilidad cero","")&amp;IF($O60="ERROR"," · STOCK NEGATIVO","")&amp;IF($O60="AGOTADO"," · Agotado","")&amp;IF($O60="REABASTECER"," · Stock bajo","")&amp;IF(AND($H60&lt;&gt;"",COUNTIF(tblProductos[SKU],$H60)&gt;1)," · SKU DUPLICADO","")&amp;IF(AND($H60&lt;&gt;"",COUNTIF(tblCostos[SKU],$H60)=0)," · Sin fila en COSTOS","")&amp;IF($P60="PENDIENTE"," · Inventario sin valorizar",""),4,900)))</f>
        <v/>
      </c>
    </row>
    <row r="61">
      <c r="H61" s="51">
        <f>IFERROR(IF(INDEX(tblProductos[SKU],ROW()-7)="","",INDEX(tblProductos[SKU],ROW()-7)),"")</f>
        <v/>
      </c>
      <c r="I61" s="51">
        <f>IF($H61="","",IFERROR(IF(INDEX(tblProductos[Nombre del producto],MATCH($H61,tblProductos[SKU],0))="","",INDEX(tblProductos[Nombre del producto],MATCH($H61,tblProductos[SKU],0))),""))</f>
        <v/>
      </c>
      <c r="J61" s="51">
        <f>IF($H61="","",IFERROR(IF(INDEX(tblProductos[Estado de datos],MATCH($H61,tblProductos[SKU],0))="","",INDEX(tblProductos[Estado de datos],MATCH($H61,tblProductos[SKU],0))),""))</f>
        <v/>
      </c>
      <c r="K61" s="37">
        <f>IF($H61="","",IFERROR(IF(INDEX(tblProductos[Precio de venta actual],MATCH($H61,tblProductos[SKU],0))="","PENDIENTE",INDEX(tblProductos[Precio de venta actual],MATCH($H61,tblProductos[SKU],0))),"PENDIENTE"))</f>
        <v/>
      </c>
      <c r="L61" s="37">
        <f>IF($H61="","",IFERROR(IF(INDEX(tblProductos[COSTO REAL UNITARIO],MATCH($H61,tblProductos[SKU],0))="","PENDIENTE",INDEX(tblProductos[COSTO REAL UNITARIO],MATCH($H61,tblProductos[SKU],0))),"PENDIENTE"))</f>
        <v/>
      </c>
      <c r="M61" s="38">
        <f>IF($H61="","",IFERROR(IF(INDEX(tblProductos[Margen bruto %],MATCH($H61,tblProductos[SKU],0))="","PENDIENTE",INDEX(tblProductos[Margen bruto %],MATCH($H61,tblProductos[SKU],0))),"PENDIENTE"))</f>
        <v/>
      </c>
      <c r="N61" s="39">
        <f>IF($H61="","",IFERROR(IF(INDEX(tblInventario[Stock actual],MATCH($H61,tblInventario[SKU],0))="","",INDEX(tblInventario[Stock actual],MATCH($H61,tblInventario[SKU],0))),""))</f>
        <v/>
      </c>
      <c r="O61" s="51">
        <f>IF($H61="","",IFERROR(IF(INDEX(tblInventario[ESTADO],MATCH($H61,tblInventario[SKU],0))="","",INDEX(tblInventario[ESTADO],MATCH($H61,tblInventario[SKU],0))),""))</f>
        <v/>
      </c>
      <c r="P61" s="37">
        <f>IF($H61="","",IFERROR(IF(INDEX(tblInventario[VALOR DEL INVENTARIO],MATCH($H61,tblInventario[SKU],0))="","PENDIENTE",INDEX(tblInventario[VALOR DEL INVENTARIO],MATCH($H61,tblInventario[SKU],0))),"PENDIENTE"))</f>
        <v/>
      </c>
      <c r="Q61" s="51">
        <f>IF($H61="","",IF(IF($K61="PENDIENTE"," · Sin precio de venta","")&amp;IF($L61="PENDIENTE"," · Sin costo","")&amp;IF(AND(ISNUMBER($M61),$M61&lt;0)," · MARGEN NEGATIVO","")&amp;IF(AND(ISNUMBER($M61),$M61=0)," · Utilidad cero","")&amp;IF($O61="ERROR"," · STOCK NEGATIVO","")&amp;IF($O61="AGOTADO"," · Agotado","")&amp;IF($O61="REABASTECER"," · Stock bajo","")&amp;IF(AND($H61&lt;&gt;"",COUNTIF(tblProductos[SKU],$H61)&gt;1)," · SKU DUPLICADO","")&amp;IF(AND($H61&lt;&gt;"",COUNTIF(tblCostos[SKU],$H61)=0)," · Sin fila en COSTOS","")&amp;IF($P61="PENDIENTE"," · Inventario sin valorizar","")="","OK",MID(IF($K61="PENDIENTE"," · Sin precio de venta","")&amp;IF($L61="PENDIENTE"," · Sin costo","")&amp;IF(AND(ISNUMBER($M61),$M61&lt;0)," · MARGEN NEGATIVO","")&amp;IF(AND(ISNUMBER($M61),$M61=0)," · Utilidad cero","")&amp;IF($O61="ERROR"," · STOCK NEGATIVO","")&amp;IF($O61="AGOTADO"," · Agotado","")&amp;IF($O61="REABASTECER"," · Stock bajo","")&amp;IF(AND($H61&lt;&gt;"",COUNTIF(tblProductos[SKU],$H61)&gt;1)," · SKU DUPLICADO","")&amp;IF(AND($H61&lt;&gt;"",COUNTIF(tblCostos[SKU],$H61)=0)," · Sin fila en COSTOS","")&amp;IF($P61="PENDIENTE"," · Inventario sin valorizar",""),4,900)))</f>
        <v/>
      </c>
    </row>
    <row r="62">
      <c r="H62" s="51">
        <f>IFERROR(IF(INDEX(tblProductos[SKU],ROW()-7)="","",INDEX(tblProductos[SKU],ROW()-7)),"")</f>
        <v/>
      </c>
      <c r="I62" s="51">
        <f>IF($H62="","",IFERROR(IF(INDEX(tblProductos[Nombre del producto],MATCH($H62,tblProductos[SKU],0))="","",INDEX(tblProductos[Nombre del producto],MATCH($H62,tblProductos[SKU],0))),""))</f>
        <v/>
      </c>
      <c r="J62" s="51">
        <f>IF($H62="","",IFERROR(IF(INDEX(tblProductos[Estado de datos],MATCH($H62,tblProductos[SKU],0))="","",INDEX(tblProductos[Estado de datos],MATCH($H62,tblProductos[SKU],0))),""))</f>
        <v/>
      </c>
      <c r="K62" s="37">
        <f>IF($H62="","",IFERROR(IF(INDEX(tblProductos[Precio de venta actual],MATCH($H62,tblProductos[SKU],0))="","PENDIENTE",INDEX(tblProductos[Precio de venta actual],MATCH($H62,tblProductos[SKU],0))),"PENDIENTE"))</f>
        <v/>
      </c>
      <c r="L62" s="37">
        <f>IF($H62="","",IFERROR(IF(INDEX(tblProductos[COSTO REAL UNITARIO],MATCH($H62,tblProductos[SKU],0))="","PENDIENTE",INDEX(tblProductos[COSTO REAL UNITARIO],MATCH($H62,tblProductos[SKU],0))),"PENDIENTE"))</f>
        <v/>
      </c>
      <c r="M62" s="38">
        <f>IF($H62="","",IFERROR(IF(INDEX(tblProductos[Margen bruto %],MATCH($H62,tblProductos[SKU],0))="","PENDIENTE",INDEX(tblProductos[Margen bruto %],MATCH($H62,tblProductos[SKU],0))),"PENDIENTE"))</f>
        <v/>
      </c>
      <c r="N62" s="39">
        <f>IF($H62="","",IFERROR(IF(INDEX(tblInventario[Stock actual],MATCH($H62,tblInventario[SKU],0))="","",INDEX(tblInventario[Stock actual],MATCH($H62,tblInventario[SKU],0))),""))</f>
        <v/>
      </c>
      <c r="O62" s="51">
        <f>IF($H62="","",IFERROR(IF(INDEX(tblInventario[ESTADO],MATCH($H62,tblInventario[SKU],0))="","",INDEX(tblInventario[ESTADO],MATCH($H62,tblInventario[SKU],0))),""))</f>
        <v/>
      </c>
      <c r="P62" s="37">
        <f>IF($H62="","",IFERROR(IF(INDEX(tblInventario[VALOR DEL INVENTARIO],MATCH($H62,tblInventario[SKU],0))="","PENDIENTE",INDEX(tblInventario[VALOR DEL INVENTARIO],MATCH($H62,tblInventario[SKU],0))),"PENDIENTE"))</f>
        <v/>
      </c>
      <c r="Q62" s="51">
        <f>IF($H62="","",IF(IF($K62="PENDIENTE"," · Sin precio de venta","")&amp;IF($L62="PENDIENTE"," · Sin costo","")&amp;IF(AND(ISNUMBER($M62),$M62&lt;0)," · MARGEN NEGATIVO","")&amp;IF(AND(ISNUMBER($M62),$M62=0)," · Utilidad cero","")&amp;IF($O62="ERROR"," · STOCK NEGATIVO","")&amp;IF($O62="AGOTADO"," · Agotado","")&amp;IF($O62="REABASTECER"," · Stock bajo","")&amp;IF(AND($H62&lt;&gt;"",COUNTIF(tblProductos[SKU],$H62)&gt;1)," · SKU DUPLICADO","")&amp;IF(AND($H62&lt;&gt;"",COUNTIF(tblCostos[SKU],$H62)=0)," · Sin fila en COSTOS","")&amp;IF($P62="PENDIENTE"," · Inventario sin valorizar","")="","OK",MID(IF($K62="PENDIENTE"," · Sin precio de venta","")&amp;IF($L62="PENDIENTE"," · Sin costo","")&amp;IF(AND(ISNUMBER($M62),$M62&lt;0)," · MARGEN NEGATIVO","")&amp;IF(AND(ISNUMBER($M62),$M62=0)," · Utilidad cero","")&amp;IF($O62="ERROR"," · STOCK NEGATIVO","")&amp;IF($O62="AGOTADO"," · Agotado","")&amp;IF($O62="REABASTECER"," · Stock bajo","")&amp;IF(AND($H62&lt;&gt;"",COUNTIF(tblProductos[SKU],$H62)&gt;1)," · SKU DUPLICADO","")&amp;IF(AND($H62&lt;&gt;"",COUNTIF(tblCostos[SKU],$H62)=0)," · Sin fila en COSTOS","")&amp;IF($P62="PENDIENTE"," · Inventario sin valorizar",""),4,900)))</f>
        <v/>
      </c>
    </row>
    <row r="63">
      <c r="H63" s="51">
        <f>IFERROR(IF(INDEX(tblProductos[SKU],ROW()-7)="","",INDEX(tblProductos[SKU],ROW()-7)),"")</f>
        <v/>
      </c>
      <c r="I63" s="51">
        <f>IF($H63="","",IFERROR(IF(INDEX(tblProductos[Nombre del producto],MATCH($H63,tblProductos[SKU],0))="","",INDEX(tblProductos[Nombre del producto],MATCH($H63,tblProductos[SKU],0))),""))</f>
        <v/>
      </c>
      <c r="J63" s="51">
        <f>IF($H63="","",IFERROR(IF(INDEX(tblProductos[Estado de datos],MATCH($H63,tblProductos[SKU],0))="","",INDEX(tblProductos[Estado de datos],MATCH($H63,tblProductos[SKU],0))),""))</f>
        <v/>
      </c>
      <c r="K63" s="37">
        <f>IF($H63="","",IFERROR(IF(INDEX(tblProductos[Precio de venta actual],MATCH($H63,tblProductos[SKU],0))="","PENDIENTE",INDEX(tblProductos[Precio de venta actual],MATCH($H63,tblProductos[SKU],0))),"PENDIENTE"))</f>
        <v/>
      </c>
      <c r="L63" s="37">
        <f>IF($H63="","",IFERROR(IF(INDEX(tblProductos[COSTO REAL UNITARIO],MATCH($H63,tblProductos[SKU],0))="","PENDIENTE",INDEX(tblProductos[COSTO REAL UNITARIO],MATCH($H63,tblProductos[SKU],0))),"PENDIENTE"))</f>
        <v/>
      </c>
      <c r="M63" s="38">
        <f>IF($H63="","",IFERROR(IF(INDEX(tblProductos[Margen bruto %],MATCH($H63,tblProductos[SKU],0))="","PENDIENTE",INDEX(tblProductos[Margen bruto %],MATCH($H63,tblProductos[SKU],0))),"PENDIENTE"))</f>
        <v/>
      </c>
      <c r="N63" s="39">
        <f>IF($H63="","",IFERROR(IF(INDEX(tblInventario[Stock actual],MATCH($H63,tblInventario[SKU],0))="","",INDEX(tblInventario[Stock actual],MATCH($H63,tblInventario[SKU],0))),""))</f>
        <v/>
      </c>
      <c r="O63" s="51">
        <f>IF($H63="","",IFERROR(IF(INDEX(tblInventario[ESTADO],MATCH($H63,tblInventario[SKU],0))="","",INDEX(tblInventario[ESTADO],MATCH($H63,tblInventario[SKU],0))),""))</f>
        <v/>
      </c>
      <c r="P63" s="37">
        <f>IF($H63="","",IFERROR(IF(INDEX(tblInventario[VALOR DEL INVENTARIO],MATCH($H63,tblInventario[SKU],0))="","PENDIENTE",INDEX(tblInventario[VALOR DEL INVENTARIO],MATCH($H63,tblInventario[SKU],0))),"PENDIENTE"))</f>
        <v/>
      </c>
      <c r="Q63" s="51">
        <f>IF($H63="","",IF(IF($K63="PENDIENTE"," · Sin precio de venta","")&amp;IF($L63="PENDIENTE"," · Sin costo","")&amp;IF(AND(ISNUMBER($M63),$M63&lt;0)," · MARGEN NEGATIVO","")&amp;IF(AND(ISNUMBER($M63),$M63=0)," · Utilidad cero","")&amp;IF($O63="ERROR"," · STOCK NEGATIVO","")&amp;IF($O63="AGOTADO"," · Agotado","")&amp;IF($O63="REABASTECER"," · Stock bajo","")&amp;IF(AND($H63&lt;&gt;"",COUNTIF(tblProductos[SKU],$H63)&gt;1)," · SKU DUPLICADO","")&amp;IF(AND($H63&lt;&gt;"",COUNTIF(tblCostos[SKU],$H63)=0)," · Sin fila en COSTOS","")&amp;IF($P63="PENDIENTE"," · Inventario sin valorizar","")="","OK",MID(IF($K63="PENDIENTE"," · Sin precio de venta","")&amp;IF($L63="PENDIENTE"," · Sin costo","")&amp;IF(AND(ISNUMBER($M63),$M63&lt;0)," · MARGEN NEGATIVO","")&amp;IF(AND(ISNUMBER($M63),$M63=0)," · Utilidad cero","")&amp;IF($O63="ERROR"," · STOCK NEGATIVO","")&amp;IF($O63="AGOTADO"," · Agotado","")&amp;IF($O63="REABASTECER"," · Stock bajo","")&amp;IF(AND($H63&lt;&gt;"",COUNTIF(tblProductos[SKU],$H63)&gt;1)," · SKU DUPLICADO","")&amp;IF(AND($H63&lt;&gt;"",COUNTIF(tblCostos[SKU],$H63)=0)," · Sin fila en COSTOS","")&amp;IF($P63="PENDIENTE"," · Inventario sin valorizar",""),4,900)))</f>
        <v/>
      </c>
    </row>
    <row r="64">
      <c r="H64" s="51">
        <f>IFERROR(IF(INDEX(tblProductos[SKU],ROW()-7)="","",INDEX(tblProductos[SKU],ROW()-7)),"")</f>
        <v/>
      </c>
      <c r="I64" s="51">
        <f>IF($H64="","",IFERROR(IF(INDEX(tblProductos[Nombre del producto],MATCH($H64,tblProductos[SKU],0))="","",INDEX(tblProductos[Nombre del producto],MATCH($H64,tblProductos[SKU],0))),""))</f>
        <v/>
      </c>
      <c r="J64" s="51">
        <f>IF($H64="","",IFERROR(IF(INDEX(tblProductos[Estado de datos],MATCH($H64,tblProductos[SKU],0))="","",INDEX(tblProductos[Estado de datos],MATCH($H64,tblProductos[SKU],0))),""))</f>
        <v/>
      </c>
      <c r="K64" s="37">
        <f>IF($H64="","",IFERROR(IF(INDEX(tblProductos[Precio de venta actual],MATCH($H64,tblProductos[SKU],0))="","PENDIENTE",INDEX(tblProductos[Precio de venta actual],MATCH($H64,tblProductos[SKU],0))),"PENDIENTE"))</f>
        <v/>
      </c>
      <c r="L64" s="37">
        <f>IF($H64="","",IFERROR(IF(INDEX(tblProductos[COSTO REAL UNITARIO],MATCH($H64,tblProductos[SKU],0))="","PENDIENTE",INDEX(tblProductos[COSTO REAL UNITARIO],MATCH($H64,tblProductos[SKU],0))),"PENDIENTE"))</f>
        <v/>
      </c>
      <c r="M64" s="38">
        <f>IF($H64="","",IFERROR(IF(INDEX(tblProductos[Margen bruto %],MATCH($H64,tblProductos[SKU],0))="","PENDIENTE",INDEX(tblProductos[Margen bruto %],MATCH($H64,tblProductos[SKU],0))),"PENDIENTE"))</f>
        <v/>
      </c>
      <c r="N64" s="39">
        <f>IF($H64="","",IFERROR(IF(INDEX(tblInventario[Stock actual],MATCH($H64,tblInventario[SKU],0))="","",INDEX(tblInventario[Stock actual],MATCH($H64,tblInventario[SKU],0))),""))</f>
        <v/>
      </c>
      <c r="O64" s="51">
        <f>IF($H64="","",IFERROR(IF(INDEX(tblInventario[ESTADO],MATCH($H64,tblInventario[SKU],0))="","",INDEX(tblInventario[ESTADO],MATCH($H64,tblInventario[SKU],0))),""))</f>
        <v/>
      </c>
      <c r="P64" s="37">
        <f>IF($H64="","",IFERROR(IF(INDEX(tblInventario[VALOR DEL INVENTARIO],MATCH($H64,tblInventario[SKU],0))="","PENDIENTE",INDEX(tblInventario[VALOR DEL INVENTARIO],MATCH($H64,tblInventario[SKU],0))),"PENDIENTE"))</f>
        <v/>
      </c>
      <c r="Q64" s="51">
        <f>IF($H64="","",IF(IF($K64="PENDIENTE"," · Sin precio de venta","")&amp;IF($L64="PENDIENTE"," · Sin costo","")&amp;IF(AND(ISNUMBER($M64),$M64&lt;0)," · MARGEN NEGATIVO","")&amp;IF(AND(ISNUMBER($M64),$M64=0)," · Utilidad cero","")&amp;IF($O64="ERROR"," · STOCK NEGATIVO","")&amp;IF($O64="AGOTADO"," · Agotado","")&amp;IF($O64="REABASTECER"," · Stock bajo","")&amp;IF(AND($H64&lt;&gt;"",COUNTIF(tblProductos[SKU],$H64)&gt;1)," · SKU DUPLICADO","")&amp;IF(AND($H64&lt;&gt;"",COUNTIF(tblCostos[SKU],$H64)=0)," · Sin fila en COSTOS","")&amp;IF($P64="PENDIENTE"," · Inventario sin valorizar","")="","OK",MID(IF($K64="PENDIENTE"," · Sin precio de venta","")&amp;IF($L64="PENDIENTE"," · Sin costo","")&amp;IF(AND(ISNUMBER($M64),$M64&lt;0)," · MARGEN NEGATIVO","")&amp;IF(AND(ISNUMBER($M64),$M64=0)," · Utilidad cero","")&amp;IF($O64="ERROR"," · STOCK NEGATIVO","")&amp;IF($O64="AGOTADO"," · Agotado","")&amp;IF($O64="REABASTECER"," · Stock bajo","")&amp;IF(AND($H64&lt;&gt;"",COUNTIF(tblProductos[SKU],$H64)&gt;1)," · SKU DUPLICADO","")&amp;IF(AND($H64&lt;&gt;"",COUNTIF(tblCostos[SKU],$H64)=0)," · Sin fila en COSTOS","")&amp;IF($P64="PENDIENTE"," · Inventario sin valorizar",""),4,900)))</f>
        <v/>
      </c>
    </row>
    <row r="65">
      <c r="H65" s="51">
        <f>IFERROR(IF(INDEX(tblProductos[SKU],ROW()-7)="","",INDEX(tblProductos[SKU],ROW()-7)),"")</f>
        <v/>
      </c>
      <c r="I65" s="51">
        <f>IF($H65="","",IFERROR(IF(INDEX(tblProductos[Nombre del producto],MATCH($H65,tblProductos[SKU],0))="","",INDEX(tblProductos[Nombre del producto],MATCH($H65,tblProductos[SKU],0))),""))</f>
        <v/>
      </c>
      <c r="J65" s="51">
        <f>IF($H65="","",IFERROR(IF(INDEX(tblProductos[Estado de datos],MATCH($H65,tblProductos[SKU],0))="","",INDEX(tblProductos[Estado de datos],MATCH($H65,tblProductos[SKU],0))),""))</f>
        <v/>
      </c>
      <c r="K65" s="37">
        <f>IF($H65="","",IFERROR(IF(INDEX(tblProductos[Precio de venta actual],MATCH($H65,tblProductos[SKU],0))="","PENDIENTE",INDEX(tblProductos[Precio de venta actual],MATCH($H65,tblProductos[SKU],0))),"PENDIENTE"))</f>
        <v/>
      </c>
      <c r="L65" s="37">
        <f>IF($H65="","",IFERROR(IF(INDEX(tblProductos[COSTO REAL UNITARIO],MATCH($H65,tblProductos[SKU],0))="","PENDIENTE",INDEX(tblProductos[COSTO REAL UNITARIO],MATCH($H65,tblProductos[SKU],0))),"PENDIENTE"))</f>
        <v/>
      </c>
      <c r="M65" s="38">
        <f>IF($H65="","",IFERROR(IF(INDEX(tblProductos[Margen bruto %],MATCH($H65,tblProductos[SKU],0))="","PENDIENTE",INDEX(tblProductos[Margen bruto %],MATCH($H65,tblProductos[SKU],0))),"PENDIENTE"))</f>
        <v/>
      </c>
      <c r="N65" s="39">
        <f>IF($H65="","",IFERROR(IF(INDEX(tblInventario[Stock actual],MATCH($H65,tblInventario[SKU],0))="","",INDEX(tblInventario[Stock actual],MATCH($H65,tblInventario[SKU],0))),""))</f>
        <v/>
      </c>
      <c r="O65" s="51">
        <f>IF($H65="","",IFERROR(IF(INDEX(tblInventario[ESTADO],MATCH($H65,tblInventario[SKU],0))="","",INDEX(tblInventario[ESTADO],MATCH($H65,tblInventario[SKU],0))),""))</f>
        <v/>
      </c>
      <c r="P65" s="37">
        <f>IF($H65="","",IFERROR(IF(INDEX(tblInventario[VALOR DEL INVENTARIO],MATCH($H65,tblInventario[SKU],0))="","PENDIENTE",INDEX(tblInventario[VALOR DEL INVENTARIO],MATCH($H65,tblInventario[SKU],0))),"PENDIENTE"))</f>
        <v/>
      </c>
      <c r="Q65" s="51">
        <f>IF($H65="","",IF(IF($K65="PENDIENTE"," · Sin precio de venta","")&amp;IF($L65="PENDIENTE"," · Sin costo","")&amp;IF(AND(ISNUMBER($M65),$M65&lt;0)," · MARGEN NEGATIVO","")&amp;IF(AND(ISNUMBER($M65),$M65=0)," · Utilidad cero","")&amp;IF($O65="ERROR"," · STOCK NEGATIVO","")&amp;IF($O65="AGOTADO"," · Agotado","")&amp;IF($O65="REABASTECER"," · Stock bajo","")&amp;IF(AND($H65&lt;&gt;"",COUNTIF(tblProductos[SKU],$H65)&gt;1)," · SKU DUPLICADO","")&amp;IF(AND($H65&lt;&gt;"",COUNTIF(tblCostos[SKU],$H65)=0)," · Sin fila en COSTOS","")&amp;IF($P65="PENDIENTE"," · Inventario sin valorizar","")="","OK",MID(IF($K65="PENDIENTE"," · Sin precio de venta","")&amp;IF($L65="PENDIENTE"," · Sin costo","")&amp;IF(AND(ISNUMBER($M65),$M65&lt;0)," · MARGEN NEGATIVO","")&amp;IF(AND(ISNUMBER($M65),$M65=0)," · Utilidad cero","")&amp;IF($O65="ERROR"," · STOCK NEGATIVO","")&amp;IF($O65="AGOTADO"," · Agotado","")&amp;IF($O65="REABASTECER"," · Stock bajo","")&amp;IF(AND($H65&lt;&gt;"",COUNTIF(tblProductos[SKU],$H65)&gt;1)," · SKU DUPLICADO","")&amp;IF(AND($H65&lt;&gt;"",COUNTIF(tblCostos[SKU],$H65)=0)," · Sin fila en COSTOS","")&amp;IF($P65="PENDIENTE"," · Inventario sin valorizar",""),4,900)))</f>
        <v/>
      </c>
    </row>
    <row r="66">
      <c r="H66" s="51">
        <f>IFERROR(IF(INDEX(tblProductos[SKU],ROW()-7)="","",INDEX(tblProductos[SKU],ROW()-7)),"")</f>
        <v/>
      </c>
      <c r="I66" s="51">
        <f>IF($H66="","",IFERROR(IF(INDEX(tblProductos[Nombre del producto],MATCH($H66,tblProductos[SKU],0))="","",INDEX(tblProductos[Nombre del producto],MATCH($H66,tblProductos[SKU],0))),""))</f>
        <v/>
      </c>
      <c r="J66" s="51">
        <f>IF($H66="","",IFERROR(IF(INDEX(tblProductos[Estado de datos],MATCH($H66,tblProductos[SKU],0))="","",INDEX(tblProductos[Estado de datos],MATCH($H66,tblProductos[SKU],0))),""))</f>
        <v/>
      </c>
      <c r="K66" s="37">
        <f>IF($H66="","",IFERROR(IF(INDEX(tblProductos[Precio de venta actual],MATCH($H66,tblProductos[SKU],0))="","PENDIENTE",INDEX(tblProductos[Precio de venta actual],MATCH($H66,tblProductos[SKU],0))),"PENDIENTE"))</f>
        <v/>
      </c>
      <c r="L66" s="37">
        <f>IF($H66="","",IFERROR(IF(INDEX(tblProductos[COSTO REAL UNITARIO],MATCH($H66,tblProductos[SKU],0))="","PENDIENTE",INDEX(tblProductos[COSTO REAL UNITARIO],MATCH($H66,tblProductos[SKU],0))),"PENDIENTE"))</f>
        <v/>
      </c>
      <c r="M66" s="38">
        <f>IF($H66="","",IFERROR(IF(INDEX(tblProductos[Margen bruto %],MATCH($H66,tblProductos[SKU],0))="","PENDIENTE",INDEX(tblProductos[Margen bruto %],MATCH($H66,tblProductos[SKU],0))),"PENDIENTE"))</f>
        <v/>
      </c>
      <c r="N66" s="39">
        <f>IF($H66="","",IFERROR(IF(INDEX(tblInventario[Stock actual],MATCH($H66,tblInventario[SKU],0))="","",INDEX(tblInventario[Stock actual],MATCH($H66,tblInventario[SKU],0))),""))</f>
        <v/>
      </c>
      <c r="O66" s="51">
        <f>IF($H66="","",IFERROR(IF(INDEX(tblInventario[ESTADO],MATCH($H66,tblInventario[SKU],0))="","",INDEX(tblInventario[ESTADO],MATCH($H66,tblInventario[SKU],0))),""))</f>
        <v/>
      </c>
      <c r="P66" s="37">
        <f>IF($H66="","",IFERROR(IF(INDEX(tblInventario[VALOR DEL INVENTARIO],MATCH($H66,tblInventario[SKU],0))="","PENDIENTE",INDEX(tblInventario[VALOR DEL INVENTARIO],MATCH($H66,tblInventario[SKU],0))),"PENDIENTE"))</f>
        <v/>
      </c>
      <c r="Q66" s="51">
        <f>IF($H66="","",IF(IF($K66="PENDIENTE"," · Sin precio de venta","")&amp;IF($L66="PENDIENTE"," · Sin costo","")&amp;IF(AND(ISNUMBER($M66),$M66&lt;0)," · MARGEN NEGATIVO","")&amp;IF(AND(ISNUMBER($M66),$M66=0)," · Utilidad cero","")&amp;IF($O66="ERROR"," · STOCK NEGATIVO","")&amp;IF($O66="AGOTADO"," · Agotado","")&amp;IF($O66="REABASTECER"," · Stock bajo","")&amp;IF(AND($H66&lt;&gt;"",COUNTIF(tblProductos[SKU],$H66)&gt;1)," · SKU DUPLICADO","")&amp;IF(AND($H66&lt;&gt;"",COUNTIF(tblCostos[SKU],$H66)=0)," · Sin fila en COSTOS","")&amp;IF($P66="PENDIENTE"," · Inventario sin valorizar","")="","OK",MID(IF($K66="PENDIENTE"," · Sin precio de venta","")&amp;IF($L66="PENDIENTE"," · Sin costo","")&amp;IF(AND(ISNUMBER($M66),$M66&lt;0)," · MARGEN NEGATIVO","")&amp;IF(AND(ISNUMBER($M66),$M66=0)," · Utilidad cero","")&amp;IF($O66="ERROR"," · STOCK NEGATIVO","")&amp;IF($O66="AGOTADO"," · Agotado","")&amp;IF($O66="REABASTECER"," · Stock bajo","")&amp;IF(AND($H66&lt;&gt;"",COUNTIF(tblProductos[SKU],$H66)&gt;1)," · SKU DUPLICADO","")&amp;IF(AND($H66&lt;&gt;"",COUNTIF(tblCostos[SKU],$H66)=0)," · Sin fila en COSTOS","")&amp;IF($P66="PENDIENTE"," · Inventario sin valorizar",""),4,900)))</f>
        <v/>
      </c>
    </row>
    <row r="67">
      <c r="H67" s="51">
        <f>IFERROR(IF(INDEX(tblProductos[SKU],ROW()-7)="","",INDEX(tblProductos[SKU],ROW()-7)),"")</f>
        <v/>
      </c>
      <c r="I67" s="51">
        <f>IF($H67="","",IFERROR(IF(INDEX(tblProductos[Nombre del producto],MATCH($H67,tblProductos[SKU],0))="","",INDEX(tblProductos[Nombre del producto],MATCH($H67,tblProductos[SKU],0))),""))</f>
        <v/>
      </c>
      <c r="J67" s="51">
        <f>IF($H67="","",IFERROR(IF(INDEX(tblProductos[Estado de datos],MATCH($H67,tblProductos[SKU],0))="","",INDEX(tblProductos[Estado de datos],MATCH($H67,tblProductos[SKU],0))),""))</f>
        <v/>
      </c>
      <c r="K67" s="37">
        <f>IF($H67="","",IFERROR(IF(INDEX(tblProductos[Precio de venta actual],MATCH($H67,tblProductos[SKU],0))="","PENDIENTE",INDEX(tblProductos[Precio de venta actual],MATCH($H67,tblProductos[SKU],0))),"PENDIENTE"))</f>
        <v/>
      </c>
      <c r="L67" s="37">
        <f>IF($H67="","",IFERROR(IF(INDEX(tblProductos[COSTO REAL UNITARIO],MATCH($H67,tblProductos[SKU],0))="","PENDIENTE",INDEX(tblProductos[COSTO REAL UNITARIO],MATCH($H67,tblProductos[SKU],0))),"PENDIENTE"))</f>
        <v/>
      </c>
      <c r="M67" s="38">
        <f>IF($H67="","",IFERROR(IF(INDEX(tblProductos[Margen bruto %],MATCH($H67,tblProductos[SKU],0))="","PENDIENTE",INDEX(tblProductos[Margen bruto %],MATCH($H67,tblProductos[SKU],0))),"PENDIENTE"))</f>
        <v/>
      </c>
      <c r="N67" s="39">
        <f>IF($H67="","",IFERROR(IF(INDEX(tblInventario[Stock actual],MATCH($H67,tblInventario[SKU],0))="","",INDEX(tblInventario[Stock actual],MATCH($H67,tblInventario[SKU],0))),""))</f>
        <v/>
      </c>
      <c r="O67" s="51">
        <f>IF($H67="","",IFERROR(IF(INDEX(tblInventario[ESTADO],MATCH($H67,tblInventario[SKU],0))="","",INDEX(tblInventario[ESTADO],MATCH($H67,tblInventario[SKU],0))),""))</f>
        <v/>
      </c>
      <c r="P67" s="37">
        <f>IF($H67="","",IFERROR(IF(INDEX(tblInventario[VALOR DEL INVENTARIO],MATCH($H67,tblInventario[SKU],0))="","PENDIENTE",INDEX(tblInventario[VALOR DEL INVENTARIO],MATCH($H67,tblInventario[SKU],0))),"PENDIENTE"))</f>
        <v/>
      </c>
      <c r="Q67" s="51">
        <f>IF($H67="","",IF(IF($K67="PENDIENTE"," · Sin precio de venta","")&amp;IF($L67="PENDIENTE"," · Sin costo","")&amp;IF(AND(ISNUMBER($M67),$M67&lt;0)," · MARGEN NEGATIVO","")&amp;IF(AND(ISNUMBER($M67),$M67=0)," · Utilidad cero","")&amp;IF($O67="ERROR"," · STOCK NEGATIVO","")&amp;IF($O67="AGOTADO"," · Agotado","")&amp;IF($O67="REABASTECER"," · Stock bajo","")&amp;IF(AND($H67&lt;&gt;"",COUNTIF(tblProductos[SKU],$H67)&gt;1)," · SKU DUPLICADO","")&amp;IF(AND($H67&lt;&gt;"",COUNTIF(tblCostos[SKU],$H67)=0)," · Sin fila en COSTOS","")&amp;IF($P67="PENDIENTE"," · Inventario sin valorizar","")="","OK",MID(IF($K67="PENDIENTE"," · Sin precio de venta","")&amp;IF($L67="PENDIENTE"," · Sin costo","")&amp;IF(AND(ISNUMBER($M67),$M67&lt;0)," · MARGEN NEGATIVO","")&amp;IF(AND(ISNUMBER($M67),$M67=0)," · Utilidad cero","")&amp;IF($O67="ERROR"," · STOCK NEGATIVO","")&amp;IF($O67="AGOTADO"," · Agotado","")&amp;IF($O67="REABASTECER"," · Stock bajo","")&amp;IF(AND($H67&lt;&gt;"",COUNTIF(tblProductos[SKU],$H67)&gt;1)," · SKU DUPLICADO","")&amp;IF(AND($H67&lt;&gt;"",COUNTIF(tblCostos[SKU],$H67)=0)," · Sin fila en COSTOS","")&amp;IF($P67="PENDIENTE"," · Inventario sin valorizar",""),4,900)))</f>
        <v/>
      </c>
    </row>
  </sheetData>
  <sheetProtection selectLockedCells="0" selectUnlockedCells="0" sheet="1" objects="0" insertRows="1" insertHyperlinks="1" autoFilter="0" scenarios="0" formatColumns="0" deleteColumns="1" insertColumns="1" pivotTables="1" deleteRows="1" formatCells="0" formatRows="0" sort="0"/>
  <autoFilter ref="H7:Q67"/>
  <conditionalFormatting sqref="E8:E39">
    <cfRule type="expression" priority="1" dxfId="4">
      <formula>$E8="OK"</formula>
    </cfRule>
    <cfRule type="expression" priority="2" dxfId="5">
      <formula>$E8="CORREGIR"</formula>
    </cfRule>
    <cfRule type="expression" priority="3" dxfId="6">
      <formula>$E8="REVISAR"</formula>
    </cfRule>
  </conditionalFormatting>
  <conditionalFormatting sqref="Q8:Q67">
    <cfRule type="expression" priority="4" dxfId="5">
      <formula>AND($Q8&lt;&gt;"",$Q8&lt;&gt;"OK")</formula>
    </cfRule>
    <cfRule type="expression" priority="5" dxfId="7">
      <formula>$Q8="OK"</formula>
    </cfRule>
  </conditionalFormatting>
  <printOptions horizontalCentered="1"/>
  <pageMargins left="0.4" right="0.4" top="0.5" bottom="0.5" header="0.5" footer="0.5"/>
  <pageSetup orientation="landscape" fitToHeight="0" fitToWidth="1"/>
</worksheet>
</file>

<file path=xl/worksheets/sheet17.xml><?xml version="1.0" encoding="utf-8"?>
<worksheet xmlns="http://schemas.openxmlformats.org/spreadsheetml/2006/main">
  <sheetPr>
    <tabColor rgb="005A6671"/>
    <outlinePr summaryBelow="1" summaryRight="1"/>
    <pageSetUpPr fitToPage="1"/>
  </sheetPr>
  <dimension ref="A1:Q82"/>
  <sheetViews>
    <sheetView showGridLines="0" workbookViewId="0">
      <pane ySplit="3" topLeftCell="A4" activePane="bottomLeft" state="frozen"/>
      <selection pane="bottomLeft" activeCell="A1" sqref="A1"/>
    </sheetView>
  </sheetViews>
  <sheetFormatPr baseColWidth="8" defaultRowHeight="15"/>
  <cols>
    <col width="42" customWidth="1" min="1" max="1"/>
    <col width="30" customWidth="1" min="2" max="2"/>
    <col width="3" customWidth="1" min="3" max="3"/>
    <col width="26" customWidth="1" min="4" max="4"/>
    <col width="24" customWidth="1" min="5" max="5"/>
    <col width="22" customWidth="1" min="6" max="6"/>
    <col width="22" customWidth="1" min="7" max="7"/>
    <col width="20" customWidth="1" min="8" max="8"/>
    <col width="18" customWidth="1" min="9" max="9"/>
    <col width="24" customWidth="1" min="10" max="10"/>
    <col width="20" customWidth="1" min="11" max="11"/>
    <col width="22" customWidth="1" min="12" max="12"/>
    <col width="24" customWidth="1" min="13" max="13"/>
    <col width="26" customWidth="1" min="14" max="14"/>
    <col width="16" customWidth="1" min="15" max="15"/>
    <col width="10" customWidth="1" min="16" max="16"/>
    <col width="24" customWidth="1" min="17" max="17"/>
  </cols>
  <sheetData>
    <row r="1">
      <c r="A1" s="1" t="inlineStr">
        <is>
          <t>CONFIGURACIÓN DEL SISTEMA</t>
        </is>
      </c>
    </row>
    <row r="2">
      <c r="A2" s="2" t="inlineStr">
        <is>
          <t>Todo lo que se puede personalizar vive aquí. Las listas de esta hoja alimentan los menús desplegables de todo el libro. Celdas amarillas = editables.</t>
        </is>
      </c>
    </row>
    <row r="3">
      <c r="A3" s="3" t="inlineStr">
        <is>
          <t>1. PARÁMETROS DEL NEGOCIO</t>
        </is>
      </c>
      <c r="B3" s="4" t="n"/>
      <c r="C3" s="4" t="n"/>
      <c r="D3" s="4" t="n"/>
      <c r="E3" s="4" t="n"/>
      <c r="F3" s="4" t="n"/>
      <c r="G3" s="4" t="n"/>
      <c r="H3" s="4" t="n"/>
    </row>
    <row r="4">
      <c r="A4" s="67" t="inlineStr">
        <is>
          <t>Nombre del negocio</t>
        </is>
      </c>
      <c r="B4" s="86" t="inlineStr">
        <is>
          <t>AROMATIC</t>
        </is>
      </c>
    </row>
    <row r="5">
      <c r="A5" s="67" t="inlineStr">
        <is>
          <t>Responsable / propietario</t>
        </is>
      </c>
      <c r="B5" s="86" t="n"/>
      <c r="D5" s="16" t="inlineStr">
        <is>
          <t>Opcional</t>
        </is>
      </c>
    </row>
    <row r="6">
      <c r="A6" s="67" t="inlineStr">
        <is>
          <t>Moneda</t>
        </is>
      </c>
      <c r="B6" s="86" t="inlineStr">
        <is>
          <t>HNL — Lempira hondureño</t>
        </is>
      </c>
    </row>
    <row r="7">
      <c r="A7" s="67" t="inlineStr">
        <is>
          <t>Símbolo de moneda</t>
        </is>
      </c>
      <c r="B7" s="86" t="inlineStr">
        <is>
          <t>L</t>
        </is>
      </c>
      <c r="D7" s="16" t="inlineStr">
        <is>
          <t>Usado en los formatos del libro</t>
        </is>
      </c>
    </row>
    <row r="8">
      <c r="A8" s="67" t="inlineStr">
        <is>
          <t>Fecha de inicio del calendario financiero</t>
        </is>
      </c>
      <c r="B8" s="87" t="n">
        <v>46266</v>
      </c>
      <c r="D8" s="16" t="inlineStr">
        <is>
          <t>Primer mes del calendario de 36 meses. Cámbiela y todo el libro se recalcula.</t>
        </is>
      </c>
    </row>
    <row r="9">
      <c r="A9" s="67" t="inlineStr">
        <is>
          <t>Meses del calendario financiero</t>
        </is>
      </c>
      <c r="B9" s="88" t="n">
        <v>36</v>
      </c>
      <c r="D9" s="16" t="inlineStr">
        <is>
          <t>Fijo</t>
        </is>
      </c>
    </row>
    <row r="10">
      <c r="A10" s="67" t="inlineStr">
        <is>
          <t>Saldo inicial de caja</t>
        </is>
      </c>
      <c r="B10" s="89" t="n"/>
      <c r="D10" s="16" t="inlineStr">
        <is>
          <t>PENDIENTE: escriba el efectivo con el que arranca. Si lo deja vacío se toma 0.</t>
        </is>
      </c>
    </row>
    <row r="11">
      <c r="A11" s="67" t="inlineStr">
        <is>
          <t>Capital aportado inicial</t>
        </is>
      </c>
      <c r="B11" s="89" t="n"/>
      <c r="D11" s="16" t="inlineStr">
        <is>
          <t>PENDIENTE: aporte de socios al inicio. Base para el ROI sobre capital.</t>
        </is>
      </c>
    </row>
    <row r="12">
      <c r="A12" s="67" t="inlineStr">
        <is>
          <t>Días de venta por mes (para metas)</t>
        </is>
      </c>
      <c r="B12" s="90" t="n">
        <v>26</v>
      </c>
      <c r="D12" s="16" t="inlineStr">
        <is>
          <t>Se usa solo para calcular el promedio diario requerido en METAS.</t>
        </is>
      </c>
    </row>
    <row r="13">
      <c r="A13" s="67" t="inlineStr">
        <is>
          <t>Método de valuación de inventario</t>
        </is>
      </c>
      <c r="B13" s="91" t="inlineStr">
        <is>
          <t>Costo promedio ponderado (WAC)</t>
        </is>
      </c>
      <c r="D13" s="16" t="inlineStr">
        <is>
          <t>Si hay compras registradas se usa WAC; si no, el costo real unitario estándar de COSTOS.</t>
        </is>
      </c>
    </row>
    <row r="14">
      <c r="A14" s="67" t="inlineStr">
        <is>
          <t>ISV / impuesto sobre ventas (%)</t>
        </is>
      </c>
      <c r="B14" s="92" t="n"/>
      <c r="D14" s="16" t="inlineStr">
        <is>
          <t>INFORMATIVO. No afecta ninguna fórmula. Déjelo vacío si aún no factura con impuesto.</t>
        </is>
      </c>
    </row>
    <row r="15">
      <c r="A15" s="67" t="inlineStr">
        <is>
          <t>¿Los precios de venta incluyen ISV?</t>
        </is>
      </c>
      <c r="B15" s="86" t="n"/>
      <c r="D15" s="16" t="inlineStr">
        <is>
          <t>Informativo</t>
        </is>
      </c>
    </row>
    <row r="16">
      <c r="A16" s="67" t="inlineStr">
        <is>
          <t>Factor de alerta de stock (× stock mínimo)</t>
        </is>
      </c>
      <c r="B16" s="93" t="n">
        <v>1</v>
      </c>
      <c r="D16" s="16" t="inlineStr">
        <is>
          <t>1.0 = alerta cuando el stock llega al mínimo. 1.2 = alerta 20% antes.</t>
        </is>
      </c>
    </row>
    <row r="17">
      <c r="A17" s="67" t="inlineStr">
        <is>
          <t>Margen bruto objetivo (%)</t>
        </is>
      </c>
      <c r="B17" s="92" t="n"/>
      <c r="D17" s="16" t="inlineStr">
        <is>
          <t>PENDIENTE: su meta de margen. Se usa como referencia visual, no como dato real.</t>
        </is>
      </c>
    </row>
    <row r="18">
      <c r="A18" s="67" t="inlineStr">
        <is>
          <t>Fecha de generación del archivo</t>
        </is>
      </c>
      <c r="B18" s="94" t="n">
        <v>46287</v>
      </c>
    </row>
    <row r="21">
      <c r="A21" s="3" t="inlineStr">
        <is>
          <t>2. LISTAS MAESTRAS  ·  alimentan todos los menús desplegables del libro</t>
        </is>
      </c>
      <c r="B21" s="4" t="n"/>
      <c r="C21" s="4" t="n"/>
      <c r="D21" s="4" t="n"/>
      <c r="E21" s="4" t="n"/>
      <c r="F21" s="4" t="n"/>
      <c r="G21" s="4" t="n"/>
      <c r="H21" s="4" t="n"/>
      <c r="I21" s="4" t="n"/>
      <c r="J21" s="4" t="n"/>
      <c r="K21" s="4" t="n"/>
      <c r="L21" s="4" t="n"/>
      <c r="M21" s="4" t="n"/>
      <c r="N21" s="4" t="n"/>
      <c r="O21" s="4" t="n"/>
      <c r="P21" s="4" t="n"/>
      <c r="Q21" s="4" t="n"/>
    </row>
    <row r="22">
      <c r="A22" s="16" t="inlineStr">
        <is>
          <t>Agregue o edite valores debajo de cada encabezado (sin dejar filas vacías en medio). Los menús desplegables se actualizan solos.</t>
        </is>
      </c>
      <c r="B22" s="11" t="inlineStr">
        <is>
          <t>Categorías</t>
        </is>
      </c>
      <c r="C22" s="11" t="inlineStr">
        <is>
          <t>Subcategorías</t>
        </is>
      </c>
      <c r="D22" s="11" t="inlineStr">
        <is>
          <t>Presentaciones</t>
        </is>
      </c>
      <c r="E22" s="11" t="inlineStr">
        <is>
          <t>Unidad de medida</t>
        </is>
      </c>
      <c r="F22" s="11" t="inlineStr">
        <is>
          <t>Canales de venta</t>
        </is>
      </c>
      <c r="G22" s="11" t="inlineStr">
        <is>
          <t>Métodos de pago</t>
        </is>
      </c>
      <c r="H22" s="11" t="inlineStr">
        <is>
          <t>Tipo de gasto</t>
        </is>
      </c>
      <c r="I22" s="11" t="inlineStr">
        <is>
          <t>Categorías de gasto</t>
        </is>
      </c>
      <c r="J22" s="11" t="inlineStr">
        <is>
          <t>Estado de producto</t>
        </is>
      </c>
      <c r="K22" s="11" t="inlineStr">
        <is>
          <t>Estado de pago/cobro</t>
        </is>
      </c>
      <c r="L22" s="11" t="inlineStr">
        <is>
          <t>Estado cliente/proveedor</t>
        </is>
      </c>
      <c r="M22" s="11" t="inlineStr">
        <is>
          <t>Conceptos de caja</t>
        </is>
      </c>
      <c r="N22" s="11" t="inlineStr">
        <is>
          <t>Condiciones de pago</t>
        </is>
      </c>
      <c r="O22" s="11" t="inlineStr">
        <is>
          <t>Sí / No</t>
        </is>
      </c>
      <c r="P22" s="11" t="inlineStr">
        <is>
          <t>Modo</t>
        </is>
      </c>
      <c r="Q22" s="11" t="inlineStr">
        <is>
          <t>Tipo de movimiento de caja</t>
        </is>
      </c>
    </row>
    <row r="23">
      <c r="B23" s="73" t="inlineStr">
        <is>
          <t>Hogar</t>
        </is>
      </c>
      <c r="C23" s="73" t="inlineStr">
        <is>
          <t>Desinfección personal</t>
        </is>
      </c>
      <c r="D23" s="73" t="inlineStr">
        <is>
          <t>100 mL</t>
        </is>
      </c>
      <c r="E23" s="73" t="inlineStr">
        <is>
          <t>Unidad</t>
        </is>
      </c>
      <c r="F23" s="73" t="inlineStr">
        <is>
          <t>Venta directa</t>
        </is>
      </c>
      <c r="G23" s="73" t="inlineStr">
        <is>
          <t>Efectivo</t>
        </is>
      </c>
      <c r="H23" s="73" t="inlineStr">
        <is>
          <t>Fijo</t>
        </is>
      </c>
      <c r="I23" s="73" t="inlineStr">
        <is>
          <t>Alquiler</t>
        </is>
      </c>
      <c r="J23" s="73" t="inlineStr">
        <is>
          <t>Activo</t>
        </is>
      </c>
      <c r="K23" s="73" t="inlineStr">
        <is>
          <t>Pagado</t>
        </is>
      </c>
      <c r="L23" s="73" t="inlineStr">
        <is>
          <t>Activo</t>
        </is>
      </c>
      <c r="M23" s="73" t="inlineStr">
        <is>
          <t>Aporte de capital</t>
        </is>
      </c>
      <c r="N23" s="73" t="inlineStr">
        <is>
          <t>Contado</t>
        </is>
      </c>
      <c r="O23" s="73" t="inlineStr">
        <is>
          <t>Sí</t>
        </is>
      </c>
      <c r="P23" s="73" t="inlineStr">
        <is>
          <t>Automático</t>
        </is>
      </c>
      <c r="Q23" s="73" t="inlineStr">
        <is>
          <t>Entrada</t>
        </is>
      </c>
    </row>
    <row r="24">
      <c r="B24" s="73" t="inlineStr">
        <is>
          <t>Lavandería</t>
        </is>
      </c>
      <c r="C24" s="73" t="inlineStr">
        <is>
          <t>Cuidado personal</t>
        </is>
      </c>
      <c r="D24" s="73" t="inlineStr">
        <is>
          <t>250 mL</t>
        </is>
      </c>
      <c r="E24" s="73" t="inlineStr">
        <is>
          <t>Litro</t>
        </is>
      </c>
      <c r="F24" s="73" t="inlineStr">
        <is>
          <t>WhatsApp</t>
        </is>
      </c>
      <c r="G24" s="73" t="inlineStr">
        <is>
          <t>Transferencia</t>
        </is>
      </c>
      <c r="H24" s="73" t="inlineStr">
        <is>
          <t>Variable</t>
        </is>
      </c>
      <c r="I24" s="73" t="inlineStr">
        <is>
          <t>Internet</t>
        </is>
      </c>
      <c r="J24" s="73" t="inlineStr">
        <is>
          <t>Inactivo</t>
        </is>
      </c>
      <c r="K24" s="73" t="inlineStr">
        <is>
          <t>Cobrado</t>
        </is>
      </c>
      <c r="L24" s="73" t="inlineStr">
        <is>
          <t>Inactivo</t>
        </is>
      </c>
      <c r="M24" s="73" t="inlineStr">
        <is>
          <t>Préstamo recibido</t>
        </is>
      </c>
      <c r="N24" s="73" t="inlineStr">
        <is>
          <t>Crédito 8 días</t>
        </is>
      </c>
      <c r="O24" s="73" t="inlineStr">
        <is>
          <t>No</t>
        </is>
      </c>
      <c r="P24" s="73" t="inlineStr">
        <is>
          <t>Manual</t>
        </is>
      </c>
      <c r="Q24" s="73" t="inlineStr">
        <is>
          <t>Salida</t>
        </is>
      </c>
    </row>
    <row r="25">
      <c r="B25" s="73" t="inlineStr">
        <is>
          <t>Limpieza Hogar</t>
        </is>
      </c>
      <c r="C25" s="73" t="inlineStr">
        <is>
          <t>Suavizantes</t>
        </is>
      </c>
      <c r="D25" s="73" t="inlineStr">
        <is>
          <t>500 mL</t>
        </is>
      </c>
      <c r="E25" s="73" t="inlineStr">
        <is>
          <t>Galón</t>
        </is>
      </c>
      <c r="F25" s="73" t="inlineStr">
        <is>
          <t>Facebook</t>
        </is>
      </c>
      <c r="G25" s="73" t="inlineStr">
        <is>
          <t>Depósito</t>
        </is>
      </c>
      <c r="H25" s="73" t="n"/>
      <c r="I25" s="73" t="inlineStr">
        <is>
          <t>Software</t>
        </is>
      </c>
      <c r="J25" s="73" t="inlineStr">
        <is>
          <t>Descontinuado</t>
        </is>
      </c>
      <c r="K25" s="73" t="inlineStr">
        <is>
          <t>Pendiente</t>
        </is>
      </c>
      <c r="L25" s="73" t="inlineStr">
        <is>
          <t>Prospecto</t>
        </is>
      </c>
      <c r="M25" s="73" t="inlineStr">
        <is>
          <t>Otro ingreso</t>
        </is>
      </c>
      <c r="N25" s="73" t="inlineStr">
        <is>
          <t>Crédito 15 días</t>
        </is>
      </c>
      <c r="O25" s="73" t="n"/>
      <c r="P25" s="73" t="n"/>
      <c r="Q25" s="73" t="n"/>
    </row>
    <row r="26">
      <c r="B26" s="73" t="inlineStr">
        <is>
          <t>Automotriz</t>
        </is>
      </c>
      <c r="C26" s="73" t="inlineStr">
        <is>
          <t>Detergentes</t>
        </is>
      </c>
      <c r="D26" s="73" t="inlineStr">
        <is>
          <t>710 mL</t>
        </is>
      </c>
      <c r="E26" s="73" t="inlineStr">
        <is>
          <t>Caja</t>
        </is>
      </c>
      <c r="F26" s="73" t="inlineStr">
        <is>
          <t>Instagram</t>
        </is>
      </c>
      <c r="G26" s="73" t="inlineStr">
        <is>
          <t>Tarjeta</t>
        </is>
      </c>
      <c r="H26" s="73" t="n"/>
      <c r="I26" s="73" t="inlineStr">
        <is>
          <t>Salarios</t>
        </is>
      </c>
      <c r="J26" s="73" t="n"/>
      <c r="K26" s="73" t="inlineStr">
        <is>
          <t>Parcial</t>
        </is>
      </c>
      <c r="L26" s="73" t="n"/>
      <c r="M26" s="73" t="inlineStr">
        <is>
          <t>Retiro del propietario</t>
        </is>
      </c>
      <c r="N26" s="73" t="inlineStr">
        <is>
          <t>Crédito 30 días</t>
        </is>
      </c>
      <c r="O26" s="73" t="n"/>
      <c r="P26" s="73" t="n"/>
      <c r="Q26" s="73" t="n"/>
    </row>
    <row r="27">
      <c r="B27" s="73" t="inlineStr">
        <is>
          <t>Industrial</t>
        </is>
      </c>
      <c r="C27" s="73" t="inlineStr">
        <is>
          <t>Vidrios y cristales</t>
        </is>
      </c>
      <c r="D27" s="73" t="inlineStr">
        <is>
          <t>750 mL</t>
        </is>
      </c>
      <c r="E27" s="73" t="inlineStr">
        <is>
          <t>Docena</t>
        </is>
      </c>
      <c r="F27" s="73" t="inlineStr">
        <is>
          <t>Mayorista</t>
        </is>
      </c>
      <c r="G27" s="73" t="inlineStr">
        <is>
          <t>Crédito</t>
        </is>
      </c>
      <c r="H27" s="73" t="n"/>
      <c r="I27" s="73" t="inlineStr">
        <is>
          <t>Servicios públicos</t>
        </is>
      </c>
      <c r="J27" s="73" t="n"/>
      <c r="K27" s="73" t="inlineStr">
        <is>
          <t>Anulado</t>
        </is>
      </c>
      <c r="L27" s="73" t="n"/>
      <c r="M27" s="73" t="inlineStr">
        <is>
          <t>Pago de préstamo</t>
        </is>
      </c>
      <c r="N27" s="73" t="inlineStr">
        <is>
          <t>50% anticipo</t>
        </is>
      </c>
      <c r="O27" s="73" t="n"/>
      <c r="P27" s="73" t="n"/>
      <c r="Q27" s="73" t="n"/>
    </row>
    <row r="28">
      <c r="B28" s="73" t="n"/>
      <c r="C28" s="73" t="inlineStr">
        <is>
          <t>Cocina</t>
        </is>
      </c>
      <c r="D28" s="73" t="inlineStr">
        <is>
          <t>900 mL</t>
        </is>
      </c>
      <c r="E28" s="73" t="inlineStr">
        <is>
          <t>Paquete</t>
        </is>
      </c>
      <c r="F28" s="73" t="inlineStr">
        <is>
          <t>Tienda física</t>
        </is>
      </c>
      <c r="G28" s="73" t="inlineStr">
        <is>
          <t>Otro</t>
        </is>
      </c>
      <c r="H28" s="73" t="n"/>
      <c r="I28" s="73" t="inlineStr">
        <is>
          <t>Publicidad</t>
        </is>
      </c>
      <c r="J28" s="73" t="n"/>
      <c r="K28" s="73" t="n"/>
      <c r="L28" s="73" t="n"/>
      <c r="M28" s="73" t="inlineStr">
        <is>
          <t>Otro egreso</t>
        </is>
      </c>
      <c r="N28" s="73" t="inlineStr">
        <is>
          <t>Otro</t>
        </is>
      </c>
      <c r="O28" s="73" t="n"/>
      <c r="P28" s="73" t="n"/>
      <c r="Q28" s="73" t="n"/>
    </row>
    <row r="29">
      <c r="B29" s="73" t="n"/>
      <c r="C29" s="73" t="inlineStr">
        <is>
          <t>Muebles y madera</t>
        </is>
      </c>
      <c r="D29" s="73" t="inlineStr">
        <is>
          <t>1 Litro</t>
        </is>
      </c>
      <c r="E29" s="73" t="n"/>
      <c r="F29" s="73" t="inlineStr">
        <is>
          <t>Pedido a domicilio</t>
        </is>
      </c>
      <c r="G29" s="73" t="n"/>
      <c r="H29" s="73" t="n"/>
      <c r="I29" s="73" t="inlineStr">
        <is>
          <t>Delivery</t>
        </is>
      </c>
      <c r="J29" s="73" t="n"/>
      <c r="K29" s="73" t="n"/>
      <c r="L29" s="73" t="n"/>
      <c r="M29" s="73" t="n"/>
      <c r="N29" s="73" t="n"/>
      <c r="O29" s="73" t="n"/>
      <c r="P29" s="73" t="n"/>
      <c r="Q29" s="73" t="n"/>
    </row>
    <row r="30">
      <c r="B30" s="73" t="n"/>
      <c r="C30" s="73" t="inlineStr">
        <is>
          <t>Pisos y multiusos</t>
        </is>
      </c>
      <c r="D30" s="73" t="inlineStr">
        <is>
          <t>2 Litros</t>
        </is>
      </c>
      <c r="E30" s="73" t="n"/>
      <c r="F30" s="73" t="inlineStr">
        <is>
          <t>Otro</t>
        </is>
      </c>
      <c r="G30" s="73" t="n"/>
      <c r="H30" s="73" t="n"/>
      <c r="I30" s="73" t="inlineStr">
        <is>
          <t>Comisiones bancarias</t>
        </is>
      </c>
      <c r="J30" s="73" t="n"/>
      <c r="K30" s="73" t="n"/>
      <c r="L30" s="73" t="n"/>
      <c r="M30" s="73" t="n"/>
      <c r="N30" s="73" t="n"/>
      <c r="O30" s="73" t="n"/>
      <c r="P30" s="73" t="n"/>
      <c r="Q30" s="73" t="n"/>
    </row>
    <row r="31">
      <c r="B31" s="73" t="n"/>
      <c r="C31" s="73" t="inlineStr">
        <is>
          <t>Aromatización y desinfección</t>
        </is>
      </c>
      <c r="D31" s="73" t="inlineStr">
        <is>
          <t>5 Litros</t>
        </is>
      </c>
      <c r="E31" s="73" t="n"/>
      <c r="F31" s="73" t="n"/>
      <c r="G31" s="73" t="n"/>
      <c r="H31" s="73" t="n"/>
      <c r="I31" s="73" t="inlineStr">
        <is>
          <t>Empaque</t>
        </is>
      </c>
      <c r="J31" s="73" t="n"/>
      <c r="K31" s="73" t="n"/>
      <c r="L31" s="73" t="n"/>
      <c r="M31" s="73" t="n"/>
      <c r="N31" s="73" t="n"/>
      <c r="O31" s="73" t="n"/>
      <c r="P31" s="73" t="n"/>
      <c r="Q31" s="73" t="n"/>
    </row>
    <row r="32">
      <c r="B32" s="73" t="n"/>
      <c r="C32" s="73" t="inlineStr">
        <is>
          <t>Baños</t>
        </is>
      </c>
      <c r="D32" s="73" t="inlineStr">
        <is>
          <t>Galón</t>
        </is>
      </c>
      <c r="E32" s="73" t="n"/>
      <c r="F32" s="73" t="n"/>
      <c r="G32" s="73" t="n"/>
      <c r="H32" s="73" t="n"/>
      <c r="I32" s="73" t="inlineStr">
        <is>
          <t>Transporte</t>
        </is>
      </c>
      <c r="J32" s="73" t="n"/>
      <c r="K32" s="73" t="n"/>
      <c r="L32" s="73" t="n"/>
      <c r="M32" s="73" t="n"/>
      <c r="N32" s="73" t="n"/>
      <c r="O32" s="73" t="n"/>
      <c r="P32" s="73" t="n"/>
      <c r="Q32" s="73" t="n"/>
    </row>
    <row r="33">
      <c r="B33" s="73" t="n"/>
      <c r="C33" s="73" t="inlineStr">
        <is>
          <t>Lavado</t>
        </is>
      </c>
      <c r="D33" s="73" t="inlineStr">
        <is>
          <t>8 Onzas</t>
        </is>
      </c>
      <c r="E33" s="73" t="n"/>
      <c r="F33" s="73" t="n"/>
      <c r="G33" s="73" t="n"/>
      <c r="H33" s="73" t="n"/>
      <c r="I33" s="73" t="inlineStr">
        <is>
          <t>Impuestos</t>
        </is>
      </c>
      <c r="J33" s="73" t="n"/>
      <c r="K33" s="73" t="n"/>
      <c r="L33" s="73" t="n"/>
      <c r="M33" s="73" t="n"/>
      <c r="N33" s="73" t="n"/>
      <c r="O33" s="73" t="n"/>
      <c r="P33" s="73" t="n"/>
      <c r="Q33" s="73" t="n"/>
    </row>
    <row r="34">
      <c r="B34" s="73" t="n"/>
      <c r="C34" s="73" t="inlineStr">
        <is>
          <t>Aromatización</t>
        </is>
      </c>
      <c r="D34" s="73" t="inlineStr">
        <is>
          <t>Tarro</t>
        </is>
      </c>
      <c r="E34" s="73" t="n"/>
      <c r="F34" s="73" t="n"/>
      <c r="G34" s="73" t="n"/>
      <c r="H34" s="73" t="n"/>
      <c r="I34" s="73" t="inlineStr">
        <is>
          <t>Mantenimiento</t>
        </is>
      </c>
      <c r="J34" s="73" t="n"/>
      <c r="K34" s="73" t="n"/>
      <c r="L34" s="73" t="n"/>
      <c r="M34" s="73" t="n"/>
      <c r="N34" s="73" t="n"/>
      <c r="O34" s="73" t="n"/>
      <c r="P34" s="73" t="n"/>
      <c r="Q34" s="73" t="n"/>
    </row>
    <row r="35">
      <c r="B35" s="73" t="n"/>
      <c r="C35" s="73" t="inlineStr">
        <is>
          <t>Abrillantadores</t>
        </is>
      </c>
      <c r="D35" s="73" t="n"/>
      <c r="E35" s="73" t="n"/>
      <c r="F35" s="73" t="n"/>
      <c r="G35" s="73" t="n"/>
      <c r="H35" s="73" t="n"/>
      <c r="I35" s="73" t="inlineStr">
        <is>
          <t>Papelería</t>
        </is>
      </c>
      <c r="J35" s="73" t="n"/>
      <c r="K35" s="73" t="n"/>
      <c r="L35" s="73" t="n"/>
      <c r="M35" s="73" t="n"/>
      <c r="N35" s="73" t="n"/>
      <c r="O35" s="73" t="n"/>
      <c r="P35" s="73" t="n"/>
      <c r="Q35" s="73" t="n"/>
    </row>
    <row r="36">
      <c r="B36" s="73" t="n"/>
      <c r="C36" s="73" t="inlineStr">
        <is>
          <t>Limpieza de manos</t>
        </is>
      </c>
      <c r="D36" s="73" t="n"/>
      <c r="E36" s="73" t="n"/>
      <c r="F36" s="73" t="n"/>
      <c r="G36" s="73" t="n"/>
      <c r="H36" s="73" t="n"/>
      <c r="I36" s="73" t="inlineStr">
        <is>
          <t>Otros</t>
        </is>
      </c>
      <c r="J36" s="73" t="n"/>
      <c r="K36" s="73" t="n"/>
      <c r="L36" s="73" t="n"/>
      <c r="M36" s="73" t="n"/>
      <c r="N36" s="73" t="n"/>
      <c r="O36" s="73" t="n"/>
      <c r="P36" s="73" t="n"/>
      <c r="Q36" s="73" t="n"/>
    </row>
    <row r="37">
      <c r="B37" s="73" t="n"/>
      <c r="C37" s="73" t="inlineStr">
        <is>
          <t>Desengrasantes</t>
        </is>
      </c>
      <c r="D37" s="73" t="n"/>
      <c r="E37" s="73" t="n"/>
      <c r="F37" s="73" t="n"/>
      <c r="G37" s="73" t="n"/>
      <c r="H37" s="73" t="n"/>
      <c r="I37" s="73" t="n"/>
      <c r="J37" s="73" t="n"/>
      <c r="K37" s="73" t="n"/>
      <c r="L37" s="73" t="n"/>
      <c r="M37" s="73" t="n"/>
      <c r="N37" s="73" t="n"/>
      <c r="O37" s="73" t="n"/>
      <c r="P37" s="73" t="n"/>
      <c r="Q37" s="73" t="n"/>
    </row>
    <row r="38">
      <c r="B38" s="73" t="n"/>
      <c r="C38" s="73" t="n"/>
      <c r="D38" s="73" t="n"/>
      <c r="E38" s="73" t="n"/>
      <c r="F38" s="73" t="n"/>
      <c r="G38" s="73" t="n"/>
      <c r="H38" s="73" t="n"/>
      <c r="I38" s="73" t="n"/>
      <c r="J38" s="73" t="n"/>
      <c r="K38" s="73" t="n"/>
      <c r="L38" s="73" t="n"/>
      <c r="M38" s="73" t="n"/>
      <c r="N38" s="73" t="n"/>
      <c r="O38" s="73" t="n"/>
      <c r="P38" s="73" t="n"/>
      <c r="Q38" s="73" t="n"/>
    </row>
    <row r="39">
      <c r="B39" s="73" t="n"/>
      <c r="C39" s="73" t="n"/>
      <c r="D39" s="73" t="n"/>
      <c r="E39" s="73" t="n"/>
      <c r="F39" s="73" t="n"/>
      <c r="G39" s="73" t="n"/>
      <c r="H39" s="73" t="n"/>
      <c r="I39" s="73" t="n"/>
      <c r="J39" s="73" t="n"/>
      <c r="K39" s="73" t="n"/>
      <c r="L39" s="73" t="n"/>
      <c r="M39" s="73" t="n"/>
      <c r="N39" s="73" t="n"/>
      <c r="O39" s="73" t="n"/>
      <c r="P39" s="73" t="n"/>
      <c r="Q39" s="73" t="n"/>
    </row>
    <row r="40">
      <c r="B40" s="73" t="n"/>
      <c r="C40" s="73" t="n"/>
      <c r="D40" s="73" t="n"/>
      <c r="E40" s="73" t="n"/>
      <c r="F40" s="73" t="n"/>
      <c r="G40" s="73" t="n"/>
      <c r="H40" s="73" t="n"/>
      <c r="I40" s="73" t="n"/>
      <c r="J40" s="73" t="n"/>
      <c r="K40" s="73" t="n"/>
      <c r="L40" s="73" t="n"/>
      <c r="M40" s="73" t="n"/>
      <c r="N40" s="73" t="n"/>
      <c r="O40" s="73" t="n"/>
      <c r="P40" s="73" t="n"/>
      <c r="Q40" s="73" t="n"/>
    </row>
    <row r="41">
      <c r="B41" s="73" t="n"/>
      <c r="C41" s="73" t="n"/>
      <c r="D41" s="73" t="n"/>
      <c r="E41" s="73" t="n"/>
      <c r="F41" s="73" t="n"/>
      <c r="G41" s="73" t="n"/>
      <c r="H41" s="73" t="n"/>
      <c r="I41" s="73" t="n"/>
      <c r="J41" s="73" t="n"/>
      <c r="K41" s="73" t="n"/>
      <c r="L41" s="73" t="n"/>
      <c r="M41" s="73" t="n"/>
      <c r="N41" s="73" t="n"/>
      <c r="O41" s="73" t="n"/>
      <c r="P41" s="73" t="n"/>
      <c r="Q41" s="73" t="n"/>
    </row>
    <row r="42">
      <c r="B42" s="73" t="n"/>
      <c r="C42" s="73" t="n"/>
      <c r="D42" s="73" t="n"/>
      <c r="E42" s="73" t="n"/>
      <c r="F42" s="73" t="n"/>
      <c r="G42" s="73" t="n"/>
      <c r="H42" s="73" t="n"/>
      <c r="I42" s="73" t="n"/>
      <c r="J42" s="73" t="n"/>
      <c r="K42" s="73" t="n"/>
      <c r="L42" s="73" t="n"/>
      <c r="M42" s="73" t="n"/>
      <c r="N42" s="73" t="n"/>
      <c r="O42" s="73" t="n"/>
      <c r="P42" s="73" t="n"/>
      <c r="Q42" s="73" t="n"/>
    </row>
    <row r="43">
      <c r="B43" s="73" t="n"/>
      <c r="C43" s="73" t="n"/>
      <c r="D43" s="73" t="n"/>
      <c r="E43" s="73" t="n"/>
      <c r="F43" s="73" t="n"/>
      <c r="G43" s="73" t="n"/>
      <c r="H43" s="73" t="n"/>
      <c r="I43" s="73" t="n"/>
      <c r="J43" s="73" t="n"/>
      <c r="K43" s="73" t="n"/>
      <c r="L43" s="73" t="n"/>
      <c r="M43" s="73" t="n"/>
      <c r="N43" s="73" t="n"/>
      <c r="O43" s="73" t="n"/>
      <c r="P43" s="73" t="n"/>
      <c r="Q43" s="73" t="n"/>
    </row>
    <row r="44">
      <c r="B44" s="73" t="n"/>
      <c r="C44" s="73" t="n"/>
      <c r="D44" s="73" t="n"/>
      <c r="E44" s="73" t="n"/>
      <c r="F44" s="73" t="n"/>
      <c r="G44" s="73" t="n"/>
      <c r="H44" s="73" t="n"/>
      <c r="I44" s="73" t="n"/>
      <c r="J44" s="73" t="n"/>
      <c r="K44" s="73" t="n"/>
      <c r="L44" s="73" t="n"/>
      <c r="M44" s="73" t="n"/>
      <c r="N44" s="73" t="n"/>
      <c r="O44" s="73" t="n"/>
      <c r="P44" s="73" t="n"/>
      <c r="Q44" s="73" t="n"/>
    </row>
    <row r="45">
      <c r="B45" s="73" t="n"/>
      <c r="C45" s="73" t="n"/>
      <c r="D45" s="73" t="n"/>
      <c r="E45" s="73" t="n"/>
      <c r="F45" s="73" t="n"/>
      <c r="G45" s="73" t="n"/>
      <c r="H45" s="73" t="n"/>
      <c r="I45" s="73" t="n"/>
      <c r="J45" s="73" t="n"/>
      <c r="K45" s="73" t="n"/>
      <c r="L45" s="73" t="n"/>
      <c r="M45" s="73" t="n"/>
      <c r="N45" s="73" t="n"/>
      <c r="O45" s="73" t="n"/>
      <c r="P45" s="73" t="n"/>
      <c r="Q45" s="73" t="n"/>
    </row>
    <row r="46">
      <c r="B46" s="73" t="n"/>
      <c r="C46" s="73" t="n"/>
      <c r="D46" s="73" t="n"/>
      <c r="E46" s="73" t="n"/>
      <c r="F46" s="73" t="n"/>
      <c r="G46" s="73" t="n"/>
      <c r="H46" s="73" t="n"/>
      <c r="I46" s="73" t="n"/>
      <c r="J46" s="73" t="n"/>
      <c r="K46" s="73" t="n"/>
      <c r="L46" s="73" t="n"/>
      <c r="M46" s="73" t="n"/>
      <c r="N46" s="73" t="n"/>
      <c r="O46" s="73" t="n"/>
      <c r="P46" s="73" t="n"/>
      <c r="Q46" s="73" t="n"/>
    </row>
    <row r="47">
      <c r="B47" s="73" t="n"/>
      <c r="C47" s="73" t="n"/>
      <c r="D47" s="73" t="n"/>
      <c r="E47" s="73" t="n"/>
      <c r="F47" s="73" t="n"/>
      <c r="G47" s="73" t="n"/>
      <c r="H47" s="73" t="n"/>
      <c r="I47" s="73" t="n"/>
      <c r="J47" s="73" t="n"/>
      <c r="K47" s="73" t="n"/>
      <c r="L47" s="73" t="n"/>
      <c r="M47" s="73" t="n"/>
      <c r="N47" s="73" t="n"/>
      <c r="O47" s="73" t="n"/>
      <c r="P47" s="73" t="n"/>
      <c r="Q47" s="73" t="n"/>
    </row>
    <row r="48">
      <c r="B48" s="73" t="n"/>
      <c r="C48" s="73" t="n"/>
      <c r="D48" s="73" t="n"/>
      <c r="E48" s="73" t="n"/>
      <c r="F48" s="73" t="n"/>
      <c r="G48" s="73" t="n"/>
      <c r="H48" s="73" t="n"/>
      <c r="I48" s="73" t="n"/>
      <c r="J48" s="73" t="n"/>
      <c r="K48" s="73" t="n"/>
      <c r="L48" s="73" t="n"/>
      <c r="M48" s="73" t="n"/>
      <c r="N48" s="73" t="n"/>
      <c r="O48" s="73" t="n"/>
      <c r="P48" s="73" t="n"/>
      <c r="Q48" s="73" t="n"/>
    </row>
    <row r="49">
      <c r="B49" s="73" t="n"/>
      <c r="C49" s="73" t="n"/>
      <c r="D49" s="73" t="n"/>
      <c r="E49" s="73" t="n"/>
      <c r="F49" s="73" t="n"/>
      <c r="G49" s="73" t="n"/>
      <c r="H49" s="73" t="n"/>
      <c r="I49" s="73" t="n"/>
      <c r="J49" s="73" t="n"/>
      <c r="K49" s="73" t="n"/>
      <c r="L49" s="73" t="n"/>
      <c r="M49" s="73" t="n"/>
      <c r="N49" s="73" t="n"/>
      <c r="O49" s="73" t="n"/>
      <c r="P49" s="73" t="n"/>
      <c r="Q49" s="73" t="n"/>
    </row>
    <row r="50">
      <c r="B50" s="73" t="n"/>
      <c r="C50" s="73" t="n"/>
      <c r="D50" s="73" t="n"/>
      <c r="E50" s="73" t="n"/>
      <c r="F50" s="73" t="n"/>
      <c r="G50" s="73" t="n"/>
      <c r="H50" s="73" t="n"/>
      <c r="I50" s="73" t="n"/>
      <c r="J50" s="73" t="n"/>
      <c r="K50" s="73" t="n"/>
      <c r="L50" s="73" t="n"/>
      <c r="M50" s="73" t="n"/>
      <c r="N50" s="73" t="n"/>
      <c r="O50" s="73" t="n"/>
      <c r="P50" s="73" t="n"/>
      <c r="Q50" s="73" t="n"/>
    </row>
    <row r="51">
      <c r="B51" s="73" t="n"/>
      <c r="C51" s="73" t="n"/>
      <c r="D51" s="73" t="n"/>
      <c r="E51" s="73" t="n"/>
      <c r="F51" s="73" t="n"/>
      <c r="G51" s="73" t="n"/>
      <c r="H51" s="73" t="n"/>
      <c r="I51" s="73" t="n"/>
      <c r="J51" s="73" t="n"/>
      <c r="K51" s="73" t="n"/>
      <c r="L51" s="73" t="n"/>
      <c r="M51" s="73" t="n"/>
      <c r="N51" s="73" t="n"/>
      <c r="O51" s="73" t="n"/>
      <c r="P51" s="73" t="n"/>
      <c r="Q51" s="73" t="n"/>
    </row>
    <row r="52">
      <c r="B52" s="73" t="n"/>
      <c r="C52" s="73" t="n"/>
      <c r="D52" s="73" t="n"/>
      <c r="E52" s="73" t="n"/>
      <c r="F52" s="73" t="n"/>
      <c r="G52" s="73" t="n"/>
      <c r="H52" s="73" t="n"/>
      <c r="I52" s="73" t="n"/>
      <c r="J52" s="73" t="n"/>
      <c r="K52" s="73" t="n"/>
      <c r="L52" s="73" t="n"/>
      <c r="M52" s="73" t="n"/>
      <c r="N52" s="73" t="n"/>
      <c r="O52" s="73" t="n"/>
      <c r="P52" s="73" t="n"/>
      <c r="Q52" s="73" t="n"/>
    </row>
    <row r="53">
      <c r="B53" s="73" t="n"/>
      <c r="C53" s="73" t="n"/>
      <c r="D53" s="73" t="n"/>
      <c r="E53" s="73" t="n"/>
      <c r="F53" s="73" t="n"/>
      <c r="G53" s="73" t="n"/>
      <c r="H53" s="73" t="n"/>
      <c r="I53" s="73" t="n"/>
      <c r="J53" s="73" t="n"/>
      <c r="K53" s="73" t="n"/>
      <c r="L53" s="73" t="n"/>
      <c r="M53" s="73" t="n"/>
      <c r="N53" s="73" t="n"/>
      <c r="O53" s="73" t="n"/>
      <c r="P53" s="73" t="n"/>
      <c r="Q53" s="73" t="n"/>
    </row>
    <row r="54">
      <c r="B54" s="73" t="n"/>
      <c r="C54" s="73" t="n"/>
      <c r="D54" s="73" t="n"/>
      <c r="E54" s="73" t="n"/>
      <c r="F54" s="73" t="n"/>
      <c r="G54" s="73" t="n"/>
      <c r="H54" s="73" t="n"/>
      <c r="I54" s="73" t="n"/>
      <c r="J54" s="73" t="n"/>
      <c r="K54" s="73" t="n"/>
      <c r="L54" s="73" t="n"/>
      <c r="M54" s="73" t="n"/>
      <c r="N54" s="73" t="n"/>
      <c r="O54" s="73" t="n"/>
      <c r="P54" s="73" t="n"/>
      <c r="Q54" s="73" t="n"/>
    </row>
    <row r="55">
      <c r="B55" s="73" t="n"/>
      <c r="C55" s="73" t="n"/>
      <c r="D55" s="73" t="n"/>
      <c r="E55" s="73" t="n"/>
      <c r="F55" s="73" t="n"/>
      <c r="G55" s="73" t="n"/>
      <c r="H55" s="73" t="n"/>
      <c r="I55" s="73" t="n"/>
      <c r="J55" s="73" t="n"/>
      <c r="K55" s="73" t="n"/>
      <c r="L55" s="73" t="n"/>
      <c r="M55" s="73" t="n"/>
      <c r="N55" s="73" t="n"/>
      <c r="O55" s="73" t="n"/>
      <c r="P55" s="73" t="n"/>
      <c r="Q55" s="73" t="n"/>
    </row>
    <row r="56">
      <c r="B56" s="73" t="n"/>
      <c r="C56" s="73" t="n"/>
      <c r="D56" s="73" t="n"/>
      <c r="E56" s="73" t="n"/>
      <c r="F56" s="73" t="n"/>
      <c r="G56" s="73" t="n"/>
      <c r="H56" s="73" t="n"/>
      <c r="I56" s="73" t="n"/>
      <c r="J56" s="73" t="n"/>
      <c r="K56" s="73" t="n"/>
      <c r="L56" s="73" t="n"/>
      <c r="M56" s="73" t="n"/>
      <c r="N56" s="73" t="n"/>
      <c r="O56" s="73" t="n"/>
      <c r="P56" s="73" t="n"/>
      <c r="Q56" s="73" t="n"/>
    </row>
    <row r="57">
      <c r="B57" s="73" t="n"/>
      <c r="C57" s="73" t="n"/>
      <c r="D57" s="73" t="n"/>
      <c r="E57" s="73" t="n"/>
      <c r="F57" s="73" t="n"/>
      <c r="G57" s="73" t="n"/>
      <c r="H57" s="73" t="n"/>
      <c r="I57" s="73" t="n"/>
      <c r="J57" s="73" t="n"/>
      <c r="K57" s="73" t="n"/>
      <c r="L57" s="73" t="n"/>
      <c r="M57" s="73" t="n"/>
      <c r="N57" s="73" t="n"/>
      <c r="O57" s="73" t="n"/>
      <c r="P57" s="73" t="n"/>
      <c r="Q57" s="73" t="n"/>
    </row>
    <row r="58">
      <c r="B58" s="73" t="n"/>
      <c r="C58" s="73" t="n"/>
      <c r="D58" s="73" t="n"/>
      <c r="E58" s="73" t="n"/>
      <c r="F58" s="73" t="n"/>
      <c r="G58" s="73" t="n"/>
      <c r="H58" s="73" t="n"/>
      <c r="I58" s="73" t="n"/>
      <c r="J58" s="73" t="n"/>
      <c r="K58" s="73" t="n"/>
      <c r="L58" s="73" t="n"/>
      <c r="M58" s="73" t="n"/>
      <c r="N58" s="73" t="n"/>
      <c r="O58" s="73" t="n"/>
      <c r="P58" s="73" t="n"/>
      <c r="Q58" s="73" t="n"/>
    </row>
    <row r="59">
      <c r="B59" s="73" t="n"/>
      <c r="C59" s="73" t="n"/>
      <c r="D59" s="73" t="n"/>
      <c r="E59" s="73" t="n"/>
      <c r="F59" s="73" t="n"/>
      <c r="G59" s="73" t="n"/>
      <c r="H59" s="73" t="n"/>
      <c r="I59" s="73" t="n"/>
      <c r="J59" s="73" t="n"/>
      <c r="K59" s="73" t="n"/>
      <c r="L59" s="73" t="n"/>
      <c r="M59" s="73" t="n"/>
      <c r="N59" s="73" t="n"/>
      <c r="O59" s="73" t="n"/>
      <c r="P59" s="73" t="n"/>
      <c r="Q59" s="73" t="n"/>
    </row>
    <row r="60">
      <c r="B60" s="73" t="n"/>
      <c r="C60" s="73" t="n"/>
      <c r="D60" s="73" t="n"/>
      <c r="E60" s="73" t="n"/>
      <c r="F60" s="73" t="n"/>
      <c r="G60" s="73" t="n"/>
      <c r="H60" s="73" t="n"/>
      <c r="I60" s="73" t="n"/>
      <c r="J60" s="73" t="n"/>
      <c r="K60" s="73" t="n"/>
      <c r="L60" s="73" t="n"/>
      <c r="M60" s="73" t="n"/>
      <c r="N60" s="73" t="n"/>
      <c r="O60" s="73" t="n"/>
      <c r="P60" s="73" t="n"/>
      <c r="Q60" s="73" t="n"/>
    </row>
    <row r="61">
      <c r="B61" s="73" t="n"/>
      <c r="C61" s="73" t="n"/>
      <c r="D61" s="73" t="n"/>
      <c r="E61" s="73" t="n"/>
      <c r="F61" s="73" t="n"/>
      <c r="G61" s="73" t="n"/>
      <c r="H61" s="73" t="n"/>
      <c r="I61" s="73" t="n"/>
      <c r="J61" s="73" t="n"/>
      <c r="K61" s="73" t="n"/>
      <c r="L61" s="73" t="n"/>
      <c r="M61" s="73" t="n"/>
      <c r="N61" s="73" t="n"/>
      <c r="O61" s="73" t="n"/>
      <c r="P61" s="73" t="n"/>
      <c r="Q61" s="73" t="n"/>
    </row>
    <row r="62">
      <c r="B62" s="73" t="n"/>
      <c r="C62" s="73" t="n"/>
      <c r="D62" s="73" t="n"/>
      <c r="E62" s="73" t="n"/>
      <c r="F62" s="73" t="n"/>
      <c r="G62" s="73" t="n"/>
      <c r="H62" s="73" t="n"/>
      <c r="I62" s="73" t="n"/>
      <c r="J62" s="73" t="n"/>
      <c r="K62" s="73" t="n"/>
      <c r="L62" s="73" t="n"/>
      <c r="M62" s="73" t="n"/>
      <c r="N62" s="73" t="n"/>
      <c r="O62" s="73" t="n"/>
      <c r="P62" s="73" t="n"/>
      <c r="Q62" s="73" t="n"/>
    </row>
    <row r="63">
      <c r="B63" s="73" t="n"/>
      <c r="C63" s="73" t="n"/>
      <c r="D63" s="73" t="n"/>
      <c r="E63" s="73" t="n"/>
      <c r="F63" s="73" t="n"/>
      <c r="G63" s="73" t="n"/>
      <c r="H63" s="73" t="n"/>
      <c r="I63" s="73" t="n"/>
      <c r="J63" s="73" t="n"/>
      <c r="K63" s="73" t="n"/>
      <c r="L63" s="73" t="n"/>
      <c r="M63" s="73" t="n"/>
      <c r="N63" s="73" t="n"/>
      <c r="O63" s="73" t="n"/>
      <c r="P63" s="73" t="n"/>
      <c r="Q63" s="73" t="n"/>
    </row>
    <row r="64">
      <c r="B64" s="73" t="n"/>
      <c r="C64" s="73" t="n"/>
      <c r="D64" s="73" t="n"/>
      <c r="E64" s="73" t="n"/>
      <c r="F64" s="73" t="n"/>
      <c r="G64" s="73" t="n"/>
      <c r="H64" s="73" t="n"/>
      <c r="I64" s="73" t="n"/>
      <c r="J64" s="73" t="n"/>
      <c r="K64" s="73" t="n"/>
      <c r="L64" s="73" t="n"/>
      <c r="M64" s="73" t="n"/>
      <c r="N64" s="73" t="n"/>
      <c r="O64" s="73" t="n"/>
      <c r="P64" s="73" t="n"/>
      <c r="Q64" s="73" t="n"/>
    </row>
    <row r="65">
      <c r="B65" s="73" t="n"/>
      <c r="C65" s="73" t="n"/>
      <c r="D65" s="73" t="n"/>
      <c r="E65" s="73" t="n"/>
      <c r="F65" s="73" t="n"/>
      <c r="G65" s="73" t="n"/>
      <c r="H65" s="73" t="n"/>
      <c r="I65" s="73" t="n"/>
      <c r="J65" s="73" t="n"/>
      <c r="K65" s="73" t="n"/>
      <c r="L65" s="73" t="n"/>
      <c r="M65" s="73" t="n"/>
      <c r="N65" s="73" t="n"/>
      <c r="O65" s="73" t="n"/>
      <c r="P65" s="73" t="n"/>
      <c r="Q65" s="73" t="n"/>
    </row>
    <row r="66">
      <c r="B66" s="73" t="n"/>
      <c r="C66" s="73" t="n"/>
      <c r="D66" s="73" t="n"/>
      <c r="E66" s="73" t="n"/>
      <c r="F66" s="73" t="n"/>
      <c r="G66" s="73" t="n"/>
      <c r="H66" s="73" t="n"/>
      <c r="I66" s="73" t="n"/>
      <c r="J66" s="73" t="n"/>
      <c r="K66" s="73" t="n"/>
      <c r="L66" s="73" t="n"/>
      <c r="M66" s="73" t="n"/>
      <c r="N66" s="73" t="n"/>
      <c r="O66" s="73" t="n"/>
      <c r="P66" s="73" t="n"/>
      <c r="Q66" s="73" t="n"/>
    </row>
    <row r="67">
      <c r="B67" s="73" t="n"/>
      <c r="C67" s="73" t="n"/>
      <c r="D67" s="73" t="n"/>
      <c r="E67" s="73" t="n"/>
      <c r="F67" s="73" t="n"/>
      <c r="G67" s="73" t="n"/>
      <c r="H67" s="73" t="n"/>
      <c r="I67" s="73" t="n"/>
      <c r="J67" s="73" t="n"/>
      <c r="K67" s="73" t="n"/>
      <c r="L67" s="73" t="n"/>
      <c r="M67" s="73" t="n"/>
      <c r="N67" s="73" t="n"/>
      <c r="O67" s="73" t="n"/>
      <c r="P67" s="73" t="n"/>
      <c r="Q67" s="73" t="n"/>
    </row>
    <row r="68">
      <c r="B68" s="73" t="n"/>
      <c r="C68" s="73" t="n"/>
      <c r="D68" s="73" t="n"/>
      <c r="E68" s="73" t="n"/>
      <c r="F68" s="73" t="n"/>
      <c r="G68" s="73" t="n"/>
      <c r="H68" s="73" t="n"/>
      <c r="I68" s="73" t="n"/>
      <c r="J68" s="73" t="n"/>
      <c r="K68" s="73" t="n"/>
      <c r="L68" s="73" t="n"/>
      <c r="M68" s="73" t="n"/>
      <c r="N68" s="73" t="n"/>
      <c r="O68" s="73" t="n"/>
      <c r="P68" s="73" t="n"/>
      <c r="Q68" s="73" t="n"/>
    </row>
    <row r="69">
      <c r="B69" s="73" t="n"/>
      <c r="C69" s="73" t="n"/>
      <c r="D69" s="73" t="n"/>
      <c r="E69" s="73" t="n"/>
      <c r="F69" s="73" t="n"/>
      <c r="G69" s="73" t="n"/>
      <c r="H69" s="73" t="n"/>
      <c r="I69" s="73" t="n"/>
      <c r="J69" s="73" t="n"/>
      <c r="K69" s="73" t="n"/>
      <c r="L69" s="73" t="n"/>
      <c r="M69" s="73" t="n"/>
      <c r="N69" s="73" t="n"/>
      <c r="O69" s="73" t="n"/>
      <c r="P69" s="73" t="n"/>
      <c r="Q69" s="73" t="n"/>
    </row>
    <row r="70">
      <c r="B70" s="73" t="n"/>
      <c r="C70" s="73" t="n"/>
      <c r="D70" s="73" t="n"/>
      <c r="E70" s="73" t="n"/>
      <c r="F70" s="73" t="n"/>
      <c r="G70" s="73" t="n"/>
      <c r="H70" s="73" t="n"/>
      <c r="I70" s="73" t="n"/>
      <c r="J70" s="73" t="n"/>
      <c r="K70" s="73" t="n"/>
      <c r="L70" s="73" t="n"/>
      <c r="M70" s="73" t="n"/>
      <c r="N70" s="73" t="n"/>
      <c r="O70" s="73" t="n"/>
      <c r="P70" s="73" t="n"/>
      <c r="Q70" s="73" t="n"/>
    </row>
    <row r="71">
      <c r="B71" s="73" t="n"/>
      <c r="C71" s="73" t="n"/>
      <c r="D71" s="73" t="n"/>
      <c r="E71" s="73" t="n"/>
      <c r="F71" s="73" t="n"/>
      <c r="G71" s="73" t="n"/>
      <c r="H71" s="73" t="n"/>
      <c r="I71" s="73" t="n"/>
      <c r="J71" s="73" t="n"/>
      <c r="K71" s="73" t="n"/>
      <c r="L71" s="73" t="n"/>
      <c r="M71" s="73" t="n"/>
      <c r="N71" s="73" t="n"/>
      <c r="O71" s="73" t="n"/>
      <c r="P71" s="73" t="n"/>
      <c r="Q71" s="73" t="n"/>
    </row>
    <row r="72">
      <c r="B72" s="73" t="n"/>
      <c r="C72" s="73" t="n"/>
      <c r="D72" s="73" t="n"/>
      <c r="E72" s="73" t="n"/>
      <c r="F72" s="73" t="n"/>
      <c r="G72" s="73" t="n"/>
      <c r="H72" s="73" t="n"/>
      <c r="I72" s="73" t="n"/>
      <c r="J72" s="73" t="n"/>
      <c r="K72" s="73" t="n"/>
      <c r="L72" s="73" t="n"/>
      <c r="M72" s="73" t="n"/>
      <c r="N72" s="73" t="n"/>
      <c r="O72" s="73" t="n"/>
      <c r="P72" s="73" t="n"/>
      <c r="Q72" s="73" t="n"/>
    </row>
    <row r="73">
      <c r="B73" s="73" t="n"/>
      <c r="C73" s="73" t="n"/>
      <c r="D73" s="73" t="n"/>
      <c r="E73" s="73" t="n"/>
      <c r="F73" s="73" t="n"/>
      <c r="G73" s="73" t="n"/>
      <c r="H73" s="73" t="n"/>
      <c r="I73" s="73" t="n"/>
      <c r="J73" s="73" t="n"/>
      <c r="K73" s="73" t="n"/>
      <c r="L73" s="73" t="n"/>
      <c r="M73" s="73" t="n"/>
      <c r="N73" s="73" t="n"/>
      <c r="O73" s="73" t="n"/>
      <c r="P73" s="73" t="n"/>
      <c r="Q73" s="73" t="n"/>
    </row>
    <row r="74">
      <c r="B74" s="73" t="n"/>
      <c r="C74" s="73" t="n"/>
      <c r="D74" s="73" t="n"/>
      <c r="E74" s="73" t="n"/>
      <c r="F74" s="73" t="n"/>
      <c r="G74" s="73" t="n"/>
      <c r="H74" s="73" t="n"/>
      <c r="I74" s="73" t="n"/>
      <c r="J74" s="73" t="n"/>
      <c r="K74" s="73" t="n"/>
      <c r="L74" s="73" t="n"/>
      <c r="M74" s="73" t="n"/>
      <c r="N74" s="73" t="n"/>
      <c r="O74" s="73" t="n"/>
      <c r="P74" s="73" t="n"/>
      <c r="Q74" s="73" t="n"/>
    </row>
    <row r="75">
      <c r="B75" s="73" t="n"/>
      <c r="C75" s="73" t="n"/>
      <c r="D75" s="73" t="n"/>
      <c r="E75" s="73" t="n"/>
      <c r="F75" s="73" t="n"/>
      <c r="G75" s="73" t="n"/>
      <c r="H75" s="73" t="n"/>
      <c r="I75" s="73" t="n"/>
      <c r="J75" s="73" t="n"/>
      <c r="K75" s="73" t="n"/>
      <c r="L75" s="73" t="n"/>
      <c r="M75" s="73" t="n"/>
      <c r="N75" s="73" t="n"/>
      <c r="O75" s="73" t="n"/>
      <c r="P75" s="73" t="n"/>
      <c r="Q75" s="73" t="n"/>
    </row>
    <row r="76">
      <c r="B76" s="73" t="n"/>
      <c r="C76" s="73" t="n"/>
      <c r="D76" s="73" t="n"/>
      <c r="E76" s="73" t="n"/>
      <c r="F76" s="73" t="n"/>
      <c r="G76" s="73" t="n"/>
      <c r="H76" s="73" t="n"/>
      <c r="I76" s="73" t="n"/>
      <c r="J76" s="73" t="n"/>
      <c r="K76" s="73" t="n"/>
      <c r="L76" s="73" t="n"/>
      <c r="M76" s="73" t="n"/>
      <c r="N76" s="73" t="n"/>
      <c r="O76" s="73" t="n"/>
      <c r="P76" s="73" t="n"/>
      <c r="Q76" s="73" t="n"/>
    </row>
    <row r="77">
      <c r="B77" s="73" t="n"/>
      <c r="C77" s="73" t="n"/>
      <c r="D77" s="73" t="n"/>
      <c r="E77" s="73" t="n"/>
      <c r="F77" s="73" t="n"/>
      <c r="G77" s="73" t="n"/>
      <c r="H77" s="73" t="n"/>
      <c r="I77" s="73" t="n"/>
      <c r="J77" s="73" t="n"/>
      <c r="K77" s="73" t="n"/>
      <c r="L77" s="73" t="n"/>
      <c r="M77" s="73" t="n"/>
      <c r="N77" s="73" t="n"/>
      <c r="O77" s="73" t="n"/>
      <c r="P77" s="73" t="n"/>
      <c r="Q77" s="73" t="n"/>
    </row>
    <row r="78">
      <c r="B78" s="73" t="n"/>
      <c r="C78" s="73" t="n"/>
      <c r="D78" s="73" t="n"/>
      <c r="E78" s="73" t="n"/>
      <c r="F78" s="73" t="n"/>
      <c r="G78" s="73" t="n"/>
      <c r="H78" s="73" t="n"/>
      <c r="I78" s="73" t="n"/>
      <c r="J78" s="73" t="n"/>
      <c r="K78" s="73" t="n"/>
      <c r="L78" s="73" t="n"/>
      <c r="M78" s="73" t="n"/>
      <c r="N78" s="73" t="n"/>
      <c r="O78" s="73" t="n"/>
      <c r="P78" s="73" t="n"/>
      <c r="Q78" s="73" t="n"/>
    </row>
    <row r="79">
      <c r="B79" s="73" t="n"/>
      <c r="C79" s="73" t="n"/>
      <c r="D79" s="73" t="n"/>
      <c r="E79" s="73" t="n"/>
      <c r="F79" s="73" t="n"/>
      <c r="G79" s="73" t="n"/>
      <c r="H79" s="73" t="n"/>
      <c r="I79" s="73" t="n"/>
      <c r="J79" s="73" t="n"/>
      <c r="K79" s="73" t="n"/>
      <c r="L79" s="73" t="n"/>
      <c r="M79" s="73" t="n"/>
      <c r="N79" s="73" t="n"/>
      <c r="O79" s="73" t="n"/>
      <c r="P79" s="73" t="n"/>
      <c r="Q79" s="73" t="n"/>
    </row>
    <row r="80">
      <c r="B80" s="73" t="n"/>
      <c r="C80" s="73" t="n"/>
      <c r="D80" s="73" t="n"/>
      <c r="E80" s="73" t="n"/>
      <c r="F80" s="73" t="n"/>
      <c r="G80" s="73" t="n"/>
      <c r="H80" s="73" t="n"/>
      <c r="I80" s="73" t="n"/>
      <c r="J80" s="73" t="n"/>
      <c r="K80" s="73" t="n"/>
      <c r="L80" s="73" t="n"/>
      <c r="M80" s="73" t="n"/>
      <c r="N80" s="73" t="n"/>
      <c r="O80" s="73" t="n"/>
      <c r="P80" s="73" t="n"/>
      <c r="Q80" s="73" t="n"/>
    </row>
    <row r="81">
      <c r="B81" s="73" t="n"/>
      <c r="C81" s="73" t="n"/>
      <c r="D81" s="73" t="n"/>
      <c r="E81" s="73" t="n"/>
      <c r="F81" s="73" t="n"/>
      <c r="G81" s="73" t="n"/>
      <c r="H81" s="73" t="n"/>
      <c r="I81" s="73" t="n"/>
      <c r="J81" s="73" t="n"/>
      <c r="K81" s="73" t="n"/>
      <c r="L81" s="73" t="n"/>
      <c r="M81" s="73" t="n"/>
      <c r="N81" s="73" t="n"/>
      <c r="O81" s="73" t="n"/>
      <c r="P81" s="73" t="n"/>
      <c r="Q81" s="73" t="n"/>
    </row>
    <row r="82">
      <c r="B82" s="73" t="n"/>
      <c r="C82" s="73" t="n"/>
      <c r="D82" s="73" t="n"/>
      <c r="E82" s="73" t="n"/>
      <c r="F82" s="73" t="n"/>
      <c r="G82" s="73" t="n"/>
      <c r="H82" s="73" t="n"/>
      <c r="I82" s="73" t="n"/>
      <c r="J82" s="73" t="n"/>
      <c r="K82" s="73" t="n"/>
      <c r="L82" s="73" t="n"/>
      <c r="M82" s="73" t="n"/>
      <c r="N82" s="73" t="n"/>
      <c r="O82" s="73" t="n"/>
      <c r="P82" s="73" t="n"/>
      <c r="Q82" s="73" t="n"/>
    </row>
  </sheetData>
  <printOptions horizontalCentered="1"/>
  <pageMargins left="0.4" right="0.4" top="0.5"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AROMATIC</dc:creator>
  <dc:title>AROMATIC — Sistema Financiero y de Gestión Comercial</dc:title>
  <dc:description>Sistema financiero y de gestión comercial. Los precios del catálogo 2016 son informativos y no alimentan ningún cálculo.</dc:description>
  <dcterms:created xsi:type="dcterms:W3CDTF">2026-09-22T04:07:49Z</dcterms:created>
  <dcterms:modified xsi:type="dcterms:W3CDTF">2026-09-22T04:07:50Z</dcterms:modified>
</cp:coreProperties>
</file>